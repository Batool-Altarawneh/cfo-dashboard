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FO Financial KPI Dashboard\cfo-dashboard\data\raw\"/>
    </mc:Choice>
  </mc:AlternateContent>
  <xr:revisionPtr revIDLastSave="0" documentId="8_{2E634FF6-BEF6-48CD-A8D0-8D6BB458340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Sheet1!$A$1:$Q$8280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67" i="1" l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3" i="1"/>
  <c r="Q4" i="1"/>
  <c r="Q5" i="1"/>
  <c r="Q6" i="1"/>
  <c r="Q7" i="1"/>
  <c r="Q8" i="1"/>
  <c r="Q2" i="1"/>
  <c r="P2" i="1"/>
  <c r="O8269" i="1"/>
  <c r="O8268" i="1"/>
  <c r="O8267" i="1"/>
  <c r="O8257" i="1"/>
  <c r="O8256" i="1"/>
  <c r="O8255" i="1"/>
  <c r="O8246" i="1"/>
  <c r="O8230" i="1"/>
  <c r="O8221" i="1"/>
  <c r="O8218" i="1"/>
  <c r="O8217" i="1"/>
  <c r="O8216" i="1"/>
  <c r="O8211" i="1"/>
  <c r="O8210" i="1"/>
  <c r="O8198" i="1"/>
  <c r="O8197" i="1"/>
  <c r="O8177" i="1"/>
  <c r="O8170" i="1"/>
  <c r="O8162" i="1"/>
  <c r="O8161" i="1"/>
  <c r="O8160" i="1"/>
  <c r="O8153" i="1"/>
  <c r="O8152" i="1"/>
  <c r="O8147" i="1"/>
  <c r="O8142" i="1"/>
  <c r="O8141" i="1"/>
  <c r="O8140" i="1"/>
  <c r="O8134" i="1"/>
  <c r="O8133" i="1"/>
  <c r="O8125" i="1"/>
  <c r="O8124" i="1"/>
  <c r="O8123" i="1"/>
  <c r="O8122" i="1"/>
  <c r="O8117" i="1"/>
  <c r="O8112" i="1"/>
  <c r="O8111" i="1"/>
  <c r="O8110" i="1"/>
  <c r="O8102" i="1"/>
  <c r="O8101" i="1"/>
  <c r="O8100" i="1"/>
  <c r="O8099" i="1"/>
  <c r="O8094" i="1"/>
  <c r="O8087" i="1"/>
  <c r="O8080" i="1"/>
  <c r="O8074" i="1"/>
  <c r="O8052" i="1"/>
  <c r="O8047" i="1"/>
  <c r="O8046" i="1"/>
  <c r="O8041" i="1"/>
  <c r="O8040" i="1"/>
  <c r="O8039" i="1"/>
  <c r="O8027" i="1"/>
  <c r="O8018" i="1"/>
  <c r="O8017" i="1"/>
  <c r="O8016" i="1"/>
  <c r="O8007" i="1"/>
  <c r="O7998" i="1"/>
  <c r="O7981" i="1"/>
  <c r="O7972" i="1"/>
  <c r="O7971" i="1"/>
  <c r="O7970" i="1"/>
  <c r="O7969" i="1"/>
  <c r="O7954" i="1"/>
  <c r="O7949" i="1"/>
  <c r="O7948" i="1"/>
  <c r="O7945" i="1"/>
  <c r="O7943" i="1"/>
  <c r="O7942" i="1"/>
  <c r="O7941" i="1"/>
  <c r="O7930" i="1"/>
  <c r="O7924" i="1"/>
  <c r="O7916" i="1"/>
  <c r="O7908" i="1"/>
  <c r="O7907" i="1"/>
  <c r="O7898" i="1"/>
  <c r="O7897" i="1"/>
  <c r="O7889" i="1"/>
  <c r="O7888" i="1"/>
  <c r="O7880" i="1"/>
  <c r="O7879" i="1"/>
  <c r="O7869" i="1"/>
  <c r="O7868" i="1"/>
  <c r="O7867" i="1"/>
  <c r="O7866" i="1"/>
  <c r="O7862" i="1"/>
  <c r="O7861" i="1"/>
  <c r="O7852" i="1"/>
  <c r="O7851" i="1"/>
  <c r="O7847" i="1"/>
  <c r="O7846" i="1"/>
  <c r="O7842" i="1"/>
  <c r="O7833" i="1"/>
  <c r="O7829" i="1"/>
  <c r="O7824" i="1"/>
  <c r="O7803" i="1"/>
  <c r="O7795" i="1"/>
  <c r="O7787" i="1"/>
  <c r="O7786" i="1"/>
  <c r="O7779" i="1"/>
  <c r="O7778" i="1"/>
  <c r="O7777" i="1"/>
  <c r="O7776" i="1"/>
  <c r="O7775" i="1"/>
  <c r="O7774" i="1"/>
  <c r="O7770" i="1"/>
  <c r="O7762" i="1"/>
  <c r="O7761" i="1"/>
  <c r="O7754" i="1"/>
  <c r="O7753" i="1"/>
  <c r="O7748" i="1"/>
  <c r="O7744" i="1"/>
  <c r="O7730" i="1"/>
  <c r="O7726" i="1"/>
  <c r="O7725" i="1"/>
  <c r="O7717" i="1"/>
  <c r="O7700" i="1"/>
  <c r="O7696" i="1"/>
  <c r="O7695" i="1"/>
  <c r="O7694" i="1"/>
  <c r="O7687" i="1"/>
  <c r="O7686" i="1"/>
  <c r="O7685" i="1"/>
  <c r="O7684" i="1"/>
  <c r="O7680" i="1"/>
  <c r="O7661" i="1"/>
  <c r="O7660" i="1"/>
  <c r="O7652" i="1"/>
  <c r="O7651" i="1"/>
  <c r="O7644" i="1"/>
  <c r="O7631" i="1"/>
  <c r="O7630" i="1"/>
  <c r="O7629" i="1"/>
  <c r="O7620" i="1"/>
  <c r="O7616" i="1"/>
  <c r="O7615" i="1"/>
  <c r="O7614" i="1"/>
  <c r="O7605" i="1"/>
  <c r="O7604" i="1"/>
  <c r="O7603" i="1"/>
  <c r="O7596" i="1"/>
  <c r="O7595" i="1"/>
  <c r="O7591" i="1"/>
  <c r="O7590" i="1"/>
  <c r="O7583" i="1"/>
  <c r="O7578" i="1"/>
  <c r="O7569" i="1"/>
  <c r="O7561" i="1"/>
  <c r="O7560" i="1"/>
  <c r="O7545" i="1"/>
  <c r="O7536" i="1"/>
  <c r="O7515" i="1"/>
  <c r="O7514" i="1"/>
  <c r="O7496" i="1"/>
  <c r="O7495" i="1"/>
  <c r="O7491" i="1"/>
  <c r="O7476" i="1"/>
  <c r="O7475" i="1"/>
  <c r="O7474" i="1"/>
  <c r="O7465" i="1"/>
  <c r="O7458" i="1"/>
  <c r="O7457" i="1"/>
  <c r="O7440" i="1"/>
  <c r="O7439" i="1"/>
  <c r="O7438" i="1"/>
  <c r="O7431" i="1"/>
  <c r="O7430" i="1"/>
  <c r="O7422" i="1"/>
  <c r="O7414" i="1"/>
  <c r="O7413" i="1"/>
  <c r="O7412" i="1"/>
  <c r="O7402" i="1"/>
  <c r="O7401" i="1"/>
  <c r="O7400" i="1"/>
  <c r="O7390" i="1"/>
  <c r="O7383" i="1"/>
  <c r="O7382" i="1"/>
  <c r="O7376" i="1"/>
  <c r="O7375" i="1"/>
  <c r="O7374" i="1"/>
  <c r="O7373" i="1"/>
  <c r="O7368" i="1"/>
  <c r="O7367" i="1"/>
  <c r="O7366" i="1"/>
  <c r="O7342" i="1"/>
  <c r="O7341" i="1"/>
  <c r="O7333" i="1"/>
  <c r="O7332" i="1"/>
  <c r="O7323" i="1"/>
  <c r="O7322" i="1"/>
  <c r="O7315" i="1"/>
  <c r="O7314" i="1"/>
  <c r="O7304" i="1"/>
  <c r="O7299" i="1"/>
  <c r="O7298" i="1"/>
  <c r="O7292" i="1"/>
  <c r="O7284" i="1"/>
  <c r="O7283" i="1"/>
  <c r="O7282" i="1"/>
  <c r="O7275" i="1"/>
  <c r="O7274" i="1"/>
  <c r="O7270" i="1"/>
  <c r="O7263" i="1"/>
  <c r="O7262" i="1"/>
  <c r="O7261" i="1"/>
  <c r="O7254" i="1"/>
  <c r="O7253" i="1"/>
  <c r="O7252" i="1"/>
  <c r="O7247" i="1"/>
  <c r="O7242" i="1"/>
  <c r="O7241" i="1"/>
  <c r="O7230" i="1"/>
  <c r="O7224" i="1"/>
  <c r="O7223" i="1"/>
  <c r="O7222" i="1"/>
  <c r="O7216" i="1"/>
  <c r="O7208" i="1"/>
  <c r="O7207" i="1"/>
  <c r="O7201" i="1"/>
  <c r="O7193" i="1"/>
  <c r="O7192" i="1"/>
  <c r="O7191" i="1"/>
  <c r="O7181" i="1"/>
  <c r="O7176" i="1"/>
  <c r="O7170" i="1"/>
  <c r="O7169" i="1"/>
  <c r="O7159" i="1"/>
  <c r="O7158" i="1"/>
  <c r="O7151" i="1"/>
  <c r="O7144" i="1"/>
  <c r="O7143" i="1"/>
  <c r="O7127" i="1"/>
  <c r="O7114" i="1"/>
  <c r="O7109" i="1"/>
  <c r="O7100" i="1"/>
  <c r="O7099" i="1"/>
  <c r="O7093" i="1"/>
  <c r="O7092" i="1"/>
  <c r="O7091" i="1"/>
  <c r="O7080" i="1"/>
  <c r="O7076" i="1"/>
  <c r="O7068" i="1"/>
  <c r="O7062" i="1"/>
  <c r="O7056" i="1"/>
  <c r="O7049" i="1"/>
  <c r="O7048" i="1"/>
  <c r="O7037" i="1"/>
  <c r="O7025" i="1"/>
  <c r="O7016" i="1"/>
  <c r="O7015" i="1"/>
  <c r="O7014" i="1"/>
  <c r="O7013" i="1"/>
  <c r="O7012" i="1"/>
  <c r="O7007" i="1"/>
  <c r="O7006" i="1"/>
  <c r="O7005" i="1"/>
  <c r="O6999" i="1"/>
  <c r="O6992" i="1"/>
  <c r="O6986" i="1"/>
  <c r="O6976" i="1"/>
  <c r="O6975" i="1"/>
  <c r="O6964" i="1"/>
  <c r="O6959" i="1"/>
  <c r="O6958" i="1"/>
  <c r="O6957" i="1"/>
  <c r="O6939" i="1"/>
  <c r="O6938" i="1"/>
  <c r="O6934" i="1"/>
  <c r="O6933" i="1"/>
  <c r="O6930" i="1"/>
  <c r="O6929" i="1"/>
  <c r="O6920" i="1"/>
  <c r="O6919" i="1"/>
  <c r="O6906" i="1"/>
  <c r="O6905" i="1"/>
  <c r="O6898" i="1"/>
  <c r="O6897" i="1"/>
  <c r="O6896" i="1"/>
  <c r="O6887" i="1"/>
  <c r="O6886" i="1"/>
  <c r="O6880" i="1"/>
  <c r="O6879" i="1"/>
  <c r="O6878" i="1"/>
  <c r="O6877" i="1"/>
  <c r="O6873" i="1"/>
  <c r="O6872" i="1"/>
  <c r="O6862" i="1"/>
  <c r="O6861" i="1"/>
  <c r="O6860" i="1"/>
  <c r="O6853" i="1"/>
  <c r="O6839" i="1"/>
  <c r="O6838" i="1"/>
  <c r="O6837" i="1"/>
  <c r="O6834" i="1"/>
  <c r="O6833" i="1"/>
  <c r="O6822" i="1"/>
  <c r="O6816" i="1"/>
  <c r="O6815" i="1"/>
  <c r="O6814" i="1"/>
  <c r="O6813" i="1"/>
  <c r="O6807" i="1"/>
  <c r="O6806" i="1"/>
  <c r="O6794" i="1"/>
  <c r="O6793" i="1"/>
  <c r="O6779" i="1"/>
  <c r="O6773" i="1"/>
  <c r="O6772" i="1"/>
  <c r="O6755" i="1"/>
  <c r="O6746" i="1"/>
  <c r="O6737" i="1"/>
  <c r="O6736" i="1"/>
  <c r="O6729" i="1"/>
  <c r="O6728" i="1"/>
  <c r="O6717" i="1"/>
  <c r="O6716" i="1"/>
  <c r="O6704" i="1"/>
  <c r="O6691" i="1"/>
  <c r="O6690" i="1"/>
  <c r="O6689" i="1"/>
  <c r="O6680" i="1"/>
  <c r="O6679" i="1"/>
  <c r="O6678" i="1"/>
  <c r="O6671" i="1"/>
  <c r="O6670" i="1"/>
  <c r="O6662" i="1"/>
  <c r="O6654" i="1"/>
  <c r="O6649" i="1"/>
  <c r="O6638" i="1"/>
  <c r="O6633" i="1"/>
  <c r="O6624" i="1"/>
  <c r="O6623" i="1"/>
  <c r="O6622" i="1"/>
  <c r="O6613" i="1"/>
  <c r="O6612" i="1"/>
  <c r="O6611" i="1"/>
  <c r="O6610" i="1"/>
  <c r="O6588" i="1"/>
  <c r="O6587" i="1"/>
  <c r="O6577" i="1"/>
  <c r="O6569" i="1"/>
  <c r="O6568" i="1"/>
  <c r="O6567" i="1"/>
  <c r="O6551" i="1"/>
  <c r="O6538" i="1"/>
  <c r="O6537" i="1"/>
  <c r="O6532" i="1"/>
  <c r="O6528" i="1"/>
  <c r="O6513" i="1"/>
  <c r="O6506" i="1"/>
  <c r="O6498" i="1"/>
  <c r="O6497" i="1"/>
  <c r="O6496" i="1"/>
  <c r="O6494" i="1"/>
  <c r="O6488" i="1"/>
  <c r="O6483" i="1"/>
  <c r="O6482" i="1"/>
  <c r="O6477" i="1"/>
  <c r="O6473" i="1"/>
  <c r="O6470" i="1"/>
  <c r="O6469" i="1"/>
  <c r="O6468" i="1"/>
  <c r="O6457" i="1"/>
  <c r="O6456" i="1"/>
  <c r="O6449" i="1"/>
  <c r="O6448" i="1"/>
  <c r="O6447" i="1"/>
  <c r="O6446" i="1"/>
  <c r="O6432" i="1"/>
  <c r="O6425" i="1"/>
  <c r="O6424" i="1"/>
  <c r="O6423" i="1"/>
  <c r="O6418" i="1"/>
  <c r="O6408" i="1"/>
  <c r="O6399" i="1"/>
  <c r="O6398" i="1"/>
  <c r="O6379" i="1"/>
  <c r="O6374" i="1"/>
  <c r="O6362" i="1"/>
  <c r="O6361" i="1"/>
  <c r="O6360" i="1"/>
  <c r="O6349" i="1"/>
  <c r="O6333" i="1"/>
  <c r="O6328" i="1"/>
  <c r="O6327" i="1"/>
  <c r="O6326" i="1"/>
  <c r="O6325" i="1"/>
  <c r="O6320" i="1"/>
  <c r="O6319" i="1"/>
  <c r="O6318" i="1"/>
  <c r="O6313" i="1"/>
  <c r="O6312" i="1"/>
  <c r="O6311" i="1"/>
  <c r="O6303" i="1"/>
  <c r="O6302" i="1"/>
  <c r="O6288" i="1"/>
  <c r="O6276" i="1"/>
  <c r="O6275" i="1"/>
  <c r="O6274" i="1"/>
  <c r="O6267" i="1"/>
  <c r="O6261" i="1"/>
  <c r="O6260" i="1"/>
  <c r="O6259" i="1"/>
  <c r="O6250" i="1"/>
  <c r="O6244" i="1"/>
  <c r="O6239" i="1"/>
  <c r="O6225" i="1"/>
  <c r="O6220" i="1"/>
  <c r="O6219" i="1"/>
  <c r="O6214" i="1"/>
  <c r="O6213" i="1"/>
  <c r="O6206" i="1"/>
  <c r="O6198" i="1"/>
  <c r="O6197" i="1"/>
  <c r="O6190" i="1"/>
  <c r="O6189" i="1"/>
  <c r="O6164" i="1"/>
  <c r="O6163" i="1"/>
  <c r="O6160" i="1"/>
  <c r="O6148" i="1"/>
  <c r="O6147" i="1"/>
  <c r="O6142" i="1"/>
  <c r="O6139" i="1"/>
  <c r="O6138" i="1"/>
  <c r="O6133" i="1"/>
  <c r="O6132" i="1"/>
  <c r="O6116" i="1"/>
  <c r="O6115" i="1"/>
  <c r="O6111" i="1"/>
  <c r="O6104" i="1"/>
  <c r="O6103" i="1"/>
  <c r="O6102" i="1"/>
  <c r="O6075" i="1"/>
  <c r="O6074" i="1"/>
  <c r="O6062" i="1"/>
  <c r="O6061" i="1"/>
  <c r="O6060" i="1"/>
  <c r="O6059" i="1"/>
  <c r="O6045" i="1"/>
  <c r="O6044" i="1"/>
  <c r="O6034" i="1"/>
  <c r="O6033" i="1"/>
  <c r="O6021" i="1"/>
  <c r="O6014" i="1"/>
  <c r="O6013" i="1"/>
  <c r="O6012" i="1"/>
  <c r="O6011" i="1"/>
  <c r="O6004" i="1"/>
  <c r="O5995" i="1"/>
  <c r="O5994" i="1"/>
  <c r="O5966" i="1"/>
  <c r="O5955" i="1"/>
  <c r="O5954" i="1"/>
  <c r="O5932" i="1"/>
  <c r="O5931" i="1"/>
  <c r="O5930" i="1"/>
  <c r="O5924" i="1"/>
  <c r="O5916" i="1"/>
  <c r="O5908" i="1"/>
  <c r="O5907" i="1"/>
  <c r="O5901" i="1"/>
  <c r="O5900" i="1"/>
  <c r="O5894" i="1"/>
  <c r="O5887" i="1"/>
  <c r="O5886" i="1"/>
  <c r="O5885" i="1"/>
  <c r="O5884" i="1"/>
  <c r="O5874" i="1"/>
  <c r="O5873" i="1"/>
  <c r="O5864" i="1"/>
  <c r="O5854" i="1"/>
  <c r="O5844" i="1"/>
  <c r="O5843" i="1"/>
  <c r="O5842" i="1"/>
  <c r="O5831" i="1"/>
  <c r="O5830" i="1"/>
  <c r="O5829" i="1"/>
  <c r="O5828" i="1"/>
  <c r="O5816" i="1"/>
  <c r="O5815" i="1"/>
  <c r="O5814" i="1"/>
  <c r="O5813" i="1"/>
  <c r="O5809" i="1"/>
  <c r="O5808" i="1"/>
  <c r="O5800" i="1"/>
  <c r="O5799" i="1"/>
  <c r="O5798" i="1"/>
  <c r="O5787" i="1"/>
  <c r="O5786" i="1"/>
  <c r="O5785" i="1"/>
  <c r="O5779" i="1"/>
  <c r="O5778" i="1"/>
  <c r="O5770" i="1"/>
  <c r="O5761" i="1"/>
  <c r="O5756" i="1"/>
  <c r="O5755" i="1"/>
  <c r="O5754" i="1"/>
  <c r="O5753" i="1"/>
  <c r="O5747" i="1"/>
  <c r="O5746" i="1"/>
  <c r="O5739" i="1"/>
  <c r="O5733" i="1"/>
  <c r="O5732" i="1"/>
  <c r="O5718" i="1"/>
  <c r="O5717" i="1"/>
  <c r="O5716" i="1"/>
  <c r="O5715" i="1"/>
  <c r="O5704" i="1"/>
  <c r="O5703" i="1"/>
  <c r="O5701" i="1"/>
  <c r="O5700" i="1"/>
  <c r="O5699" i="1"/>
  <c r="O5690" i="1"/>
  <c r="O5686" i="1"/>
  <c r="O5685" i="1"/>
  <c r="O5675" i="1"/>
  <c r="O5674" i="1"/>
  <c r="O5665" i="1"/>
  <c r="O5664" i="1"/>
  <c r="O5659" i="1"/>
  <c r="O5658" i="1"/>
  <c r="O5657" i="1"/>
  <c r="O5656" i="1"/>
  <c r="O5655" i="1"/>
  <c r="O5654" i="1"/>
  <c r="O5646" i="1"/>
  <c r="O5634" i="1"/>
  <c r="O5633" i="1"/>
  <c r="O5625" i="1"/>
  <c r="O5624" i="1"/>
  <c r="O5619" i="1"/>
  <c r="O5618" i="1"/>
  <c r="O5617" i="1"/>
  <c r="O5604" i="1"/>
  <c r="O5603" i="1"/>
  <c r="O5602" i="1"/>
  <c r="O5590" i="1"/>
  <c r="O5583" i="1"/>
  <c r="O5572" i="1"/>
  <c r="O5564" i="1"/>
  <c r="O5551" i="1"/>
  <c r="O5550" i="1"/>
  <c r="O5544" i="1"/>
  <c r="O5522" i="1"/>
  <c r="O5513" i="1"/>
  <c r="O5512" i="1"/>
  <c r="O5511" i="1"/>
  <c r="O5510" i="1"/>
  <c r="O5501" i="1"/>
  <c r="O5500" i="1"/>
  <c r="O5491" i="1"/>
  <c r="O5490" i="1"/>
  <c r="O5480" i="1"/>
  <c r="O5468" i="1"/>
  <c r="O5467" i="1"/>
  <c r="O5466" i="1"/>
  <c r="O5460" i="1"/>
  <c r="O5459" i="1"/>
  <c r="O5448" i="1"/>
  <c r="O5437" i="1"/>
  <c r="O5423" i="1"/>
  <c r="O5401" i="1"/>
  <c r="O5400" i="1"/>
  <c r="O5396" i="1"/>
  <c r="O5395" i="1"/>
  <c r="O5388" i="1"/>
  <c r="O5377" i="1"/>
  <c r="O5376" i="1"/>
  <c r="O5368" i="1"/>
  <c r="O5367" i="1"/>
  <c r="O5366" i="1"/>
  <c r="O5365" i="1"/>
  <c r="O5358" i="1"/>
  <c r="O5357" i="1"/>
  <c r="O5356" i="1"/>
  <c r="O5337" i="1"/>
  <c r="O5336" i="1"/>
  <c r="O5316" i="1"/>
  <c r="O5315" i="1"/>
  <c r="O5304" i="1"/>
  <c r="O5294" i="1"/>
  <c r="O5290" i="1"/>
  <c r="O5280" i="1"/>
  <c r="O5279" i="1"/>
  <c r="O5278" i="1"/>
  <c r="O5277" i="1"/>
  <c r="O5266" i="1"/>
  <c r="O5265" i="1"/>
  <c r="O5264" i="1"/>
  <c r="O5256" i="1"/>
  <c r="O5249" i="1"/>
  <c r="O5248" i="1"/>
  <c r="O5237" i="1"/>
  <c r="O5236" i="1"/>
  <c r="O5229" i="1"/>
  <c r="O5228" i="1"/>
  <c r="O5227" i="1"/>
  <c r="O5221" i="1"/>
  <c r="O5220" i="1"/>
  <c r="O5219" i="1"/>
  <c r="O5215" i="1"/>
  <c r="O5199" i="1"/>
  <c r="O5198" i="1"/>
  <c r="O5188" i="1"/>
  <c r="O5174" i="1"/>
  <c r="O5171" i="1"/>
  <c r="O5170" i="1"/>
  <c r="O5169" i="1"/>
  <c r="O5168" i="1"/>
  <c r="O5156" i="1"/>
  <c r="O5155" i="1"/>
  <c r="O5154" i="1"/>
  <c r="O5153" i="1"/>
  <c r="O5144" i="1"/>
  <c r="O5139" i="1"/>
  <c r="O5138" i="1"/>
  <c r="O5128" i="1"/>
  <c r="O5122" i="1"/>
  <c r="O5121" i="1"/>
  <c r="O5112" i="1"/>
  <c r="O5111" i="1"/>
  <c r="O5110" i="1"/>
  <c r="O5093" i="1"/>
  <c r="O5084" i="1"/>
  <c r="O5083" i="1"/>
  <c r="O5076" i="1"/>
  <c r="O5071" i="1"/>
  <c r="O5067" i="1"/>
  <c r="O5066" i="1"/>
  <c r="O5065" i="1"/>
  <c r="O5061" i="1"/>
  <c r="O5060" i="1"/>
  <c r="O5059" i="1"/>
  <c r="O5058" i="1"/>
  <c r="O5046" i="1"/>
  <c r="O5045" i="1"/>
  <c r="O5044" i="1"/>
  <c r="O5038" i="1"/>
  <c r="O5029" i="1"/>
  <c r="O5028" i="1"/>
  <c r="O5023" i="1"/>
  <c r="O5022" i="1"/>
  <c r="O5006" i="1"/>
  <c r="O5005" i="1"/>
  <c r="O5004" i="1"/>
  <c r="O4996" i="1"/>
  <c r="O4985" i="1"/>
  <c r="O4974" i="1"/>
  <c r="O4973" i="1"/>
  <c r="O4963" i="1"/>
  <c r="O4962" i="1"/>
  <c r="O4956" i="1"/>
  <c r="O4955" i="1"/>
  <c r="O4954" i="1"/>
  <c r="O4952" i="1"/>
  <c r="O4951" i="1"/>
  <c r="O4950" i="1"/>
  <c r="O4945" i="1"/>
  <c r="O4944" i="1"/>
  <c r="O4929" i="1"/>
  <c r="O4925" i="1"/>
  <c r="O4921" i="1"/>
  <c r="O4920" i="1"/>
  <c r="O4919" i="1"/>
  <c r="O4918" i="1"/>
  <c r="O4912" i="1"/>
  <c r="O4906" i="1"/>
  <c r="O4894" i="1"/>
  <c r="O4893" i="1"/>
  <c r="O4885" i="1"/>
  <c r="O4877" i="1"/>
  <c r="O4871" i="1"/>
  <c r="O4865" i="1"/>
  <c r="O4855" i="1"/>
  <c r="O4854" i="1"/>
  <c r="O4849" i="1"/>
  <c r="O4841" i="1"/>
  <c r="O4839" i="1"/>
  <c r="O4822" i="1"/>
  <c r="O4819" i="1"/>
  <c r="O4809" i="1"/>
  <c r="O4808" i="1"/>
  <c r="O4801" i="1"/>
  <c r="O4800" i="1"/>
  <c r="O4799" i="1"/>
  <c r="O4789" i="1"/>
  <c r="O4788" i="1"/>
  <c r="O4778" i="1"/>
  <c r="O4769" i="1"/>
  <c r="O4760" i="1"/>
  <c r="O4759" i="1"/>
  <c r="O4758" i="1"/>
  <c r="O4752" i="1"/>
  <c r="O4744" i="1"/>
  <c r="O4743" i="1"/>
  <c r="O4742" i="1"/>
  <c r="O4741" i="1"/>
  <c r="O4737" i="1"/>
  <c r="O4736" i="1"/>
  <c r="O4735" i="1"/>
  <c r="O4728" i="1"/>
  <c r="O4719" i="1"/>
  <c r="O4709" i="1"/>
  <c r="O4708" i="1"/>
  <c r="O4692" i="1"/>
  <c r="O4691" i="1"/>
  <c r="O4690" i="1"/>
  <c r="O4680" i="1"/>
  <c r="O4679" i="1"/>
  <c r="O4673" i="1"/>
  <c r="O4667" i="1"/>
  <c r="O4659" i="1"/>
  <c r="O4658" i="1"/>
  <c r="O4657" i="1"/>
  <c r="O4651" i="1"/>
  <c r="O4650" i="1"/>
  <c r="O4649" i="1"/>
  <c r="O4643" i="1"/>
  <c r="O4642" i="1"/>
  <c r="O4636" i="1"/>
  <c r="O4628" i="1"/>
  <c r="O4621" i="1"/>
  <c r="O4613" i="1"/>
  <c r="O4612" i="1"/>
  <c r="O4608" i="1"/>
  <c r="O4607" i="1"/>
  <c r="O4606" i="1"/>
  <c r="O4605" i="1"/>
  <c r="O4604" i="1"/>
  <c r="O4600" i="1"/>
  <c r="O4592" i="1"/>
  <c r="O4591" i="1"/>
  <c r="O4590" i="1"/>
  <c r="O4581" i="1"/>
  <c r="O4580" i="1"/>
  <c r="O4572" i="1"/>
  <c r="O4571" i="1"/>
  <c r="O4566" i="1"/>
  <c r="O4558" i="1"/>
  <c r="O4557" i="1"/>
  <c r="O4553" i="1"/>
  <c r="O4548" i="1"/>
  <c r="O4540" i="1"/>
  <c r="O4534" i="1"/>
  <c r="O4533" i="1"/>
  <c r="O4532" i="1"/>
  <c r="O4522" i="1"/>
  <c r="O4509" i="1"/>
  <c r="O4495" i="1"/>
  <c r="O4494" i="1"/>
  <c r="O4493" i="1"/>
  <c r="O4492" i="1"/>
  <c r="O4485" i="1"/>
  <c r="O4484" i="1"/>
  <c r="O4479" i="1"/>
  <c r="O4464" i="1"/>
  <c r="O4463" i="1"/>
  <c r="O4456" i="1"/>
  <c r="O4449" i="1"/>
  <c r="O4440" i="1"/>
  <c r="O4439" i="1"/>
  <c r="O4431" i="1"/>
  <c r="O4425" i="1"/>
  <c r="O4419" i="1"/>
  <c r="O4413" i="1"/>
  <c r="O4412" i="1"/>
  <c r="O4411" i="1"/>
  <c r="O4407" i="1"/>
  <c r="O4406" i="1"/>
  <c r="O4401" i="1"/>
  <c r="O4400" i="1"/>
  <c r="O4387" i="1"/>
  <c r="O4386" i="1"/>
  <c r="O4379" i="1"/>
  <c r="O4378" i="1"/>
  <c r="O4377" i="1"/>
  <c r="O4376" i="1"/>
  <c r="O4366" i="1"/>
  <c r="O4365" i="1"/>
  <c r="O4364" i="1"/>
  <c r="O4363" i="1"/>
  <c r="O4349" i="1"/>
  <c r="O4348" i="1"/>
  <c r="O4338" i="1"/>
  <c r="O4329" i="1"/>
  <c r="O4317" i="1"/>
  <c r="O4312" i="1"/>
  <c r="O4311" i="1"/>
  <c r="O4310" i="1"/>
  <c r="O4289" i="1"/>
  <c r="O4288" i="1"/>
  <c r="O4287" i="1"/>
  <c r="O4286" i="1"/>
  <c r="O4278" i="1"/>
  <c r="O4275" i="1"/>
  <c r="O4274" i="1"/>
  <c r="O4273" i="1"/>
  <c r="O4263" i="1"/>
  <c r="O4258" i="1"/>
  <c r="O4257" i="1"/>
  <c r="O4250" i="1"/>
  <c r="O4249" i="1"/>
  <c r="O4243" i="1"/>
  <c r="O4242" i="1"/>
  <c r="O4232" i="1"/>
  <c r="O4231" i="1"/>
  <c r="O4230" i="1"/>
  <c r="O4223" i="1"/>
  <c r="O4216" i="1"/>
  <c r="O4206" i="1"/>
  <c r="O4205" i="1"/>
  <c r="O4197" i="1"/>
  <c r="O4196" i="1"/>
  <c r="O4195" i="1"/>
  <c r="O4194" i="1"/>
  <c r="O4185" i="1"/>
  <c r="O4176" i="1"/>
  <c r="O4160" i="1"/>
  <c r="O4159" i="1"/>
  <c r="O4152" i="1"/>
  <c r="O4151" i="1"/>
  <c r="O4148" i="1"/>
  <c r="O4142" i="1"/>
  <c r="O4141" i="1"/>
  <c r="O4140" i="1"/>
  <c r="O4139" i="1"/>
  <c r="O4132" i="1"/>
  <c r="O4131" i="1"/>
  <c r="O4130" i="1"/>
  <c r="O4127" i="1"/>
  <c r="O4120" i="1"/>
  <c r="O4117" i="1"/>
  <c r="O4116" i="1"/>
  <c r="O4102" i="1"/>
  <c r="O4094" i="1"/>
  <c r="O4078" i="1"/>
  <c r="O4077" i="1"/>
  <c r="O4072" i="1"/>
  <c r="O4071" i="1"/>
  <c r="O4064" i="1"/>
  <c r="O4063" i="1"/>
  <c r="O4062" i="1"/>
  <c r="O4056" i="1"/>
  <c r="O4055" i="1"/>
  <c r="O4044" i="1"/>
  <c r="O4043" i="1"/>
  <c r="O4035" i="1"/>
  <c r="O4034" i="1"/>
  <c r="O4033" i="1"/>
  <c r="O4032" i="1"/>
  <c r="O4027" i="1"/>
  <c r="O4022" i="1"/>
  <c r="O4010" i="1"/>
  <c r="O4009" i="1"/>
  <c r="O4008" i="1"/>
  <c r="O4000" i="1"/>
  <c r="O3999" i="1"/>
  <c r="O3983" i="1"/>
  <c r="O3982" i="1"/>
  <c r="O3981" i="1"/>
  <c r="O3973" i="1"/>
  <c r="O3968" i="1"/>
  <c r="O3967" i="1"/>
  <c r="O3947" i="1"/>
  <c r="O3920" i="1"/>
  <c r="O3915" i="1"/>
  <c r="O3914" i="1"/>
  <c r="O3906" i="1"/>
  <c r="O3905" i="1"/>
  <c r="O3900" i="1"/>
  <c r="O3886" i="1"/>
  <c r="O3875" i="1"/>
  <c r="O3871" i="1"/>
  <c r="O3870" i="1"/>
  <c r="O3865" i="1"/>
  <c r="O3864" i="1"/>
  <c r="O3858" i="1"/>
  <c r="O3857" i="1"/>
  <c r="O3850" i="1"/>
  <c r="O3849" i="1"/>
  <c r="O3848" i="1"/>
  <c r="O3844" i="1"/>
  <c r="O3843" i="1"/>
  <c r="O3842" i="1"/>
  <c r="O3833" i="1"/>
  <c r="O3832" i="1"/>
  <c r="O3829" i="1"/>
  <c r="O3821" i="1"/>
  <c r="O3815" i="1"/>
  <c r="O3814" i="1"/>
  <c r="O3807" i="1"/>
  <c r="O3806" i="1"/>
  <c r="O3791" i="1"/>
  <c r="O3790" i="1"/>
  <c r="O3780" i="1"/>
  <c r="O3779" i="1"/>
  <c r="O3775" i="1"/>
  <c r="O3763" i="1"/>
  <c r="O3762" i="1"/>
  <c r="O3761" i="1"/>
  <c r="O3747" i="1"/>
  <c r="O3746" i="1"/>
  <c r="O3745" i="1"/>
  <c r="O3733" i="1"/>
  <c r="O3725" i="1"/>
  <c r="O3724" i="1"/>
  <c r="O3712" i="1"/>
  <c r="O3711" i="1"/>
  <c r="O3705" i="1"/>
  <c r="O3704" i="1"/>
  <c r="O3694" i="1"/>
  <c r="O3693" i="1"/>
  <c r="O3692" i="1"/>
  <c r="O3684" i="1"/>
  <c r="O3683" i="1"/>
  <c r="O3674" i="1"/>
  <c r="O3673" i="1"/>
  <c r="O3668" i="1"/>
  <c r="O3662" i="1"/>
  <c r="O3661" i="1"/>
  <c r="O3656" i="1"/>
  <c r="O3647" i="1"/>
  <c r="O3646" i="1"/>
  <c r="O3645" i="1"/>
  <c r="O3634" i="1"/>
  <c r="O3625" i="1"/>
  <c r="O3624" i="1"/>
  <c r="O3618" i="1"/>
  <c r="O3617" i="1"/>
  <c r="O3616" i="1"/>
  <c r="O3615" i="1"/>
  <c r="O3609" i="1"/>
  <c r="O3608" i="1"/>
  <c r="O3607" i="1"/>
  <c r="O3598" i="1"/>
  <c r="O3570" i="1"/>
  <c r="O3569" i="1"/>
  <c r="O3568" i="1"/>
  <c r="O3567" i="1"/>
  <c r="O3563" i="1"/>
  <c r="O3553" i="1"/>
  <c r="O3552" i="1"/>
  <c r="O3551" i="1"/>
  <c r="O3541" i="1"/>
  <c r="O3540" i="1"/>
  <c r="O3539" i="1"/>
  <c r="O3536" i="1"/>
  <c r="O3530" i="1"/>
  <c r="O3529" i="1"/>
  <c r="O3520" i="1"/>
  <c r="O3519" i="1"/>
  <c r="O3514" i="1"/>
  <c r="O3507" i="1"/>
  <c r="O3506" i="1"/>
  <c r="O3502" i="1"/>
  <c r="O3501" i="1"/>
  <c r="O3486" i="1"/>
  <c r="O3472" i="1"/>
  <c r="O3471" i="1"/>
  <c r="O3470" i="1"/>
  <c r="O3465" i="1"/>
  <c r="O3461" i="1"/>
  <c r="O3453" i="1"/>
  <c r="O3444" i="1"/>
  <c r="O3443" i="1"/>
  <c r="O3438" i="1"/>
  <c r="O3433" i="1"/>
  <c r="O3432" i="1"/>
  <c r="O3424" i="1"/>
  <c r="O3423" i="1"/>
  <c r="O3422" i="1"/>
  <c r="O3421" i="1"/>
  <c r="O3417" i="1"/>
  <c r="O3416" i="1"/>
  <c r="O3410" i="1"/>
  <c r="O3409" i="1"/>
  <c r="O3408" i="1"/>
  <c r="O3407" i="1"/>
  <c r="O3399" i="1"/>
  <c r="O3398" i="1"/>
  <c r="O3387" i="1"/>
  <c r="O3386" i="1"/>
  <c r="O3372" i="1"/>
  <c r="O3355" i="1"/>
  <c r="O3354" i="1"/>
  <c r="O3346" i="1"/>
  <c r="O3344" i="1"/>
  <c r="O3343" i="1"/>
  <c r="O3342" i="1"/>
  <c r="O3327" i="1"/>
  <c r="O3326" i="1"/>
  <c r="O3325" i="1"/>
  <c r="O3318" i="1"/>
  <c r="O3306" i="1"/>
  <c r="O3298" i="1"/>
  <c r="O3297" i="1"/>
  <c r="O3292" i="1"/>
  <c r="O3289" i="1"/>
  <c r="O3283" i="1"/>
  <c r="O3282" i="1"/>
  <c r="O3281" i="1"/>
  <c r="O3280" i="1"/>
  <c r="O3269" i="1"/>
  <c r="O3268" i="1"/>
  <c r="O3257" i="1"/>
  <c r="O3244" i="1"/>
  <c r="O3233" i="1"/>
  <c r="O3225" i="1"/>
  <c r="O3224" i="1"/>
  <c r="O3217" i="1"/>
  <c r="O3216" i="1"/>
  <c r="O3215" i="1"/>
  <c r="O3207" i="1"/>
  <c r="O3198" i="1"/>
  <c r="O3197" i="1"/>
  <c r="O3183" i="1"/>
  <c r="O3182" i="1"/>
  <c r="O3176" i="1"/>
  <c r="O3175" i="1"/>
  <c r="O3174" i="1"/>
  <c r="O3169" i="1"/>
  <c r="O3168" i="1"/>
  <c r="O3167" i="1"/>
  <c r="O3166" i="1"/>
  <c r="O3165" i="1"/>
  <c r="O3159" i="1"/>
  <c r="O3149" i="1"/>
  <c r="O3136" i="1"/>
  <c r="O3135" i="1"/>
  <c r="O3124" i="1"/>
  <c r="O3123" i="1"/>
  <c r="O3113" i="1"/>
  <c r="O3102" i="1"/>
  <c r="O3094" i="1"/>
  <c r="O3093" i="1"/>
  <c r="O3092" i="1"/>
  <c r="O3089" i="1"/>
  <c r="O3083" i="1"/>
  <c r="O3082" i="1"/>
  <c r="O3072" i="1"/>
  <c r="O3071" i="1"/>
  <c r="O3070" i="1"/>
  <c r="O3069" i="1"/>
  <c r="O3063" i="1"/>
  <c r="O3062" i="1"/>
  <c r="O3061" i="1"/>
  <c r="O3051" i="1"/>
  <c r="O3050" i="1"/>
  <c r="O3022" i="1"/>
  <c r="O3021" i="1"/>
  <c r="O3014" i="1"/>
  <c r="O3004" i="1"/>
  <c r="O3003" i="1"/>
  <c r="O2998" i="1"/>
  <c r="O2997" i="1"/>
  <c r="O2996" i="1"/>
  <c r="O2995" i="1"/>
  <c r="O2981" i="1"/>
  <c r="O2961" i="1"/>
  <c r="O2960" i="1"/>
  <c r="O2957" i="1"/>
  <c r="O2956" i="1"/>
  <c r="O2948" i="1"/>
  <c r="O2939" i="1"/>
  <c r="O2934" i="1"/>
  <c r="O2918" i="1"/>
  <c r="O2917" i="1"/>
  <c r="O2916" i="1"/>
  <c r="O2915" i="1"/>
  <c r="O2914" i="1"/>
  <c r="O2908" i="1"/>
  <c r="O2907" i="1"/>
  <c r="O2906" i="1"/>
  <c r="O2896" i="1"/>
  <c r="O2895" i="1"/>
  <c r="O2894" i="1"/>
  <c r="O2876" i="1"/>
  <c r="O2875" i="1"/>
  <c r="O2865" i="1"/>
  <c r="O2864" i="1"/>
  <c r="O2863" i="1"/>
  <c r="O2854" i="1"/>
  <c r="O2853" i="1"/>
  <c r="O2852" i="1"/>
  <c r="O2847" i="1"/>
  <c r="O2846" i="1"/>
  <c r="O2842" i="1"/>
  <c r="O2841" i="1"/>
  <c r="O2840" i="1"/>
  <c r="O2833" i="1"/>
  <c r="O2827" i="1"/>
  <c r="O2816" i="1"/>
  <c r="O2808" i="1"/>
  <c r="O2801" i="1"/>
  <c r="O2796" i="1"/>
  <c r="O2795" i="1"/>
  <c r="O2794" i="1"/>
  <c r="O2778" i="1"/>
  <c r="O2777" i="1"/>
  <c r="O2772" i="1"/>
  <c r="O2765" i="1"/>
  <c r="O2756" i="1"/>
  <c r="O2745" i="1"/>
  <c r="O2741" i="1"/>
  <c r="O2738" i="1"/>
  <c r="O2737" i="1"/>
  <c r="O2736" i="1"/>
  <c r="O2729" i="1"/>
  <c r="O2722" i="1"/>
  <c r="O2721" i="1"/>
  <c r="O2715" i="1"/>
  <c r="O2700" i="1"/>
  <c r="O2694" i="1"/>
  <c r="O2693" i="1"/>
  <c r="O2676" i="1"/>
  <c r="O2664" i="1"/>
  <c r="O2663" i="1"/>
  <c r="O2656" i="1"/>
  <c r="O2647" i="1"/>
  <c r="O2641" i="1"/>
  <c r="O2640" i="1"/>
  <c r="O2629" i="1"/>
  <c r="O2622" i="1"/>
  <c r="O2621" i="1"/>
  <c r="O2620" i="1"/>
  <c r="O2619" i="1"/>
  <c r="O2613" i="1"/>
  <c r="O2612" i="1"/>
  <c r="O2605" i="1"/>
  <c r="O2597" i="1"/>
  <c r="O2596" i="1"/>
  <c r="O2595" i="1"/>
  <c r="O2590" i="1"/>
  <c r="O2586" i="1"/>
  <c r="O2578" i="1"/>
  <c r="O2577" i="1"/>
  <c r="O2576" i="1"/>
  <c r="O2566" i="1"/>
  <c r="O2565" i="1"/>
  <c r="O2559" i="1"/>
  <c r="O2541" i="1"/>
  <c r="O2536" i="1"/>
  <c r="O2525" i="1"/>
  <c r="O2524" i="1"/>
  <c r="O2515" i="1"/>
  <c r="O2514" i="1"/>
  <c r="O2513" i="1"/>
  <c r="O2512" i="1"/>
  <c r="O2504" i="1"/>
  <c r="O2498" i="1"/>
  <c r="O2490" i="1"/>
  <c r="O2489" i="1"/>
  <c r="O2488" i="1"/>
  <c r="O2468" i="1"/>
  <c r="O2467" i="1"/>
  <c r="O2460" i="1"/>
  <c r="O2459" i="1"/>
  <c r="O2458" i="1"/>
  <c r="O2457" i="1"/>
  <c r="O2456" i="1"/>
  <c r="O2446" i="1"/>
  <c r="O2445" i="1"/>
  <c r="O2444" i="1"/>
  <c r="O2439" i="1"/>
  <c r="O2432" i="1"/>
  <c r="O2424" i="1"/>
  <c r="O2410" i="1"/>
  <c r="O2403" i="1"/>
  <c r="O2393" i="1"/>
  <c r="O2387" i="1"/>
  <c r="O2373" i="1"/>
  <c r="O2367" i="1"/>
  <c r="O2365" i="1"/>
  <c r="O2364" i="1"/>
  <c r="O2363" i="1"/>
  <c r="O2362" i="1"/>
  <c r="O2359" i="1"/>
  <c r="O2358" i="1"/>
  <c r="O2349" i="1"/>
  <c r="O2342" i="1"/>
  <c r="O2341" i="1"/>
  <c r="O2329" i="1"/>
  <c r="O2328" i="1"/>
  <c r="O2322" i="1"/>
  <c r="O2321" i="1"/>
  <c r="O2320" i="1"/>
  <c r="O2314" i="1"/>
  <c r="O2307" i="1"/>
  <c r="O2306" i="1"/>
  <c r="O2289" i="1"/>
  <c r="O2288" i="1"/>
  <c r="O2287" i="1"/>
  <c r="O2284" i="1"/>
  <c r="O2283" i="1"/>
  <c r="O2282" i="1"/>
  <c r="O2274" i="1"/>
  <c r="O2273" i="1"/>
  <c r="O2266" i="1"/>
  <c r="O2260" i="1"/>
  <c r="O2259" i="1"/>
  <c r="O2258" i="1"/>
  <c r="O2257" i="1"/>
  <c r="O2248" i="1"/>
  <c r="O2247" i="1"/>
  <c r="O2246" i="1"/>
  <c r="O2242" i="1"/>
  <c r="O2241" i="1"/>
  <c r="O2240" i="1"/>
  <c r="O2226" i="1"/>
  <c r="O2222" i="1"/>
  <c r="O2215" i="1"/>
  <c r="O2205" i="1"/>
  <c r="O2195" i="1"/>
  <c r="O2194" i="1"/>
  <c r="O2186" i="1"/>
  <c r="O2179" i="1"/>
  <c r="O2171" i="1"/>
  <c r="O2170" i="1"/>
  <c r="O2169" i="1"/>
  <c r="O2156" i="1"/>
  <c r="O2148" i="1"/>
  <c r="O2147" i="1"/>
  <c r="O2138" i="1"/>
  <c r="O2137" i="1"/>
  <c r="O2122" i="1"/>
  <c r="O2111" i="1"/>
  <c r="O2095" i="1"/>
  <c r="O2094" i="1"/>
  <c r="O2088" i="1"/>
  <c r="O2087" i="1"/>
  <c r="O2079" i="1"/>
  <c r="O2074" i="1"/>
  <c r="O2059" i="1"/>
  <c r="O2054" i="1"/>
  <c r="O2053" i="1"/>
  <c r="O2049" i="1"/>
  <c r="O2041" i="1"/>
  <c r="O2040" i="1"/>
  <c r="O2030" i="1"/>
  <c r="O2018" i="1"/>
  <c r="O2017" i="1"/>
  <c r="O2011" i="1"/>
  <c r="O1999" i="1"/>
  <c r="O1998" i="1"/>
  <c r="O1997" i="1"/>
  <c r="O1996" i="1"/>
  <c r="O1987" i="1"/>
  <c r="O1965" i="1"/>
  <c r="O1964" i="1"/>
  <c r="O1957" i="1"/>
  <c r="O1950" i="1"/>
  <c r="O1949" i="1"/>
  <c r="O1945" i="1"/>
  <c r="O1944" i="1"/>
  <c r="O1929" i="1"/>
  <c r="O1914" i="1"/>
  <c r="O1913" i="1"/>
  <c r="O1912" i="1"/>
  <c r="O1911" i="1"/>
  <c r="O1910" i="1"/>
  <c r="O1909" i="1"/>
  <c r="O1904" i="1"/>
  <c r="O1899" i="1"/>
  <c r="O1898" i="1"/>
  <c r="O1897" i="1"/>
  <c r="O1889" i="1"/>
  <c r="O1888" i="1"/>
  <c r="O1887" i="1"/>
  <c r="O1876" i="1"/>
  <c r="O1875" i="1"/>
  <c r="O1874" i="1"/>
  <c r="O1873" i="1"/>
  <c r="O1872" i="1"/>
  <c r="O1858" i="1"/>
  <c r="O1857" i="1"/>
  <c r="O1852" i="1"/>
  <c r="O1851" i="1"/>
  <c r="O1850" i="1"/>
  <c r="O1847" i="1"/>
  <c r="O1824" i="1"/>
  <c r="O1823" i="1"/>
  <c r="O1817" i="1"/>
  <c r="O1816" i="1"/>
  <c r="O1806" i="1"/>
  <c r="O1805" i="1"/>
  <c r="O1804" i="1"/>
  <c r="O1800" i="1"/>
  <c r="O1790" i="1"/>
  <c r="O1789" i="1"/>
  <c r="O1788" i="1"/>
  <c r="O1775" i="1"/>
  <c r="O1774" i="1"/>
  <c r="O1773" i="1"/>
  <c r="O1765" i="1"/>
  <c r="O1764" i="1"/>
  <c r="O1756" i="1"/>
  <c r="O1748" i="1"/>
  <c r="O1747" i="1"/>
  <c r="O1746" i="1"/>
  <c r="O1741" i="1"/>
  <c r="O1740" i="1"/>
  <c r="O1724" i="1"/>
  <c r="O1723" i="1"/>
  <c r="O1718" i="1"/>
  <c r="O1708" i="1"/>
  <c r="O1707" i="1"/>
  <c r="O1694" i="1"/>
  <c r="O1693" i="1"/>
  <c r="O1688" i="1"/>
  <c r="O1687" i="1"/>
  <c r="O1682" i="1"/>
  <c r="O1681" i="1"/>
  <c r="O1680" i="1"/>
  <c r="O1658" i="1"/>
  <c r="O1657" i="1"/>
  <c r="O1647" i="1"/>
  <c r="O1646" i="1"/>
  <c r="O1633" i="1"/>
  <c r="O1632" i="1"/>
  <c r="O1631" i="1"/>
  <c r="O1625" i="1"/>
  <c r="O1620" i="1"/>
  <c r="O1618" i="1"/>
  <c r="O1617" i="1"/>
  <c r="O1604" i="1"/>
  <c r="O1603" i="1"/>
  <c r="O1591" i="1"/>
  <c r="O1590" i="1"/>
  <c r="O1589" i="1"/>
  <c r="O1582" i="1"/>
  <c r="O1581" i="1"/>
  <c r="O1571" i="1"/>
  <c r="O1563" i="1"/>
  <c r="O1562" i="1"/>
  <c r="O1561" i="1"/>
  <c r="O1554" i="1"/>
  <c r="O1553" i="1"/>
  <c r="O1543" i="1"/>
  <c r="O1542" i="1"/>
  <c r="O1541" i="1"/>
  <c r="O1531" i="1"/>
  <c r="O1523" i="1"/>
  <c r="O1515" i="1"/>
  <c r="O1509" i="1"/>
  <c r="O1497" i="1"/>
  <c r="O1484" i="1"/>
  <c r="O1477" i="1"/>
  <c r="O1469" i="1"/>
  <c r="O1464" i="1"/>
  <c r="O1456" i="1"/>
  <c r="O1450" i="1"/>
  <c r="O1449" i="1"/>
  <c r="O1448" i="1"/>
  <c r="O1444" i="1"/>
  <c r="O1443" i="1"/>
  <c r="O1441" i="1"/>
  <c r="O1440" i="1"/>
  <c r="O1439" i="1"/>
  <c r="O1433" i="1"/>
  <c r="O1431" i="1"/>
  <c r="O1430" i="1"/>
  <c r="O1419" i="1"/>
  <c r="O1412" i="1"/>
  <c r="O1411" i="1"/>
  <c r="O1410" i="1"/>
  <c r="O1397" i="1"/>
  <c r="O1390" i="1"/>
  <c r="O1387" i="1"/>
  <c r="O1386" i="1"/>
  <c r="O1378" i="1"/>
  <c r="O1377" i="1"/>
  <c r="O1376" i="1"/>
  <c r="O1369" i="1"/>
  <c r="O1368" i="1"/>
  <c r="O1358" i="1"/>
  <c r="O1357" i="1"/>
  <c r="O1352" i="1"/>
  <c r="O1351" i="1"/>
  <c r="O1343" i="1"/>
  <c r="O1342" i="1"/>
  <c r="O1337" i="1"/>
  <c r="O1336" i="1"/>
  <c r="O1335" i="1"/>
  <c r="O1334" i="1"/>
  <c r="O1328" i="1"/>
  <c r="O1327" i="1"/>
  <c r="O1323" i="1"/>
  <c r="O1322" i="1"/>
  <c r="O1317" i="1"/>
  <c r="O1316" i="1"/>
  <c r="O1297" i="1"/>
  <c r="O1296" i="1"/>
  <c r="O1283" i="1"/>
  <c r="O1282" i="1"/>
  <c r="O1278" i="1"/>
  <c r="O1277" i="1"/>
  <c r="O1267" i="1"/>
  <c r="O1266" i="1"/>
  <c r="O1263" i="1"/>
  <c r="O1257" i="1"/>
  <c r="O1250" i="1"/>
  <c r="O1249" i="1"/>
  <c r="O1248" i="1"/>
  <c r="O1240" i="1"/>
  <c r="O1239" i="1"/>
  <c r="O1232" i="1"/>
  <c r="O1213" i="1"/>
  <c r="O1212" i="1"/>
  <c r="O1208" i="1"/>
  <c r="O1198" i="1"/>
  <c r="O1182" i="1"/>
  <c r="O1175" i="1"/>
  <c r="O1174" i="1"/>
  <c r="O1163" i="1"/>
  <c r="O1162" i="1"/>
  <c r="O1152" i="1"/>
  <c r="O1146" i="1"/>
  <c r="O1140" i="1"/>
  <c r="O1136" i="1"/>
  <c r="O1135" i="1"/>
  <c r="O1134" i="1"/>
  <c r="O1133" i="1"/>
  <c r="O1116" i="1"/>
  <c r="O1106" i="1"/>
  <c r="O1099" i="1"/>
  <c r="O1098" i="1"/>
  <c r="O1092" i="1"/>
  <c r="O1091" i="1"/>
  <c r="O1087" i="1"/>
  <c r="O1086" i="1"/>
  <c r="O1067" i="1"/>
  <c r="O1066" i="1"/>
  <c r="O1047" i="1"/>
  <c r="O1046" i="1"/>
  <c r="O1045" i="1"/>
  <c r="O1037" i="1"/>
  <c r="O1031" i="1"/>
  <c r="O1030" i="1"/>
  <c r="O1023" i="1"/>
  <c r="O1009" i="1"/>
  <c r="O1008" i="1"/>
  <c r="O1007" i="1"/>
  <c r="O984" i="1"/>
  <c r="O978" i="1"/>
  <c r="O971" i="1"/>
  <c r="O970" i="1"/>
  <c r="O964" i="1"/>
  <c r="O963" i="1"/>
  <c r="O959" i="1"/>
  <c r="O951" i="1"/>
  <c r="O950" i="1"/>
  <c r="O949" i="1"/>
  <c r="O933" i="1"/>
  <c r="O926" i="1"/>
  <c r="O925" i="1"/>
  <c r="O924" i="1"/>
  <c r="O916" i="1"/>
  <c r="O913" i="1"/>
  <c r="O910" i="1"/>
  <c r="O899" i="1"/>
  <c r="O898" i="1"/>
  <c r="O895" i="1"/>
  <c r="O888" i="1"/>
  <c r="O880" i="1"/>
  <c r="O870" i="1"/>
  <c r="O853" i="1"/>
  <c r="O852" i="1"/>
  <c r="O851" i="1"/>
  <c r="O850" i="1"/>
  <c r="O839" i="1"/>
  <c r="O838" i="1"/>
  <c r="O831" i="1"/>
  <c r="O830" i="1"/>
  <c r="O823" i="1"/>
  <c r="O822" i="1"/>
  <c r="O821" i="1"/>
  <c r="O820" i="1"/>
  <c r="O819" i="1"/>
  <c r="O818" i="1"/>
  <c r="O800" i="1"/>
  <c r="O799" i="1"/>
  <c r="O791" i="1"/>
  <c r="O790" i="1"/>
  <c r="O785" i="1"/>
  <c r="O784" i="1"/>
  <c r="O783" i="1"/>
  <c r="O779" i="1"/>
  <c r="O775" i="1"/>
  <c r="O765" i="1"/>
  <c r="O758" i="1"/>
  <c r="O757" i="1"/>
  <c r="O752" i="1"/>
  <c r="O745" i="1"/>
  <c r="O744" i="1"/>
  <c r="O726" i="1"/>
  <c r="O725" i="1"/>
  <c r="O718" i="1"/>
  <c r="O706" i="1"/>
  <c r="O705" i="1"/>
  <c r="O704" i="1"/>
  <c r="O698" i="1"/>
  <c r="O689" i="1"/>
  <c r="O685" i="1"/>
  <c r="O684" i="1"/>
  <c r="O683" i="1"/>
  <c r="O677" i="1"/>
  <c r="O669" i="1"/>
  <c r="O668" i="1"/>
  <c r="O667" i="1"/>
  <c r="O666" i="1"/>
  <c r="O652" i="1"/>
  <c r="O642" i="1"/>
  <c r="O641" i="1"/>
  <c r="O635" i="1"/>
  <c r="O634" i="1"/>
  <c r="O627" i="1"/>
  <c r="O620" i="1"/>
  <c r="O603" i="1"/>
  <c r="O602" i="1"/>
  <c r="O597" i="1"/>
  <c r="O591" i="1"/>
  <c r="O578" i="1"/>
  <c r="O574" i="1"/>
  <c r="O558" i="1"/>
  <c r="O557" i="1"/>
  <c r="O556" i="1"/>
  <c r="O551" i="1"/>
  <c r="O538" i="1"/>
  <c r="O529" i="1"/>
  <c r="O522" i="1"/>
  <c r="O521" i="1"/>
  <c r="O513" i="1"/>
  <c r="O503" i="1"/>
  <c r="O502" i="1"/>
  <c r="O501" i="1"/>
  <c r="O494" i="1"/>
  <c r="O493" i="1"/>
  <c r="O485" i="1"/>
  <c r="O484" i="1"/>
  <c r="O483" i="1"/>
  <c r="O476" i="1"/>
  <c r="O472" i="1"/>
  <c r="O471" i="1"/>
  <c r="O463" i="1"/>
  <c r="O454" i="1"/>
  <c r="O453" i="1"/>
  <c r="O448" i="1"/>
  <c r="O440" i="1"/>
  <c r="O439" i="1"/>
  <c r="O430" i="1"/>
  <c r="O423" i="1"/>
  <c r="O422" i="1"/>
  <c r="O412" i="1"/>
  <c r="O411" i="1"/>
  <c r="O410" i="1"/>
  <c r="O403" i="1"/>
  <c r="O391" i="1"/>
  <c r="O390" i="1"/>
  <c r="O380" i="1"/>
  <c r="O379" i="1"/>
  <c r="O375" i="1"/>
  <c r="O374" i="1"/>
  <c r="O370" i="1"/>
  <c r="O369" i="1"/>
  <c r="O368" i="1"/>
  <c r="O364" i="1"/>
  <c r="O363" i="1"/>
  <c r="O356" i="1"/>
  <c r="O345" i="1"/>
  <c r="O334" i="1"/>
  <c r="O331" i="1"/>
  <c r="O330" i="1"/>
  <c r="O318" i="1"/>
  <c r="O317" i="1"/>
  <c r="O316" i="1"/>
  <c r="O315" i="1"/>
  <c r="O306" i="1"/>
  <c r="O305" i="1"/>
  <c r="O297" i="1"/>
  <c r="O296" i="1"/>
  <c r="O290" i="1"/>
  <c r="O284" i="1"/>
  <c r="O274" i="1"/>
  <c r="O273" i="1"/>
  <c r="O263" i="1"/>
  <c r="O262" i="1"/>
  <c r="O261" i="1"/>
  <c r="O238" i="1"/>
  <c r="O232" i="1"/>
  <c r="O231" i="1"/>
  <c r="O216" i="1"/>
  <c r="O215" i="1"/>
  <c r="O209" i="1"/>
  <c r="O208" i="1"/>
  <c r="O203" i="1"/>
  <c r="O197" i="1"/>
  <c r="O186" i="1"/>
  <c r="O180" i="1"/>
  <c r="O179" i="1"/>
  <c r="O178" i="1"/>
  <c r="O177" i="1"/>
  <c r="O170" i="1"/>
  <c r="O163" i="1"/>
  <c r="O162" i="1"/>
  <c r="O161" i="1"/>
  <c r="O155" i="1"/>
  <c r="O154" i="1"/>
  <c r="O153" i="1"/>
  <c r="O149" i="1"/>
  <c r="O148" i="1"/>
  <c r="O134" i="1"/>
  <c r="O130" i="1"/>
  <c r="O125" i="1"/>
  <c r="O118" i="1"/>
  <c r="O117" i="1"/>
  <c r="O108" i="1"/>
  <c r="O107" i="1"/>
  <c r="O106" i="1"/>
  <c r="O98" i="1"/>
  <c r="O97" i="1"/>
  <c r="O96" i="1"/>
  <c r="O90" i="1"/>
  <c r="O80" i="1"/>
  <c r="O63" i="1"/>
  <c r="O62" i="1"/>
  <c r="O53" i="1"/>
  <c r="O52" i="1"/>
  <c r="O41" i="1"/>
  <c r="O31" i="1"/>
  <c r="O26" i="1"/>
  <c r="O25" i="1"/>
  <c r="O24" i="1"/>
  <c r="O23" i="1"/>
  <c r="O14" i="1"/>
  <c r="O13" i="1"/>
  <c r="N2" i="1"/>
  <c r="N5" i="1"/>
  <c r="N12" i="1"/>
  <c r="N21" i="1"/>
  <c r="N22" i="1"/>
  <c r="N29" i="1"/>
  <c r="N30" i="1"/>
  <c r="N36" i="1"/>
  <c r="N37" i="1"/>
  <c r="N40" i="1"/>
  <c r="N49" i="1"/>
  <c r="N50" i="1"/>
  <c r="N51" i="1"/>
  <c r="N61" i="1"/>
  <c r="N71" i="1"/>
  <c r="N72" i="1"/>
  <c r="N73" i="1"/>
  <c r="N79" i="1"/>
  <c r="N88" i="1"/>
  <c r="N89" i="1"/>
  <c r="N94" i="1"/>
  <c r="N95" i="1"/>
  <c r="N104" i="1"/>
  <c r="N105" i="1"/>
  <c r="N116" i="1"/>
  <c r="N124" i="1"/>
  <c r="N129" i="1"/>
  <c r="N132" i="1"/>
  <c r="N133" i="1"/>
  <c r="N143" i="1"/>
  <c r="N144" i="1"/>
  <c r="N147" i="1"/>
  <c r="N152" i="1"/>
  <c r="N159" i="1"/>
  <c r="N160" i="1"/>
  <c r="N169" i="1"/>
  <c r="N175" i="1"/>
  <c r="N176" i="1"/>
  <c r="N185" i="1"/>
  <c r="N190" i="1"/>
  <c r="N191" i="1"/>
  <c r="N195" i="1"/>
  <c r="N196" i="1"/>
  <c r="N201" i="1"/>
  <c r="N202" i="1"/>
  <c r="N206" i="1"/>
  <c r="N207" i="1"/>
  <c r="N213" i="1"/>
  <c r="N214" i="1"/>
  <c r="N228" i="1"/>
  <c r="N229" i="1"/>
  <c r="N230" i="1"/>
  <c r="N237" i="1"/>
  <c r="N257" i="1"/>
  <c r="N258" i="1"/>
  <c r="N259" i="1"/>
  <c r="N260" i="1"/>
  <c r="N272" i="1"/>
  <c r="N282" i="1"/>
  <c r="N283" i="1"/>
  <c r="N288" i="1"/>
  <c r="N289" i="1"/>
  <c r="N295" i="1"/>
  <c r="N301" i="1"/>
  <c r="N302" i="1"/>
  <c r="N303" i="1"/>
  <c r="N304" i="1"/>
  <c r="N310" i="1"/>
  <c r="N311" i="1"/>
  <c r="N312" i="1"/>
  <c r="N313" i="1"/>
  <c r="N314" i="1"/>
  <c r="N323" i="1"/>
  <c r="N328" i="1"/>
  <c r="N329" i="1"/>
  <c r="N333" i="1"/>
  <c r="N337" i="1"/>
  <c r="N342" i="1"/>
  <c r="N343" i="1"/>
  <c r="N344" i="1"/>
  <c r="N362" i="1"/>
  <c r="N371" i="1"/>
  <c r="N372" i="1"/>
  <c r="N373" i="1"/>
  <c r="N389" i="1"/>
  <c r="N399" i="1"/>
  <c r="N400" i="1"/>
  <c r="N401" i="1"/>
  <c r="N402" i="1"/>
  <c r="N418" i="1"/>
  <c r="N419" i="1"/>
  <c r="N420" i="1"/>
  <c r="N421" i="1"/>
  <c r="N428" i="1"/>
  <c r="N429" i="1"/>
  <c r="N437" i="1"/>
  <c r="N438" i="1"/>
  <c r="N446" i="1"/>
  <c r="N447" i="1"/>
  <c r="N452" i="1"/>
  <c r="N469" i="1"/>
  <c r="N470" i="1"/>
  <c r="N475" i="1"/>
  <c r="N490" i="1"/>
  <c r="N491" i="1"/>
  <c r="N492" i="1"/>
  <c r="N499" i="1"/>
  <c r="N500" i="1"/>
  <c r="N512" i="1"/>
  <c r="N519" i="1"/>
  <c r="N520" i="1"/>
  <c r="N526" i="1"/>
  <c r="N527" i="1"/>
  <c r="N528" i="1"/>
  <c r="N536" i="1"/>
  <c r="N537" i="1"/>
  <c r="N542" i="1"/>
  <c r="N543" i="1"/>
  <c r="N544" i="1"/>
  <c r="N549" i="1"/>
  <c r="N550" i="1"/>
  <c r="N554" i="1"/>
  <c r="N555" i="1"/>
  <c r="N566" i="1"/>
  <c r="N567" i="1"/>
  <c r="N568" i="1"/>
  <c r="N573" i="1"/>
  <c r="N577" i="1"/>
  <c r="N590" i="1"/>
  <c r="N596" i="1"/>
  <c r="N600" i="1"/>
  <c r="N601" i="1"/>
  <c r="N612" i="1"/>
  <c r="N618" i="1"/>
  <c r="N619" i="1"/>
  <c r="N625" i="1"/>
  <c r="N626" i="1"/>
  <c r="N633" i="1"/>
  <c r="N640" i="1"/>
  <c r="N648" i="1"/>
  <c r="N649" i="1"/>
  <c r="N650" i="1"/>
  <c r="N651" i="1"/>
  <c r="N664" i="1"/>
  <c r="N665" i="1"/>
  <c r="N676" i="1"/>
  <c r="N682" i="1"/>
  <c r="N714" i="1"/>
  <c r="N723" i="1"/>
  <c r="N724" i="1"/>
  <c r="N733" i="1"/>
  <c r="N734" i="1"/>
  <c r="N740" i="1"/>
  <c r="N741" i="1"/>
  <c r="N742" i="1"/>
  <c r="N743" i="1"/>
  <c r="N751" i="1"/>
  <c r="N755" i="1"/>
  <c r="N756" i="1"/>
  <c r="N763" i="1"/>
  <c r="N764" i="1"/>
  <c r="N773" i="1"/>
  <c r="N774" i="1"/>
  <c r="N782" i="1"/>
  <c r="N789" i="1"/>
  <c r="N796" i="1"/>
  <c r="N797" i="1"/>
  <c r="N798" i="1"/>
  <c r="N809" i="1"/>
  <c r="N815" i="1"/>
  <c r="N816" i="1"/>
  <c r="N817" i="1"/>
  <c r="N828" i="1"/>
  <c r="N829" i="1"/>
  <c r="N846" i="1"/>
  <c r="N847" i="1"/>
  <c r="N848" i="1"/>
  <c r="N849" i="1"/>
  <c r="N858" i="1"/>
  <c r="N865" i="1"/>
  <c r="N879" i="1"/>
  <c r="N885" i="1"/>
  <c r="N886" i="1"/>
  <c r="N887" i="1"/>
  <c r="N894" i="1"/>
  <c r="N897" i="1"/>
  <c r="N905" i="1"/>
  <c r="N906" i="1"/>
  <c r="N907" i="1"/>
  <c r="N908" i="1"/>
  <c r="N909" i="1"/>
  <c r="N912" i="1"/>
  <c r="N914" i="1"/>
  <c r="N915" i="1"/>
  <c r="N923" i="1"/>
  <c r="N935" i="1"/>
  <c r="N936" i="1"/>
  <c r="N937" i="1"/>
  <c r="N938" i="1"/>
  <c r="N945" i="1"/>
  <c r="N946" i="1"/>
  <c r="N947" i="1"/>
  <c r="N948" i="1"/>
  <c r="N957" i="1"/>
  <c r="N958" i="1"/>
  <c r="N968" i="1"/>
  <c r="N969" i="1"/>
  <c r="N975" i="1"/>
  <c r="N976" i="1"/>
  <c r="N977" i="1"/>
  <c r="N983" i="1"/>
  <c r="N1006" i="1"/>
  <c r="N1013" i="1"/>
  <c r="N1020" i="1"/>
  <c r="N1021" i="1"/>
  <c r="N1022" i="1"/>
  <c r="N1028" i="1"/>
  <c r="N1029" i="1"/>
  <c r="N1036" i="1"/>
  <c r="N1044" i="1"/>
  <c r="N1055" i="1"/>
  <c r="N1056" i="1"/>
  <c r="N1057" i="1"/>
  <c r="N1058" i="1"/>
  <c r="N1064" i="1"/>
  <c r="N1065" i="1"/>
  <c r="N1071" i="1"/>
  <c r="N1080" i="1"/>
  <c r="N1081" i="1"/>
  <c r="N1084" i="1"/>
  <c r="N1085" i="1"/>
  <c r="N1097" i="1"/>
  <c r="N1105" i="1"/>
  <c r="N1114" i="1"/>
  <c r="N1115" i="1"/>
  <c r="N1122" i="1"/>
  <c r="N1123" i="1"/>
  <c r="N1124" i="1"/>
  <c r="N1125" i="1"/>
  <c r="N1130" i="1"/>
  <c r="N1131" i="1"/>
  <c r="N1132" i="1"/>
  <c r="N1139" i="1"/>
  <c r="N1143" i="1"/>
  <c r="N1144" i="1"/>
  <c r="N1145" i="1"/>
  <c r="N1151" i="1"/>
  <c r="N1159" i="1"/>
  <c r="N1160" i="1"/>
  <c r="N1161" i="1"/>
  <c r="N1171" i="1"/>
  <c r="N1172" i="1"/>
  <c r="N1173" i="1"/>
  <c r="N1180" i="1"/>
  <c r="N1181" i="1"/>
  <c r="N1186" i="1"/>
  <c r="N1194" i="1"/>
  <c r="N1195" i="1"/>
  <c r="N1196" i="1"/>
  <c r="N1197" i="1"/>
  <c r="N1207" i="1"/>
  <c r="N1220" i="1"/>
  <c r="N1221" i="1"/>
  <c r="N1222" i="1"/>
  <c r="N1230" i="1"/>
  <c r="N1231" i="1"/>
  <c r="N1238" i="1"/>
  <c r="N1247" i="1"/>
  <c r="N1256" i="1"/>
  <c r="N1261" i="1"/>
  <c r="N1262" i="1"/>
  <c r="N1275" i="1"/>
  <c r="N1276" i="1"/>
  <c r="N1293" i="1"/>
  <c r="N1294" i="1"/>
  <c r="N1295" i="1"/>
  <c r="N1304" i="1"/>
  <c r="N1308" i="1"/>
  <c r="N1309" i="1"/>
  <c r="N1315" i="1"/>
  <c r="N1321" i="1"/>
  <c r="N1326" i="1"/>
  <c r="N1332" i="1"/>
  <c r="N1333" i="1"/>
  <c r="N1341" i="1"/>
  <c r="N1350" i="1"/>
  <c r="N1364" i="1"/>
  <c r="N1365" i="1"/>
  <c r="N1366" i="1"/>
  <c r="N1367" i="1"/>
  <c r="N1375" i="1"/>
  <c r="N1385" i="1"/>
  <c r="N1388" i="1"/>
  <c r="N1389" i="1"/>
  <c r="N1407" i="1"/>
  <c r="N1408" i="1"/>
  <c r="N1409" i="1"/>
  <c r="N1417" i="1"/>
  <c r="N1418" i="1"/>
  <c r="N1429" i="1"/>
  <c r="N1438" i="1"/>
  <c r="N1446" i="1"/>
  <c r="N1447" i="1"/>
  <c r="N1455" i="1"/>
  <c r="N1462" i="1"/>
  <c r="N1463" i="1"/>
  <c r="N1468" i="1"/>
  <c r="N1474" i="1"/>
  <c r="N1475" i="1"/>
  <c r="N1476" i="1"/>
  <c r="N1482" i="1"/>
  <c r="N1483" i="1"/>
  <c r="N1488" i="1"/>
  <c r="N1495" i="1"/>
  <c r="N1496" i="1"/>
  <c r="N1505" i="1"/>
  <c r="N1507" i="1"/>
  <c r="N1508" i="1"/>
  <c r="N1513" i="1"/>
  <c r="N1514" i="1"/>
  <c r="N1520" i="1"/>
  <c r="N1521" i="1"/>
  <c r="N1522" i="1"/>
  <c r="N1539" i="1"/>
  <c r="N1540" i="1"/>
  <c r="N1551" i="1"/>
  <c r="N1552" i="1"/>
  <c r="N1559" i="1"/>
  <c r="N1560" i="1"/>
  <c r="N1568" i="1"/>
  <c r="N1569" i="1"/>
  <c r="N1570" i="1"/>
  <c r="N1588" i="1"/>
  <c r="N1597" i="1"/>
  <c r="N1615" i="1"/>
  <c r="N1616" i="1"/>
  <c r="N1624" i="1"/>
  <c r="N1629" i="1"/>
  <c r="N1630" i="1"/>
  <c r="N1645" i="1"/>
  <c r="N1655" i="1"/>
  <c r="N1656" i="1"/>
  <c r="N1664" i="1"/>
  <c r="N1679" i="1"/>
  <c r="N1686" i="1"/>
  <c r="N1691" i="1"/>
  <c r="N1692" i="1"/>
  <c r="N1706" i="1"/>
  <c r="N1716" i="1"/>
  <c r="N1717" i="1"/>
  <c r="N1721" i="1"/>
  <c r="N1722" i="1"/>
  <c r="N1727" i="1"/>
  <c r="N1731" i="1"/>
  <c r="N1737" i="1"/>
  <c r="N1738" i="1"/>
  <c r="N1739" i="1"/>
  <c r="N1755" i="1"/>
  <c r="N1772" i="1"/>
  <c r="N1781" i="1"/>
  <c r="N1782" i="1"/>
  <c r="N1786" i="1"/>
  <c r="N1787" i="1"/>
  <c r="N1798" i="1"/>
  <c r="N1799" i="1"/>
  <c r="N1812" i="1"/>
  <c r="N1813" i="1"/>
  <c r="N1814" i="1"/>
  <c r="N1815" i="1"/>
  <c r="N1828" i="1"/>
  <c r="N1829" i="1"/>
  <c r="N1836" i="1"/>
  <c r="N1837" i="1"/>
  <c r="N1840" i="1"/>
  <c r="N1841" i="1"/>
  <c r="N1842" i="1"/>
  <c r="N1843" i="1"/>
  <c r="N1844" i="1"/>
  <c r="N1845" i="1"/>
  <c r="N1846" i="1"/>
  <c r="N1849" i="1"/>
  <c r="N1856" i="1"/>
  <c r="N1862" i="1"/>
  <c r="N1869" i="1"/>
  <c r="N1870" i="1"/>
  <c r="N1871" i="1"/>
  <c r="N1908" i="1"/>
  <c r="N1920" i="1"/>
  <c r="N1921" i="1"/>
  <c r="N1922" i="1"/>
  <c r="N1926" i="1"/>
  <c r="N1927" i="1"/>
  <c r="N1928" i="1"/>
  <c r="N1935" i="1"/>
  <c r="N1936" i="1"/>
  <c r="N1937" i="1"/>
  <c r="N1943" i="1"/>
  <c r="N1948" i="1"/>
  <c r="N1956" i="1"/>
  <c r="N1963" i="1"/>
  <c r="N1972" i="1"/>
  <c r="N1973" i="1"/>
  <c r="N1974" i="1"/>
  <c r="N1985" i="1"/>
  <c r="N1986" i="1"/>
  <c r="N1994" i="1"/>
  <c r="N1995" i="1"/>
  <c r="N2004" i="1"/>
  <c r="N2005" i="1"/>
  <c r="N2014" i="1"/>
  <c r="N2015" i="1"/>
  <c r="N2016" i="1"/>
  <c r="N2026" i="1"/>
  <c r="N2027" i="1"/>
  <c r="N2028" i="1"/>
  <c r="N2029" i="1"/>
  <c r="N2039" i="1"/>
  <c r="N2048" i="1"/>
  <c r="N2065" i="1"/>
  <c r="N2066" i="1"/>
  <c r="N2084" i="1"/>
  <c r="N2085" i="1"/>
  <c r="N2086" i="1"/>
  <c r="N2093" i="1"/>
  <c r="N2109" i="1"/>
  <c r="N2110" i="1"/>
  <c r="N2120" i="1"/>
  <c r="N2121" i="1"/>
  <c r="N2130" i="1"/>
  <c r="N2136" i="1"/>
  <c r="N2154" i="1"/>
  <c r="N2155" i="1"/>
  <c r="N2162" i="1"/>
  <c r="N2177" i="1"/>
  <c r="N2178" i="1"/>
  <c r="N2185" i="1"/>
  <c r="N2193" i="1"/>
  <c r="N2201" i="1"/>
  <c r="N2202" i="1"/>
  <c r="N2203" i="1"/>
  <c r="N2204" i="1"/>
  <c r="N2209" i="1"/>
  <c r="N2210" i="1"/>
  <c r="N2211" i="1"/>
  <c r="N2212" i="1"/>
  <c r="N2213" i="1"/>
  <c r="N2214" i="1"/>
  <c r="N2220" i="1"/>
  <c r="N2221" i="1"/>
  <c r="N2233" i="1"/>
  <c r="N2234" i="1"/>
  <c r="N2237" i="1"/>
  <c r="N2238" i="1"/>
  <c r="N2239" i="1"/>
  <c r="N2256" i="1"/>
  <c r="N2271" i="1"/>
  <c r="N2272" i="1"/>
  <c r="N2278" i="1"/>
  <c r="N2279" i="1"/>
  <c r="N2280" i="1"/>
  <c r="N2281" i="1"/>
  <c r="N2286" i="1"/>
  <c r="N2300" i="1"/>
  <c r="N2301" i="1"/>
  <c r="N2313" i="1"/>
  <c r="N2327" i="1"/>
  <c r="N2334" i="1"/>
  <c r="N2335" i="1"/>
  <c r="N2339" i="1"/>
  <c r="N2340" i="1"/>
  <c r="N2347" i="1"/>
  <c r="N2348" i="1"/>
  <c r="N2355" i="1"/>
  <c r="N2356" i="1"/>
  <c r="N2357" i="1"/>
  <c r="N2361" i="1"/>
  <c r="N2371" i="1"/>
  <c r="N2372" i="1"/>
  <c r="N2379" i="1"/>
  <c r="N2384" i="1"/>
  <c r="N2385" i="1"/>
  <c r="N2386" i="1"/>
  <c r="N2391" i="1"/>
  <c r="N2392" i="1"/>
  <c r="N2400" i="1"/>
  <c r="N2401" i="1"/>
  <c r="N2402" i="1"/>
  <c r="N2406" i="1"/>
  <c r="N2407" i="1"/>
  <c r="N2408" i="1"/>
  <c r="N2409" i="1"/>
  <c r="N2418" i="1"/>
  <c r="N2422" i="1"/>
  <c r="N2423" i="1"/>
  <c r="N2431" i="1"/>
  <c r="N2438" i="1"/>
  <c r="N2465" i="1"/>
  <c r="N2466" i="1"/>
  <c r="N2478" i="1"/>
  <c r="N2479" i="1"/>
  <c r="N2480" i="1"/>
  <c r="N2481" i="1"/>
  <c r="N2482" i="1"/>
  <c r="N2486" i="1"/>
  <c r="N2487" i="1"/>
  <c r="N2494" i="1"/>
  <c r="N2507" i="1"/>
  <c r="N2508" i="1"/>
  <c r="N2509" i="1"/>
  <c r="N2510" i="1"/>
  <c r="N2520" i="1"/>
  <c r="N2521" i="1"/>
  <c r="N2522" i="1"/>
  <c r="N2523" i="1"/>
  <c r="N2534" i="1"/>
  <c r="N2535" i="1"/>
  <c r="N2540" i="1"/>
  <c r="N2548" i="1"/>
  <c r="N2549" i="1"/>
  <c r="N2558" i="1"/>
  <c r="N2564" i="1"/>
  <c r="N2575" i="1"/>
  <c r="N2585" i="1"/>
  <c r="N2589" i="1"/>
  <c r="N2594" i="1"/>
  <c r="N2603" i="1"/>
  <c r="N2604" i="1"/>
  <c r="N2618" i="1"/>
  <c r="N2626" i="1"/>
  <c r="N2627" i="1"/>
  <c r="N2628" i="1"/>
  <c r="N2637" i="1"/>
  <c r="N2638" i="1"/>
  <c r="N2639" i="1"/>
  <c r="N2644" i="1"/>
  <c r="N2645" i="1"/>
  <c r="N2646" i="1"/>
  <c r="N2655" i="1"/>
  <c r="N2660" i="1"/>
  <c r="N2661" i="1"/>
  <c r="N2662" i="1"/>
  <c r="N2668" i="1"/>
  <c r="N2669" i="1"/>
  <c r="N2670" i="1"/>
  <c r="N2671" i="1"/>
  <c r="N2674" i="1"/>
  <c r="N2675" i="1"/>
  <c r="N2690" i="1"/>
  <c r="N2691" i="1"/>
  <c r="N2692" i="1"/>
  <c r="N2714" i="1"/>
  <c r="N2720" i="1"/>
  <c r="N2752" i="1"/>
  <c r="N2753" i="1"/>
  <c r="N2754" i="1"/>
  <c r="N2755" i="1"/>
  <c r="N2760" i="1"/>
  <c r="N2764" i="1"/>
  <c r="N2768" i="1"/>
  <c r="N2769" i="1"/>
  <c r="N2770" i="1"/>
  <c r="N2771" i="1"/>
  <c r="N2786" i="1"/>
  <c r="N2793" i="1"/>
  <c r="N2800" i="1"/>
  <c r="N2807" i="1"/>
  <c r="N2814" i="1"/>
  <c r="N2815" i="1"/>
  <c r="N2825" i="1"/>
  <c r="N2826" i="1"/>
  <c r="N2839" i="1"/>
  <c r="N2850" i="1"/>
  <c r="N2851" i="1"/>
  <c r="N2858" i="1"/>
  <c r="N2859" i="1"/>
  <c r="N2860" i="1"/>
  <c r="N2861" i="1"/>
  <c r="N2862" i="1"/>
  <c r="N2869" i="1"/>
  <c r="N2882" i="1"/>
  <c r="N2883" i="1"/>
  <c r="N2884" i="1"/>
  <c r="N2886" i="1"/>
  <c r="N2887" i="1"/>
  <c r="N2893" i="1"/>
  <c r="N2904" i="1"/>
  <c r="N2905" i="1"/>
  <c r="N2913" i="1"/>
  <c r="N2923" i="1"/>
  <c r="N2933" i="1"/>
  <c r="N2938" i="1"/>
  <c r="N2946" i="1"/>
  <c r="N2947" i="1"/>
  <c r="N2954" i="1"/>
  <c r="N2955" i="1"/>
  <c r="N2969" i="1"/>
  <c r="N2970" i="1"/>
  <c r="N2979" i="1"/>
  <c r="N2980" i="1"/>
  <c r="N2991" i="1"/>
  <c r="N2992" i="1"/>
  <c r="N2993" i="1"/>
  <c r="N2994" i="1"/>
  <c r="N3009" i="1"/>
  <c r="N3010" i="1"/>
  <c r="N3011" i="1"/>
  <c r="N3013" i="1"/>
  <c r="N3020" i="1"/>
  <c r="N3031" i="1"/>
  <c r="N3032" i="1"/>
  <c r="N3033" i="1"/>
  <c r="N3034" i="1"/>
  <c r="N3035" i="1"/>
  <c r="N3036" i="1"/>
  <c r="N3049" i="1"/>
  <c r="N3059" i="1"/>
  <c r="N3060" i="1"/>
  <c r="N3068" i="1"/>
  <c r="N3080" i="1"/>
  <c r="N3081" i="1"/>
  <c r="N3085" i="1"/>
  <c r="N3086" i="1"/>
  <c r="N3087" i="1"/>
  <c r="N3088" i="1"/>
  <c r="N3101" i="1"/>
  <c r="N3112" i="1"/>
  <c r="N3122" i="1"/>
  <c r="N3133" i="1"/>
  <c r="N3134" i="1"/>
  <c r="N3141" i="1"/>
  <c r="N3146" i="1"/>
  <c r="N3147" i="1"/>
  <c r="N3148" i="1"/>
  <c r="N3158" i="1"/>
  <c r="N3173" i="1"/>
  <c r="N3180" i="1"/>
  <c r="N3181" i="1"/>
  <c r="N3188" i="1"/>
  <c r="N3189" i="1"/>
  <c r="N3190" i="1"/>
  <c r="N3196" i="1"/>
  <c r="N3205" i="1"/>
  <c r="N3206" i="1"/>
  <c r="N3213" i="1"/>
  <c r="N3214" i="1"/>
  <c r="N3223" i="1"/>
  <c r="N3231" i="1"/>
  <c r="N3232" i="1"/>
  <c r="N3237" i="1"/>
  <c r="N3250" i="1"/>
  <c r="N3251" i="1"/>
  <c r="N3256" i="1"/>
  <c r="N3267" i="1"/>
  <c r="N3276" i="1"/>
  <c r="N3277" i="1"/>
  <c r="N3278" i="1"/>
  <c r="N3279" i="1"/>
  <c r="N3288" i="1"/>
  <c r="N3291" i="1"/>
  <c r="N3296" i="1"/>
  <c r="N3307" i="1"/>
  <c r="N3308" i="1"/>
  <c r="N3317" i="1"/>
  <c r="N3324" i="1"/>
  <c r="N3340" i="1"/>
  <c r="N3341" i="1"/>
  <c r="N3351" i="1"/>
  <c r="N3352" i="1"/>
  <c r="N3353" i="1"/>
  <c r="N3360" i="1"/>
  <c r="N3361" i="1"/>
  <c r="N3362" i="1"/>
  <c r="N3363" i="1"/>
  <c r="N3370" i="1"/>
  <c r="N3371" i="1"/>
  <c r="N3385" i="1"/>
  <c r="N3396" i="1"/>
  <c r="N3397" i="1"/>
  <c r="N3406" i="1"/>
  <c r="N3415" i="1"/>
  <c r="N3419" i="1"/>
  <c r="N3420" i="1"/>
  <c r="N3429" i="1"/>
  <c r="N3430" i="1"/>
  <c r="N3431" i="1"/>
  <c r="N3437" i="1"/>
  <c r="N3452" i="1"/>
  <c r="N3457" i="1"/>
  <c r="N3458" i="1"/>
  <c r="N3459" i="1"/>
  <c r="N3460" i="1"/>
  <c r="N3469" i="1"/>
  <c r="N3485" i="1"/>
  <c r="N3495" i="1"/>
  <c r="N3496" i="1"/>
  <c r="N3497" i="1"/>
  <c r="N3498" i="1"/>
  <c r="N3505" i="1"/>
  <c r="N3512" i="1"/>
  <c r="N3513" i="1"/>
  <c r="N3518" i="1"/>
  <c r="N3528" i="1"/>
  <c r="N3535" i="1"/>
  <c r="N3547" i="1"/>
  <c r="N3548" i="1"/>
  <c r="N3549" i="1"/>
  <c r="N3550" i="1"/>
  <c r="N3560" i="1"/>
  <c r="N3561" i="1"/>
  <c r="N3562" i="1"/>
  <c r="N3566" i="1"/>
  <c r="N3579" i="1"/>
  <c r="N3580" i="1"/>
  <c r="N3581" i="1"/>
  <c r="N3582" i="1"/>
  <c r="N3583" i="1"/>
  <c r="N3589" i="1"/>
  <c r="N3595" i="1"/>
  <c r="N3596" i="1"/>
  <c r="N3597" i="1"/>
  <c r="N3606" i="1"/>
  <c r="N3613" i="1"/>
  <c r="N3614" i="1"/>
  <c r="N3623" i="1"/>
  <c r="N3641" i="1"/>
  <c r="N3642" i="1"/>
  <c r="N3643" i="1"/>
  <c r="N3644" i="1"/>
  <c r="N3655" i="1"/>
  <c r="N3660" i="1"/>
  <c r="N3667" i="1"/>
  <c r="N3672" i="1"/>
  <c r="N3682" i="1"/>
  <c r="N3688" i="1"/>
  <c r="N3689" i="1"/>
  <c r="N3690" i="1"/>
  <c r="N3691" i="1"/>
  <c r="N3698" i="1"/>
  <c r="N3702" i="1"/>
  <c r="N3703" i="1"/>
  <c r="N3709" i="1"/>
  <c r="N3710" i="1"/>
  <c r="N3723" i="1"/>
  <c r="N3732" i="1"/>
  <c r="N3741" i="1"/>
  <c r="N3742" i="1"/>
  <c r="N3743" i="1"/>
  <c r="N3744" i="1"/>
  <c r="N3753" i="1"/>
  <c r="N3754" i="1"/>
  <c r="N3755" i="1"/>
  <c r="N3759" i="1"/>
  <c r="N3760" i="1"/>
  <c r="N3772" i="1"/>
  <c r="N3773" i="1"/>
  <c r="N3774" i="1"/>
  <c r="N3788" i="1"/>
  <c r="N3789" i="1"/>
  <c r="N3800" i="1"/>
  <c r="N3804" i="1"/>
  <c r="N3805" i="1"/>
  <c r="N3813" i="1"/>
  <c r="N3826" i="1"/>
  <c r="N3827" i="1"/>
  <c r="N3828" i="1"/>
  <c r="N3831" i="1"/>
  <c r="N3839" i="1"/>
  <c r="N3840" i="1"/>
  <c r="N3841" i="1"/>
  <c r="N3855" i="1"/>
  <c r="N3856" i="1"/>
  <c r="N3863" i="1"/>
  <c r="N3869" i="1"/>
  <c r="N3874" i="1"/>
  <c r="N3882" i="1"/>
  <c r="N3883" i="1"/>
  <c r="N3884" i="1"/>
  <c r="N3885" i="1"/>
  <c r="N3890" i="1"/>
  <c r="N3891" i="1"/>
  <c r="N3892" i="1"/>
  <c r="N3898" i="1"/>
  <c r="N3899" i="1"/>
  <c r="N3913" i="1"/>
  <c r="N3919" i="1"/>
  <c r="N3927" i="1"/>
  <c r="N3928" i="1"/>
  <c r="N3931" i="1"/>
  <c r="N3932" i="1"/>
  <c r="N3941" i="1"/>
  <c r="N3942" i="1"/>
  <c r="N3943" i="1"/>
  <c r="N3944" i="1"/>
  <c r="N3945" i="1"/>
  <c r="N3946" i="1"/>
  <c r="N3965" i="1"/>
  <c r="N3966" i="1"/>
  <c r="N3972" i="1"/>
  <c r="N3980" i="1"/>
  <c r="N3991" i="1"/>
  <c r="N3998" i="1"/>
  <c r="N4006" i="1"/>
  <c r="N4007" i="1"/>
  <c r="N4018" i="1"/>
  <c r="N4026" i="1"/>
  <c r="N4042" i="1"/>
  <c r="N4052" i="1"/>
  <c r="N4053" i="1"/>
  <c r="N4054" i="1"/>
  <c r="N4061" i="1"/>
  <c r="N4070" i="1"/>
  <c r="N4076" i="1"/>
  <c r="N4081" i="1"/>
  <c r="N4082" i="1"/>
  <c r="N4083" i="1"/>
  <c r="N4091" i="1"/>
  <c r="N4092" i="1"/>
  <c r="N4093" i="1"/>
  <c r="N4101" i="1"/>
  <c r="N4113" i="1"/>
  <c r="N4114" i="1"/>
  <c r="N4115" i="1"/>
  <c r="N4118" i="1"/>
  <c r="N4119" i="1"/>
  <c r="N4125" i="1"/>
  <c r="N4126" i="1"/>
  <c r="N4138" i="1"/>
  <c r="N4146" i="1"/>
  <c r="N4147" i="1"/>
  <c r="N4150" i="1"/>
  <c r="N4165" i="1"/>
  <c r="N4166" i="1"/>
  <c r="N4173" i="1"/>
  <c r="N4174" i="1"/>
  <c r="N4175" i="1"/>
  <c r="N4183" i="1"/>
  <c r="N4184" i="1"/>
  <c r="N4193" i="1"/>
  <c r="N4204" i="1"/>
  <c r="N4211" i="1"/>
  <c r="N4214" i="1"/>
  <c r="N4215" i="1"/>
  <c r="N4221" i="1"/>
  <c r="N4222" i="1"/>
  <c r="N4236" i="1"/>
  <c r="N4240" i="1"/>
  <c r="N4241" i="1"/>
  <c r="N4248" i="1"/>
  <c r="N4256" i="1"/>
  <c r="N4262" i="1"/>
  <c r="N4268" i="1"/>
  <c r="N4269" i="1"/>
  <c r="N4270" i="1"/>
  <c r="N4271" i="1"/>
  <c r="N4272" i="1"/>
  <c r="N4281" i="1"/>
  <c r="N4284" i="1"/>
  <c r="N4285" i="1"/>
  <c r="N4295" i="1"/>
  <c r="N4296" i="1"/>
  <c r="N4308" i="1"/>
  <c r="N4309" i="1"/>
  <c r="N4316" i="1"/>
  <c r="N4321" i="1"/>
  <c r="N4322" i="1"/>
  <c r="N4327" i="1"/>
  <c r="N4328" i="1"/>
  <c r="N4337" i="1"/>
  <c r="N4345" i="1"/>
  <c r="N4346" i="1"/>
  <c r="N4347" i="1"/>
  <c r="N4354" i="1"/>
  <c r="N4358" i="1"/>
  <c r="N4359" i="1"/>
  <c r="N4361" i="1"/>
  <c r="N4362" i="1"/>
  <c r="N4375" i="1"/>
  <c r="N4384" i="1"/>
  <c r="N4385" i="1"/>
  <c r="N4396" i="1"/>
  <c r="N4397" i="1"/>
  <c r="N4398" i="1"/>
  <c r="N4399" i="1"/>
  <c r="N4405" i="1"/>
  <c r="N4410" i="1"/>
  <c r="N4418" i="1"/>
  <c r="N4424" i="1"/>
  <c r="N4430" i="1"/>
  <c r="N4434" i="1"/>
  <c r="N4435" i="1"/>
  <c r="N4436" i="1"/>
  <c r="N4437" i="1"/>
  <c r="N4438" i="1"/>
  <c r="N4446" i="1"/>
  <c r="N4447" i="1"/>
  <c r="N4448" i="1"/>
  <c r="N4455" i="1"/>
  <c r="N4476" i="1"/>
  <c r="N4477" i="1"/>
  <c r="N4478" i="1"/>
  <c r="N4482" i="1"/>
  <c r="N4483" i="1"/>
  <c r="N4491" i="1"/>
  <c r="N4501" i="1"/>
  <c r="N4517" i="1"/>
  <c r="N4521" i="1"/>
  <c r="N4529" i="1"/>
  <c r="N4530" i="1"/>
  <c r="N4531" i="1"/>
  <c r="N4538" i="1"/>
  <c r="N4539" i="1"/>
  <c r="N4546" i="1"/>
  <c r="N4547" i="1"/>
  <c r="N4552" i="1"/>
  <c r="N4555" i="1"/>
  <c r="N4556" i="1"/>
  <c r="N4564" i="1"/>
  <c r="N4565" i="1"/>
  <c r="N4576" i="1"/>
  <c r="N4577" i="1"/>
  <c r="N4578" i="1"/>
  <c r="N4579" i="1"/>
  <c r="N4599" i="1"/>
  <c r="N4619" i="1"/>
  <c r="N4620" i="1"/>
  <c r="N4626" i="1"/>
  <c r="N4627" i="1"/>
  <c r="N4647" i="1"/>
  <c r="N4648" i="1"/>
  <c r="N4656" i="1"/>
  <c r="N4665" i="1"/>
  <c r="N4666" i="1"/>
  <c r="N4672" i="1"/>
  <c r="N4677" i="1"/>
  <c r="N4678" i="1"/>
  <c r="N4688" i="1"/>
  <c r="N4689" i="1"/>
  <c r="N4696" i="1"/>
  <c r="N4697" i="1"/>
  <c r="N4706" i="1"/>
  <c r="N4707" i="1"/>
  <c r="N4717" i="1"/>
  <c r="N4718" i="1"/>
  <c r="N4725" i="1"/>
  <c r="N4726" i="1"/>
  <c r="N4727" i="1"/>
  <c r="N4734" i="1"/>
  <c r="N4740" i="1"/>
  <c r="N4751" i="1"/>
  <c r="N4755" i="1"/>
  <c r="N4756" i="1"/>
  <c r="N4757" i="1"/>
  <c r="N4767" i="1"/>
  <c r="N4768" i="1"/>
  <c r="N4787" i="1"/>
  <c r="N4796" i="1"/>
  <c r="N4797" i="1"/>
  <c r="N4798" i="1"/>
  <c r="N4807" i="1"/>
  <c r="N4818" i="1"/>
  <c r="N4821" i="1"/>
  <c r="N4832" i="1"/>
  <c r="N4846" i="1"/>
  <c r="N4847" i="1"/>
  <c r="N4848" i="1"/>
  <c r="N4853" i="1"/>
  <c r="N4862" i="1"/>
  <c r="N4863" i="1"/>
  <c r="N4864" i="1"/>
  <c r="N4870" i="1"/>
  <c r="N4883" i="1"/>
  <c r="N4884" i="1"/>
  <c r="N4891" i="1"/>
  <c r="N4892" i="1"/>
  <c r="N4902" i="1"/>
  <c r="N4903" i="1"/>
  <c r="N4904" i="1"/>
  <c r="N4905" i="1"/>
  <c r="N4911" i="1"/>
  <c r="N4924" i="1"/>
  <c r="N4937" i="1"/>
  <c r="N4938" i="1"/>
  <c r="N4939" i="1"/>
  <c r="N4940" i="1"/>
  <c r="N4960" i="1"/>
  <c r="N4961" i="1"/>
  <c r="N4971" i="1"/>
  <c r="N4972" i="1"/>
  <c r="N4981" i="1"/>
  <c r="N4982" i="1"/>
  <c r="N4983" i="1"/>
  <c r="N4984" i="1"/>
  <c r="N4995" i="1"/>
  <c r="N5001" i="1"/>
  <c r="N5002" i="1"/>
  <c r="N5003" i="1"/>
  <c r="N5020" i="1"/>
  <c r="N5021" i="1"/>
  <c r="N5027" i="1"/>
  <c r="N5037" i="1"/>
  <c r="N5043" i="1"/>
  <c r="N5050" i="1"/>
  <c r="N5051" i="1"/>
  <c r="N5052" i="1"/>
  <c r="N5056" i="1"/>
  <c r="N5057" i="1"/>
  <c r="N5070" i="1"/>
  <c r="N5075" i="1"/>
  <c r="N5082" i="1"/>
  <c r="N5091" i="1"/>
  <c r="N5092" i="1"/>
  <c r="N5101" i="1"/>
  <c r="N5102" i="1"/>
  <c r="N5108" i="1"/>
  <c r="N5109" i="1"/>
  <c r="N5119" i="1"/>
  <c r="N5120" i="1"/>
  <c r="N5127" i="1"/>
  <c r="N5132" i="1"/>
  <c r="N5133" i="1"/>
  <c r="N5137" i="1"/>
  <c r="N5142" i="1"/>
  <c r="N5143" i="1"/>
  <c r="N5151" i="1"/>
  <c r="N5152" i="1"/>
  <c r="N5166" i="1"/>
  <c r="N5167" i="1"/>
  <c r="N5179" i="1"/>
  <c r="N5180" i="1"/>
  <c r="N5181" i="1"/>
  <c r="N5186" i="1"/>
  <c r="N5187" i="1"/>
  <c r="N5196" i="1"/>
  <c r="N5197" i="1"/>
  <c r="N5207" i="1"/>
  <c r="N5208" i="1"/>
  <c r="N5247" i="1"/>
  <c r="N5254" i="1"/>
  <c r="N5255" i="1"/>
  <c r="N5262" i="1"/>
  <c r="N5263" i="1"/>
  <c r="N5275" i="1"/>
  <c r="N5276" i="1"/>
  <c r="N5288" i="1"/>
  <c r="N5289" i="1"/>
  <c r="N5293" i="1"/>
  <c r="N5303" i="1"/>
  <c r="N5308" i="1"/>
  <c r="N5309" i="1"/>
  <c r="N5314" i="1"/>
  <c r="N5324" i="1"/>
  <c r="N5335" i="1"/>
  <c r="N5342" i="1"/>
  <c r="N5345" i="1"/>
  <c r="N5346" i="1"/>
  <c r="N5347" i="1"/>
  <c r="N5351" i="1"/>
  <c r="N5352" i="1"/>
  <c r="N5353" i="1"/>
  <c r="N5354" i="1"/>
  <c r="N5355" i="1"/>
  <c r="N5364" i="1"/>
  <c r="N5373" i="1"/>
  <c r="N5374" i="1"/>
  <c r="N5375" i="1"/>
  <c r="N5385" i="1"/>
  <c r="N5386" i="1"/>
  <c r="N5387" i="1"/>
  <c r="N5399" i="1"/>
  <c r="N5405" i="1"/>
  <c r="N5412" i="1"/>
  <c r="N5420" i="1"/>
  <c r="N5421" i="1"/>
  <c r="N5422" i="1"/>
  <c r="N5427" i="1"/>
  <c r="N5431" i="1"/>
  <c r="N5436" i="1"/>
  <c r="N5446" i="1"/>
  <c r="N5447" i="1"/>
  <c r="N5458" i="1"/>
  <c r="N5465" i="1"/>
  <c r="N5486" i="1"/>
  <c r="N5487" i="1"/>
  <c r="N5488" i="1"/>
  <c r="N5489" i="1"/>
  <c r="N5498" i="1"/>
  <c r="N5499" i="1"/>
  <c r="N5509" i="1"/>
  <c r="N5520" i="1"/>
  <c r="N5521" i="1"/>
  <c r="N5532" i="1"/>
  <c r="N5533" i="1"/>
  <c r="N5538" i="1"/>
  <c r="N5539" i="1"/>
  <c r="N5540" i="1"/>
  <c r="N5548" i="1"/>
  <c r="N5549" i="1"/>
  <c r="N5555" i="1"/>
  <c r="N5556" i="1"/>
  <c r="N5571" i="1"/>
  <c r="N5577" i="1"/>
  <c r="N5582" i="1"/>
  <c r="N5588" i="1"/>
  <c r="N5589" i="1"/>
  <c r="N5600" i="1"/>
  <c r="N5601" i="1"/>
  <c r="N5608" i="1"/>
  <c r="N5616" i="1"/>
  <c r="N5621" i="1"/>
  <c r="N5622" i="1"/>
  <c r="N5623" i="1"/>
  <c r="N5632" i="1"/>
  <c r="N5643" i="1"/>
  <c r="N5644" i="1"/>
  <c r="N5645" i="1"/>
  <c r="N5652" i="1"/>
  <c r="N5653" i="1"/>
  <c r="N5662" i="1"/>
  <c r="N5663" i="1"/>
  <c r="N5672" i="1"/>
  <c r="N5673" i="1"/>
  <c r="N5683" i="1"/>
  <c r="N5684" i="1"/>
  <c r="N5689" i="1"/>
  <c r="N5696" i="1"/>
  <c r="N5697" i="1"/>
  <c r="N5698" i="1"/>
  <c r="N5714" i="1"/>
  <c r="N5723" i="1"/>
  <c r="N5728" i="1"/>
  <c r="N5729" i="1"/>
  <c r="N5730" i="1"/>
  <c r="N5731" i="1"/>
  <c r="N5738" i="1"/>
  <c r="N5743" i="1"/>
  <c r="N5744" i="1"/>
  <c r="N5745" i="1"/>
  <c r="N5751" i="1"/>
  <c r="N5752" i="1"/>
  <c r="N5775" i="1"/>
  <c r="N5776" i="1"/>
  <c r="N5777" i="1"/>
  <c r="N5784" i="1"/>
  <c r="N5796" i="1"/>
  <c r="N5797" i="1"/>
  <c r="N5804" i="1"/>
  <c r="N5805" i="1"/>
  <c r="N5806" i="1"/>
  <c r="N5807" i="1"/>
  <c r="N5825" i="1"/>
  <c r="N5826" i="1"/>
  <c r="N5827" i="1"/>
  <c r="N5841" i="1"/>
  <c r="N5848" i="1"/>
  <c r="N5852" i="1"/>
  <c r="N5853" i="1"/>
  <c r="N5861" i="1"/>
  <c r="N5862" i="1"/>
  <c r="N5863" i="1"/>
  <c r="N5871" i="1"/>
  <c r="N5872" i="1"/>
  <c r="N5877" i="1"/>
  <c r="N5883" i="1"/>
  <c r="N5891" i="1"/>
  <c r="N5892" i="1"/>
  <c r="N5893" i="1"/>
  <c r="N5898" i="1"/>
  <c r="N5899" i="1"/>
  <c r="N5905" i="1"/>
  <c r="N5906" i="1"/>
  <c r="N5913" i="1"/>
  <c r="N5914" i="1"/>
  <c r="N5915" i="1"/>
  <c r="N5923" i="1"/>
  <c r="N5939" i="1"/>
  <c r="N5940" i="1"/>
  <c r="N5941" i="1"/>
  <c r="N5950" i="1"/>
  <c r="N5951" i="1"/>
  <c r="N5952" i="1"/>
  <c r="N5953" i="1"/>
  <c r="N5963" i="1"/>
  <c r="N5964" i="1"/>
  <c r="N5965" i="1"/>
  <c r="N5975" i="1"/>
  <c r="N5980" i="1"/>
  <c r="N5981" i="1"/>
  <c r="N5982" i="1"/>
  <c r="N5993" i="1"/>
  <c r="N6002" i="1"/>
  <c r="N6003" i="1"/>
  <c r="N6010" i="1"/>
  <c r="N6019" i="1"/>
  <c r="N6020" i="1"/>
  <c r="N6031" i="1"/>
  <c r="N6032" i="1"/>
  <c r="N6040" i="1"/>
  <c r="N6041" i="1"/>
  <c r="N6042" i="1"/>
  <c r="N6043" i="1"/>
  <c r="N6058" i="1"/>
  <c r="N6067" i="1"/>
  <c r="N6068" i="1"/>
  <c r="N6073" i="1"/>
  <c r="N6081" i="1"/>
  <c r="N6082" i="1"/>
  <c r="N6083" i="1"/>
  <c r="N6084" i="1"/>
  <c r="N6090" i="1"/>
  <c r="N6110" i="1"/>
  <c r="N6114" i="1"/>
  <c r="N6121" i="1"/>
  <c r="N6124" i="1"/>
  <c r="N6125" i="1"/>
  <c r="N6126" i="1"/>
  <c r="N6131" i="1"/>
  <c r="N6137" i="1"/>
  <c r="N6141" i="1"/>
  <c r="N6162" i="1"/>
  <c r="N6170" i="1"/>
  <c r="N6171" i="1"/>
  <c r="N6178" i="1"/>
  <c r="N6179" i="1"/>
  <c r="N6182" i="1"/>
  <c r="N6183" i="1"/>
  <c r="N6188" i="1"/>
  <c r="N6195" i="1"/>
  <c r="N6196" i="1"/>
  <c r="N6203" i="1"/>
  <c r="N6204" i="1"/>
  <c r="N6205" i="1"/>
  <c r="N6211" i="1"/>
  <c r="N6212" i="1"/>
  <c r="N6228" i="1"/>
  <c r="N6229" i="1"/>
  <c r="N6230" i="1"/>
  <c r="N6237" i="1"/>
  <c r="N6238" i="1"/>
  <c r="N6242" i="1"/>
  <c r="N6243" i="1"/>
  <c r="N6248" i="1"/>
  <c r="N6249" i="1"/>
  <c r="N6256" i="1"/>
  <c r="N6257" i="1"/>
  <c r="N6258" i="1"/>
  <c r="N6266" i="1"/>
  <c r="N6273" i="1"/>
  <c r="N6282" i="1"/>
  <c r="N6283" i="1"/>
  <c r="N6284" i="1"/>
  <c r="N6294" i="1"/>
  <c r="N6295" i="1"/>
  <c r="N6296" i="1"/>
  <c r="N6300" i="1"/>
  <c r="N6301" i="1"/>
  <c r="N6310" i="1"/>
  <c r="N6324" i="1"/>
  <c r="N6332" i="1"/>
  <c r="N6341" i="1"/>
  <c r="N6347" i="1"/>
  <c r="N6348" i="1"/>
  <c r="N6354" i="1"/>
  <c r="N6357" i="1"/>
  <c r="N6358" i="1"/>
  <c r="N6359" i="1"/>
  <c r="N6366" i="1"/>
  <c r="N6367" i="1"/>
  <c r="N6368" i="1"/>
  <c r="N6372" i="1"/>
  <c r="N6373" i="1"/>
  <c r="N6392" i="1"/>
  <c r="N6393" i="1"/>
  <c r="N6397" i="1"/>
  <c r="N6407" i="1"/>
  <c r="N6415" i="1"/>
  <c r="N6416" i="1"/>
  <c r="N6417" i="1"/>
  <c r="N6422" i="1"/>
  <c r="N6436" i="1"/>
  <c r="N6437" i="1"/>
  <c r="N6454" i="1"/>
  <c r="N6455" i="1"/>
  <c r="N6466" i="1"/>
  <c r="N6467" i="1"/>
  <c r="N6481" i="1"/>
  <c r="N6487" i="1"/>
  <c r="N6493" i="1"/>
  <c r="N6504" i="1"/>
  <c r="N6505" i="1"/>
  <c r="N6512" i="1"/>
  <c r="N6527" i="1"/>
  <c r="N6530" i="1"/>
  <c r="N6531" i="1"/>
  <c r="N6536" i="1"/>
  <c r="N6543" i="1"/>
  <c r="N6544" i="1"/>
  <c r="N6549" i="1"/>
  <c r="N6550" i="1"/>
  <c r="N6561" i="1"/>
  <c r="N6562" i="1"/>
  <c r="N6563" i="1"/>
  <c r="N6564" i="1"/>
  <c r="N6565" i="1"/>
  <c r="N6566" i="1"/>
  <c r="N6575" i="1"/>
  <c r="N6576" i="1"/>
  <c r="N6585" i="1"/>
  <c r="N6586" i="1"/>
  <c r="N6597" i="1"/>
  <c r="N6598" i="1"/>
  <c r="N6599" i="1"/>
  <c r="N6600" i="1"/>
  <c r="N6601" i="1"/>
  <c r="N6608" i="1"/>
  <c r="N6609" i="1"/>
  <c r="N6619" i="1"/>
  <c r="N6620" i="1"/>
  <c r="N6621" i="1"/>
  <c r="N6632" i="1"/>
  <c r="N6636" i="1"/>
  <c r="N6637" i="1"/>
  <c r="N6645" i="1"/>
  <c r="N6646" i="1"/>
  <c r="N6647" i="1"/>
  <c r="N6648" i="1"/>
  <c r="N6652" i="1"/>
  <c r="N6653" i="1"/>
  <c r="N6688" i="1"/>
  <c r="N6697" i="1"/>
  <c r="N6703" i="1"/>
  <c r="N6713" i="1"/>
  <c r="N6714" i="1"/>
  <c r="N6715" i="1"/>
  <c r="N6726" i="1"/>
  <c r="N6727" i="1"/>
  <c r="N6734" i="1"/>
  <c r="N6735" i="1"/>
  <c r="N6744" i="1"/>
  <c r="N6745" i="1"/>
  <c r="N6754" i="1"/>
  <c r="N6760" i="1"/>
  <c r="N6761" i="1"/>
  <c r="N6762" i="1"/>
  <c r="N6770" i="1"/>
  <c r="N6771" i="1"/>
  <c r="N6778" i="1"/>
  <c r="N6785" i="1"/>
  <c r="N6786" i="1"/>
  <c r="N6792" i="1"/>
  <c r="N6812" i="1"/>
  <c r="N6821" i="1"/>
  <c r="N6831" i="1"/>
  <c r="N6832" i="1"/>
  <c r="N6836" i="1"/>
  <c r="N6845" i="1"/>
  <c r="N6852" i="1"/>
  <c r="N6857" i="1"/>
  <c r="N6858" i="1"/>
  <c r="N6859" i="1"/>
  <c r="N6870" i="1"/>
  <c r="N6871" i="1"/>
  <c r="N6876" i="1"/>
  <c r="N6885" i="1"/>
  <c r="N6893" i="1"/>
  <c r="N6894" i="1"/>
  <c r="N6895" i="1"/>
  <c r="N6904" i="1"/>
  <c r="N6910" i="1"/>
  <c r="N6911" i="1"/>
  <c r="N6912" i="1"/>
  <c r="N6917" i="1"/>
  <c r="N6918" i="1"/>
  <c r="N6928" i="1"/>
  <c r="N6931" i="1"/>
  <c r="N6932" i="1"/>
  <c r="N6937" i="1"/>
  <c r="N6946" i="1"/>
  <c r="N6947" i="1"/>
  <c r="N6948" i="1"/>
  <c r="N6956" i="1"/>
  <c r="N6963" i="1"/>
  <c r="N6974" i="1"/>
  <c r="N6981" i="1"/>
  <c r="N6982" i="1"/>
  <c r="N6983" i="1"/>
  <c r="N6984" i="1"/>
  <c r="N6985" i="1"/>
  <c r="N6991" i="1"/>
  <c r="N6998" i="1"/>
  <c r="N7002" i="1"/>
  <c r="N7003" i="1"/>
  <c r="N7004" i="1"/>
  <c r="N7011" i="1"/>
  <c r="N7022" i="1"/>
  <c r="N7023" i="1"/>
  <c r="N7024" i="1"/>
  <c r="N7031" i="1"/>
  <c r="N7036" i="1"/>
  <c r="N7046" i="1"/>
  <c r="N7047" i="1"/>
  <c r="N7060" i="1"/>
  <c r="N7061" i="1"/>
  <c r="N7067" i="1"/>
  <c r="N7088" i="1"/>
  <c r="N7089" i="1"/>
  <c r="N7090" i="1"/>
  <c r="N7098" i="1"/>
  <c r="N7106" i="1"/>
  <c r="N7107" i="1"/>
  <c r="N7108" i="1"/>
  <c r="N7117" i="1"/>
  <c r="N7122" i="1"/>
  <c r="N7123" i="1"/>
  <c r="N7138" i="1"/>
  <c r="N7139" i="1"/>
  <c r="N7140" i="1"/>
  <c r="N7141" i="1"/>
  <c r="N7142" i="1"/>
  <c r="N7148" i="1"/>
  <c r="N7149" i="1"/>
  <c r="N7150" i="1"/>
  <c r="N7157" i="1"/>
  <c r="N7167" i="1"/>
  <c r="N7168" i="1"/>
  <c r="N7174" i="1"/>
  <c r="N7175" i="1"/>
  <c r="N7180" i="1"/>
  <c r="N7187" i="1"/>
  <c r="N7188" i="1"/>
  <c r="N7189" i="1"/>
  <c r="N7190" i="1"/>
  <c r="N7199" i="1"/>
  <c r="N7200" i="1"/>
  <c r="N7206" i="1"/>
  <c r="N7215" i="1"/>
  <c r="N7221" i="1"/>
  <c r="N7228" i="1"/>
  <c r="N7229" i="1"/>
  <c r="N7239" i="1"/>
  <c r="N7240" i="1"/>
  <c r="N7250" i="1"/>
  <c r="N7251" i="1"/>
  <c r="N7267" i="1"/>
  <c r="N7268" i="1"/>
  <c r="N7269" i="1"/>
  <c r="N7281" i="1"/>
  <c r="N7290" i="1"/>
  <c r="N7291" i="1"/>
  <c r="N7297" i="1"/>
  <c r="N7306" i="1"/>
  <c r="N7307" i="1"/>
  <c r="N7313" i="1"/>
  <c r="N7321" i="1"/>
  <c r="N7330" i="1"/>
  <c r="N7331" i="1"/>
  <c r="N7339" i="1"/>
  <c r="N7340" i="1"/>
  <c r="N7347" i="1"/>
  <c r="N7348" i="1"/>
  <c r="N7355" i="1"/>
  <c r="N7364" i="1"/>
  <c r="N7365" i="1"/>
  <c r="N7372" i="1"/>
  <c r="N7380" i="1"/>
  <c r="N7381" i="1"/>
  <c r="N7388" i="1"/>
  <c r="N7389" i="1"/>
  <c r="N7397" i="1"/>
  <c r="N7398" i="1"/>
  <c r="N7399" i="1"/>
  <c r="N7410" i="1"/>
  <c r="N7411" i="1"/>
  <c r="N7421" i="1"/>
  <c r="N7427" i="1"/>
  <c r="N7428" i="1"/>
  <c r="N7429" i="1"/>
  <c r="N7436" i="1"/>
  <c r="N7437" i="1"/>
  <c r="N7447" i="1"/>
  <c r="N7448" i="1"/>
  <c r="N7453" i="1"/>
  <c r="N7454" i="1"/>
  <c r="N7455" i="1"/>
  <c r="N7456" i="1"/>
  <c r="N7462" i="1"/>
  <c r="N7463" i="1"/>
  <c r="N7464" i="1"/>
  <c r="N7473" i="1"/>
  <c r="N7479" i="1"/>
  <c r="N7490" i="1"/>
  <c r="N7499" i="1"/>
  <c r="N7500" i="1"/>
  <c r="N7504" i="1"/>
  <c r="N7505" i="1"/>
  <c r="N7509" i="1"/>
  <c r="N7510" i="1"/>
  <c r="N7511" i="1"/>
  <c r="N7512" i="1"/>
  <c r="N7513" i="1"/>
  <c r="N7519" i="1"/>
  <c r="N7520" i="1"/>
  <c r="N7534" i="1"/>
  <c r="N7535" i="1"/>
  <c r="N7553" i="1"/>
  <c r="N7556" i="1"/>
  <c r="N7557" i="1"/>
  <c r="N7558" i="1"/>
  <c r="N7559" i="1"/>
  <c r="N7567" i="1"/>
  <c r="N7568" i="1"/>
  <c r="N7573" i="1"/>
  <c r="N7588" i="1"/>
  <c r="N7589" i="1"/>
  <c r="N7601" i="1"/>
  <c r="N7602" i="1"/>
  <c r="N7627" i="1"/>
  <c r="N7628" i="1"/>
  <c r="N7638" i="1"/>
  <c r="N7639" i="1"/>
  <c r="N7643" i="1"/>
  <c r="N7649" i="1"/>
  <c r="N7650" i="1"/>
  <c r="N7659" i="1"/>
  <c r="N7666" i="1"/>
  <c r="N7667" i="1"/>
  <c r="N7668" i="1"/>
  <c r="N7678" i="1"/>
  <c r="N7679" i="1"/>
  <c r="N7692" i="1"/>
  <c r="N7693" i="1"/>
  <c r="N7708" i="1"/>
  <c r="N7709" i="1"/>
  <c r="N7724" i="1"/>
  <c r="N7728" i="1"/>
  <c r="N7729" i="1"/>
  <c r="N7743" i="1"/>
  <c r="N7751" i="1"/>
  <c r="N7752" i="1"/>
  <c r="N7760" i="1"/>
  <c r="N7767" i="1"/>
  <c r="N7768" i="1"/>
  <c r="N7769" i="1"/>
  <c r="N7773" i="1"/>
  <c r="N7785" i="1"/>
  <c r="N7792" i="1"/>
  <c r="N7793" i="1"/>
  <c r="N7794" i="1"/>
  <c r="N7800" i="1"/>
  <c r="N7801" i="1"/>
  <c r="N7802" i="1"/>
  <c r="N7812" i="1"/>
  <c r="N7813" i="1"/>
  <c r="N7814" i="1"/>
  <c r="N7815" i="1"/>
  <c r="N7816" i="1"/>
  <c r="N7822" i="1"/>
  <c r="N7823" i="1"/>
  <c r="N7832" i="1"/>
  <c r="N7860" i="1"/>
  <c r="N7876" i="1"/>
  <c r="N7885" i="1"/>
  <c r="N7886" i="1"/>
  <c r="N7887" i="1"/>
  <c r="N7893" i="1"/>
  <c r="N7894" i="1"/>
  <c r="N7895" i="1"/>
  <c r="N7896" i="1"/>
  <c r="N7905" i="1"/>
  <c r="N7906" i="1"/>
  <c r="N7921" i="1"/>
  <c r="N7922" i="1"/>
  <c r="N7923" i="1"/>
  <c r="N7929" i="1"/>
  <c r="N7939" i="1"/>
  <c r="N7940" i="1"/>
  <c r="N7953" i="1"/>
  <c r="N7963" i="1"/>
  <c r="N7964" i="1"/>
  <c r="N7965" i="1"/>
  <c r="N7968" i="1"/>
  <c r="N7978" i="1"/>
  <c r="N7979" i="1"/>
  <c r="N7980" i="1"/>
  <c r="N7985" i="1"/>
  <c r="N7986" i="1"/>
  <c r="N7992" i="1"/>
  <c r="N7996" i="1"/>
  <c r="N7997" i="1"/>
  <c r="N8004" i="1"/>
  <c r="N8005" i="1"/>
  <c r="N8006" i="1"/>
  <c r="N8014" i="1"/>
  <c r="N8015" i="1"/>
  <c r="N8023" i="1"/>
  <c r="N8024" i="1"/>
  <c r="N8025" i="1"/>
  <c r="N8026" i="1"/>
  <c r="N8037" i="1"/>
  <c r="N8038" i="1"/>
  <c r="N8057" i="1"/>
  <c r="N8058" i="1"/>
  <c r="N8067" i="1"/>
  <c r="N8073" i="1"/>
  <c r="N8079" i="1"/>
  <c r="N8085" i="1"/>
  <c r="N8086" i="1"/>
  <c r="N8091" i="1"/>
  <c r="N8092" i="1"/>
  <c r="N8093" i="1"/>
  <c r="N8098" i="1"/>
  <c r="N8109" i="1"/>
  <c r="N8115" i="1"/>
  <c r="N8116" i="1"/>
  <c r="N8121" i="1"/>
  <c r="N8130" i="1"/>
  <c r="N8131" i="1"/>
  <c r="N8132" i="1"/>
  <c r="N8139" i="1"/>
  <c r="N8144" i="1"/>
  <c r="N8145" i="1"/>
  <c r="N8146" i="1"/>
  <c r="N8151" i="1"/>
  <c r="N8159" i="1"/>
  <c r="N8167" i="1"/>
  <c r="N8168" i="1"/>
  <c r="N8169" i="1"/>
  <c r="N8175" i="1"/>
  <c r="N8176" i="1"/>
  <c r="N8184" i="1"/>
  <c r="N8185" i="1"/>
  <c r="N8186" i="1"/>
  <c r="N8190" i="1"/>
  <c r="N8196" i="1"/>
  <c r="N8203" i="1"/>
  <c r="N8204" i="1"/>
  <c r="N8214" i="1"/>
  <c r="N8215" i="1"/>
  <c r="N8228" i="1"/>
  <c r="N8229" i="1"/>
  <c r="N8233" i="1"/>
  <c r="N8234" i="1"/>
  <c r="N8235" i="1"/>
  <c r="N8245" i="1"/>
  <c r="N8253" i="1"/>
  <c r="N8254" i="1"/>
  <c r="N8278" i="1"/>
  <c r="N38" i="1"/>
  <c r="N39" i="1"/>
  <c r="N41" i="1"/>
  <c r="N42" i="1"/>
  <c r="N43" i="1"/>
  <c r="N44" i="1"/>
  <c r="N45" i="1"/>
  <c r="N46" i="1"/>
  <c r="N47" i="1"/>
  <c r="N48" i="1"/>
  <c r="N52" i="1"/>
  <c r="N53" i="1"/>
  <c r="N54" i="1"/>
  <c r="N55" i="1"/>
  <c r="N56" i="1"/>
  <c r="N57" i="1"/>
  <c r="N58" i="1"/>
  <c r="N59" i="1"/>
  <c r="N60" i="1"/>
  <c r="N62" i="1"/>
  <c r="N63" i="1"/>
  <c r="N64" i="1"/>
  <c r="N65" i="1"/>
  <c r="N66" i="1"/>
  <c r="N67" i="1"/>
  <c r="N68" i="1"/>
  <c r="N69" i="1"/>
  <c r="N70" i="1"/>
  <c r="N74" i="1"/>
  <c r="N75" i="1"/>
  <c r="N76" i="1"/>
  <c r="N77" i="1"/>
  <c r="N78" i="1"/>
  <c r="N80" i="1"/>
  <c r="N81" i="1"/>
  <c r="N82" i="1"/>
  <c r="N83" i="1"/>
  <c r="N84" i="1"/>
  <c r="N85" i="1"/>
  <c r="N86" i="1"/>
  <c r="N87" i="1"/>
  <c r="N90" i="1"/>
  <c r="N91" i="1"/>
  <c r="N92" i="1"/>
  <c r="N93" i="1"/>
  <c r="N96" i="1"/>
  <c r="N97" i="1"/>
  <c r="N98" i="1"/>
  <c r="N99" i="1"/>
  <c r="N100" i="1"/>
  <c r="N101" i="1"/>
  <c r="N102" i="1"/>
  <c r="N103" i="1"/>
  <c r="N106" i="1"/>
  <c r="N107" i="1"/>
  <c r="N108" i="1"/>
  <c r="N109" i="1"/>
  <c r="N110" i="1"/>
  <c r="N111" i="1"/>
  <c r="N112" i="1"/>
  <c r="N113" i="1"/>
  <c r="N114" i="1"/>
  <c r="N115" i="1"/>
  <c r="N117" i="1"/>
  <c r="N118" i="1"/>
  <c r="N119" i="1"/>
  <c r="N120" i="1"/>
  <c r="N121" i="1"/>
  <c r="N122" i="1"/>
  <c r="N123" i="1"/>
  <c r="N125" i="1"/>
  <c r="N126" i="1"/>
  <c r="N127" i="1"/>
  <c r="N128" i="1"/>
  <c r="N130" i="1"/>
  <c r="N131" i="1"/>
  <c r="N134" i="1"/>
  <c r="N135" i="1"/>
  <c r="N136" i="1"/>
  <c r="N137" i="1"/>
  <c r="N138" i="1"/>
  <c r="N139" i="1"/>
  <c r="N140" i="1"/>
  <c r="N141" i="1"/>
  <c r="N142" i="1"/>
  <c r="N145" i="1"/>
  <c r="N146" i="1"/>
  <c r="N148" i="1"/>
  <c r="N149" i="1"/>
  <c r="N150" i="1"/>
  <c r="N151" i="1"/>
  <c r="N153" i="1"/>
  <c r="N154" i="1"/>
  <c r="N155" i="1"/>
  <c r="N156" i="1"/>
  <c r="N157" i="1"/>
  <c r="N158" i="1"/>
  <c r="N161" i="1"/>
  <c r="N162" i="1"/>
  <c r="N163" i="1"/>
  <c r="N164" i="1"/>
  <c r="N165" i="1"/>
  <c r="N166" i="1"/>
  <c r="N167" i="1"/>
  <c r="N168" i="1"/>
  <c r="N170" i="1"/>
  <c r="N171" i="1"/>
  <c r="N172" i="1"/>
  <c r="N173" i="1"/>
  <c r="N174" i="1"/>
  <c r="N177" i="1"/>
  <c r="N178" i="1"/>
  <c r="N179" i="1"/>
  <c r="N180" i="1"/>
  <c r="N181" i="1"/>
  <c r="N182" i="1"/>
  <c r="N183" i="1"/>
  <c r="N184" i="1"/>
  <c r="N186" i="1"/>
  <c r="N187" i="1"/>
  <c r="N188" i="1"/>
  <c r="N189" i="1"/>
  <c r="N192" i="1"/>
  <c r="N193" i="1"/>
  <c r="N194" i="1"/>
  <c r="N197" i="1"/>
  <c r="N198" i="1"/>
  <c r="N199" i="1"/>
  <c r="N200" i="1"/>
  <c r="N203" i="1"/>
  <c r="N204" i="1"/>
  <c r="N205" i="1"/>
  <c r="N208" i="1"/>
  <c r="N209" i="1"/>
  <c r="N210" i="1"/>
  <c r="N211" i="1"/>
  <c r="N212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31" i="1"/>
  <c r="N232" i="1"/>
  <c r="N233" i="1"/>
  <c r="N234" i="1"/>
  <c r="N235" i="1"/>
  <c r="N236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61" i="1"/>
  <c r="N262" i="1"/>
  <c r="N263" i="1"/>
  <c r="N264" i="1"/>
  <c r="N265" i="1"/>
  <c r="N266" i="1"/>
  <c r="N267" i="1"/>
  <c r="N268" i="1"/>
  <c r="N269" i="1"/>
  <c r="N270" i="1"/>
  <c r="N271" i="1"/>
  <c r="N273" i="1"/>
  <c r="N274" i="1"/>
  <c r="N275" i="1"/>
  <c r="N276" i="1"/>
  <c r="N277" i="1"/>
  <c r="N278" i="1"/>
  <c r="N279" i="1"/>
  <c r="N280" i="1"/>
  <c r="N281" i="1"/>
  <c r="N284" i="1"/>
  <c r="N285" i="1"/>
  <c r="N286" i="1"/>
  <c r="N287" i="1"/>
  <c r="N290" i="1"/>
  <c r="N291" i="1"/>
  <c r="N292" i="1"/>
  <c r="N293" i="1"/>
  <c r="N294" i="1"/>
  <c r="N296" i="1"/>
  <c r="N297" i="1"/>
  <c r="N298" i="1"/>
  <c r="N299" i="1"/>
  <c r="N300" i="1"/>
  <c r="N305" i="1"/>
  <c r="N306" i="1"/>
  <c r="N307" i="1"/>
  <c r="N308" i="1"/>
  <c r="N309" i="1"/>
  <c r="N315" i="1"/>
  <c r="N316" i="1"/>
  <c r="N317" i="1"/>
  <c r="N318" i="1"/>
  <c r="N319" i="1"/>
  <c r="N320" i="1"/>
  <c r="N321" i="1"/>
  <c r="N322" i="1"/>
  <c r="N324" i="1"/>
  <c r="N325" i="1"/>
  <c r="N326" i="1"/>
  <c r="N327" i="1"/>
  <c r="N330" i="1"/>
  <c r="N331" i="1"/>
  <c r="N332" i="1"/>
  <c r="N334" i="1"/>
  <c r="N335" i="1"/>
  <c r="N336" i="1"/>
  <c r="N338" i="1"/>
  <c r="N339" i="1"/>
  <c r="N340" i="1"/>
  <c r="N341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3" i="1"/>
  <c r="N364" i="1"/>
  <c r="N365" i="1"/>
  <c r="N366" i="1"/>
  <c r="N367" i="1"/>
  <c r="N368" i="1"/>
  <c r="N369" i="1"/>
  <c r="N370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90" i="1"/>
  <c r="N391" i="1"/>
  <c r="N392" i="1"/>
  <c r="N393" i="1"/>
  <c r="N394" i="1"/>
  <c r="N395" i="1"/>
  <c r="N396" i="1"/>
  <c r="N397" i="1"/>
  <c r="N398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22" i="1"/>
  <c r="N423" i="1"/>
  <c r="N424" i="1"/>
  <c r="N425" i="1"/>
  <c r="N426" i="1"/>
  <c r="N427" i="1"/>
  <c r="N430" i="1"/>
  <c r="N431" i="1"/>
  <c r="N432" i="1"/>
  <c r="N433" i="1"/>
  <c r="N434" i="1"/>
  <c r="N435" i="1"/>
  <c r="N436" i="1"/>
  <c r="N439" i="1"/>
  <c r="N440" i="1"/>
  <c r="N441" i="1"/>
  <c r="N442" i="1"/>
  <c r="N443" i="1"/>
  <c r="N444" i="1"/>
  <c r="N445" i="1"/>
  <c r="N448" i="1"/>
  <c r="N449" i="1"/>
  <c r="N450" i="1"/>
  <c r="N451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71" i="1"/>
  <c r="N472" i="1"/>
  <c r="N473" i="1"/>
  <c r="N474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3" i="1"/>
  <c r="N494" i="1"/>
  <c r="N495" i="1"/>
  <c r="N496" i="1"/>
  <c r="N497" i="1"/>
  <c r="N498" i="1"/>
  <c r="N501" i="1"/>
  <c r="N502" i="1"/>
  <c r="N503" i="1"/>
  <c r="N504" i="1"/>
  <c r="N505" i="1"/>
  <c r="N506" i="1"/>
  <c r="N507" i="1"/>
  <c r="N508" i="1"/>
  <c r="N509" i="1"/>
  <c r="N510" i="1"/>
  <c r="N511" i="1"/>
  <c r="N513" i="1"/>
  <c r="N514" i="1"/>
  <c r="N515" i="1"/>
  <c r="N516" i="1"/>
  <c r="N517" i="1"/>
  <c r="N518" i="1"/>
  <c r="N521" i="1"/>
  <c r="N522" i="1"/>
  <c r="N523" i="1"/>
  <c r="N524" i="1"/>
  <c r="N525" i="1"/>
  <c r="N529" i="1"/>
  <c r="N530" i="1"/>
  <c r="N531" i="1"/>
  <c r="N532" i="1"/>
  <c r="N533" i="1"/>
  <c r="N534" i="1"/>
  <c r="N535" i="1"/>
  <c r="N538" i="1"/>
  <c r="N539" i="1"/>
  <c r="N540" i="1"/>
  <c r="N541" i="1"/>
  <c r="N545" i="1"/>
  <c r="N546" i="1"/>
  <c r="N547" i="1"/>
  <c r="N548" i="1"/>
  <c r="N551" i="1"/>
  <c r="N552" i="1"/>
  <c r="N553" i="1"/>
  <c r="N556" i="1"/>
  <c r="N557" i="1"/>
  <c r="N558" i="1"/>
  <c r="N559" i="1"/>
  <c r="N560" i="1"/>
  <c r="N561" i="1"/>
  <c r="N562" i="1"/>
  <c r="N563" i="1"/>
  <c r="N564" i="1"/>
  <c r="N565" i="1"/>
  <c r="N569" i="1"/>
  <c r="N570" i="1"/>
  <c r="N571" i="1"/>
  <c r="N572" i="1"/>
  <c r="N574" i="1"/>
  <c r="N575" i="1"/>
  <c r="N576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1" i="1"/>
  <c r="N592" i="1"/>
  <c r="N593" i="1"/>
  <c r="N594" i="1"/>
  <c r="N595" i="1"/>
  <c r="N597" i="1"/>
  <c r="N598" i="1"/>
  <c r="N599" i="1"/>
  <c r="N602" i="1"/>
  <c r="N603" i="1"/>
  <c r="N604" i="1"/>
  <c r="N605" i="1"/>
  <c r="N606" i="1"/>
  <c r="N607" i="1"/>
  <c r="N608" i="1"/>
  <c r="N609" i="1"/>
  <c r="N610" i="1"/>
  <c r="N611" i="1"/>
  <c r="N613" i="1"/>
  <c r="N614" i="1"/>
  <c r="N615" i="1"/>
  <c r="N616" i="1"/>
  <c r="N617" i="1"/>
  <c r="N620" i="1"/>
  <c r="N621" i="1"/>
  <c r="N622" i="1"/>
  <c r="N623" i="1"/>
  <c r="N624" i="1"/>
  <c r="N627" i="1"/>
  <c r="N628" i="1"/>
  <c r="N629" i="1"/>
  <c r="N630" i="1"/>
  <c r="N631" i="1"/>
  <c r="N632" i="1"/>
  <c r="N634" i="1"/>
  <c r="N635" i="1"/>
  <c r="N636" i="1"/>
  <c r="N637" i="1"/>
  <c r="N638" i="1"/>
  <c r="N639" i="1"/>
  <c r="N641" i="1"/>
  <c r="N642" i="1"/>
  <c r="N643" i="1"/>
  <c r="N644" i="1"/>
  <c r="N645" i="1"/>
  <c r="N646" i="1"/>
  <c r="N647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6" i="1"/>
  <c r="N667" i="1"/>
  <c r="N668" i="1"/>
  <c r="N669" i="1"/>
  <c r="N670" i="1"/>
  <c r="N671" i="1"/>
  <c r="N672" i="1"/>
  <c r="N673" i="1"/>
  <c r="N674" i="1"/>
  <c r="N675" i="1"/>
  <c r="N677" i="1"/>
  <c r="N678" i="1"/>
  <c r="N679" i="1"/>
  <c r="N680" i="1"/>
  <c r="N681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5" i="1"/>
  <c r="N716" i="1"/>
  <c r="N717" i="1"/>
  <c r="N718" i="1"/>
  <c r="N719" i="1"/>
  <c r="N720" i="1"/>
  <c r="N721" i="1"/>
  <c r="N722" i="1"/>
  <c r="N725" i="1"/>
  <c r="N726" i="1"/>
  <c r="N727" i="1"/>
  <c r="N728" i="1"/>
  <c r="N729" i="1"/>
  <c r="N730" i="1"/>
  <c r="N731" i="1"/>
  <c r="N732" i="1"/>
  <c r="N735" i="1"/>
  <c r="N736" i="1"/>
  <c r="N737" i="1"/>
  <c r="N738" i="1"/>
  <c r="N739" i="1"/>
  <c r="N744" i="1"/>
  <c r="N745" i="1"/>
  <c r="N746" i="1"/>
  <c r="N747" i="1"/>
  <c r="N748" i="1"/>
  <c r="N749" i="1"/>
  <c r="N750" i="1"/>
  <c r="N752" i="1"/>
  <c r="N753" i="1"/>
  <c r="N754" i="1"/>
  <c r="N757" i="1"/>
  <c r="N758" i="1"/>
  <c r="N759" i="1"/>
  <c r="N760" i="1"/>
  <c r="N761" i="1"/>
  <c r="N762" i="1"/>
  <c r="N765" i="1"/>
  <c r="N766" i="1"/>
  <c r="N767" i="1"/>
  <c r="N768" i="1"/>
  <c r="N769" i="1"/>
  <c r="N770" i="1"/>
  <c r="N771" i="1"/>
  <c r="N772" i="1"/>
  <c r="N775" i="1"/>
  <c r="N776" i="1"/>
  <c r="N777" i="1"/>
  <c r="N778" i="1"/>
  <c r="N779" i="1"/>
  <c r="N780" i="1"/>
  <c r="N781" i="1"/>
  <c r="N783" i="1"/>
  <c r="N784" i="1"/>
  <c r="N785" i="1"/>
  <c r="N786" i="1"/>
  <c r="N787" i="1"/>
  <c r="N788" i="1"/>
  <c r="N790" i="1"/>
  <c r="N791" i="1"/>
  <c r="N792" i="1"/>
  <c r="N793" i="1"/>
  <c r="N794" i="1"/>
  <c r="N795" i="1"/>
  <c r="N799" i="1"/>
  <c r="N800" i="1"/>
  <c r="N801" i="1"/>
  <c r="N802" i="1"/>
  <c r="N803" i="1"/>
  <c r="N804" i="1"/>
  <c r="N805" i="1"/>
  <c r="N806" i="1"/>
  <c r="N807" i="1"/>
  <c r="N808" i="1"/>
  <c r="N810" i="1"/>
  <c r="N811" i="1"/>
  <c r="N812" i="1"/>
  <c r="N813" i="1"/>
  <c r="N814" i="1"/>
  <c r="N818" i="1"/>
  <c r="N819" i="1"/>
  <c r="N820" i="1"/>
  <c r="N821" i="1"/>
  <c r="N822" i="1"/>
  <c r="N823" i="1"/>
  <c r="N824" i="1"/>
  <c r="N825" i="1"/>
  <c r="N826" i="1"/>
  <c r="N827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50" i="1"/>
  <c r="N851" i="1"/>
  <c r="N852" i="1"/>
  <c r="N853" i="1"/>
  <c r="N854" i="1"/>
  <c r="N855" i="1"/>
  <c r="N856" i="1"/>
  <c r="N857" i="1"/>
  <c r="N859" i="1"/>
  <c r="N860" i="1"/>
  <c r="N861" i="1"/>
  <c r="N862" i="1"/>
  <c r="N863" i="1"/>
  <c r="N864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80" i="1"/>
  <c r="N881" i="1"/>
  <c r="N882" i="1"/>
  <c r="N883" i="1"/>
  <c r="N884" i="1"/>
  <c r="N888" i="1"/>
  <c r="N889" i="1"/>
  <c r="N890" i="1"/>
  <c r="N891" i="1"/>
  <c r="N892" i="1"/>
  <c r="N893" i="1"/>
  <c r="N895" i="1"/>
  <c r="N896" i="1"/>
  <c r="N898" i="1"/>
  <c r="N899" i="1"/>
  <c r="N900" i="1"/>
  <c r="N901" i="1"/>
  <c r="N902" i="1"/>
  <c r="N903" i="1"/>
  <c r="N904" i="1"/>
  <c r="N910" i="1"/>
  <c r="N911" i="1"/>
  <c r="N913" i="1"/>
  <c r="N916" i="1"/>
  <c r="N917" i="1"/>
  <c r="N918" i="1"/>
  <c r="N919" i="1"/>
  <c r="N920" i="1"/>
  <c r="N921" i="1"/>
  <c r="N922" i="1"/>
  <c r="N924" i="1"/>
  <c r="N925" i="1"/>
  <c r="N926" i="1"/>
  <c r="N927" i="1"/>
  <c r="N928" i="1"/>
  <c r="N929" i="1"/>
  <c r="N930" i="1"/>
  <c r="N931" i="1"/>
  <c r="N932" i="1"/>
  <c r="N933" i="1"/>
  <c r="N934" i="1"/>
  <c r="N939" i="1"/>
  <c r="N940" i="1"/>
  <c r="N941" i="1"/>
  <c r="N942" i="1"/>
  <c r="N943" i="1"/>
  <c r="N944" i="1"/>
  <c r="N949" i="1"/>
  <c r="N950" i="1"/>
  <c r="N951" i="1"/>
  <c r="N952" i="1"/>
  <c r="N953" i="1"/>
  <c r="N954" i="1"/>
  <c r="N955" i="1"/>
  <c r="N956" i="1"/>
  <c r="N959" i="1"/>
  <c r="N960" i="1"/>
  <c r="N961" i="1"/>
  <c r="N962" i="1"/>
  <c r="N963" i="1"/>
  <c r="N964" i="1"/>
  <c r="N965" i="1"/>
  <c r="N966" i="1"/>
  <c r="N967" i="1"/>
  <c r="N970" i="1"/>
  <c r="N971" i="1"/>
  <c r="N972" i="1"/>
  <c r="N973" i="1"/>
  <c r="N974" i="1"/>
  <c r="N978" i="1"/>
  <c r="N979" i="1"/>
  <c r="N980" i="1"/>
  <c r="N981" i="1"/>
  <c r="N982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7" i="1"/>
  <c r="N1008" i="1"/>
  <c r="N1009" i="1"/>
  <c r="N1010" i="1"/>
  <c r="N1011" i="1"/>
  <c r="N1012" i="1"/>
  <c r="N1014" i="1"/>
  <c r="N1015" i="1"/>
  <c r="N1016" i="1"/>
  <c r="N1017" i="1"/>
  <c r="N1018" i="1"/>
  <c r="N1019" i="1"/>
  <c r="N1023" i="1"/>
  <c r="N1024" i="1"/>
  <c r="N1025" i="1"/>
  <c r="N1026" i="1"/>
  <c r="N1027" i="1"/>
  <c r="N1030" i="1"/>
  <c r="N1031" i="1"/>
  <c r="N1032" i="1"/>
  <c r="N1033" i="1"/>
  <c r="N1034" i="1"/>
  <c r="N1035" i="1"/>
  <c r="N1037" i="1"/>
  <c r="N1038" i="1"/>
  <c r="N1039" i="1"/>
  <c r="N1040" i="1"/>
  <c r="N1041" i="1"/>
  <c r="N1042" i="1"/>
  <c r="N1043" i="1"/>
  <c r="N1045" i="1"/>
  <c r="N1046" i="1"/>
  <c r="N1047" i="1"/>
  <c r="N1048" i="1"/>
  <c r="N1049" i="1"/>
  <c r="N1050" i="1"/>
  <c r="N1051" i="1"/>
  <c r="N1052" i="1"/>
  <c r="N1053" i="1"/>
  <c r="N1054" i="1"/>
  <c r="N1059" i="1"/>
  <c r="N1060" i="1"/>
  <c r="N1061" i="1"/>
  <c r="N1062" i="1"/>
  <c r="N1063" i="1"/>
  <c r="N1066" i="1"/>
  <c r="N1067" i="1"/>
  <c r="N1068" i="1"/>
  <c r="N1069" i="1"/>
  <c r="N1070" i="1"/>
  <c r="N1072" i="1"/>
  <c r="N1073" i="1"/>
  <c r="N1074" i="1"/>
  <c r="N1075" i="1"/>
  <c r="N1076" i="1"/>
  <c r="N1077" i="1"/>
  <c r="N1078" i="1"/>
  <c r="N1079" i="1"/>
  <c r="N1082" i="1"/>
  <c r="N1083" i="1"/>
  <c r="N1086" i="1"/>
  <c r="N1087" i="1"/>
  <c r="N1088" i="1"/>
  <c r="N1089" i="1"/>
  <c r="N1090" i="1"/>
  <c r="N1091" i="1"/>
  <c r="N1092" i="1"/>
  <c r="N1093" i="1"/>
  <c r="N1094" i="1"/>
  <c r="N1095" i="1"/>
  <c r="N1096" i="1"/>
  <c r="N1098" i="1"/>
  <c r="N1099" i="1"/>
  <c r="N1100" i="1"/>
  <c r="N1101" i="1"/>
  <c r="N1102" i="1"/>
  <c r="N1103" i="1"/>
  <c r="N1104" i="1"/>
  <c r="N1106" i="1"/>
  <c r="N1107" i="1"/>
  <c r="N1108" i="1"/>
  <c r="N1109" i="1"/>
  <c r="N1110" i="1"/>
  <c r="N1111" i="1"/>
  <c r="N1112" i="1"/>
  <c r="N1113" i="1"/>
  <c r="N1116" i="1"/>
  <c r="N1117" i="1"/>
  <c r="N1118" i="1"/>
  <c r="N1119" i="1"/>
  <c r="N1120" i="1"/>
  <c r="N1121" i="1"/>
  <c r="N1126" i="1"/>
  <c r="N1127" i="1"/>
  <c r="N1128" i="1"/>
  <c r="N1129" i="1"/>
  <c r="N1133" i="1"/>
  <c r="N1134" i="1"/>
  <c r="N1135" i="1"/>
  <c r="N1136" i="1"/>
  <c r="N1137" i="1"/>
  <c r="N1138" i="1"/>
  <c r="N1140" i="1"/>
  <c r="N1141" i="1"/>
  <c r="N1142" i="1"/>
  <c r="N1146" i="1"/>
  <c r="N1147" i="1"/>
  <c r="N1148" i="1"/>
  <c r="N1149" i="1"/>
  <c r="N1150" i="1"/>
  <c r="N1152" i="1"/>
  <c r="N1153" i="1"/>
  <c r="N1154" i="1"/>
  <c r="N1155" i="1"/>
  <c r="N1156" i="1"/>
  <c r="N1157" i="1"/>
  <c r="N1158" i="1"/>
  <c r="N1162" i="1"/>
  <c r="N1163" i="1"/>
  <c r="N1164" i="1"/>
  <c r="N1165" i="1"/>
  <c r="N1166" i="1"/>
  <c r="N1167" i="1"/>
  <c r="N1168" i="1"/>
  <c r="N1169" i="1"/>
  <c r="N1170" i="1"/>
  <c r="N1174" i="1"/>
  <c r="N1175" i="1"/>
  <c r="N1176" i="1"/>
  <c r="N1177" i="1"/>
  <c r="N1178" i="1"/>
  <c r="N1179" i="1"/>
  <c r="N1182" i="1"/>
  <c r="N1183" i="1"/>
  <c r="N1184" i="1"/>
  <c r="N1185" i="1"/>
  <c r="N1187" i="1"/>
  <c r="N1188" i="1"/>
  <c r="N1189" i="1"/>
  <c r="N1190" i="1"/>
  <c r="N1191" i="1"/>
  <c r="N1192" i="1"/>
  <c r="N1193" i="1"/>
  <c r="N1198" i="1"/>
  <c r="N1199" i="1"/>
  <c r="N1200" i="1"/>
  <c r="N1201" i="1"/>
  <c r="N1202" i="1"/>
  <c r="N1203" i="1"/>
  <c r="N1204" i="1"/>
  <c r="N1205" i="1"/>
  <c r="N1206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3" i="1"/>
  <c r="N1224" i="1"/>
  <c r="N1225" i="1"/>
  <c r="N1226" i="1"/>
  <c r="N1227" i="1"/>
  <c r="N1228" i="1"/>
  <c r="N1229" i="1"/>
  <c r="N1232" i="1"/>
  <c r="N1233" i="1"/>
  <c r="N1234" i="1"/>
  <c r="N1235" i="1"/>
  <c r="N1236" i="1"/>
  <c r="N1237" i="1"/>
  <c r="N1239" i="1"/>
  <c r="N1240" i="1"/>
  <c r="N1241" i="1"/>
  <c r="N1242" i="1"/>
  <c r="N1243" i="1"/>
  <c r="N1244" i="1"/>
  <c r="N1245" i="1"/>
  <c r="N1246" i="1"/>
  <c r="N1248" i="1"/>
  <c r="N1249" i="1"/>
  <c r="N1250" i="1"/>
  <c r="N1251" i="1"/>
  <c r="N1252" i="1"/>
  <c r="N1253" i="1"/>
  <c r="N1254" i="1"/>
  <c r="N1255" i="1"/>
  <c r="N1257" i="1"/>
  <c r="N1258" i="1"/>
  <c r="N1259" i="1"/>
  <c r="N1260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6" i="1"/>
  <c r="N1297" i="1"/>
  <c r="N1298" i="1"/>
  <c r="N1299" i="1"/>
  <c r="N1300" i="1"/>
  <c r="N1301" i="1"/>
  <c r="N1302" i="1"/>
  <c r="N1303" i="1"/>
  <c r="N1305" i="1"/>
  <c r="N1306" i="1"/>
  <c r="N1307" i="1"/>
  <c r="N1310" i="1"/>
  <c r="N1311" i="1"/>
  <c r="N1312" i="1"/>
  <c r="N1313" i="1"/>
  <c r="N1314" i="1"/>
  <c r="N1316" i="1"/>
  <c r="N1317" i="1"/>
  <c r="N1318" i="1"/>
  <c r="N1319" i="1"/>
  <c r="N1320" i="1"/>
  <c r="N1322" i="1"/>
  <c r="N1323" i="1"/>
  <c r="N1324" i="1"/>
  <c r="N1325" i="1"/>
  <c r="N1327" i="1"/>
  <c r="N1328" i="1"/>
  <c r="N1329" i="1"/>
  <c r="N1330" i="1"/>
  <c r="N1331" i="1"/>
  <c r="N1334" i="1"/>
  <c r="N1335" i="1"/>
  <c r="N1336" i="1"/>
  <c r="N1337" i="1"/>
  <c r="N1338" i="1"/>
  <c r="N1339" i="1"/>
  <c r="N1340" i="1"/>
  <c r="N1342" i="1"/>
  <c r="N1343" i="1"/>
  <c r="N1344" i="1"/>
  <c r="N1345" i="1"/>
  <c r="N1346" i="1"/>
  <c r="N1347" i="1"/>
  <c r="N1348" i="1"/>
  <c r="N1349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8" i="1"/>
  <c r="N1369" i="1"/>
  <c r="N1370" i="1"/>
  <c r="N1371" i="1"/>
  <c r="N1372" i="1"/>
  <c r="N1373" i="1"/>
  <c r="N1374" i="1"/>
  <c r="N1376" i="1"/>
  <c r="N1377" i="1"/>
  <c r="N1378" i="1"/>
  <c r="N1379" i="1"/>
  <c r="N1380" i="1"/>
  <c r="N1381" i="1"/>
  <c r="N1382" i="1"/>
  <c r="N1383" i="1"/>
  <c r="N1384" i="1"/>
  <c r="N1386" i="1"/>
  <c r="N1387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10" i="1"/>
  <c r="N1411" i="1"/>
  <c r="N1412" i="1"/>
  <c r="N1413" i="1"/>
  <c r="N1414" i="1"/>
  <c r="N1415" i="1"/>
  <c r="N1416" i="1"/>
  <c r="N1419" i="1"/>
  <c r="N1420" i="1"/>
  <c r="N1421" i="1"/>
  <c r="N1422" i="1"/>
  <c r="N1423" i="1"/>
  <c r="N1424" i="1"/>
  <c r="N1425" i="1"/>
  <c r="N1426" i="1"/>
  <c r="N1427" i="1"/>
  <c r="N1428" i="1"/>
  <c r="N1430" i="1"/>
  <c r="N1431" i="1"/>
  <c r="N1432" i="1"/>
  <c r="N1433" i="1"/>
  <c r="N1434" i="1"/>
  <c r="N1435" i="1"/>
  <c r="N1436" i="1"/>
  <c r="N1437" i="1"/>
  <c r="N1439" i="1"/>
  <c r="N1440" i="1"/>
  <c r="N1441" i="1"/>
  <c r="N1442" i="1"/>
  <c r="N1443" i="1"/>
  <c r="N1444" i="1"/>
  <c r="N1445" i="1"/>
  <c r="N1448" i="1"/>
  <c r="N1449" i="1"/>
  <c r="N1450" i="1"/>
  <c r="N1451" i="1"/>
  <c r="N1452" i="1"/>
  <c r="N1453" i="1"/>
  <c r="N1454" i="1"/>
  <c r="N1456" i="1"/>
  <c r="N1457" i="1"/>
  <c r="N1458" i="1"/>
  <c r="N1459" i="1"/>
  <c r="N1460" i="1"/>
  <c r="N1461" i="1"/>
  <c r="N1464" i="1"/>
  <c r="N1465" i="1"/>
  <c r="N1466" i="1"/>
  <c r="N1467" i="1"/>
  <c r="N1469" i="1"/>
  <c r="N1470" i="1"/>
  <c r="N1471" i="1"/>
  <c r="N1472" i="1"/>
  <c r="N1473" i="1"/>
  <c r="N1477" i="1"/>
  <c r="N1478" i="1"/>
  <c r="N1479" i="1"/>
  <c r="N1480" i="1"/>
  <c r="N1481" i="1"/>
  <c r="N1484" i="1"/>
  <c r="N1485" i="1"/>
  <c r="N1486" i="1"/>
  <c r="N1487" i="1"/>
  <c r="N1489" i="1"/>
  <c r="N1490" i="1"/>
  <c r="N1491" i="1"/>
  <c r="N1492" i="1"/>
  <c r="N1493" i="1"/>
  <c r="N1494" i="1"/>
  <c r="N1497" i="1"/>
  <c r="N1498" i="1"/>
  <c r="N1499" i="1"/>
  <c r="N1500" i="1"/>
  <c r="N1501" i="1"/>
  <c r="N1502" i="1"/>
  <c r="N1503" i="1"/>
  <c r="N1504" i="1"/>
  <c r="N1506" i="1"/>
  <c r="N1509" i="1"/>
  <c r="N1510" i="1"/>
  <c r="N1511" i="1"/>
  <c r="N1512" i="1"/>
  <c r="N1515" i="1"/>
  <c r="N1516" i="1"/>
  <c r="N1517" i="1"/>
  <c r="N1518" i="1"/>
  <c r="N1519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41" i="1"/>
  <c r="N1542" i="1"/>
  <c r="N1543" i="1"/>
  <c r="N1544" i="1"/>
  <c r="N1545" i="1"/>
  <c r="N1546" i="1"/>
  <c r="N1547" i="1"/>
  <c r="N1548" i="1"/>
  <c r="N1549" i="1"/>
  <c r="N1550" i="1"/>
  <c r="N1553" i="1"/>
  <c r="N1554" i="1"/>
  <c r="N1555" i="1"/>
  <c r="N1556" i="1"/>
  <c r="N1557" i="1"/>
  <c r="N1558" i="1"/>
  <c r="N1561" i="1"/>
  <c r="N1562" i="1"/>
  <c r="N1563" i="1"/>
  <c r="N1564" i="1"/>
  <c r="N1565" i="1"/>
  <c r="N1566" i="1"/>
  <c r="N1567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9" i="1"/>
  <c r="N1590" i="1"/>
  <c r="N1591" i="1"/>
  <c r="N1592" i="1"/>
  <c r="N1593" i="1"/>
  <c r="N1594" i="1"/>
  <c r="N1595" i="1"/>
  <c r="N1596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7" i="1"/>
  <c r="N1618" i="1"/>
  <c r="N1619" i="1"/>
  <c r="N1620" i="1"/>
  <c r="N1621" i="1"/>
  <c r="N1622" i="1"/>
  <c r="N1623" i="1"/>
  <c r="N1625" i="1"/>
  <c r="N1626" i="1"/>
  <c r="N1627" i="1"/>
  <c r="N1628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6" i="1"/>
  <c r="N1647" i="1"/>
  <c r="N1648" i="1"/>
  <c r="N1649" i="1"/>
  <c r="N1650" i="1"/>
  <c r="N1651" i="1"/>
  <c r="N1652" i="1"/>
  <c r="N1653" i="1"/>
  <c r="N1654" i="1"/>
  <c r="N1657" i="1"/>
  <c r="N1658" i="1"/>
  <c r="N1659" i="1"/>
  <c r="N1660" i="1"/>
  <c r="N1661" i="1"/>
  <c r="N1662" i="1"/>
  <c r="N1663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80" i="1"/>
  <c r="N1681" i="1"/>
  <c r="N1682" i="1"/>
  <c r="N1683" i="1"/>
  <c r="N1684" i="1"/>
  <c r="N1685" i="1"/>
  <c r="N1687" i="1"/>
  <c r="N1688" i="1"/>
  <c r="N1689" i="1"/>
  <c r="N1690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7" i="1"/>
  <c r="N1708" i="1"/>
  <c r="N1709" i="1"/>
  <c r="N1710" i="1"/>
  <c r="N1711" i="1"/>
  <c r="N1712" i="1"/>
  <c r="N1713" i="1"/>
  <c r="N1714" i="1"/>
  <c r="N1715" i="1"/>
  <c r="N1718" i="1"/>
  <c r="N1719" i="1"/>
  <c r="N1720" i="1"/>
  <c r="N1723" i="1"/>
  <c r="N1724" i="1"/>
  <c r="N1725" i="1"/>
  <c r="N1726" i="1"/>
  <c r="N1728" i="1"/>
  <c r="N1729" i="1"/>
  <c r="N1730" i="1"/>
  <c r="N1732" i="1"/>
  <c r="N1733" i="1"/>
  <c r="N1734" i="1"/>
  <c r="N1735" i="1"/>
  <c r="N1736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3" i="1"/>
  <c r="N1774" i="1"/>
  <c r="N1775" i="1"/>
  <c r="N1776" i="1"/>
  <c r="N1777" i="1"/>
  <c r="N1778" i="1"/>
  <c r="N1779" i="1"/>
  <c r="N1780" i="1"/>
  <c r="N1783" i="1"/>
  <c r="N1784" i="1"/>
  <c r="N1785" i="1"/>
  <c r="N1788" i="1"/>
  <c r="N1789" i="1"/>
  <c r="N1790" i="1"/>
  <c r="N1791" i="1"/>
  <c r="N1792" i="1"/>
  <c r="N1793" i="1"/>
  <c r="N1794" i="1"/>
  <c r="N1795" i="1"/>
  <c r="N1796" i="1"/>
  <c r="N1797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30" i="1"/>
  <c r="N1831" i="1"/>
  <c r="N1832" i="1"/>
  <c r="N1833" i="1"/>
  <c r="N1834" i="1"/>
  <c r="N1835" i="1"/>
  <c r="N1838" i="1"/>
  <c r="N1839" i="1"/>
  <c r="N1847" i="1"/>
  <c r="N1848" i="1"/>
  <c r="N1850" i="1"/>
  <c r="N1851" i="1"/>
  <c r="N1852" i="1"/>
  <c r="N1853" i="1"/>
  <c r="N1854" i="1"/>
  <c r="N1855" i="1"/>
  <c r="N1857" i="1"/>
  <c r="N1858" i="1"/>
  <c r="N1859" i="1"/>
  <c r="N1860" i="1"/>
  <c r="N1861" i="1"/>
  <c r="N1863" i="1"/>
  <c r="N1864" i="1"/>
  <c r="N1865" i="1"/>
  <c r="N1866" i="1"/>
  <c r="N1867" i="1"/>
  <c r="N1868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9" i="1"/>
  <c r="N1910" i="1"/>
  <c r="N1911" i="1"/>
  <c r="N1912" i="1"/>
  <c r="N1913" i="1"/>
  <c r="N1914" i="1"/>
  <c r="N1915" i="1"/>
  <c r="N1916" i="1"/>
  <c r="N1917" i="1"/>
  <c r="N1918" i="1"/>
  <c r="N1919" i="1"/>
  <c r="N1923" i="1"/>
  <c r="N1924" i="1"/>
  <c r="N1925" i="1"/>
  <c r="N1929" i="1"/>
  <c r="N1930" i="1"/>
  <c r="N1931" i="1"/>
  <c r="N1932" i="1"/>
  <c r="N1933" i="1"/>
  <c r="N1934" i="1"/>
  <c r="N1938" i="1"/>
  <c r="N1939" i="1"/>
  <c r="N1940" i="1"/>
  <c r="N1941" i="1"/>
  <c r="N1942" i="1"/>
  <c r="N1944" i="1"/>
  <c r="N1945" i="1"/>
  <c r="N1946" i="1"/>
  <c r="N1947" i="1"/>
  <c r="N1949" i="1"/>
  <c r="N1950" i="1"/>
  <c r="N1951" i="1"/>
  <c r="N1952" i="1"/>
  <c r="N1953" i="1"/>
  <c r="N1954" i="1"/>
  <c r="N1955" i="1"/>
  <c r="N1957" i="1"/>
  <c r="N1958" i="1"/>
  <c r="N1959" i="1"/>
  <c r="N1960" i="1"/>
  <c r="N1961" i="1"/>
  <c r="N1962" i="1"/>
  <c r="N1964" i="1"/>
  <c r="N1965" i="1"/>
  <c r="N1966" i="1"/>
  <c r="N1967" i="1"/>
  <c r="N1968" i="1"/>
  <c r="N1969" i="1"/>
  <c r="N1970" i="1"/>
  <c r="N1971" i="1"/>
  <c r="N1975" i="1"/>
  <c r="N1976" i="1"/>
  <c r="N1977" i="1"/>
  <c r="N1978" i="1"/>
  <c r="N1979" i="1"/>
  <c r="N1980" i="1"/>
  <c r="N1981" i="1"/>
  <c r="N1982" i="1"/>
  <c r="N1983" i="1"/>
  <c r="N1984" i="1"/>
  <c r="N1987" i="1"/>
  <c r="N1988" i="1"/>
  <c r="N1989" i="1"/>
  <c r="N1990" i="1"/>
  <c r="N1991" i="1"/>
  <c r="N1992" i="1"/>
  <c r="N1993" i="1"/>
  <c r="N1996" i="1"/>
  <c r="N1997" i="1"/>
  <c r="N1998" i="1"/>
  <c r="N1999" i="1"/>
  <c r="N2000" i="1"/>
  <c r="N2001" i="1"/>
  <c r="N2002" i="1"/>
  <c r="N2003" i="1"/>
  <c r="N2006" i="1"/>
  <c r="N2007" i="1"/>
  <c r="N2008" i="1"/>
  <c r="N2009" i="1"/>
  <c r="N2010" i="1"/>
  <c r="N2011" i="1"/>
  <c r="N2012" i="1"/>
  <c r="N2013" i="1"/>
  <c r="N2017" i="1"/>
  <c r="N2018" i="1"/>
  <c r="N2019" i="1"/>
  <c r="N2020" i="1"/>
  <c r="N2021" i="1"/>
  <c r="N2022" i="1"/>
  <c r="N2023" i="1"/>
  <c r="N2024" i="1"/>
  <c r="N2025" i="1"/>
  <c r="N2030" i="1"/>
  <c r="N2031" i="1"/>
  <c r="N2032" i="1"/>
  <c r="N2033" i="1"/>
  <c r="N2034" i="1"/>
  <c r="N2035" i="1"/>
  <c r="N2036" i="1"/>
  <c r="N2037" i="1"/>
  <c r="N2038" i="1"/>
  <c r="N2040" i="1"/>
  <c r="N2041" i="1"/>
  <c r="N2042" i="1"/>
  <c r="N2043" i="1"/>
  <c r="N2044" i="1"/>
  <c r="N2045" i="1"/>
  <c r="N2046" i="1"/>
  <c r="N2047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7" i="1"/>
  <c r="N2088" i="1"/>
  <c r="N2089" i="1"/>
  <c r="N2090" i="1"/>
  <c r="N2091" i="1"/>
  <c r="N2092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11" i="1"/>
  <c r="N2112" i="1"/>
  <c r="N2113" i="1"/>
  <c r="N2114" i="1"/>
  <c r="N2115" i="1"/>
  <c r="N2116" i="1"/>
  <c r="N2117" i="1"/>
  <c r="N2118" i="1"/>
  <c r="N2119" i="1"/>
  <c r="N2122" i="1"/>
  <c r="N2123" i="1"/>
  <c r="N2124" i="1"/>
  <c r="N2125" i="1"/>
  <c r="N2126" i="1"/>
  <c r="N2127" i="1"/>
  <c r="N2128" i="1"/>
  <c r="N2129" i="1"/>
  <c r="N2131" i="1"/>
  <c r="N2132" i="1"/>
  <c r="N2133" i="1"/>
  <c r="N2134" i="1"/>
  <c r="N2135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6" i="1"/>
  <c r="N2157" i="1"/>
  <c r="N2158" i="1"/>
  <c r="N2159" i="1"/>
  <c r="N2160" i="1"/>
  <c r="N2161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9" i="1"/>
  <c r="N2180" i="1"/>
  <c r="N2181" i="1"/>
  <c r="N2182" i="1"/>
  <c r="N2183" i="1"/>
  <c r="N2184" i="1"/>
  <c r="N2186" i="1"/>
  <c r="N2187" i="1"/>
  <c r="N2188" i="1"/>
  <c r="N2189" i="1"/>
  <c r="N2190" i="1"/>
  <c r="N2191" i="1"/>
  <c r="N2192" i="1"/>
  <c r="N2194" i="1"/>
  <c r="N2195" i="1"/>
  <c r="N2196" i="1"/>
  <c r="N2197" i="1"/>
  <c r="N2198" i="1"/>
  <c r="N2199" i="1"/>
  <c r="N2200" i="1"/>
  <c r="N2205" i="1"/>
  <c r="N2206" i="1"/>
  <c r="N2207" i="1"/>
  <c r="N2208" i="1"/>
  <c r="N2215" i="1"/>
  <c r="N2216" i="1"/>
  <c r="N2217" i="1"/>
  <c r="N2218" i="1"/>
  <c r="N2219" i="1"/>
  <c r="N2222" i="1"/>
  <c r="N2223" i="1"/>
  <c r="N2224" i="1"/>
  <c r="N2225" i="1"/>
  <c r="N2226" i="1"/>
  <c r="N2227" i="1"/>
  <c r="N2228" i="1"/>
  <c r="N2229" i="1"/>
  <c r="N2230" i="1"/>
  <c r="N2231" i="1"/>
  <c r="N2232" i="1"/>
  <c r="N2235" i="1"/>
  <c r="N2236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3" i="1"/>
  <c r="N2274" i="1"/>
  <c r="N2275" i="1"/>
  <c r="N2276" i="1"/>
  <c r="N2277" i="1"/>
  <c r="N2282" i="1"/>
  <c r="N2283" i="1"/>
  <c r="N2284" i="1"/>
  <c r="N2285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2" i="1"/>
  <c r="N2303" i="1"/>
  <c r="N2304" i="1"/>
  <c r="N2305" i="1"/>
  <c r="N2306" i="1"/>
  <c r="N2307" i="1"/>
  <c r="N2308" i="1"/>
  <c r="N2309" i="1"/>
  <c r="N2310" i="1"/>
  <c r="N2311" i="1"/>
  <c r="N2312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8" i="1"/>
  <c r="N2329" i="1"/>
  <c r="N2330" i="1"/>
  <c r="N2331" i="1"/>
  <c r="N2332" i="1"/>
  <c r="N2333" i="1"/>
  <c r="N2336" i="1"/>
  <c r="N2337" i="1"/>
  <c r="N2338" i="1"/>
  <c r="N2341" i="1"/>
  <c r="N2342" i="1"/>
  <c r="N2343" i="1"/>
  <c r="N2344" i="1"/>
  <c r="N2345" i="1"/>
  <c r="N2346" i="1"/>
  <c r="N2349" i="1"/>
  <c r="N2350" i="1"/>
  <c r="N2351" i="1"/>
  <c r="N2352" i="1"/>
  <c r="N2353" i="1"/>
  <c r="N2354" i="1"/>
  <c r="N2358" i="1"/>
  <c r="N2359" i="1"/>
  <c r="N2360" i="1"/>
  <c r="N2362" i="1"/>
  <c r="N2363" i="1"/>
  <c r="N2364" i="1"/>
  <c r="N2365" i="1"/>
  <c r="N2366" i="1"/>
  <c r="N2367" i="1"/>
  <c r="N2368" i="1"/>
  <c r="N2369" i="1"/>
  <c r="N2370" i="1"/>
  <c r="N2373" i="1"/>
  <c r="N2374" i="1"/>
  <c r="N2375" i="1"/>
  <c r="N2376" i="1"/>
  <c r="N2377" i="1"/>
  <c r="N2378" i="1"/>
  <c r="N2380" i="1"/>
  <c r="N2381" i="1"/>
  <c r="N2382" i="1"/>
  <c r="N2383" i="1"/>
  <c r="N2387" i="1"/>
  <c r="N2388" i="1"/>
  <c r="N2389" i="1"/>
  <c r="N2390" i="1"/>
  <c r="N2393" i="1"/>
  <c r="N2394" i="1"/>
  <c r="N2395" i="1"/>
  <c r="N2396" i="1"/>
  <c r="N2397" i="1"/>
  <c r="N2398" i="1"/>
  <c r="N2399" i="1"/>
  <c r="N2403" i="1"/>
  <c r="N2404" i="1"/>
  <c r="N2405" i="1"/>
  <c r="N2410" i="1"/>
  <c r="N2411" i="1"/>
  <c r="N2412" i="1"/>
  <c r="N2413" i="1"/>
  <c r="N2414" i="1"/>
  <c r="N2415" i="1"/>
  <c r="N2416" i="1"/>
  <c r="N2417" i="1"/>
  <c r="N2419" i="1"/>
  <c r="N2420" i="1"/>
  <c r="N2421" i="1"/>
  <c r="N2424" i="1"/>
  <c r="N2425" i="1"/>
  <c r="N2426" i="1"/>
  <c r="N2427" i="1"/>
  <c r="N2428" i="1"/>
  <c r="N2429" i="1"/>
  <c r="N2430" i="1"/>
  <c r="N2432" i="1"/>
  <c r="N2433" i="1"/>
  <c r="N2434" i="1"/>
  <c r="N2435" i="1"/>
  <c r="N2436" i="1"/>
  <c r="N2437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7" i="1"/>
  <c r="N2468" i="1"/>
  <c r="N2469" i="1"/>
  <c r="N2470" i="1"/>
  <c r="N2471" i="1"/>
  <c r="N2472" i="1"/>
  <c r="N2473" i="1"/>
  <c r="N2474" i="1"/>
  <c r="N2475" i="1"/>
  <c r="N2476" i="1"/>
  <c r="N2477" i="1"/>
  <c r="N2483" i="1"/>
  <c r="N2484" i="1"/>
  <c r="N2485" i="1"/>
  <c r="N2488" i="1"/>
  <c r="N2489" i="1"/>
  <c r="N2490" i="1"/>
  <c r="N2491" i="1"/>
  <c r="N2492" i="1"/>
  <c r="N2493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11" i="1"/>
  <c r="N2512" i="1"/>
  <c r="N2513" i="1"/>
  <c r="N2514" i="1"/>
  <c r="N2515" i="1"/>
  <c r="N2516" i="1"/>
  <c r="N2517" i="1"/>
  <c r="N2518" i="1"/>
  <c r="N2519" i="1"/>
  <c r="N2524" i="1"/>
  <c r="N2525" i="1"/>
  <c r="N2526" i="1"/>
  <c r="N2527" i="1"/>
  <c r="N2528" i="1"/>
  <c r="N2529" i="1"/>
  <c r="N2530" i="1"/>
  <c r="N2531" i="1"/>
  <c r="N2532" i="1"/>
  <c r="N2533" i="1"/>
  <c r="N2536" i="1"/>
  <c r="N2537" i="1"/>
  <c r="N2538" i="1"/>
  <c r="N2539" i="1"/>
  <c r="N2541" i="1"/>
  <c r="N2542" i="1"/>
  <c r="N2543" i="1"/>
  <c r="N2544" i="1"/>
  <c r="N2545" i="1"/>
  <c r="N2546" i="1"/>
  <c r="N2547" i="1"/>
  <c r="N2550" i="1"/>
  <c r="N2551" i="1"/>
  <c r="N2552" i="1"/>
  <c r="N2553" i="1"/>
  <c r="N2554" i="1"/>
  <c r="N2555" i="1"/>
  <c r="N2556" i="1"/>
  <c r="N2557" i="1"/>
  <c r="N2559" i="1"/>
  <c r="N2560" i="1"/>
  <c r="N2561" i="1"/>
  <c r="N2562" i="1"/>
  <c r="N2563" i="1"/>
  <c r="N2565" i="1"/>
  <c r="N2566" i="1"/>
  <c r="N2567" i="1"/>
  <c r="N2568" i="1"/>
  <c r="N2569" i="1"/>
  <c r="N2570" i="1"/>
  <c r="N2571" i="1"/>
  <c r="N2572" i="1"/>
  <c r="N2573" i="1"/>
  <c r="N2574" i="1"/>
  <c r="N2576" i="1"/>
  <c r="N2577" i="1"/>
  <c r="N2578" i="1"/>
  <c r="N2579" i="1"/>
  <c r="N2580" i="1"/>
  <c r="N2581" i="1"/>
  <c r="N2582" i="1"/>
  <c r="N2583" i="1"/>
  <c r="N2584" i="1"/>
  <c r="N2586" i="1"/>
  <c r="N2587" i="1"/>
  <c r="N2588" i="1"/>
  <c r="N2590" i="1"/>
  <c r="N2591" i="1"/>
  <c r="N2592" i="1"/>
  <c r="N2593" i="1"/>
  <c r="N2595" i="1"/>
  <c r="N2596" i="1"/>
  <c r="N2597" i="1"/>
  <c r="N2598" i="1"/>
  <c r="N2599" i="1"/>
  <c r="N2600" i="1"/>
  <c r="N2601" i="1"/>
  <c r="N2602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9" i="1"/>
  <c r="N2620" i="1"/>
  <c r="N2621" i="1"/>
  <c r="N2622" i="1"/>
  <c r="N2623" i="1"/>
  <c r="N2624" i="1"/>
  <c r="N2625" i="1"/>
  <c r="N2629" i="1"/>
  <c r="N2630" i="1"/>
  <c r="N2631" i="1"/>
  <c r="N2632" i="1"/>
  <c r="N2633" i="1"/>
  <c r="N2634" i="1"/>
  <c r="N2635" i="1"/>
  <c r="N2636" i="1"/>
  <c r="N2640" i="1"/>
  <c r="N2641" i="1"/>
  <c r="N2642" i="1"/>
  <c r="N2643" i="1"/>
  <c r="N2647" i="1"/>
  <c r="N2648" i="1"/>
  <c r="N2649" i="1"/>
  <c r="N2650" i="1"/>
  <c r="N2651" i="1"/>
  <c r="N2652" i="1"/>
  <c r="N2653" i="1"/>
  <c r="N2654" i="1"/>
  <c r="N2656" i="1"/>
  <c r="N2657" i="1"/>
  <c r="N2658" i="1"/>
  <c r="N2659" i="1"/>
  <c r="N2663" i="1"/>
  <c r="N2664" i="1"/>
  <c r="N2665" i="1"/>
  <c r="N2666" i="1"/>
  <c r="N2667" i="1"/>
  <c r="N2672" i="1"/>
  <c r="N2673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5" i="1"/>
  <c r="N2716" i="1"/>
  <c r="N2717" i="1"/>
  <c r="N2718" i="1"/>
  <c r="N2719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6" i="1"/>
  <c r="N2757" i="1"/>
  <c r="N2758" i="1"/>
  <c r="N2759" i="1"/>
  <c r="N2761" i="1"/>
  <c r="N2762" i="1"/>
  <c r="N2763" i="1"/>
  <c r="N2765" i="1"/>
  <c r="N2766" i="1"/>
  <c r="N2767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7" i="1"/>
  <c r="N2788" i="1"/>
  <c r="N2789" i="1"/>
  <c r="N2790" i="1"/>
  <c r="N2791" i="1"/>
  <c r="N2792" i="1"/>
  <c r="N2794" i="1"/>
  <c r="N2795" i="1"/>
  <c r="N2796" i="1"/>
  <c r="N2797" i="1"/>
  <c r="N2798" i="1"/>
  <c r="N2799" i="1"/>
  <c r="N2801" i="1"/>
  <c r="N2802" i="1"/>
  <c r="N2803" i="1"/>
  <c r="N2804" i="1"/>
  <c r="N2805" i="1"/>
  <c r="N2806" i="1"/>
  <c r="N2808" i="1"/>
  <c r="N2809" i="1"/>
  <c r="N2810" i="1"/>
  <c r="N2811" i="1"/>
  <c r="N2812" i="1"/>
  <c r="N2813" i="1"/>
  <c r="N2816" i="1"/>
  <c r="N2817" i="1"/>
  <c r="N2818" i="1"/>
  <c r="N2819" i="1"/>
  <c r="N2820" i="1"/>
  <c r="N2821" i="1"/>
  <c r="N2822" i="1"/>
  <c r="N2823" i="1"/>
  <c r="N2824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40" i="1"/>
  <c r="N2841" i="1"/>
  <c r="N2842" i="1"/>
  <c r="N2843" i="1"/>
  <c r="N2844" i="1"/>
  <c r="N2845" i="1"/>
  <c r="N2846" i="1"/>
  <c r="N2847" i="1"/>
  <c r="N2848" i="1"/>
  <c r="N2849" i="1"/>
  <c r="N2852" i="1"/>
  <c r="N2853" i="1"/>
  <c r="N2854" i="1"/>
  <c r="N2855" i="1"/>
  <c r="N2856" i="1"/>
  <c r="N2857" i="1"/>
  <c r="N2863" i="1"/>
  <c r="N2864" i="1"/>
  <c r="N2865" i="1"/>
  <c r="N2866" i="1"/>
  <c r="N2867" i="1"/>
  <c r="N2868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5" i="1"/>
  <c r="N2888" i="1"/>
  <c r="N2889" i="1"/>
  <c r="N2890" i="1"/>
  <c r="N2891" i="1"/>
  <c r="N2892" i="1"/>
  <c r="N2894" i="1"/>
  <c r="N2895" i="1"/>
  <c r="N2896" i="1"/>
  <c r="N2897" i="1"/>
  <c r="N2898" i="1"/>
  <c r="N2899" i="1"/>
  <c r="N2900" i="1"/>
  <c r="N2901" i="1"/>
  <c r="N2902" i="1"/>
  <c r="N2903" i="1"/>
  <c r="N2906" i="1"/>
  <c r="N2907" i="1"/>
  <c r="N2908" i="1"/>
  <c r="N2909" i="1"/>
  <c r="N2910" i="1"/>
  <c r="N2911" i="1"/>
  <c r="N2912" i="1"/>
  <c r="N2914" i="1"/>
  <c r="N2915" i="1"/>
  <c r="N2916" i="1"/>
  <c r="N2917" i="1"/>
  <c r="N2918" i="1"/>
  <c r="N2919" i="1"/>
  <c r="N2920" i="1"/>
  <c r="N2921" i="1"/>
  <c r="N2922" i="1"/>
  <c r="N2924" i="1"/>
  <c r="N2925" i="1"/>
  <c r="N2926" i="1"/>
  <c r="N2927" i="1"/>
  <c r="N2928" i="1"/>
  <c r="N2929" i="1"/>
  <c r="N2930" i="1"/>
  <c r="N2931" i="1"/>
  <c r="N2932" i="1"/>
  <c r="N2934" i="1"/>
  <c r="N2935" i="1"/>
  <c r="N2936" i="1"/>
  <c r="N2937" i="1"/>
  <c r="N2939" i="1"/>
  <c r="N2940" i="1"/>
  <c r="N2941" i="1"/>
  <c r="N2942" i="1"/>
  <c r="N2943" i="1"/>
  <c r="N2944" i="1"/>
  <c r="N2945" i="1"/>
  <c r="N2948" i="1"/>
  <c r="N2949" i="1"/>
  <c r="N2950" i="1"/>
  <c r="N2951" i="1"/>
  <c r="N2952" i="1"/>
  <c r="N2953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71" i="1"/>
  <c r="N2972" i="1"/>
  <c r="N2973" i="1"/>
  <c r="N2974" i="1"/>
  <c r="N2975" i="1"/>
  <c r="N2976" i="1"/>
  <c r="N2977" i="1"/>
  <c r="N2978" i="1"/>
  <c r="N2981" i="1"/>
  <c r="N2982" i="1"/>
  <c r="N2983" i="1"/>
  <c r="N2984" i="1"/>
  <c r="N2985" i="1"/>
  <c r="N2986" i="1"/>
  <c r="N2987" i="1"/>
  <c r="N2988" i="1"/>
  <c r="N2989" i="1"/>
  <c r="N2990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12" i="1"/>
  <c r="N3014" i="1"/>
  <c r="N3015" i="1"/>
  <c r="N3016" i="1"/>
  <c r="N3017" i="1"/>
  <c r="N3018" i="1"/>
  <c r="N3019" i="1"/>
  <c r="N3021" i="1"/>
  <c r="N3022" i="1"/>
  <c r="N3023" i="1"/>
  <c r="N3024" i="1"/>
  <c r="N3025" i="1"/>
  <c r="N3026" i="1"/>
  <c r="N3027" i="1"/>
  <c r="N3028" i="1"/>
  <c r="N3029" i="1"/>
  <c r="N3030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50" i="1"/>
  <c r="N3051" i="1"/>
  <c r="N3052" i="1"/>
  <c r="N3053" i="1"/>
  <c r="N3054" i="1"/>
  <c r="N3055" i="1"/>
  <c r="N3056" i="1"/>
  <c r="N3057" i="1"/>
  <c r="N3058" i="1"/>
  <c r="N3061" i="1"/>
  <c r="N3062" i="1"/>
  <c r="N3063" i="1"/>
  <c r="N3064" i="1"/>
  <c r="N3065" i="1"/>
  <c r="N3066" i="1"/>
  <c r="N3067" i="1"/>
  <c r="N3069" i="1"/>
  <c r="N3070" i="1"/>
  <c r="N3071" i="1"/>
  <c r="N3072" i="1"/>
  <c r="N3073" i="1"/>
  <c r="N3074" i="1"/>
  <c r="N3075" i="1"/>
  <c r="N3076" i="1"/>
  <c r="N3077" i="1"/>
  <c r="N3078" i="1"/>
  <c r="N3079" i="1"/>
  <c r="N3082" i="1"/>
  <c r="N3083" i="1"/>
  <c r="N3084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2" i="1"/>
  <c r="N3103" i="1"/>
  <c r="N3104" i="1"/>
  <c r="N3105" i="1"/>
  <c r="N3106" i="1"/>
  <c r="N3107" i="1"/>
  <c r="N3108" i="1"/>
  <c r="N3109" i="1"/>
  <c r="N3110" i="1"/>
  <c r="N3111" i="1"/>
  <c r="N3113" i="1"/>
  <c r="N3114" i="1"/>
  <c r="N3115" i="1"/>
  <c r="N3116" i="1"/>
  <c r="N3117" i="1"/>
  <c r="N3118" i="1"/>
  <c r="N3119" i="1"/>
  <c r="N3120" i="1"/>
  <c r="N3121" i="1"/>
  <c r="N3123" i="1"/>
  <c r="N3124" i="1"/>
  <c r="N3125" i="1"/>
  <c r="N3126" i="1"/>
  <c r="N3127" i="1"/>
  <c r="N3128" i="1"/>
  <c r="N3129" i="1"/>
  <c r="N3130" i="1"/>
  <c r="N3131" i="1"/>
  <c r="N3132" i="1"/>
  <c r="N3135" i="1"/>
  <c r="N3136" i="1"/>
  <c r="N3137" i="1"/>
  <c r="N3138" i="1"/>
  <c r="N3139" i="1"/>
  <c r="N3140" i="1"/>
  <c r="N3142" i="1"/>
  <c r="N3143" i="1"/>
  <c r="N3144" i="1"/>
  <c r="N3145" i="1"/>
  <c r="N3149" i="1"/>
  <c r="N3150" i="1"/>
  <c r="N3151" i="1"/>
  <c r="N3152" i="1"/>
  <c r="N3153" i="1"/>
  <c r="N3154" i="1"/>
  <c r="N3155" i="1"/>
  <c r="N3156" i="1"/>
  <c r="N3157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4" i="1"/>
  <c r="N3175" i="1"/>
  <c r="N3176" i="1"/>
  <c r="N3177" i="1"/>
  <c r="N3178" i="1"/>
  <c r="N3179" i="1"/>
  <c r="N3182" i="1"/>
  <c r="N3183" i="1"/>
  <c r="N3184" i="1"/>
  <c r="N3185" i="1"/>
  <c r="N3186" i="1"/>
  <c r="N3187" i="1"/>
  <c r="N3191" i="1"/>
  <c r="N3192" i="1"/>
  <c r="N3193" i="1"/>
  <c r="N3194" i="1"/>
  <c r="N3195" i="1"/>
  <c r="N3197" i="1"/>
  <c r="N3198" i="1"/>
  <c r="N3199" i="1"/>
  <c r="N3200" i="1"/>
  <c r="N3201" i="1"/>
  <c r="N3202" i="1"/>
  <c r="N3203" i="1"/>
  <c r="N3204" i="1"/>
  <c r="N3207" i="1"/>
  <c r="N3208" i="1"/>
  <c r="N3209" i="1"/>
  <c r="N3210" i="1"/>
  <c r="N3211" i="1"/>
  <c r="N3212" i="1"/>
  <c r="N3215" i="1"/>
  <c r="N3216" i="1"/>
  <c r="N3217" i="1"/>
  <c r="N3218" i="1"/>
  <c r="N3219" i="1"/>
  <c r="N3220" i="1"/>
  <c r="N3221" i="1"/>
  <c r="N3222" i="1"/>
  <c r="N3224" i="1"/>
  <c r="N3225" i="1"/>
  <c r="N3226" i="1"/>
  <c r="N3227" i="1"/>
  <c r="N3228" i="1"/>
  <c r="N3229" i="1"/>
  <c r="N3230" i="1"/>
  <c r="N3233" i="1"/>
  <c r="N3234" i="1"/>
  <c r="N3235" i="1"/>
  <c r="N3236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2" i="1"/>
  <c r="N3253" i="1"/>
  <c r="N3254" i="1"/>
  <c r="N3255" i="1"/>
  <c r="N3257" i="1"/>
  <c r="N3258" i="1"/>
  <c r="N3259" i="1"/>
  <c r="N3260" i="1"/>
  <c r="N3261" i="1"/>
  <c r="N3262" i="1"/>
  <c r="N3263" i="1"/>
  <c r="N3264" i="1"/>
  <c r="N3265" i="1"/>
  <c r="N3266" i="1"/>
  <c r="N3268" i="1"/>
  <c r="N3269" i="1"/>
  <c r="N3270" i="1"/>
  <c r="N3271" i="1"/>
  <c r="N3272" i="1"/>
  <c r="N3273" i="1"/>
  <c r="N3274" i="1"/>
  <c r="N3275" i="1"/>
  <c r="N3280" i="1"/>
  <c r="N3281" i="1"/>
  <c r="N3282" i="1"/>
  <c r="N3283" i="1"/>
  <c r="N3284" i="1"/>
  <c r="N3285" i="1"/>
  <c r="N3286" i="1"/>
  <c r="N3287" i="1"/>
  <c r="N3289" i="1"/>
  <c r="N3290" i="1"/>
  <c r="N3292" i="1"/>
  <c r="N3293" i="1"/>
  <c r="N3294" i="1"/>
  <c r="N3295" i="1"/>
  <c r="N3297" i="1"/>
  <c r="N3298" i="1"/>
  <c r="N3299" i="1"/>
  <c r="N3300" i="1"/>
  <c r="N3301" i="1"/>
  <c r="N3302" i="1"/>
  <c r="N3303" i="1"/>
  <c r="N3304" i="1"/>
  <c r="N3305" i="1"/>
  <c r="N3306" i="1"/>
  <c r="N3309" i="1"/>
  <c r="N3310" i="1"/>
  <c r="N3311" i="1"/>
  <c r="N3312" i="1"/>
  <c r="N3313" i="1"/>
  <c r="N3314" i="1"/>
  <c r="N3315" i="1"/>
  <c r="N3316" i="1"/>
  <c r="N3318" i="1"/>
  <c r="N3319" i="1"/>
  <c r="N3320" i="1"/>
  <c r="N3321" i="1"/>
  <c r="N3322" i="1"/>
  <c r="N3323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2" i="1"/>
  <c r="N3343" i="1"/>
  <c r="N3344" i="1"/>
  <c r="N3345" i="1"/>
  <c r="N3346" i="1"/>
  <c r="N3347" i="1"/>
  <c r="N3348" i="1"/>
  <c r="N3349" i="1"/>
  <c r="N3350" i="1"/>
  <c r="N3354" i="1"/>
  <c r="N3355" i="1"/>
  <c r="N3356" i="1"/>
  <c r="N3357" i="1"/>
  <c r="N3358" i="1"/>
  <c r="N3359" i="1"/>
  <c r="N3364" i="1"/>
  <c r="N3365" i="1"/>
  <c r="N3366" i="1"/>
  <c r="N3367" i="1"/>
  <c r="N3368" i="1"/>
  <c r="N3369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6" i="1"/>
  <c r="N3387" i="1"/>
  <c r="N3388" i="1"/>
  <c r="N3389" i="1"/>
  <c r="N3390" i="1"/>
  <c r="N3391" i="1"/>
  <c r="N3392" i="1"/>
  <c r="N3393" i="1"/>
  <c r="N3394" i="1"/>
  <c r="N3395" i="1"/>
  <c r="N3398" i="1"/>
  <c r="N3399" i="1"/>
  <c r="N3400" i="1"/>
  <c r="N3401" i="1"/>
  <c r="N3402" i="1"/>
  <c r="N3403" i="1"/>
  <c r="N3404" i="1"/>
  <c r="N3405" i="1"/>
  <c r="N3407" i="1"/>
  <c r="N3408" i="1"/>
  <c r="N3409" i="1"/>
  <c r="N3410" i="1"/>
  <c r="N3411" i="1"/>
  <c r="N3412" i="1"/>
  <c r="N3413" i="1"/>
  <c r="N3414" i="1"/>
  <c r="N3416" i="1"/>
  <c r="N3417" i="1"/>
  <c r="N3418" i="1"/>
  <c r="N3421" i="1"/>
  <c r="N3422" i="1"/>
  <c r="N3423" i="1"/>
  <c r="N3424" i="1"/>
  <c r="N3425" i="1"/>
  <c r="N3426" i="1"/>
  <c r="N3427" i="1"/>
  <c r="N3428" i="1"/>
  <c r="N3432" i="1"/>
  <c r="N3433" i="1"/>
  <c r="N3434" i="1"/>
  <c r="N3435" i="1"/>
  <c r="N3436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3" i="1"/>
  <c r="N3454" i="1"/>
  <c r="N3455" i="1"/>
  <c r="N3456" i="1"/>
  <c r="N3461" i="1"/>
  <c r="N3462" i="1"/>
  <c r="N3463" i="1"/>
  <c r="N3464" i="1"/>
  <c r="N3465" i="1"/>
  <c r="N3466" i="1"/>
  <c r="N3467" i="1"/>
  <c r="N3468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6" i="1"/>
  <c r="N3487" i="1"/>
  <c r="N3488" i="1"/>
  <c r="N3489" i="1"/>
  <c r="N3490" i="1"/>
  <c r="N3491" i="1"/>
  <c r="N3492" i="1"/>
  <c r="N3493" i="1"/>
  <c r="N3494" i="1"/>
  <c r="N3499" i="1"/>
  <c r="N3500" i="1"/>
  <c r="N3501" i="1"/>
  <c r="N3502" i="1"/>
  <c r="N3503" i="1"/>
  <c r="N3504" i="1"/>
  <c r="N3506" i="1"/>
  <c r="N3507" i="1"/>
  <c r="N3508" i="1"/>
  <c r="N3509" i="1"/>
  <c r="N3510" i="1"/>
  <c r="N3511" i="1"/>
  <c r="N3514" i="1"/>
  <c r="N3515" i="1"/>
  <c r="N3516" i="1"/>
  <c r="N3517" i="1"/>
  <c r="N3519" i="1"/>
  <c r="N3520" i="1"/>
  <c r="N3521" i="1"/>
  <c r="N3522" i="1"/>
  <c r="N3523" i="1"/>
  <c r="N3524" i="1"/>
  <c r="N3525" i="1"/>
  <c r="N3526" i="1"/>
  <c r="N3527" i="1"/>
  <c r="N3529" i="1"/>
  <c r="N3530" i="1"/>
  <c r="N3531" i="1"/>
  <c r="N3532" i="1"/>
  <c r="N3533" i="1"/>
  <c r="N3534" i="1"/>
  <c r="N3536" i="1"/>
  <c r="N3537" i="1"/>
  <c r="N3538" i="1"/>
  <c r="N3539" i="1"/>
  <c r="N3540" i="1"/>
  <c r="N3541" i="1"/>
  <c r="N3542" i="1"/>
  <c r="N3543" i="1"/>
  <c r="N3544" i="1"/>
  <c r="N3545" i="1"/>
  <c r="N3546" i="1"/>
  <c r="N3551" i="1"/>
  <c r="N3552" i="1"/>
  <c r="N3553" i="1"/>
  <c r="N3554" i="1"/>
  <c r="N3555" i="1"/>
  <c r="N3556" i="1"/>
  <c r="N3557" i="1"/>
  <c r="N3558" i="1"/>
  <c r="N3559" i="1"/>
  <c r="N3563" i="1"/>
  <c r="N3564" i="1"/>
  <c r="N3565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84" i="1"/>
  <c r="N3585" i="1"/>
  <c r="N3586" i="1"/>
  <c r="N3587" i="1"/>
  <c r="N3588" i="1"/>
  <c r="N3590" i="1"/>
  <c r="N3591" i="1"/>
  <c r="N3592" i="1"/>
  <c r="N3593" i="1"/>
  <c r="N3594" i="1"/>
  <c r="N3598" i="1"/>
  <c r="N3599" i="1"/>
  <c r="N3600" i="1"/>
  <c r="N3601" i="1"/>
  <c r="N3602" i="1"/>
  <c r="N3603" i="1"/>
  <c r="N3604" i="1"/>
  <c r="N3605" i="1"/>
  <c r="N3607" i="1"/>
  <c r="N3608" i="1"/>
  <c r="N3609" i="1"/>
  <c r="N3610" i="1"/>
  <c r="N3611" i="1"/>
  <c r="N3612" i="1"/>
  <c r="N3615" i="1"/>
  <c r="N3616" i="1"/>
  <c r="N3617" i="1"/>
  <c r="N3618" i="1"/>
  <c r="N3619" i="1"/>
  <c r="N3620" i="1"/>
  <c r="N3621" i="1"/>
  <c r="N3622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5" i="1"/>
  <c r="N3646" i="1"/>
  <c r="N3647" i="1"/>
  <c r="N3648" i="1"/>
  <c r="N3649" i="1"/>
  <c r="N3650" i="1"/>
  <c r="N3651" i="1"/>
  <c r="N3652" i="1"/>
  <c r="N3653" i="1"/>
  <c r="N3654" i="1"/>
  <c r="N3656" i="1"/>
  <c r="N3657" i="1"/>
  <c r="N3658" i="1"/>
  <c r="N3659" i="1"/>
  <c r="N3661" i="1"/>
  <c r="N3662" i="1"/>
  <c r="N3663" i="1"/>
  <c r="N3664" i="1"/>
  <c r="N3665" i="1"/>
  <c r="N3666" i="1"/>
  <c r="N3668" i="1"/>
  <c r="N3669" i="1"/>
  <c r="N3670" i="1"/>
  <c r="N3671" i="1"/>
  <c r="N3673" i="1"/>
  <c r="N3674" i="1"/>
  <c r="N3675" i="1"/>
  <c r="N3676" i="1"/>
  <c r="N3677" i="1"/>
  <c r="N3678" i="1"/>
  <c r="N3679" i="1"/>
  <c r="N3680" i="1"/>
  <c r="N3681" i="1"/>
  <c r="N3683" i="1"/>
  <c r="N3684" i="1"/>
  <c r="N3685" i="1"/>
  <c r="N3686" i="1"/>
  <c r="N3687" i="1"/>
  <c r="N3692" i="1"/>
  <c r="N3693" i="1"/>
  <c r="N3694" i="1"/>
  <c r="N3695" i="1"/>
  <c r="N3696" i="1"/>
  <c r="N3697" i="1"/>
  <c r="N3699" i="1"/>
  <c r="N3700" i="1"/>
  <c r="N3701" i="1"/>
  <c r="N3704" i="1"/>
  <c r="N3705" i="1"/>
  <c r="N3706" i="1"/>
  <c r="N3707" i="1"/>
  <c r="N3708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4" i="1"/>
  <c r="N3725" i="1"/>
  <c r="N3726" i="1"/>
  <c r="N3727" i="1"/>
  <c r="N3728" i="1"/>
  <c r="N3729" i="1"/>
  <c r="N3730" i="1"/>
  <c r="N3731" i="1"/>
  <c r="N3733" i="1"/>
  <c r="N3734" i="1"/>
  <c r="N3735" i="1"/>
  <c r="N3736" i="1"/>
  <c r="N3737" i="1"/>
  <c r="N3738" i="1"/>
  <c r="N3739" i="1"/>
  <c r="N3740" i="1"/>
  <c r="N3745" i="1"/>
  <c r="N3746" i="1"/>
  <c r="N3747" i="1"/>
  <c r="N3748" i="1"/>
  <c r="N3749" i="1"/>
  <c r="N3750" i="1"/>
  <c r="N3751" i="1"/>
  <c r="N3752" i="1"/>
  <c r="N3756" i="1"/>
  <c r="N3757" i="1"/>
  <c r="N3758" i="1"/>
  <c r="N3761" i="1"/>
  <c r="N3762" i="1"/>
  <c r="N3763" i="1"/>
  <c r="N3764" i="1"/>
  <c r="N3765" i="1"/>
  <c r="N3766" i="1"/>
  <c r="N3767" i="1"/>
  <c r="N3768" i="1"/>
  <c r="N3769" i="1"/>
  <c r="N3770" i="1"/>
  <c r="N3771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90" i="1"/>
  <c r="N3791" i="1"/>
  <c r="N3792" i="1"/>
  <c r="N3793" i="1"/>
  <c r="N3794" i="1"/>
  <c r="N3795" i="1"/>
  <c r="N3796" i="1"/>
  <c r="N3797" i="1"/>
  <c r="N3798" i="1"/>
  <c r="N3799" i="1"/>
  <c r="N3801" i="1"/>
  <c r="N3802" i="1"/>
  <c r="N3803" i="1"/>
  <c r="N3806" i="1"/>
  <c r="N3807" i="1"/>
  <c r="N3808" i="1"/>
  <c r="N3809" i="1"/>
  <c r="N3810" i="1"/>
  <c r="N3811" i="1"/>
  <c r="N3812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9" i="1"/>
  <c r="N3830" i="1"/>
  <c r="N3832" i="1"/>
  <c r="N3833" i="1"/>
  <c r="N3834" i="1"/>
  <c r="N3835" i="1"/>
  <c r="N3836" i="1"/>
  <c r="N3837" i="1"/>
  <c r="N3838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7" i="1"/>
  <c r="N3858" i="1"/>
  <c r="N3859" i="1"/>
  <c r="N3860" i="1"/>
  <c r="N3861" i="1"/>
  <c r="N3862" i="1"/>
  <c r="N3864" i="1"/>
  <c r="N3865" i="1"/>
  <c r="N3866" i="1"/>
  <c r="N3867" i="1"/>
  <c r="N3868" i="1"/>
  <c r="N3870" i="1"/>
  <c r="N3871" i="1"/>
  <c r="N3872" i="1"/>
  <c r="N3873" i="1"/>
  <c r="N3875" i="1"/>
  <c r="N3876" i="1"/>
  <c r="N3877" i="1"/>
  <c r="N3878" i="1"/>
  <c r="N3879" i="1"/>
  <c r="N3880" i="1"/>
  <c r="N3881" i="1"/>
  <c r="N3886" i="1"/>
  <c r="N3887" i="1"/>
  <c r="N3888" i="1"/>
  <c r="N3889" i="1"/>
  <c r="N3893" i="1"/>
  <c r="N3894" i="1"/>
  <c r="N3895" i="1"/>
  <c r="N3896" i="1"/>
  <c r="N3897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4" i="1"/>
  <c r="N3915" i="1"/>
  <c r="N3916" i="1"/>
  <c r="N3917" i="1"/>
  <c r="N3918" i="1"/>
  <c r="N3920" i="1"/>
  <c r="N3921" i="1"/>
  <c r="N3922" i="1"/>
  <c r="N3923" i="1"/>
  <c r="N3924" i="1"/>
  <c r="N3925" i="1"/>
  <c r="N3926" i="1"/>
  <c r="N3929" i="1"/>
  <c r="N3930" i="1"/>
  <c r="N3933" i="1"/>
  <c r="N3934" i="1"/>
  <c r="N3935" i="1"/>
  <c r="N3936" i="1"/>
  <c r="N3937" i="1"/>
  <c r="N3938" i="1"/>
  <c r="N3939" i="1"/>
  <c r="N3940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7" i="1"/>
  <c r="N3968" i="1"/>
  <c r="N3969" i="1"/>
  <c r="N3970" i="1"/>
  <c r="N3971" i="1"/>
  <c r="N3973" i="1"/>
  <c r="N3974" i="1"/>
  <c r="N3975" i="1"/>
  <c r="N3976" i="1"/>
  <c r="N3977" i="1"/>
  <c r="N3978" i="1"/>
  <c r="N3979" i="1"/>
  <c r="N3981" i="1"/>
  <c r="N3982" i="1"/>
  <c r="N3983" i="1"/>
  <c r="N3984" i="1"/>
  <c r="N3985" i="1"/>
  <c r="N3986" i="1"/>
  <c r="N3987" i="1"/>
  <c r="N3988" i="1"/>
  <c r="N3989" i="1"/>
  <c r="N3990" i="1"/>
  <c r="N3992" i="1"/>
  <c r="N3993" i="1"/>
  <c r="N3994" i="1"/>
  <c r="N3995" i="1"/>
  <c r="N3996" i="1"/>
  <c r="N3997" i="1"/>
  <c r="N3999" i="1"/>
  <c r="N4000" i="1"/>
  <c r="N4001" i="1"/>
  <c r="N4002" i="1"/>
  <c r="N4003" i="1"/>
  <c r="N4004" i="1"/>
  <c r="N4005" i="1"/>
  <c r="N4008" i="1"/>
  <c r="N4009" i="1"/>
  <c r="N4010" i="1"/>
  <c r="N4011" i="1"/>
  <c r="N4012" i="1"/>
  <c r="N4013" i="1"/>
  <c r="N4014" i="1"/>
  <c r="N4015" i="1"/>
  <c r="N4016" i="1"/>
  <c r="N4017" i="1"/>
  <c r="N4019" i="1"/>
  <c r="N4020" i="1"/>
  <c r="N4021" i="1"/>
  <c r="N4022" i="1"/>
  <c r="N4023" i="1"/>
  <c r="N4024" i="1"/>
  <c r="N4025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3" i="1"/>
  <c r="N4044" i="1"/>
  <c r="N4045" i="1"/>
  <c r="N4046" i="1"/>
  <c r="N4047" i="1"/>
  <c r="N4048" i="1"/>
  <c r="N4049" i="1"/>
  <c r="N4050" i="1"/>
  <c r="N4051" i="1"/>
  <c r="N4055" i="1"/>
  <c r="N4056" i="1"/>
  <c r="N4057" i="1"/>
  <c r="N4058" i="1"/>
  <c r="N4059" i="1"/>
  <c r="N4060" i="1"/>
  <c r="N4062" i="1"/>
  <c r="N4063" i="1"/>
  <c r="N4064" i="1"/>
  <c r="N4065" i="1"/>
  <c r="N4066" i="1"/>
  <c r="N4067" i="1"/>
  <c r="N4068" i="1"/>
  <c r="N4069" i="1"/>
  <c r="N4071" i="1"/>
  <c r="N4072" i="1"/>
  <c r="N4073" i="1"/>
  <c r="N4074" i="1"/>
  <c r="N4075" i="1"/>
  <c r="N4077" i="1"/>
  <c r="N4078" i="1"/>
  <c r="N4079" i="1"/>
  <c r="N4080" i="1"/>
  <c r="N4084" i="1"/>
  <c r="N4085" i="1"/>
  <c r="N4086" i="1"/>
  <c r="N4087" i="1"/>
  <c r="N4088" i="1"/>
  <c r="N4089" i="1"/>
  <c r="N4090" i="1"/>
  <c r="N4094" i="1"/>
  <c r="N4095" i="1"/>
  <c r="N4096" i="1"/>
  <c r="N4097" i="1"/>
  <c r="N4098" i="1"/>
  <c r="N4099" i="1"/>
  <c r="N4100" i="1"/>
  <c r="N4102" i="1"/>
  <c r="N4103" i="1"/>
  <c r="N4104" i="1"/>
  <c r="N4105" i="1"/>
  <c r="N4106" i="1"/>
  <c r="N4107" i="1"/>
  <c r="N4108" i="1"/>
  <c r="N4109" i="1"/>
  <c r="N4110" i="1"/>
  <c r="N4111" i="1"/>
  <c r="N4112" i="1"/>
  <c r="N4116" i="1"/>
  <c r="N4117" i="1"/>
  <c r="N4120" i="1"/>
  <c r="N4121" i="1"/>
  <c r="N4122" i="1"/>
  <c r="N4123" i="1"/>
  <c r="N4124" i="1"/>
  <c r="N4127" i="1"/>
  <c r="N4128" i="1"/>
  <c r="N4129" i="1"/>
  <c r="N4130" i="1"/>
  <c r="N4131" i="1"/>
  <c r="N4132" i="1"/>
  <c r="N4133" i="1"/>
  <c r="N4134" i="1"/>
  <c r="N4135" i="1"/>
  <c r="N4136" i="1"/>
  <c r="N4137" i="1"/>
  <c r="N4139" i="1"/>
  <c r="N4140" i="1"/>
  <c r="N4141" i="1"/>
  <c r="N4142" i="1"/>
  <c r="N4143" i="1"/>
  <c r="N4144" i="1"/>
  <c r="N4145" i="1"/>
  <c r="N4148" i="1"/>
  <c r="N4149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7" i="1"/>
  <c r="N4168" i="1"/>
  <c r="N4169" i="1"/>
  <c r="N4170" i="1"/>
  <c r="N4171" i="1"/>
  <c r="N4172" i="1"/>
  <c r="N4176" i="1"/>
  <c r="N4177" i="1"/>
  <c r="N4178" i="1"/>
  <c r="N4179" i="1"/>
  <c r="N4180" i="1"/>
  <c r="N4181" i="1"/>
  <c r="N4182" i="1"/>
  <c r="N4185" i="1"/>
  <c r="N4186" i="1"/>
  <c r="N4187" i="1"/>
  <c r="N4188" i="1"/>
  <c r="N4189" i="1"/>
  <c r="N4190" i="1"/>
  <c r="N4191" i="1"/>
  <c r="N4192" i="1"/>
  <c r="N4194" i="1"/>
  <c r="N4195" i="1"/>
  <c r="N4196" i="1"/>
  <c r="N4197" i="1"/>
  <c r="N4198" i="1"/>
  <c r="N4199" i="1"/>
  <c r="N4200" i="1"/>
  <c r="N4201" i="1"/>
  <c r="N4202" i="1"/>
  <c r="N4203" i="1"/>
  <c r="N4205" i="1"/>
  <c r="N4206" i="1"/>
  <c r="N4207" i="1"/>
  <c r="N4208" i="1"/>
  <c r="N4209" i="1"/>
  <c r="N4210" i="1"/>
  <c r="N4212" i="1"/>
  <c r="N4213" i="1"/>
  <c r="N4216" i="1"/>
  <c r="N4217" i="1"/>
  <c r="N4218" i="1"/>
  <c r="N4219" i="1"/>
  <c r="N4220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7" i="1"/>
  <c r="N4238" i="1"/>
  <c r="N4239" i="1"/>
  <c r="N4242" i="1"/>
  <c r="N4243" i="1"/>
  <c r="N4244" i="1"/>
  <c r="N4245" i="1"/>
  <c r="N4246" i="1"/>
  <c r="N4247" i="1"/>
  <c r="N4249" i="1"/>
  <c r="N4250" i="1"/>
  <c r="N4251" i="1"/>
  <c r="N4252" i="1"/>
  <c r="N4253" i="1"/>
  <c r="N4254" i="1"/>
  <c r="N4255" i="1"/>
  <c r="N4257" i="1"/>
  <c r="N4258" i="1"/>
  <c r="N4259" i="1"/>
  <c r="N4260" i="1"/>
  <c r="N4261" i="1"/>
  <c r="N4263" i="1"/>
  <c r="N4264" i="1"/>
  <c r="N4265" i="1"/>
  <c r="N4266" i="1"/>
  <c r="N4267" i="1"/>
  <c r="N4273" i="1"/>
  <c r="N4274" i="1"/>
  <c r="N4275" i="1"/>
  <c r="N4276" i="1"/>
  <c r="N4277" i="1"/>
  <c r="N4278" i="1"/>
  <c r="N4279" i="1"/>
  <c r="N4280" i="1"/>
  <c r="N4282" i="1"/>
  <c r="N4283" i="1"/>
  <c r="N4286" i="1"/>
  <c r="N4287" i="1"/>
  <c r="N4288" i="1"/>
  <c r="N4289" i="1"/>
  <c r="N4290" i="1"/>
  <c r="N4291" i="1"/>
  <c r="N4292" i="1"/>
  <c r="N4293" i="1"/>
  <c r="N4294" i="1"/>
  <c r="N4297" i="1"/>
  <c r="N4298" i="1"/>
  <c r="N4299" i="1"/>
  <c r="N4300" i="1"/>
  <c r="N4301" i="1"/>
  <c r="N4302" i="1"/>
  <c r="N4303" i="1"/>
  <c r="N4304" i="1"/>
  <c r="N4305" i="1"/>
  <c r="N4306" i="1"/>
  <c r="N4307" i="1"/>
  <c r="N4310" i="1"/>
  <c r="N4311" i="1"/>
  <c r="N4312" i="1"/>
  <c r="N4313" i="1"/>
  <c r="N4314" i="1"/>
  <c r="N4315" i="1"/>
  <c r="N4317" i="1"/>
  <c r="N4318" i="1"/>
  <c r="N4319" i="1"/>
  <c r="N4320" i="1"/>
  <c r="N4323" i="1"/>
  <c r="N4324" i="1"/>
  <c r="N4325" i="1"/>
  <c r="N4326" i="1"/>
  <c r="N4329" i="1"/>
  <c r="N4330" i="1"/>
  <c r="N4331" i="1"/>
  <c r="N4332" i="1"/>
  <c r="N4333" i="1"/>
  <c r="N4334" i="1"/>
  <c r="N4335" i="1"/>
  <c r="N4336" i="1"/>
  <c r="N4338" i="1"/>
  <c r="N4339" i="1"/>
  <c r="N4340" i="1"/>
  <c r="N4341" i="1"/>
  <c r="N4342" i="1"/>
  <c r="N4343" i="1"/>
  <c r="N4344" i="1"/>
  <c r="N4348" i="1"/>
  <c r="N4349" i="1"/>
  <c r="N4350" i="1"/>
  <c r="N4351" i="1"/>
  <c r="N4352" i="1"/>
  <c r="N4353" i="1"/>
  <c r="N4355" i="1"/>
  <c r="N4356" i="1"/>
  <c r="N4357" i="1"/>
  <c r="N4360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6" i="1"/>
  <c r="N4377" i="1"/>
  <c r="N4378" i="1"/>
  <c r="N4379" i="1"/>
  <c r="N4380" i="1"/>
  <c r="N4381" i="1"/>
  <c r="N4382" i="1"/>
  <c r="N4383" i="1"/>
  <c r="N4386" i="1"/>
  <c r="N4387" i="1"/>
  <c r="N4388" i="1"/>
  <c r="N4389" i="1"/>
  <c r="N4390" i="1"/>
  <c r="N4391" i="1"/>
  <c r="N4392" i="1"/>
  <c r="N4393" i="1"/>
  <c r="N4394" i="1"/>
  <c r="N4395" i="1"/>
  <c r="N4400" i="1"/>
  <c r="N4401" i="1"/>
  <c r="N4402" i="1"/>
  <c r="N4403" i="1"/>
  <c r="N4404" i="1"/>
  <c r="N4406" i="1"/>
  <c r="N4407" i="1"/>
  <c r="N4408" i="1"/>
  <c r="N4409" i="1"/>
  <c r="N4411" i="1"/>
  <c r="N4412" i="1"/>
  <c r="N4413" i="1"/>
  <c r="N4414" i="1"/>
  <c r="N4415" i="1"/>
  <c r="N4416" i="1"/>
  <c r="N4417" i="1"/>
  <c r="N4419" i="1"/>
  <c r="N4420" i="1"/>
  <c r="N4421" i="1"/>
  <c r="N4422" i="1"/>
  <c r="N4423" i="1"/>
  <c r="N4425" i="1"/>
  <c r="N4426" i="1"/>
  <c r="N4427" i="1"/>
  <c r="N4428" i="1"/>
  <c r="N4429" i="1"/>
  <c r="N4431" i="1"/>
  <c r="N4432" i="1"/>
  <c r="N4433" i="1"/>
  <c r="N4439" i="1"/>
  <c r="N4440" i="1"/>
  <c r="N4441" i="1"/>
  <c r="N4442" i="1"/>
  <c r="N4443" i="1"/>
  <c r="N4444" i="1"/>
  <c r="N4445" i="1"/>
  <c r="N4449" i="1"/>
  <c r="N4450" i="1"/>
  <c r="N4451" i="1"/>
  <c r="N4452" i="1"/>
  <c r="N4453" i="1"/>
  <c r="N4454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9" i="1"/>
  <c r="N4480" i="1"/>
  <c r="N4481" i="1"/>
  <c r="N4484" i="1"/>
  <c r="N4485" i="1"/>
  <c r="N4486" i="1"/>
  <c r="N4487" i="1"/>
  <c r="N4488" i="1"/>
  <c r="N4489" i="1"/>
  <c r="N4490" i="1"/>
  <c r="N4492" i="1"/>
  <c r="N4493" i="1"/>
  <c r="N4494" i="1"/>
  <c r="N4495" i="1"/>
  <c r="N4496" i="1"/>
  <c r="N4497" i="1"/>
  <c r="N4498" i="1"/>
  <c r="N4499" i="1"/>
  <c r="N4500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8" i="1"/>
  <c r="N4519" i="1"/>
  <c r="N4520" i="1"/>
  <c r="N4522" i="1"/>
  <c r="N4523" i="1"/>
  <c r="N4524" i="1"/>
  <c r="N4525" i="1"/>
  <c r="N4526" i="1"/>
  <c r="N4527" i="1"/>
  <c r="N4528" i="1"/>
  <c r="N4532" i="1"/>
  <c r="N4533" i="1"/>
  <c r="N4534" i="1"/>
  <c r="N4535" i="1"/>
  <c r="N4536" i="1"/>
  <c r="N4537" i="1"/>
  <c r="N4540" i="1"/>
  <c r="N4541" i="1"/>
  <c r="N4542" i="1"/>
  <c r="N4543" i="1"/>
  <c r="N4544" i="1"/>
  <c r="N4545" i="1"/>
  <c r="N4548" i="1"/>
  <c r="N4549" i="1"/>
  <c r="N4550" i="1"/>
  <c r="N4551" i="1"/>
  <c r="N4553" i="1"/>
  <c r="N4554" i="1"/>
  <c r="N4557" i="1"/>
  <c r="N4558" i="1"/>
  <c r="N4559" i="1"/>
  <c r="N4560" i="1"/>
  <c r="N4561" i="1"/>
  <c r="N4562" i="1"/>
  <c r="N4563" i="1"/>
  <c r="N4566" i="1"/>
  <c r="N4567" i="1"/>
  <c r="N4568" i="1"/>
  <c r="N4569" i="1"/>
  <c r="N4570" i="1"/>
  <c r="N4571" i="1"/>
  <c r="N4572" i="1"/>
  <c r="N4573" i="1"/>
  <c r="N4574" i="1"/>
  <c r="N4575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21" i="1"/>
  <c r="N4622" i="1"/>
  <c r="N4623" i="1"/>
  <c r="N4624" i="1"/>
  <c r="N4625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9" i="1"/>
  <c r="N4650" i="1"/>
  <c r="N4651" i="1"/>
  <c r="N4652" i="1"/>
  <c r="N4653" i="1"/>
  <c r="N4654" i="1"/>
  <c r="N4655" i="1"/>
  <c r="N4657" i="1"/>
  <c r="N4658" i="1"/>
  <c r="N4659" i="1"/>
  <c r="N4660" i="1"/>
  <c r="N4661" i="1"/>
  <c r="N4662" i="1"/>
  <c r="N4663" i="1"/>
  <c r="N4664" i="1"/>
  <c r="N4667" i="1"/>
  <c r="N4668" i="1"/>
  <c r="N4669" i="1"/>
  <c r="N4670" i="1"/>
  <c r="N4671" i="1"/>
  <c r="N4673" i="1"/>
  <c r="N4674" i="1"/>
  <c r="N4675" i="1"/>
  <c r="N4676" i="1"/>
  <c r="N4679" i="1"/>
  <c r="N4680" i="1"/>
  <c r="N4681" i="1"/>
  <c r="N4682" i="1"/>
  <c r="N4683" i="1"/>
  <c r="N4684" i="1"/>
  <c r="N4685" i="1"/>
  <c r="N4686" i="1"/>
  <c r="N4687" i="1"/>
  <c r="N4690" i="1"/>
  <c r="N4691" i="1"/>
  <c r="N4692" i="1"/>
  <c r="N4693" i="1"/>
  <c r="N4694" i="1"/>
  <c r="N4695" i="1"/>
  <c r="N4698" i="1"/>
  <c r="N4699" i="1"/>
  <c r="N4700" i="1"/>
  <c r="N4701" i="1"/>
  <c r="N4702" i="1"/>
  <c r="N4703" i="1"/>
  <c r="N4704" i="1"/>
  <c r="N4705" i="1"/>
  <c r="N4708" i="1"/>
  <c r="N4709" i="1"/>
  <c r="N4710" i="1"/>
  <c r="N4711" i="1"/>
  <c r="N4712" i="1"/>
  <c r="N4713" i="1"/>
  <c r="N4714" i="1"/>
  <c r="N4715" i="1"/>
  <c r="N4716" i="1"/>
  <c r="N4719" i="1"/>
  <c r="N4720" i="1"/>
  <c r="N4721" i="1"/>
  <c r="N4722" i="1"/>
  <c r="N4723" i="1"/>
  <c r="N4724" i="1"/>
  <c r="N4728" i="1"/>
  <c r="N4729" i="1"/>
  <c r="N4730" i="1"/>
  <c r="N4731" i="1"/>
  <c r="N4732" i="1"/>
  <c r="N4733" i="1"/>
  <c r="N4735" i="1"/>
  <c r="N4736" i="1"/>
  <c r="N4737" i="1"/>
  <c r="N4738" i="1"/>
  <c r="N4739" i="1"/>
  <c r="N4741" i="1"/>
  <c r="N4742" i="1"/>
  <c r="N4743" i="1"/>
  <c r="N4744" i="1"/>
  <c r="N4745" i="1"/>
  <c r="N4746" i="1"/>
  <c r="N4747" i="1"/>
  <c r="N4748" i="1"/>
  <c r="N4749" i="1"/>
  <c r="N4750" i="1"/>
  <c r="N4752" i="1"/>
  <c r="N4753" i="1"/>
  <c r="N4754" i="1"/>
  <c r="N4758" i="1"/>
  <c r="N4759" i="1"/>
  <c r="N4760" i="1"/>
  <c r="N4761" i="1"/>
  <c r="N4762" i="1"/>
  <c r="N4763" i="1"/>
  <c r="N4764" i="1"/>
  <c r="N4765" i="1"/>
  <c r="N4766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8" i="1"/>
  <c r="N4789" i="1"/>
  <c r="N4790" i="1"/>
  <c r="N4791" i="1"/>
  <c r="N4792" i="1"/>
  <c r="N4793" i="1"/>
  <c r="N4794" i="1"/>
  <c r="N4795" i="1"/>
  <c r="N4799" i="1"/>
  <c r="N4800" i="1"/>
  <c r="N4801" i="1"/>
  <c r="N4802" i="1"/>
  <c r="N4803" i="1"/>
  <c r="N4804" i="1"/>
  <c r="N4805" i="1"/>
  <c r="N4806" i="1"/>
  <c r="N4808" i="1"/>
  <c r="N4809" i="1"/>
  <c r="N4810" i="1"/>
  <c r="N4811" i="1"/>
  <c r="N4812" i="1"/>
  <c r="N4813" i="1"/>
  <c r="N4814" i="1"/>
  <c r="N4815" i="1"/>
  <c r="N4816" i="1"/>
  <c r="N4817" i="1"/>
  <c r="N4819" i="1"/>
  <c r="N4820" i="1"/>
  <c r="N4822" i="1"/>
  <c r="N4823" i="1"/>
  <c r="N4824" i="1"/>
  <c r="N4825" i="1"/>
  <c r="N4826" i="1"/>
  <c r="N4827" i="1"/>
  <c r="N4828" i="1"/>
  <c r="N4829" i="1"/>
  <c r="N4830" i="1"/>
  <c r="N4831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9" i="1"/>
  <c r="N4850" i="1"/>
  <c r="N4851" i="1"/>
  <c r="N4852" i="1"/>
  <c r="N4854" i="1"/>
  <c r="N4855" i="1"/>
  <c r="N4856" i="1"/>
  <c r="N4857" i="1"/>
  <c r="N4858" i="1"/>
  <c r="N4859" i="1"/>
  <c r="N4860" i="1"/>
  <c r="N4861" i="1"/>
  <c r="N4865" i="1"/>
  <c r="N4866" i="1"/>
  <c r="N4867" i="1"/>
  <c r="N4868" i="1"/>
  <c r="N4869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5" i="1"/>
  <c r="N4886" i="1"/>
  <c r="N4887" i="1"/>
  <c r="N4888" i="1"/>
  <c r="N4889" i="1"/>
  <c r="N4890" i="1"/>
  <c r="N4893" i="1"/>
  <c r="N4894" i="1"/>
  <c r="N4895" i="1"/>
  <c r="N4896" i="1"/>
  <c r="N4897" i="1"/>
  <c r="N4898" i="1"/>
  <c r="N4899" i="1"/>
  <c r="N4900" i="1"/>
  <c r="N4901" i="1"/>
  <c r="N4906" i="1"/>
  <c r="N4907" i="1"/>
  <c r="N4908" i="1"/>
  <c r="N4909" i="1"/>
  <c r="N4910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2" i="1"/>
  <c r="N4963" i="1"/>
  <c r="N4964" i="1"/>
  <c r="N4965" i="1"/>
  <c r="N4966" i="1"/>
  <c r="N4967" i="1"/>
  <c r="N4968" i="1"/>
  <c r="N4969" i="1"/>
  <c r="N4970" i="1"/>
  <c r="N4973" i="1"/>
  <c r="N4974" i="1"/>
  <c r="N4975" i="1"/>
  <c r="N4976" i="1"/>
  <c r="N4977" i="1"/>
  <c r="N4978" i="1"/>
  <c r="N4979" i="1"/>
  <c r="N4980" i="1"/>
  <c r="N4985" i="1"/>
  <c r="N4986" i="1"/>
  <c r="N4987" i="1"/>
  <c r="N4988" i="1"/>
  <c r="N4989" i="1"/>
  <c r="N4990" i="1"/>
  <c r="N4991" i="1"/>
  <c r="N4992" i="1"/>
  <c r="N4993" i="1"/>
  <c r="N4994" i="1"/>
  <c r="N4996" i="1"/>
  <c r="N4997" i="1"/>
  <c r="N4998" i="1"/>
  <c r="N4999" i="1"/>
  <c r="N5000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2" i="1"/>
  <c r="N5023" i="1"/>
  <c r="N5024" i="1"/>
  <c r="N5025" i="1"/>
  <c r="N5026" i="1"/>
  <c r="N5028" i="1"/>
  <c r="N5029" i="1"/>
  <c r="N5030" i="1"/>
  <c r="N5031" i="1"/>
  <c r="N5032" i="1"/>
  <c r="N5033" i="1"/>
  <c r="N5034" i="1"/>
  <c r="N5035" i="1"/>
  <c r="N5036" i="1"/>
  <c r="N5038" i="1"/>
  <c r="N5039" i="1"/>
  <c r="N5040" i="1"/>
  <c r="N5041" i="1"/>
  <c r="N5042" i="1"/>
  <c r="N5044" i="1"/>
  <c r="N5045" i="1"/>
  <c r="N5046" i="1"/>
  <c r="N5047" i="1"/>
  <c r="N5048" i="1"/>
  <c r="N5049" i="1"/>
  <c r="N5053" i="1"/>
  <c r="N5054" i="1"/>
  <c r="N5055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1" i="1"/>
  <c r="N5072" i="1"/>
  <c r="N5073" i="1"/>
  <c r="N5074" i="1"/>
  <c r="N5076" i="1"/>
  <c r="N5077" i="1"/>
  <c r="N5078" i="1"/>
  <c r="N5079" i="1"/>
  <c r="N5080" i="1"/>
  <c r="N5081" i="1"/>
  <c r="N5083" i="1"/>
  <c r="N5084" i="1"/>
  <c r="N5085" i="1"/>
  <c r="N5086" i="1"/>
  <c r="N5087" i="1"/>
  <c r="N5088" i="1"/>
  <c r="N5089" i="1"/>
  <c r="N5090" i="1"/>
  <c r="N5093" i="1"/>
  <c r="N5094" i="1"/>
  <c r="N5095" i="1"/>
  <c r="N5096" i="1"/>
  <c r="N5097" i="1"/>
  <c r="N5098" i="1"/>
  <c r="N5099" i="1"/>
  <c r="N5100" i="1"/>
  <c r="N5103" i="1"/>
  <c r="N5104" i="1"/>
  <c r="N5105" i="1"/>
  <c r="N5106" i="1"/>
  <c r="N5107" i="1"/>
  <c r="N5110" i="1"/>
  <c r="N5111" i="1"/>
  <c r="N5112" i="1"/>
  <c r="N5113" i="1"/>
  <c r="N5114" i="1"/>
  <c r="N5115" i="1"/>
  <c r="N5116" i="1"/>
  <c r="N5117" i="1"/>
  <c r="N5118" i="1"/>
  <c r="N5121" i="1"/>
  <c r="N5122" i="1"/>
  <c r="N5123" i="1"/>
  <c r="N5124" i="1"/>
  <c r="N5125" i="1"/>
  <c r="N5126" i="1"/>
  <c r="N5128" i="1"/>
  <c r="N5129" i="1"/>
  <c r="N5130" i="1"/>
  <c r="N5131" i="1"/>
  <c r="N5134" i="1"/>
  <c r="N5135" i="1"/>
  <c r="N5136" i="1"/>
  <c r="N5138" i="1"/>
  <c r="N5139" i="1"/>
  <c r="N5140" i="1"/>
  <c r="N5141" i="1"/>
  <c r="N5144" i="1"/>
  <c r="N5145" i="1"/>
  <c r="N5146" i="1"/>
  <c r="N5147" i="1"/>
  <c r="N5148" i="1"/>
  <c r="N5149" i="1"/>
  <c r="N5150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8" i="1"/>
  <c r="N5169" i="1"/>
  <c r="N5170" i="1"/>
  <c r="N5171" i="1"/>
  <c r="N5172" i="1"/>
  <c r="N5173" i="1"/>
  <c r="N5174" i="1"/>
  <c r="N5175" i="1"/>
  <c r="N5176" i="1"/>
  <c r="N5177" i="1"/>
  <c r="N5178" i="1"/>
  <c r="N5182" i="1"/>
  <c r="N5183" i="1"/>
  <c r="N5184" i="1"/>
  <c r="N5185" i="1"/>
  <c r="N5188" i="1"/>
  <c r="N5189" i="1"/>
  <c r="N5190" i="1"/>
  <c r="N5191" i="1"/>
  <c r="N5192" i="1"/>
  <c r="N5193" i="1"/>
  <c r="N5194" i="1"/>
  <c r="N5195" i="1"/>
  <c r="N5198" i="1"/>
  <c r="N5199" i="1"/>
  <c r="N5200" i="1"/>
  <c r="N5201" i="1"/>
  <c r="N5202" i="1"/>
  <c r="N5203" i="1"/>
  <c r="N5204" i="1"/>
  <c r="N5205" i="1"/>
  <c r="N5206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8" i="1"/>
  <c r="N5249" i="1"/>
  <c r="N5250" i="1"/>
  <c r="N5251" i="1"/>
  <c r="N5252" i="1"/>
  <c r="N5253" i="1"/>
  <c r="N5256" i="1"/>
  <c r="N5257" i="1"/>
  <c r="N5258" i="1"/>
  <c r="N5259" i="1"/>
  <c r="N5260" i="1"/>
  <c r="N5261" i="1"/>
  <c r="N5264" i="1"/>
  <c r="N5265" i="1"/>
  <c r="N5266" i="1"/>
  <c r="N5267" i="1"/>
  <c r="N5268" i="1"/>
  <c r="N5269" i="1"/>
  <c r="N5270" i="1"/>
  <c r="N5271" i="1"/>
  <c r="N5272" i="1"/>
  <c r="N5273" i="1"/>
  <c r="N5274" i="1"/>
  <c r="N5277" i="1"/>
  <c r="N5278" i="1"/>
  <c r="N5279" i="1"/>
  <c r="N5280" i="1"/>
  <c r="N5281" i="1"/>
  <c r="N5282" i="1"/>
  <c r="N5283" i="1"/>
  <c r="N5284" i="1"/>
  <c r="N5285" i="1"/>
  <c r="N5286" i="1"/>
  <c r="N5287" i="1"/>
  <c r="N5290" i="1"/>
  <c r="N5291" i="1"/>
  <c r="N5292" i="1"/>
  <c r="N5294" i="1"/>
  <c r="N5295" i="1"/>
  <c r="N5296" i="1"/>
  <c r="N5297" i="1"/>
  <c r="N5298" i="1"/>
  <c r="N5299" i="1"/>
  <c r="N5300" i="1"/>
  <c r="N5301" i="1"/>
  <c r="N5302" i="1"/>
  <c r="N5304" i="1"/>
  <c r="N5305" i="1"/>
  <c r="N5306" i="1"/>
  <c r="N5307" i="1"/>
  <c r="N5310" i="1"/>
  <c r="N5311" i="1"/>
  <c r="N5312" i="1"/>
  <c r="N5313" i="1"/>
  <c r="N5315" i="1"/>
  <c r="N5316" i="1"/>
  <c r="N5317" i="1"/>
  <c r="N5318" i="1"/>
  <c r="N5319" i="1"/>
  <c r="N5320" i="1"/>
  <c r="N5321" i="1"/>
  <c r="N5322" i="1"/>
  <c r="N5323" i="1"/>
  <c r="N5325" i="1"/>
  <c r="N5326" i="1"/>
  <c r="N5327" i="1"/>
  <c r="N5328" i="1"/>
  <c r="N5329" i="1"/>
  <c r="N5330" i="1"/>
  <c r="N5331" i="1"/>
  <c r="N5332" i="1"/>
  <c r="N5333" i="1"/>
  <c r="N5334" i="1"/>
  <c r="N5336" i="1"/>
  <c r="N5337" i="1"/>
  <c r="N5338" i="1"/>
  <c r="N5339" i="1"/>
  <c r="N5340" i="1"/>
  <c r="N5341" i="1"/>
  <c r="N5343" i="1"/>
  <c r="N5344" i="1"/>
  <c r="N5348" i="1"/>
  <c r="N5349" i="1"/>
  <c r="N5350" i="1"/>
  <c r="N5356" i="1"/>
  <c r="N5357" i="1"/>
  <c r="N5358" i="1"/>
  <c r="N5359" i="1"/>
  <c r="N5360" i="1"/>
  <c r="N5361" i="1"/>
  <c r="N5362" i="1"/>
  <c r="N5363" i="1"/>
  <c r="N5365" i="1"/>
  <c r="N5366" i="1"/>
  <c r="N5367" i="1"/>
  <c r="N5368" i="1"/>
  <c r="N5369" i="1"/>
  <c r="N5370" i="1"/>
  <c r="N5371" i="1"/>
  <c r="N5372" i="1"/>
  <c r="N5376" i="1"/>
  <c r="N5377" i="1"/>
  <c r="N5378" i="1"/>
  <c r="N5379" i="1"/>
  <c r="N5380" i="1"/>
  <c r="N5381" i="1"/>
  <c r="N5382" i="1"/>
  <c r="N5383" i="1"/>
  <c r="N5384" i="1"/>
  <c r="N5388" i="1"/>
  <c r="N5389" i="1"/>
  <c r="N5390" i="1"/>
  <c r="N5391" i="1"/>
  <c r="N5392" i="1"/>
  <c r="N5393" i="1"/>
  <c r="N5394" i="1"/>
  <c r="N5395" i="1"/>
  <c r="N5396" i="1"/>
  <c r="N5397" i="1"/>
  <c r="N5398" i="1"/>
  <c r="N5400" i="1"/>
  <c r="N5401" i="1"/>
  <c r="N5402" i="1"/>
  <c r="N5403" i="1"/>
  <c r="N5404" i="1"/>
  <c r="N5406" i="1"/>
  <c r="N5407" i="1"/>
  <c r="N5408" i="1"/>
  <c r="N5409" i="1"/>
  <c r="N5410" i="1"/>
  <c r="N5411" i="1"/>
  <c r="N5413" i="1"/>
  <c r="N5414" i="1"/>
  <c r="N5415" i="1"/>
  <c r="N5416" i="1"/>
  <c r="N5417" i="1"/>
  <c r="N5418" i="1"/>
  <c r="N5419" i="1"/>
  <c r="N5423" i="1"/>
  <c r="N5424" i="1"/>
  <c r="N5425" i="1"/>
  <c r="N5426" i="1"/>
  <c r="N5428" i="1"/>
  <c r="N5429" i="1"/>
  <c r="N5430" i="1"/>
  <c r="N5432" i="1"/>
  <c r="N5433" i="1"/>
  <c r="N5434" i="1"/>
  <c r="N5435" i="1"/>
  <c r="N5437" i="1"/>
  <c r="N5438" i="1"/>
  <c r="N5439" i="1"/>
  <c r="N5440" i="1"/>
  <c r="N5441" i="1"/>
  <c r="N5442" i="1"/>
  <c r="N5443" i="1"/>
  <c r="N5444" i="1"/>
  <c r="N5445" i="1"/>
  <c r="N5448" i="1"/>
  <c r="N5449" i="1"/>
  <c r="N5450" i="1"/>
  <c r="N5451" i="1"/>
  <c r="N5452" i="1"/>
  <c r="N5453" i="1"/>
  <c r="N5454" i="1"/>
  <c r="N5455" i="1"/>
  <c r="N5456" i="1"/>
  <c r="N5457" i="1"/>
  <c r="N5459" i="1"/>
  <c r="N5460" i="1"/>
  <c r="N5461" i="1"/>
  <c r="N5462" i="1"/>
  <c r="N5463" i="1"/>
  <c r="N5464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90" i="1"/>
  <c r="N5491" i="1"/>
  <c r="N5492" i="1"/>
  <c r="N5493" i="1"/>
  <c r="N5494" i="1"/>
  <c r="N5495" i="1"/>
  <c r="N5496" i="1"/>
  <c r="N5497" i="1"/>
  <c r="N5500" i="1"/>
  <c r="N5501" i="1"/>
  <c r="N5502" i="1"/>
  <c r="N5503" i="1"/>
  <c r="N5504" i="1"/>
  <c r="N5505" i="1"/>
  <c r="N5506" i="1"/>
  <c r="N5507" i="1"/>
  <c r="N5508" i="1"/>
  <c r="N5510" i="1"/>
  <c r="N5511" i="1"/>
  <c r="N5512" i="1"/>
  <c r="N5513" i="1"/>
  <c r="N5514" i="1"/>
  <c r="N5515" i="1"/>
  <c r="N5516" i="1"/>
  <c r="N5517" i="1"/>
  <c r="N5518" i="1"/>
  <c r="N5519" i="1"/>
  <c r="N5522" i="1"/>
  <c r="N5523" i="1"/>
  <c r="N5524" i="1"/>
  <c r="N5525" i="1"/>
  <c r="N5526" i="1"/>
  <c r="N5527" i="1"/>
  <c r="N5528" i="1"/>
  <c r="N5529" i="1"/>
  <c r="N5530" i="1"/>
  <c r="N5531" i="1"/>
  <c r="N5534" i="1"/>
  <c r="N5535" i="1"/>
  <c r="N5536" i="1"/>
  <c r="N5537" i="1"/>
  <c r="N5541" i="1"/>
  <c r="N5542" i="1"/>
  <c r="N5543" i="1"/>
  <c r="N5544" i="1"/>
  <c r="N5545" i="1"/>
  <c r="N5546" i="1"/>
  <c r="N5547" i="1"/>
  <c r="N5550" i="1"/>
  <c r="N5551" i="1"/>
  <c r="N5552" i="1"/>
  <c r="N5553" i="1"/>
  <c r="N5554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2" i="1"/>
  <c r="N5573" i="1"/>
  <c r="N5574" i="1"/>
  <c r="N5575" i="1"/>
  <c r="N5576" i="1"/>
  <c r="N5578" i="1"/>
  <c r="N5579" i="1"/>
  <c r="N5580" i="1"/>
  <c r="N5581" i="1"/>
  <c r="N5583" i="1"/>
  <c r="N5584" i="1"/>
  <c r="N5585" i="1"/>
  <c r="N5586" i="1"/>
  <c r="N5587" i="1"/>
  <c r="N5590" i="1"/>
  <c r="N5591" i="1"/>
  <c r="N5592" i="1"/>
  <c r="N5593" i="1"/>
  <c r="N5594" i="1"/>
  <c r="N5595" i="1"/>
  <c r="N5596" i="1"/>
  <c r="N5597" i="1"/>
  <c r="N5598" i="1"/>
  <c r="N5599" i="1"/>
  <c r="N5602" i="1"/>
  <c r="N5603" i="1"/>
  <c r="N5604" i="1"/>
  <c r="N5605" i="1"/>
  <c r="N5606" i="1"/>
  <c r="N5607" i="1"/>
  <c r="N5609" i="1"/>
  <c r="N5610" i="1"/>
  <c r="N5611" i="1"/>
  <c r="N5612" i="1"/>
  <c r="N5613" i="1"/>
  <c r="N5614" i="1"/>
  <c r="N5615" i="1"/>
  <c r="N5617" i="1"/>
  <c r="N5618" i="1"/>
  <c r="N5619" i="1"/>
  <c r="N5620" i="1"/>
  <c r="N5624" i="1"/>
  <c r="N5625" i="1"/>
  <c r="N5626" i="1"/>
  <c r="N5627" i="1"/>
  <c r="N5628" i="1"/>
  <c r="N5629" i="1"/>
  <c r="N5630" i="1"/>
  <c r="N5631" i="1"/>
  <c r="N5633" i="1"/>
  <c r="N5634" i="1"/>
  <c r="N5635" i="1"/>
  <c r="N5636" i="1"/>
  <c r="N5637" i="1"/>
  <c r="N5638" i="1"/>
  <c r="N5639" i="1"/>
  <c r="N5640" i="1"/>
  <c r="N5641" i="1"/>
  <c r="N5642" i="1"/>
  <c r="N5646" i="1"/>
  <c r="N5647" i="1"/>
  <c r="N5648" i="1"/>
  <c r="N5649" i="1"/>
  <c r="N5650" i="1"/>
  <c r="N5651" i="1"/>
  <c r="N5654" i="1"/>
  <c r="N5655" i="1"/>
  <c r="N5656" i="1"/>
  <c r="N5657" i="1"/>
  <c r="N5658" i="1"/>
  <c r="N5659" i="1"/>
  <c r="N5660" i="1"/>
  <c r="N5661" i="1"/>
  <c r="N5664" i="1"/>
  <c r="N5665" i="1"/>
  <c r="N5666" i="1"/>
  <c r="N5667" i="1"/>
  <c r="N5668" i="1"/>
  <c r="N5669" i="1"/>
  <c r="N5670" i="1"/>
  <c r="N5671" i="1"/>
  <c r="N5674" i="1"/>
  <c r="N5675" i="1"/>
  <c r="N5676" i="1"/>
  <c r="N5677" i="1"/>
  <c r="N5678" i="1"/>
  <c r="N5679" i="1"/>
  <c r="N5680" i="1"/>
  <c r="N5681" i="1"/>
  <c r="N5682" i="1"/>
  <c r="N5685" i="1"/>
  <c r="N5686" i="1"/>
  <c r="N5687" i="1"/>
  <c r="N5688" i="1"/>
  <c r="N5690" i="1"/>
  <c r="N5691" i="1"/>
  <c r="N5692" i="1"/>
  <c r="N5693" i="1"/>
  <c r="N5694" i="1"/>
  <c r="N5695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5" i="1"/>
  <c r="N5716" i="1"/>
  <c r="N5717" i="1"/>
  <c r="N5718" i="1"/>
  <c r="N5719" i="1"/>
  <c r="N5720" i="1"/>
  <c r="N5721" i="1"/>
  <c r="N5722" i="1"/>
  <c r="N5724" i="1"/>
  <c r="N5725" i="1"/>
  <c r="N5726" i="1"/>
  <c r="N5727" i="1"/>
  <c r="N5732" i="1"/>
  <c r="N5733" i="1"/>
  <c r="N5734" i="1"/>
  <c r="N5735" i="1"/>
  <c r="N5736" i="1"/>
  <c r="N5737" i="1"/>
  <c r="N5739" i="1"/>
  <c r="N5740" i="1"/>
  <c r="N5741" i="1"/>
  <c r="N5742" i="1"/>
  <c r="N5746" i="1"/>
  <c r="N5747" i="1"/>
  <c r="N5748" i="1"/>
  <c r="N5749" i="1"/>
  <c r="N5750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8" i="1"/>
  <c r="N5779" i="1"/>
  <c r="N5780" i="1"/>
  <c r="N5781" i="1"/>
  <c r="N5782" i="1"/>
  <c r="N5783" i="1"/>
  <c r="N5785" i="1"/>
  <c r="N5786" i="1"/>
  <c r="N5787" i="1"/>
  <c r="N5788" i="1"/>
  <c r="N5789" i="1"/>
  <c r="N5790" i="1"/>
  <c r="N5791" i="1"/>
  <c r="N5792" i="1"/>
  <c r="N5793" i="1"/>
  <c r="N5794" i="1"/>
  <c r="N5795" i="1"/>
  <c r="N5798" i="1"/>
  <c r="N5799" i="1"/>
  <c r="N5800" i="1"/>
  <c r="N5801" i="1"/>
  <c r="N5802" i="1"/>
  <c r="N5803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2" i="1"/>
  <c r="N5843" i="1"/>
  <c r="N5844" i="1"/>
  <c r="N5845" i="1"/>
  <c r="N5846" i="1"/>
  <c r="N5847" i="1"/>
  <c r="N5849" i="1"/>
  <c r="N5850" i="1"/>
  <c r="N5851" i="1"/>
  <c r="N5854" i="1"/>
  <c r="N5855" i="1"/>
  <c r="N5856" i="1"/>
  <c r="N5857" i="1"/>
  <c r="N5858" i="1"/>
  <c r="N5859" i="1"/>
  <c r="N5860" i="1"/>
  <c r="N5864" i="1"/>
  <c r="N5865" i="1"/>
  <c r="N5866" i="1"/>
  <c r="N5867" i="1"/>
  <c r="N5868" i="1"/>
  <c r="N5869" i="1"/>
  <c r="N5870" i="1"/>
  <c r="N5873" i="1"/>
  <c r="N5874" i="1"/>
  <c r="N5875" i="1"/>
  <c r="N5876" i="1"/>
  <c r="N5878" i="1"/>
  <c r="N5879" i="1"/>
  <c r="N5880" i="1"/>
  <c r="N5881" i="1"/>
  <c r="N5882" i="1"/>
  <c r="N5884" i="1"/>
  <c r="N5885" i="1"/>
  <c r="N5886" i="1"/>
  <c r="N5887" i="1"/>
  <c r="N5888" i="1"/>
  <c r="N5889" i="1"/>
  <c r="N5890" i="1"/>
  <c r="N5894" i="1"/>
  <c r="N5895" i="1"/>
  <c r="N5896" i="1"/>
  <c r="N5897" i="1"/>
  <c r="N5900" i="1"/>
  <c r="N5901" i="1"/>
  <c r="N5902" i="1"/>
  <c r="N5903" i="1"/>
  <c r="N5904" i="1"/>
  <c r="N5907" i="1"/>
  <c r="N5908" i="1"/>
  <c r="N5909" i="1"/>
  <c r="N5910" i="1"/>
  <c r="N5911" i="1"/>
  <c r="N5912" i="1"/>
  <c r="N5916" i="1"/>
  <c r="N5917" i="1"/>
  <c r="N5918" i="1"/>
  <c r="N5919" i="1"/>
  <c r="N5920" i="1"/>
  <c r="N5921" i="1"/>
  <c r="N5922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42" i="1"/>
  <c r="N5943" i="1"/>
  <c r="N5944" i="1"/>
  <c r="N5945" i="1"/>
  <c r="N5946" i="1"/>
  <c r="N5947" i="1"/>
  <c r="N5948" i="1"/>
  <c r="N5949" i="1"/>
  <c r="N5954" i="1"/>
  <c r="N5955" i="1"/>
  <c r="N5956" i="1"/>
  <c r="N5957" i="1"/>
  <c r="N5958" i="1"/>
  <c r="N5959" i="1"/>
  <c r="N5960" i="1"/>
  <c r="N5961" i="1"/>
  <c r="N5962" i="1"/>
  <c r="N5966" i="1"/>
  <c r="N5967" i="1"/>
  <c r="N5968" i="1"/>
  <c r="N5969" i="1"/>
  <c r="N5970" i="1"/>
  <c r="N5971" i="1"/>
  <c r="N5972" i="1"/>
  <c r="N5973" i="1"/>
  <c r="N5974" i="1"/>
  <c r="N5976" i="1"/>
  <c r="N5977" i="1"/>
  <c r="N5978" i="1"/>
  <c r="N5979" i="1"/>
  <c r="N5983" i="1"/>
  <c r="N5984" i="1"/>
  <c r="N5985" i="1"/>
  <c r="N5986" i="1"/>
  <c r="N5987" i="1"/>
  <c r="N5988" i="1"/>
  <c r="N5989" i="1"/>
  <c r="N5990" i="1"/>
  <c r="N5991" i="1"/>
  <c r="N5992" i="1"/>
  <c r="N5994" i="1"/>
  <c r="N5995" i="1"/>
  <c r="N5996" i="1"/>
  <c r="N5997" i="1"/>
  <c r="N5998" i="1"/>
  <c r="N5999" i="1"/>
  <c r="N6000" i="1"/>
  <c r="N6001" i="1"/>
  <c r="N6004" i="1"/>
  <c r="N6005" i="1"/>
  <c r="N6006" i="1"/>
  <c r="N6007" i="1"/>
  <c r="N6008" i="1"/>
  <c r="N6009" i="1"/>
  <c r="N6011" i="1"/>
  <c r="N6012" i="1"/>
  <c r="N6013" i="1"/>
  <c r="N6014" i="1"/>
  <c r="N6015" i="1"/>
  <c r="N6016" i="1"/>
  <c r="N6017" i="1"/>
  <c r="N6018" i="1"/>
  <c r="N6021" i="1"/>
  <c r="N6022" i="1"/>
  <c r="N6023" i="1"/>
  <c r="N6024" i="1"/>
  <c r="N6025" i="1"/>
  <c r="N6026" i="1"/>
  <c r="N6027" i="1"/>
  <c r="N6028" i="1"/>
  <c r="N6029" i="1"/>
  <c r="N6030" i="1"/>
  <c r="N6033" i="1"/>
  <c r="N6034" i="1"/>
  <c r="N6035" i="1"/>
  <c r="N6036" i="1"/>
  <c r="N6037" i="1"/>
  <c r="N6038" i="1"/>
  <c r="N6039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9" i="1"/>
  <c r="N6060" i="1"/>
  <c r="N6061" i="1"/>
  <c r="N6062" i="1"/>
  <c r="N6063" i="1"/>
  <c r="N6064" i="1"/>
  <c r="N6065" i="1"/>
  <c r="N6066" i="1"/>
  <c r="N6069" i="1"/>
  <c r="N6070" i="1"/>
  <c r="N6071" i="1"/>
  <c r="N6072" i="1"/>
  <c r="N6074" i="1"/>
  <c r="N6075" i="1"/>
  <c r="N6076" i="1"/>
  <c r="N6077" i="1"/>
  <c r="N6078" i="1"/>
  <c r="N6079" i="1"/>
  <c r="N6080" i="1"/>
  <c r="N6085" i="1"/>
  <c r="N6086" i="1"/>
  <c r="N6087" i="1"/>
  <c r="N6088" i="1"/>
  <c r="N6089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1" i="1"/>
  <c r="N6112" i="1"/>
  <c r="N6113" i="1"/>
  <c r="N6115" i="1"/>
  <c r="N6116" i="1"/>
  <c r="N6117" i="1"/>
  <c r="N6118" i="1"/>
  <c r="N6119" i="1"/>
  <c r="N6120" i="1"/>
  <c r="N6122" i="1"/>
  <c r="N6123" i="1"/>
  <c r="N6127" i="1"/>
  <c r="N6128" i="1"/>
  <c r="N6129" i="1"/>
  <c r="N6130" i="1"/>
  <c r="N6132" i="1"/>
  <c r="N6133" i="1"/>
  <c r="N6134" i="1"/>
  <c r="N6135" i="1"/>
  <c r="N6136" i="1"/>
  <c r="N6138" i="1"/>
  <c r="N6139" i="1"/>
  <c r="N6140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3" i="1"/>
  <c r="N6164" i="1"/>
  <c r="N6165" i="1"/>
  <c r="N6166" i="1"/>
  <c r="N6167" i="1"/>
  <c r="N6168" i="1"/>
  <c r="N6169" i="1"/>
  <c r="N6172" i="1"/>
  <c r="N6173" i="1"/>
  <c r="N6174" i="1"/>
  <c r="N6175" i="1"/>
  <c r="N6176" i="1"/>
  <c r="N6177" i="1"/>
  <c r="N6180" i="1"/>
  <c r="N6181" i="1"/>
  <c r="N6184" i="1"/>
  <c r="N6185" i="1"/>
  <c r="N6186" i="1"/>
  <c r="N6187" i="1"/>
  <c r="N6189" i="1"/>
  <c r="N6190" i="1"/>
  <c r="N6191" i="1"/>
  <c r="N6192" i="1"/>
  <c r="N6193" i="1"/>
  <c r="N6194" i="1"/>
  <c r="N6197" i="1"/>
  <c r="N6198" i="1"/>
  <c r="N6199" i="1"/>
  <c r="N6200" i="1"/>
  <c r="N6201" i="1"/>
  <c r="N6202" i="1"/>
  <c r="N6206" i="1"/>
  <c r="N6207" i="1"/>
  <c r="N6208" i="1"/>
  <c r="N6209" i="1"/>
  <c r="N6210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31" i="1"/>
  <c r="N6232" i="1"/>
  <c r="N6233" i="1"/>
  <c r="N6234" i="1"/>
  <c r="N6235" i="1"/>
  <c r="N6236" i="1"/>
  <c r="N6239" i="1"/>
  <c r="N6240" i="1"/>
  <c r="N6241" i="1"/>
  <c r="N6244" i="1"/>
  <c r="N6245" i="1"/>
  <c r="N6246" i="1"/>
  <c r="N6247" i="1"/>
  <c r="N6250" i="1"/>
  <c r="N6251" i="1"/>
  <c r="N6252" i="1"/>
  <c r="N6253" i="1"/>
  <c r="N6254" i="1"/>
  <c r="N6255" i="1"/>
  <c r="N6259" i="1"/>
  <c r="N6260" i="1"/>
  <c r="N6261" i="1"/>
  <c r="N6262" i="1"/>
  <c r="N6263" i="1"/>
  <c r="N6264" i="1"/>
  <c r="N6265" i="1"/>
  <c r="N6267" i="1"/>
  <c r="N6268" i="1"/>
  <c r="N6269" i="1"/>
  <c r="N6270" i="1"/>
  <c r="N6271" i="1"/>
  <c r="N6272" i="1"/>
  <c r="N6274" i="1"/>
  <c r="N6275" i="1"/>
  <c r="N6276" i="1"/>
  <c r="N6277" i="1"/>
  <c r="N6278" i="1"/>
  <c r="N6279" i="1"/>
  <c r="N6280" i="1"/>
  <c r="N6281" i="1"/>
  <c r="N6285" i="1"/>
  <c r="N6286" i="1"/>
  <c r="N6287" i="1"/>
  <c r="N6288" i="1"/>
  <c r="N6289" i="1"/>
  <c r="N6290" i="1"/>
  <c r="N6291" i="1"/>
  <c r="N6292" i="1"/>
  <c r="N6293" i="1"/>
  <c r="N6297" i="1"/>
  <c r="N6298" i="1"/>
  <c r="N6299" i="1"/>
  <c r="N6302" i="1"/>
  <c r="N6303" i="1"/>
  <c r="N6304" i="1"/>
  <c r="N6305" i="1"/>
  <c r="N6306" i="1"/>
  <c r="N6307" i="1"/>
  <c r="N6308" i="1"/>
  <c r="N6309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5" i="1"/>
  <c r="N6326" i="1"/>
  <c r="N6327" i="1"/>
  <c r="N6328" i="1"/>
  <c r="N6329" i="1"/>
  <c r="N6330" i="1"/>
  <c r="N6331" i="1"/>
  <c r="N6333" i="1"/>
  <c r="N6334" i="1"/>
  <c r="N6335" i="1"/>
  <c r="N6336" i="1"/>
  <c r="N6337" i="1"/>
  <c r="N6338" i="1"/>
  <c r="N6339" i="1"/>
  <c r="N6340" i="1"/>
  <c r="N6342" i="1"/>
  <c r="N6343" i="1"/>
  <c r="N6344" i="1"/>
  <c r="N6345" i="1"/>
  <c r="N6346" i="1"/>
  <c r="N6349" i="1"/>
  <c r="N6350" i="1"/>
  <c r="N6351" i="1"/>
  <c r="N6352" i="1"/>
  <c r="N6353" i="1"/>
  <c r="N6355" i="1"/>
  <c r="N6356" i="1"/>
  <c r="N6360" i="1"/>
  <c r="N6361" i="1"/>
  <c r="N6362" i="1"/>
  <c r="N6363" i="1"/>
  <c r="N6364" i="1"/>
  <c r="N6365" i="1"/>
  <c r="N6369" i="1"/>
  <c r="N6370" i="1"/>
  <c r="N6371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4" i="1"/>
  <c r="N6395" i="1"/>
  <c r="N6396" i="1"/>
  <c r="N6398" i="1"/>
  <c r="N6399" i="1"/>
  <c r="N6400" i="1"/>
  <c r="N6401" i="1"/>
  <c r="N6402" i="1"/>
  <c r="N6403" i="1"/>
  <c r="N6404" i="1"/>
  <c r="N6405" i="1"/>
  <c r="N6406" i="1"/>
  <c r="N6408" i="1"/>
  <c r="N6409" i="1"/>
  <c r="N6410" i="1"/>
  <c r="N6411" i="1"/>
  <c r="N6412" i="1"/>
  <c r="N6413" i="1"/>
  <c r="N6414" i="1"/>
  <c r="N6418" i="1"/>
  <c r="N6419" i="1"/>
  <c r="N6420" i="1"/>
  <c r="N6421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6" i="1"/>
  <c r="N6457" i="1"/>
  <c r="N6458" i="1"/>
  <c r="N6459" i="1"/>
  <c r="N6460" i="1"/>
  <c r="N6461" i="1"/>
  <c r="N6462" i="1"/>
  <c r="N6463" i="1"/>
  <c r="N6464" i="1"/>
  <c r="N6465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2" i="1"/>
  <c r="N6483" i="1"/>
  <c r="N6484" i="1"/>
  <c r="N6485" i="1"/>
  <c r="N6486" i="1"/>
  <c r="N6488" i="1"/>
  <c r="N6489" i="1"/>
  <c r="N6490" i="1"/>
  <c r="N6491" i="1"/>
  <c r="N6492" i="1"/>
  <c r="N6494" i="1"/>
  <c r="N6495" i="1"/>
  <c r="N6496" i="1"/>
  <c r="N6497" i="1"/>
  <c r="N6498" i="1"/>
  <c r="N6499" i="1"/>
  <c r="N6500" i="1"/>
  <c r="N6501" i="1"/>
  <c r="N6502" i="1"/>
  <c r="N6503" i="1"/>
  <c r="N6506" i="1"/>
  <c r="N6507" i="1"/>
  <c r="N6508" i="1"/>
  <c r="N6509" i="1"/>
  <c r="N6510" i="1"/>
  <c r="N6511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8" i="1"/>
  <c r="N6529" i="1"/>
  <c r="N6532" i="1"/>
  <c r="N6533" i="1"/>
  <c r="N6534" i="1"/>
  <c r="N6535" i="1"/>
  <c r="N6537" i="1"/>
  <c r="N6538" i="1"/>
  <c r="N6539" i="1"/>
  <c r="N6540" i="1"/>
  <c r="N6541" i="1"/>
  <c r="N6542" i="1"/>
  <c r="N6545" i="1"/>
  <c r="N6546" i="1"/>
  <c r="N6547" i="1"/>
  <c r="N6548" i="1"/>
  <c r="N6551" i="1"/>
  <c r="N6552" i="1"/>
  <c r="N6553" i="1"/>
  <c r="N6554" i="1"/>
  <c r="N6555" i="1"/>
  <c r="N6556" i="1"/>
  <c r="N6557" i="1"/>
  <c r="N6558" i="1"/>
  <c r="N6559" i="1"/>
  <c r="N6560" i="1"/>
  <c r="N6567" i="1"/>
  <c r="N6568" i="1"/>
  <c r="N6569" i="1"/>
  <c r="N6570" i="1"/>
  <c r="N6571" i="1"/>
  <c r="N6572" i="1"/>
  <c r="N6573" i="1"/>
  <c r="N6574" i="1"/>
  <c r="N6577" i="1"/>
  <c r="N6578" i="1"/>
  <c r="N6579" i="1"/>
  <c r="N6580" i="1"/>
  <c r="N6581" i="1"/>
  <c r="N6582" i="1"/>
  <c r="N6583" i="1"/>
  <c r="N6584" i="1"/>
  <c r="N6587" i="1"/>
  <c r="N6588" i="1"/>
  <c r="N6589" i="1"/>
  <c r="N6590" i="1"/>
  <c r="N6591" i="1"/>
  <c r="N6592" i="1"/>
  <c r="N6593" i="1"/>
  <c r="N6594" i="1"/>
  <c r="N6595" i="1"/>
  <c r="N6596" i="1"/>
  <c r="N6602" i="1"/>
  <c r="N6603" i="1"/>
  <c r="N6604" i="1"/>
  <c r="N6605" i="1"/>
  <c r="N6606" i="1"/>
  <c r="N6607" i="1"/>
  <c r="N6610" i="1"/>
  <c r="N6611" i="1"/>
  <c r="N6612" i="1"/>
  <c r="N6613" i="1"/>
  <c r="N6614" i="1"/>
  <c r="N6615" i="1"/>
  <c r="N6616" i="1"/>
  <c r="N6617" i="1"/>
  <c r="N6618" i="1"/>
  <c r="N6622" i="1"/>
  <c r="N6623" i="1"/>
  <c r="N6624" i="1"/>
  <c r="N6625" i="1"/>
  <c r="N6626" i="1"/>
  <c r="N6627" i="1"/>
  <c r="N6628" i="1"/>
  <c r="N6629" i="1"/>
  <c r="N6630" i="1"/>
  <c r="N6631" i="1"/>
  <c r="N6633" i="1"/>
  <c r="N6634" i="1"/>
  <c r="N6635" i="1"/>
  <c r="N6638" i="1"/>
  <c r="N6639" i="1"/>
  <c r="N6640" i="1"/>
  <c r="N6641" i="1"/>
  <c r="N6642" i="1"/>
  <c r="N6643" i="1"/>
  <c r="N6644" i="1"/>
  <c r="N6649" i="1"/>
  <c r="N6650" i="1"/>
  <c r="N6651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9" i="1"/>
  <c r="N6690" i="1"/>
  <c r="N6691" i="1"/>
  <c r="N6692" i="1"/>
  <c r="N6693" i="1"/>
  <c r="N6694" i="1"/>
  <c r="N6695" i="1"/>
  <c r="N6696" i="1"/>
  <c r="N6698" i="1"/>
  <c r="N6699" i="1"/>
  <c r="N6700" i="1"/>
  <c r="N6701" i="1"/>
  <c r="N6702" i="1"/>
  <c r="N6704" i="1"/>
  <c r="N6705" i="1"/>
  <c r="N6706" i="1"/>
  <c r="N6707" i="1"/>
  <c r="N6708" i="1"/>
  <c r="N6709" i="1"/>
  <c r="N6710" i="1"/>
  <c r="N6711" i="1"/>
  <c r="N6712" i="1"/>
  <c r="N6716" i="1"/>
  <c r="N6717" i="1"/>
  <c r="N6718" i="1"/>
  <c r="N6719" i="1"/>
  <c r="N6720" i="1"/>
  <c r="N6721" i="1"/>
  <c r="N6722" i="1"/>
  <c r="N6723" i="1"/>
  <c r="N6724" i="1"/>
  <c r="N6725" i="1"/>
  <c r="N6728" i="1"/>
  <c r="N6729" i="1"/>
  <c r="N6730" i="1"/>
  <c r="N6731" i="1"/>
  <c r="N6732" i="1"/>
  <c r="N6733" i="1"/>
  <c r="N6736" i="1"/>
  <c r="N6737" i="1"/>
  <c r="N6738" i="1"/>
  <c r="N6739" i="1"/>
  <c r="N6740" i="1"/>
  <c r="N6741" i="1"/>
  <c r="N6742" i="1"/>
  <c r="N6743" i="1"/>
  <c r="N6746" i="1"/>
  <c r="N6747" i="1"/>
  <c r="N6748" i="1"/>
  <c r="N6749" i="1"/>
  <c r="N6750" i="1"/>
  <c r="N6751" i="1"/>
  <c r="N6752" i="1"/>
  <c r="N6753" i="1"/>
  <c r="N6755" i="1"/>
  <c r="N6756" i="1"/>
  <c r="N6757" i="1"/>
  <c r="N6758" i="1"/>
  <c r="N6759" i="1"/>
  <c r="N6763" i="1"/>
  <c r="N6764" i="1"/>
  <c r="N6765" i="1"/>
  <c r="N6766" i="1"/>
  <c r="N6767" i="1"/>
  <c r="N6768" i="1"/>
  <c r="N6769" i="1"/>
  <c r="N6772" i="1"/>
  <c r="N6773" i="1"/>
  <c r="N6774" i="1"/>
  <c r="N6775" i="1"/>
  <c r="N6776" i="1"/>
  <c r="N6777" i="1"/>
  <c r="N6779" i="1"/>
  <c r="N6780" i="1"/>
  <c r="N6781" i="1"/>
  <c r="N6782" i="1"/>
  <c r="N6783" i="1"/>
  <c r="N6784" i="1"/>
  <c r="N6787" i="1"/>
  <c r="N6788" i="1"/>
  <c r="N6789" i="1"/>
  <c r="N6790" i="1"/>
  <c r="N6791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3" i="1"/>
  <c r="N6814" i="1"/>
  <c r="N6815" i="1"/>
  <c r="N6816" i="1"/>
  <c r="N6817" i="1"/>
  <c r="N6818" i="1"/>
  <c r="N6819" i="1"/>
  <c r="N6820" i="1"/>
  <c r="N6822" i="1"/>
  <c r="N6823" i="1"/>
  <c r="N6824" i="1"/>
  <c r="N6825" i="1"/>
  <c r="N6826" i="1"/>
  <c r="N6827" i="1"/>
  <c r="N6828" i="1"/>
  <c r="N6829" i="1"/>
  <c r="N6830" i="1"/>
  <c r="N6833" i="1"/>
  <c r="N6834" i="1"/>
  <c r="N6835" i="1"/>
  <c r="N6837" i="1"/>
  <c r="N6838" i="1"/>
  <c r="N6839" i="1"/>
  <c r="N6840" i="1"/>
  <c r="N6841" i="1"/>
  <c r="N6842" i="1"/>
  <c r="N6843" i="1"/>
  <c r="N6844" i="1"/>
  <c r="N6846" i="1"/>
  <c r="N6847" i="1"/>
  <c r="N6848" i="1"/>
  <c r="N6849" i="1"/>
  <c r="N6850" i="1"/>
  <c r="N6851" i="1"/>
  <c r="N6853" i="1"/>
  <c r="N6854" i="1"/>
  <c r="N6855" i="1"/>
  <c r="N6856" i="1"/>
  <c r="N6860" i="1"/>
  <c r="N6861" i="1"/>
  <c r="N6862" i="1"/>
  <c r="N6863" i="1"/>
  <c r="N6864" i="1"/>
  <c r="N6865" i="1"/>
  <c r="N6866" i="1"/>
  <c r="N6867" i="1"/>
  <c r="N6868" i="1"/>
  <c r="N6869" i="1"/>
  <c r="N6872" i="1"/>
  <c r="N6873" i="1"/>
  <c r="N6874" i="1"/>
  <c r="N6875" i="1"/>
  <c r="N6877" i="1"/>
  <c r="N6878" i="1"/>
  <c r="N6879" i="1"/>
  <c r="N6880" i="1"/>
  <c r="N6881" i="1"/>
  <c r="N6882" i="1"/>
  <c r="N6883" i="1"/>
  <c r="N6884" i="1"/>
  <c r="N6886" i="1"/>
  <c r="N6887" i="1"/>
  <c r="N6888" i="1"/>
  <c r="N6889" i="1"/>
  <c r="N6890" i="1"/>
  <c r="N6891" i="1"/>
  <c r="N6892" i="1"/>
  <c r="N6896" i="1"/>
  <c r="N6897" i="1"/>
  <c r="N6898" i="1"/>
  <c r="N6899" i="1"/>
  <c r="N6900" i="1"/>
  <c r="N6901" i="1"/>
  <c r="N6902" i="1"/>
  <c r="N6903" i="1"/>
  <c r="N6905" i="1"/>
  <c r="N6906" i="1"/>
  <c r="N6907" i="1"/>
  <c r="N6908" i="1"/>
  <c r="N6909" i="1"/>
  <c r="N6913" i="1"/>
  <c r="N6914" i="1"/>
  <c r="N6915" i="1"/>
  <c r="N6916" i="1"/>
  <c r="N6919" i="1"/>
  <c r="N6920" i="1"/>
  <c r="N6921" i="1"/>
  <c r="N6922" i="1"/>
  <c r="N6923" i="1"/>
  <c r="N6924" i="1"/>
  <c r="N6925" i="1"/>
  <c r="N6926" i="1"/>
  <c r="N6927" i="1"/>
  <c r="N6929" i="1"/>
  <c r="N6930" i="1"/>
  <c r="N6933" i="1"/>
  <c r="N6934" i="1"/>
  <c r="N6935" i="1"/>
  <c r="N6936" i="1"/>
  <c r="N6938" i="1"/>
  <c r="N6939" i="1"/>
  <c r="N6940" i="1"/>
  <c r="N6941" i="1"/>
  <c r="N6942" i="1"/>
  <c r="N6943" i="1"/>
  <c r="N6944" i="1"/>
  <c r="N6945" i="1"/>
  <c r="N6949" i="1"/>
  <c r="N6950" i="1"/>
  <c r="N6951" i="1"/>
  <c r="N6952" i="1"/>
  <c r="N6953" i="1"/>
  <c r="N6954" i="1"/>
  <c r="N6955" i="1"/>
  <c r="N6957" i="1"/>
  <c r="N6958" i="1"/>
  <c r="N6959" i="1"/>
  <c r="N6960" i="1"/>
  <c r="N6961" i="1"/>
  <c r="N6962" i="1"/>
  <c r="N6964" i="1"/>
  <c r="N6965" i="1"/>
  <c r="N6966" i="1"/>
  <c r="N6967" i="1"/>
  <c r="N6968" i="1"/>
  <c r="N6969" i="1"/>
  <c r="N6970" i="1"/>
  <c r="N6971" i="1"/>
  <c r="N6972" i="1"/>
  <c r="N6973" i="1"/>
  <c r="N6975" i="1"/>
  <c r="N6976" i="1"/>
  <c r="N6977" i="1"/>
  <c r="N6978" i="1"/>
  <c r="N6979" i="1"/>
  <c r="N6980" i="1"/>
  <c r="N6986" i="1"/>
  <c r="N6987" i="1"/>
  <c r="N6988" i="1"/>
  <c r="N6989" i="1"/>
  <c r="N6990" i="1"/>
  <c r="N6992" i="1"/>
  <c r="N6993" i="1"/>
  <c r="N6994" i="1"/>
  <c r="N6995" i="1"/>
  <c r="N6996" i="1"/>
  <c r="N6997" i="1"/>
  <c r="N6999" i="1"/>
  <c r="N7000" i="1"/>
  <c r="N7001" i="1"/>
  <c r="N7005" i="1"/>
  <c r="N7006" i="1"/>
  <c r="N7007" i="1"/>
  <c r="N7008" i="1"/>
  <c r="N7009" i="1"/>
  <c r="N7010" i="1"/>
  <c r="N7012" i="1"/>
  <c r="N7013" i="1"/>
  <c r="N7014" i="1"/>
  <c r="N7015" i="1"/>
  <c r="N7016" i="1"/>
  <c r="N7017" i="1"/>
  <c r="N7018" i="1"/>
  <c r="N7019" i="1"/>
  <c r="N7020" i="1"/>
  <c r="N7021" i="1"/>
  <c r="N7025" i="1"/>
  <c r="N7026" i="1"/>
  <c r="N7027" i="1"/>
  <c r="N7028" i="1"/>
  <c r="N7029" i="1"/>
  <c r="N7030" i="1"/>
  <c r="N7032" i="1"/>
  <c r="N7033" i="1"/>
  <c r="N7034" i="1"/>
  <c r="N7035" i="1"/>
  <c r="N7037" i="1"/>
  <c r="N7038" i="1"/>
  <c r="N7039" i="1"/>
  <c r="N7040" i="1"/>
  <c r="N7041" i="1"/>
  <c r="N7042" i="1"/>
  <c r="N7043" i="1"/>
  <c r="N7044" i="1"/>
  <c r="N7045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2" i="1"/>
  <c r="N7063" i="1"/>
  <c r="N7064" i="1"/>
  <c r="N7065" i="1"/>
  <c r="N7066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91" i="1"/>
  <c r="N7092" i="1"/>
  <c r="N7093" i="1"/>
  <c r="N7094" i="1"/>
  <c r="N7095" i="1"/>
  <c r="N7096" i="1"/>
  <c r="N7097" i="1"/>
  <c r="N7099" i="1"/>
  <c r="N7100" i="1"/>
  <c r="N7101" i="1"/>
  <c r="N7102" i="1"/>
  <c r="N7103" i="1"/>
  <c r="N7104" i="1"/>
  <c r="N7105" i="1"/>
  <c r="N7109" i="1"/>
  <c r="N7110" i="1"/>
  <c r="N7111" i="1"/>
  <c r="N7112" i="1"/>
  <c r="N7113" i="1"/>
  <c r="N7114" i="1"/>
  <c r="N7115" i="1"/>
  <c r="N7116" i="1"/>
  <c r="N7118" i="1"/>
  <c r="N7119" i="1"/>
  <c r="N7120" i="1"/>
  <c r="N7121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43" i="1"/>
  <c r="N7144" i="1"/>
  <c r="N7145" i="1"/>
  <c r="N7146" i="1"/>
  <c r="N7147" i="1"/>
  <c r="N7151" i="1"/>
  <c r="N7152" i="1"/>
  <c r="N7153" i="1"/>
  <c r="N7154" i="1"/>
  <c r="N7155" i="1"/>
  <c r="N7156" i="1"/>
  <c r="N7158" i="1"/>
  <c r="N7159" i="1"/>
  <c r="N7160" i="1"/>
  <c r="N7161" i="1"/>
  <c r="N7162" i="1"/>
  <c r="N7163" i="1"/>
  <c r="N7164" i="1"/>
  <c r="N7165" i="1"/>
  <c r="N7166" i="1"/>
  <c r="N7169" i="1"/>
  <c r="N7170" i="1"/>
  <c r="N7171" i="1"/>
  <c r="N7172" i="1"/>
  <c r="N7173" i="1"/>
  <c r="N7176" i="1"/>
  <c r="N7177" i="1"/>
  <c r="N7178" i="1"/>
  <c r="N7179" i="1"/>
  <c r="N7181" i="1"/>
  <c r="N7182" i="1"/>
  <c r="N7183" i="1"/>
  <c r="N7184" i="1"/>
  <c r="N7185" i="1"/>
  <c r="N7186" i="1"/>
  <c r="N7191" i="1"/>
  <c r="N7192" i="1"/>
  <c r="N7193" i="1"/>
  <c r="N7194" i="1"/>
  <c r="N7195" i="1"/>
  <c r="N7196" i="1"/>
  <c r="N7197" i="1"/>
  <c r="N7198" i="1"/>
  <c r="N7201" i="1"/>
  <c r="N7202" i="1"/>
  <c r="N7203" i="1"/>
  <c r="N7204" i="1"/>
  <c r="N7205" i="1"/>
  <c r="N7207" i="1"/>
  <c r="N7208" i="1"/>
  <c r="N7209" i="1"/>
  <c r="N7210" i="1"/>
  <c r="N7211" i="1"/>
  <c r="N7212" i="1"/>
  <c r="N7213" i="1"/>
  <c r="N7214" i="1"/>
  <c r="N7216" i="1"/>
  <c r="N7217" i="1"/>
  <c r="N7218" i="1"/>
  <c r="N7219" i="1"/>
  <c r="N7220" i="1"/>
  <c r="N7222" i="1"/>
  <c r="N7223" i="1"/>
  <c r="N7224" i="1"/>
  <c r="N7225" i="1"/>
  <c r="N7226" i="1"/>
  <c r="N7227" i="1"/>
  <c r="N7230" i="1"/>
  <c r="N7231" i="1"/>
  <c r="N7232" i="1"/>
  <c r="N7233" i="1"/>
  <c r="N7234" i="1"/>
  <c r="N7235" i="1"/>
  <c r="N7236" i="1"/>
  <c r="N7237" i="1"/>
  <c r="N7238" i="1"/>
  <c r="N7241" i="1"/>
  <c r="N7242" i="1"/>
  <c r="N7243" i="1"/>
  <c r="N7244" i="1"/>
  <c r="N7245" i="1"/>
  <c r="N7246" i="1"/>
  <c r="N7247" i="1"/>
  <c r="N7248" i="1"/>
  <c r="N7249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70" i="1"/>
  <c r="N7271" i="1"/>
  <c r="N7272" i="1"/>
  <c r="N7273" i="1"/>
  <c r="N7274" i="1"/>
  <c r="N7275" i="1"/>
  <c r="N7276" i="1"/>
  <c r="N7277" i="1"/>
  <c r="N7278" i="1"/>
  <c r="N7279" i="1"/>
  <c r="N7280" i="1"/>
  <c r="N7282" i="1"/>
  <c r="N7283" i="1"/>
  <c r="N7284" i="1"/>
  <c r="N7285" i="1"/>
  <c r="N7286" i="1"/>
  <c r="N7287" i="1"/>
  <c r="N7288" i="1"/>
  <c r="N7289" i="1"/>
  <c r="N7292" i="1"/>
  <c r="N7293" i="1"/>
  <c r="N7294" i="1"/>
  <c r="N7295" i="1"/>
  <c r="N7296" i="1"/>
  <c r="N7298" i="1"/>
  <c r="N7299" i="1"/>
  <c r="N7300" i="1"/>
  <c r="N7301" i="1"/>
  <c r="N7302" i="1"/>
  <c r="N7303" i="1"/>
  <c r="N7304" i="1"/>
  <c r="N7305" i="1"/>
  <c r="N7308" i="1"/>
  <c r="N7309" i="1"/>
  <c r="N7310" i="1"/>
  <c r="N7311" i="1"/>
  <c r="N7312" i="1"/>
  <c r="N7314" i="1"/>
  <c r="N7315" i="1"/>
  <c r="N7316" i="1"/>
  <c r="N7317" i="1"/>
  <c r="N7318" i="1"/>
  <c r="N7319" i="1"/>
  <c r="N7320" i="1"/>
  <c r="N7322" i="1"/>
  <c r="N7323" i="1"/>
  <c r="N7324" i="1"/>
  <c r="N7325" i="1"/>
  <c r="N7326" i="1"/>
  <c r="N7327" i="1"/>
  <c r="N7328" i="1"/>
  <c r="N7329" i="1"/>
  <c r="N7332" i="1"/>
  <c r="N7333" i="1"/>
  <c r="N7334" i="1"/>
  <c r="N7335" i="1"/>
  <c r="N7336" i="1"/>
  <c r="N7337" i="1"/>
  <c r="N7338" i="1"/>
  <c r="N7341" i="1"/>
  <c r="N7342" i="1"/>
  <c r="N7343" i="1"/>
  <c r="N7344" i="1"/>
  <c r="N7345" i="1"/>
  <c r="N7346" i="1"/>
  <c r="N7349" i="1"/>
  <c r="N7350" i="1"/>
  <c r="N7351" i="1"/>
  <c r="N7352" i="1"/>
  <c r="N7353" i="1"/>
  <c r="N7354" i="1"/>
  <c r="N7356" i="1"/>
  <c r="N7357" i="1"/>
  <c r="N7358" i="1"/>
  <c r="N7359" i="1"/>
  <c r="N7360" i="1"/>
  <c r="N7361" i="1"/>
  <c r="N7362" i="1"/>
  <c r="N7363" i="1"/>
  <c r="N7366" i="1"/>
  <c r="N7367" i="1"/>
  <c r="N7368" i="1"/>
  <c r="N7369" i="1"/>
  <c r="N7370" i="1"/>
  <c r="N7371" i="1"/>
  <c r="N7373" i="1"/>
  <c r="N7374" i="1"/>
  <c r="N7375" i="1"/>
  <c r="N7376" i="1"/>
  <c r="N7377" i="1"/>
  <c r="N7378" i="1"/>
  <c r="N7379" i="1"/>
  <c r="N7382" i="1"/>
  <c r="N7383" i="1"/>
  <c r="N7384" i="1"/>
  <c r="N7385" i="1"/>
  <c r="N7386" i="1"/>
  <c r="N7387" i="1"/>
  <c r="N7390" i="1"/>
  <c r="N7391" i="1"/>
  <c r="N7392" i="1"/>
  <c r="N7393" i="1"/>
  <c r="N7394" i="1"/>
  <c r="N7395" i="1"/>
  <c r="N7396" i="1"/>
  <c r="N7400" i="1"/>
  <c r="N7401" i="1"/>
  <c r="N7402" i="1"/>
  <c r="N7403" i="1"/>
  <c r="N7404" i="1"/>
  <c r="N7405" i="1"/>
  <c r="N7406" i="1"/>
  <c r="N7407" i="1"/>
  <c r="N7408" i="1"/>
  <c r="N7409" i="1"/>
  <c r="N7412" i="1"/>
  <c r="N7413" i="1"/>
  <c r="N7414" i="1"/>
  <c r="N7415" i="1"/>
  <c r="N7416" i="1"/>
  <c r="N7417" i="1"/>
  <c r="N7418" i="1"/>
  <c r="N7419" i="1"/>
  <c r="N7420" i="1"/>
  <c r="N7422" i="1"/>
  <c r="N7423" i="1"/>
  <c r="N7424" i="1"/>
  <c r="N7425" i="1"/>
  <c r="N7426" i="1"/>
  <c r="N7430" i="1"/>
  <c r="N7431" i="1"/>
  <c r="N7432" i="1"/>
  <c r="N7433" i="1"/>
  <c r="N7434" i="1"/>
  <c r="N7435" i="1"/>
  <c r="N7438" i="1"/>
  <c r="N7439" i="1"/>
  <c r="N7440" i="1"/>
  <c r="N7441" i="1"/>
  <c r="N7442" i="1"/>
  <c r="N7443" i="1"/>
  <c r="N7444" i="1"/>
  <c r="N7445" i="1"/>
  <c r="N7446" i="1"/>
  <c r="N7449" i="1"/>
  <c r="N7450" i="1"/>
  <c r="N7451" i="1"/>
  <c r="N7452" i="1"/>
  <c r="N7457" i="1"/>
  <c r="N7458" i="1"/>
  <c r="N7459" i="1"/>
  <c r="N7460" i="1"/>
  <c r="N7461" i="1"/>
  <c r="N7465" i="1"/>
  <c r="N7466" i="1"/>
  <c r="N7467" i="1"/>
  <c r="N7468" i="1"/>
  <c r="N7469" i="1"/>
  <c r="N7470" i="1"/>
  <c r="N7471" i="1"/>
  <c r="N7472" i="1"/>
  <c r="N7474" i="1"/>
  <c r="N7475" i="1"/>
  <c r="N7476" i="1"/>
  <c r="N7477" i="1"/>
  <c r="N7478" i="1"/>
  <c r="N7480" i="1"/>
  <c r="N7481" i="1"/>
  <c r="N7482" i="1"/>
  <c r="N7483" i="1"/>
  <c r="N7484" i="1"/>
  <c r="N7485" i="1"/>
  <c r="N7486" i="1"/>
  <c r="N7487" i="1"/>
  <c r="N7488" i="1"/>
  <c r="N7489" i="1"/>
  <c r="N7491" i="1"/>
  <c r="N7492" i="1"/>
  <c r="N7493" i="1"/>
  <c r="N7494" i="1"/>
  <c r="N7495" i="1"/>
  <c r="N7496" i="1"/>
  <c r="N7497" i="1"/>
  <c r="N7498" i="1"/>
  <c r="N7501" i="1"/>
  <c r="N7502" i="1"/>
  <c r="N7503" i="1"/>
  <c r="N7506" i="1"/>
  <c r="N7507" i="1"/>
  <c r="N7508" i="1"/>
  <c r="N7514" i="1"/>
  <c r="N7515" i="1"/>
  <c r="N7516" i="1"/>
  <c r="N7517" i="1"/>
  <c r="N7518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4" i="1"/>
  <c r="N7555" i="1"/>
  <c r="N7560" i="1"/>
  <c r="N7561" i="1"/>
  <c r="N7562" i="1"/>
  <c r="N7563" i="1"/>
  <c r="N7564" i="1"/>
  <c r="N7565" i="1"/>
  <c r="N7566" i="1"/>
  <c r="N7569" i="1"/>
  <c r="N7570" i="1"/>
  <c r="N7571" i="1"/>
  <c r="N7572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90" i="1"/>
  <c r="N7591" i="1"/>
  <c r="N7592" i="1"/>
  <c r="N7593" i="1"/>
  <c r="N7594" i="1"/>
  <c r="N7595" i="1"/>
  <c r="N7596" i="1"/>
  <c r="N7597" i="1"/>
  <c r="N7598" i="1"/>
  <c r="N7599" i="1"/>
  <c r="N7600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9" i="1"/>
  <c r="N7630" i="1"/>
  <c r="N7631" i="1"/>
  <c r="N7632" i="1"/>
  <c r="N7633" i="1"/>
  <c r="N7634" i="1"/>
  <c r="N7635" i="1"/>
  <c r="N7636" i="1"/>
  <c r="N7637" i="1"/>
  <c r="N7640" i="1"/>
  <c r="N7641" i="1"/>
  <c r="N7642" i="1"/>
  <c r="N7644" i="1"/>
  <c r="N7645" i="1"/>
  <c r="N7646" i="1"/>
  <c r="N7647" i="1"/>
  <c r="N7648" i="1"/>
  <c r="N7651" i="1"/>
  <c r="N7652" i="1"/>
  <c r="N7653" i="1"/>
  <c r="N7654" i="1"/>
  <c r="N7655" i="1"/>
  <c r="N7656" i="1"/>
  <c r="N7657" i="1"/>
  <c r="N7658" i="1"/>
  <c r="N7660" i="1"/>
  <c r="N7661" i="1"/>
  <c r="N7662" i="1"/>
  <c r="N7663" i="1"/>
  <c r="N7664" i="1"/>
  <c r="N7665" i="1"/>
  <c r="N7669" i="1"/>
  <c r="N7670" i="1"/>
  <c r="N7671" i="1"/>
  <c r="N7672" i="1"/>
  <c r="N7673" i="1"/>
  <c r="N7674" i="1"/>
  <c r="N7675" i="1"/>
  <c r="N7676" i="1"/>
  <c r="N7677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5" i="1"/>
  <c r="N7726" i="1"/>
  <c r="N7727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4" i="1"/>
  <c r="N7745" i="1"/>
  <c r="N7746" i="1"/>
  <c r="N7747" i="1"/>
  <c r="N7748" i="1"/>
  <c r="N7749" i="1"/>
  <c r="N7750" i="1"/>
  <c r="N7753" i="1"/>
  <c r="N7754" i="1"/>
  <c r="N7755" i="1"/>
  <c r="N7756" i="1"/>
  <c r="N7757" i="1"/>
  <c r="N7758" i="1"/>
  <c r="N7759" i="1"/>
  <c r="N7761" i="1"/>
  <c r="N7762" i="1"/>
  <c r="N7763" i="1"/>
  <c r="N7764" i="1"/>
  <c r="N7765" i="1"/>
  <c r="N7766" i="1"/>
  <c r="N7770" i="1"/>
  <c r="N7771" i="1"/>
  <c r="N7772" i="1"/>
  <c r="N7774" i="1"/>
  <c r="N7775" i="1"/>
  <c r="N7776" i="1"/>
  <c r="N7777" i="1"/>
  <c r="N7778" i="1"/>
  <c r="N7779" i="1"/>
  <c r="N7780" i="1"/>
  <c r="N7781" i="1"/>
  <c r="N7782" i="1"/>
  <c r="N7783" i="1"/>
  <c r="N7784" i="1"/>
  <c r="N7786" i="1"/>
  <c r="N7787" i="1"/>
  <c r="N7788" i="1"/>
  <c r="N7789" i="1"/>
  <c r="N7790" i="1"/>
  <c r="N7791" i="1"/>
  <c r="N7795" i="1"/>
  <c r="N7796" i="1"/>
  <c r="N7797" i="1"/>
  <c r="N7798" i="1"/>
  <c r="N7799" i="1"/>
  <c r="N7803" i="1"/>
  <c r="N7804" i="1"/>
  <c r="N7805" i="1"/>
  <c r="N7806" i="1"/>
  <c r="N7807" i="1"/>
  <c r="N7808" i="1"/>
  <c r="N7809" i="1"/>
  <c r="N7810" i="1"/>
  <c r="N7811" i="1"/>
  <c r="N7817" i="1"/>
  <c r="N7818" i="1"/>
  <c r="N7819" i="1"/>
  <c r="N7820" i="1"/>
  <c r="N7821" i="1"/>
  <c r="N7824" i="1"/>
  <c r="N7825" i="1"/>
  <c r="N7826" i="1"/>
  <c r="N7827" i="1"/>
  <c r="N7828" i="1"/>
  <c r="N7829" i="1"/>
  <c r="N7830" i="1"/>
  <c r="N7831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7" i="1"/>
  <c r="N7878" i="1"/>
  <c r="N7879" i="1"/>
  <c r="N7880" i="1"/>
  <c r="N7881" i="1"/>
  <c r="N7882" i="1"/>
  <c r="N7883" i="1"/>
  <c r="N7884" i="1"/>
  <c r="N7888" i="1"/>
  <c r="N7889" i="1"/>
  <c r="N7890" i="1"/>
  <c r="N7891" i="1"/>
  <c r="N7892" i="1"/>
  <c r="N7897" i="1"/>
  <c r="N7898" i="1"/>
  <c r="N7899" i="1"/>
  <c r="N7900" i="1"/>
  <c r="N7901" i="1"/>
  <c r="N7902" i="1"/>
  <c r="N7903" i="1"/>
  <c r="N7904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4" i="1"/>
  <c r="N7925" i="1"/>
  <c r="N7926" i="1"/>
  <c r="N7927" i="1"/>
  <c r="N7928" i="1"/>
  <c r="N7930" i="1"/>
  <c r="N7931" i="1"/>
  <c r="N7932" i="1"/>
  <c r="N7933" i="1"/>
  <c r="N7934" i="1"/>
  <c r="N7935" i="1"/>
  <c r="N7936" i="1"/>
  <c r="N7937" i="1"/>
  <c r="N7938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4" i="1"/>
  <c r="N7955" i="1"/>
  <c r="N7956" i="1"/>
  <c r="N7957" i="1"/>
  <c r="N7958" i="1"/>
  <c r="N7959" i="1"/>
  <c r="N7960" i="1"/>
  <c r="N7961" i="1"/>
  <c r="N7962" i="1"/>
  <c r="N7966" i="1"/>
  <c r="N7967" i="1"/>
  <c r="N7969" i="1"/>
  <c r="N7970" i="1"/>
  <c r="N7971" i="1"/>
  <c r="N7972" i="1"/>
  <c r="N7973" i="1"/>
  <c r="N7974" i="1"/>
  <c r="N7975" i="1"/>
  <c r="N7976" i="1"/>
  <c r="N7977" i="1"/>
  <c r="N7981" i="1"/>
  <c r="N7982" i="1"/>
  <c r="N7983" i="1"/>
  <c r="N7984" i="1"/>
  <c r="N7987" i="1"/>
  <c r="N7988" i="1"/>
  <c r="N7989" i="1"/>
  <c r="N7990" i="1"/>
  <c r="N7991" i="1"/>
  <c r="N7993" i="1"/>
  <c r="N7994" i="1"/>
  <c r="N7995" i="1"/>
  <c r="N7998" i="1"/>
  <c r="N7999" i="1"/>
  <c r="N8000" i="1"/>
  <c r="N8001" i="1"/>
  <c r="N8002" i="1"/>
  <c r="N8003" i="1"/>
  <c r="N8007" i="1"/>
  <c r="N8008" i="1"/>
  <c r="N8009" i="1"/>
  <c r="N8010" i="1"/>
  <c r="N8011" i="1"/>
  <c r="N8012" i="1"/>
  <c r="N8013" i="1"/>
  <c r="N8016" i="1"/>
  <c r="N8017" i="1"/>
  <c r="N8018" i="1"/>
  <c r="N8019" i="1"/>
  <c r="N8020" i="1"/>
  <c r="N8021" i="1"/>
  <c r="N8022" i="1"/>
  <c r="N8027" i="1"/>
  <c r="N8028" i="1"/>
  <c r="N8029" i="1"/>
  <c r="N8030" i="1"/>
  <c r="N8031" i="1"/>
  <c r="N8032" i="1"/>
  <c r="N8033" i="1"/>
  <c r="N8034" i="1"/>
  <c r="N8035" i="1"/>
  <c r="N8036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9" i="1"/>
  <c r="N8060" i="1"/>
  <c r="N8061" i="1"/>
  <c r="N8062" i="1"/>
  <c r="N8063" i="1"/>
  <c r="N8064" i="1"/>
  <c r="N8065" i="1"/>
  <c r="N8066" i="1"/>
  <c r="N8068" i="1"/>
  <c r="N8069" i="1"/>
  <c r="N8070" i="1"/>
  <c r="N8071" i="1"/>
  <c r="N8072" i="1"/>
  <c r="N8074" i="1"/>
  <c r="N8075" i="1"/>
  <c r="N8076" i="1"/>
  <c r="N8077" i="1"/>
  <c r="N8078" i="1"/>
  <c r="N8080" i="1"/>
  <c r="N8081" i="1"/>
  <c r="N8082" i="1"/>
  <c r="N8083" i="1"/>
  <c r="N8084" i="1"/>
  <c r="N8087" i="1"/>
  <c r="N8088" i="1"/>
  <c r="N8089" i="1"/>
  <c r="N8090" i="1"/>
  <c r="N8094" i="1"/>
  <c r="N8095" i="1"/>
  <c r="N8096" i="1"/>
  <c r="N8097" i="1"/>
  <c r="N8099" i="1"/>
  <c r="N8100" i="1"/>
  <c r="N8101" i="1"/>
  <c r="N8102" i="1"/>
  <c r="N8103" i="1"/>
  <c r="N8104" i="1"/>
  <c r="N8105" i="1"/>
  <c r="N8106" i="1"/>
  <c r="N8107" i="1"/>
  <c r="N8108" i="1"/>
  <c r="N8110" i="1"/>
  <c r="N8111" i="1"/>
  <c r="N8112" i="1"/>
  <c r="N8113" i="1"/>
  <c r="N8114" i="1"/>
  <c r="N8117" i="1"/>
  <c r="N8118" i="1"/>
  <c r="N8119" i="1"/>
  <c r="N8120" i="1"/>
  <c r="N8122" i="1"/>
  <c r="N8123" i="1"/>
  <c r="N8124" i="1"/>
  <c r="N8125" i="1"/>
  <c r="N8126" i="1"/>
  <c r="N8127" i="1"/>
  <c r="N8128" i="1"/>
  <c r="N8129" i="1"/>
  <c r="N8133" i="1"/>
  <c r="N8134" i="1"/>
  <c r="N8135" i="1"/>
  <c r="N8136" i="1"/>
  <c r="N8137" i="1"/>
  <c r="N8138" i="1"/>
  <c r="N8140" i="1"/>
  <c r="N8141" i="1"/>
  <c r="N8142" i="1"/>
  <c r="N8143" i="1"/>
  <c r="N8147" i="1"/>
  <c r="N8148" i="1"/>
  <c r="N8149" i="1"/>
  <c r="N8150" i="1"/>
  <c r="N8152" i="1"/>
  <c r="N8153" i="1"/>
  <c r="N8154" i="1"/>
  <c r="N8155" i="1"/>
  <c r="N8156" i="1"/>
  <c r="N8157" i="1"/>
  <c r="N8158" i="1"/>
  <c r="N8160" i="1"/>
  <c r="N8161" i="1"/>
  <c r="N8162" i="1"/>
  <c r="N8163" i="1"/>
  <c r="N8164" i="1"/>
  <c r="N8165" i="1"/>
  <c r="N8166" i="1"/>
  <c r="N8170" i="1"/>
  <c r="N8171" i="1"/>
  <c r="N8172" i="1"/>
  <c r="N8173" i="1"/>
  <c r="N8174" i="1"/>
  <c r="N8177" i="1"/>
  <c r="N8178" i="1"/>
  <c r="N8179" i="1"/>
  <c r="N8180" i="1"/>
  <c r="N8181" i="1"/>
  <c r="N8182" i="1"/>
  <c r="N8183" i="1"/>
  <c r="N8187" i="1"/>
  <c r="N8188" i="1"/>
  <c r="N8189" i="1"/>
  <c r="N8191" i="1"/>
  <c r="N8192" i="1"/>
  <c r="N8193" i="1"/>
  <c r="N8194" i="1"/>
  <c r="N8195" i="1"/>
  <c r="N8197" i="1"/>
  <c r="N8198" i="1"/>
  <c r="N8199" i="1"/>
  <c r="N8200" i="1"/>
  <c r="N8201" i="1"/>
  <c r="N8202" i="1"/>
  <c r="N8205" i="1"/>
  <c r="N8206" i="1"/>
  <c r="N8207" i="1"/>
  <c r="N8208" i="1"/>
  <c r="N8209" i="1"/>
  <c r="N8210" i="1"/>
  <c r="N8211" i="1"/>
  <c r="N8212" i="1"/>
  <c r="N8213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30" i="1"/>
  <c r="N8231" i="1"/>
  <c r="N8232" i="1"/>
  <c r="N8236" i="1"/>
  <c r="N8237" i="1"/>
  <c r="N8238" i="1"/>
  <c r="N8239" i="1"/>
  <c r="N8240" i="1"/>
  <c r="N8241" i="1"/>
  <c r="N8242" i="1"/>
  <c r="N8243" i="1"/>
  <c r="N8244" i="1"/>
  <c r="N8246" i="1"/>
  <c r="N8247" i="1"/>
  <c r="N8248" i="1"/>
  <c r="N8249" i="1"/>
  <c r="N8250" i="1"/>
  <c r="N8251" i="1"/>
  <c r="N8252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9" i="1"/>
  <c r="N8280" i="1"/>
  <c r="N28" i="1"/>
  <c r="N31" i="1"/>
  <c r="N32" i="1"/>
  <c r="N33" i="1"/>
  <c r="N34" i="1"/>
  <c r="N35" i="1"/>
  <c r="N23" i="1"/>
  <c r="N24" i="1"/>
  <c r="N25" i="1"/>
  <c r="N26" i="1"/>
  <c r="N27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3" i="1"/>
  <c r="N4" i="1"/>
  <c r="N6" i="1"/>
</calcChain>
</file>

<file path=xl/sharedStrings.xml><?xml version="1.0" encoding="utf-8"?>
<sst xmlns="http://schemas.openxmlformats.org/spreadsheetml/2006/main" count="49690" uniqueCount="8390">
  <si>
    <t>transaction_id</t>
  </si>
  <si>
    <t>date</t>
  </si>
  <si>
    <t>year</t>
  </si>
  <si>
    <t>month</t>
  </si>
  <si>
    <t>department</t>
  </si>
  <si>
    <t>region</t>
  </si>
  <si>
    <t>category</t>
  </si>
  <si>
    <t>vendor</t>
  </si>
  <si>
    <t>amount</t>
  </si>
  <si>
    <t>budget_amount</t>
  </si>
  <si>
    <t>transaction_type</t>
  </si>
  <si>
    <t>is_anomaly</t>
  </si>
  <si>
    <t>TXN-00133</t>
  </si>
  <si>
    <t>HR</t>
  </si>
  <si>
    <t>East</t>
  </si>
  <si>
    <t>Training</t>
  </si>
  <si>
    <t>Coursera</t>
  </si>
  <si>
    <t>EXPENSE</t>
  </si>
  <si>
    <t>TXN-00048</t>
  </si>
  <si>
    <t>Marketing</t>
  </si>
  <si>
    <t>Events</t>
  </si>
  <si>
    <t>Metro Toronto CC</t>
  </si>
  <si>
    <t>TXN-00216</t>
  </si>
  <si>
    <t>Operations</t>
  </si>
  <si>
    <t>Central</t>
  </si>
  <si>
    <t>Facilities</t>
  </si>
  <si>
    <t>CBRE Canada</t>
  </si>
  <si>
    <t>TXN-00151</t>
  </si>
  <si>
    <t>West</t>
  </si>
  <si>
    <t>TXN-00197</t>
  </si>
  <si>
    <t>Utilities</t>
  </si>
  <si>
    <t>Enbridge Gas</t>
  </si>
  <si>
    <t>TXN-00211</t>
  </si>
  <si>
    <t>Toronto Hydro</t>
  </si>
  <si>
    <t>TXN-00218</t>
  </si>
  <si>
    <t>Brookfield Properties</t>
  </si>
  <si>
    <t>TXN-00096</t>
  </si>
  <si>
    <t>Sales</t>
  </si>
  <si>
    <t>Sales Tools</t>
  </si>
  <si>
    <t>Salesforce</t>
  </si>
  <si>
    <t>TXN-00097</t>
  </si>
  <si>
    <t>Commissions</t>
  </si>
  <si>
    <t>Internal Payroll</t>
  </si>
  <si>
    <t>TXN-00120</t>
  </si>
  <si>
    <t>TXN-00168</t>
  </si>
  <si>
    <t>Dale Carnegie</t>
  </si>
  <si>
    <t>TXN-00005</t>
  </si>
  <si>
    <t>IT</t>
  </si>
  <si>
    <t>Software Licences</t>
  </si>
  <si>
    <t>Microsoft</t>
  </si>
  <si>
    <t>TXN-00020</t>
  </si>
  <si>
    <t>Cloud Infrastructure</t>
  </si>
  <si>
    <t>Azure</t>
  </si>
  <si>
    <t>TXN-00070</t>
  </si>
  <si>
    <t>Digital Advertising</t>
  </si>
  <si>
    <t>Google Ads</t>
  </si>
  <si>
    <t>TXN-00071</t>
  </si>
  <si>
    <t>Meta Ads</t>
  </si>
  <si>
    <t>TXN-00190</t>
  </si>
  <si>
    <t>Office Supplies</t>
  </si>
  <si>
    <t>Bureau en Gros</t>
  </si>
  <si>
    <t>TXN-00098</t>
  </si>
  <si>
    <t>Travel</t>
  </si>
  <si>
    <t>WestJet</t>
  </si>
  <si>
    <t>TXN-00119</t>
  </si>
  <si>
    <t>TXN-00124</t>
  </si>
  <si>
    <t>Air Canada</t>
  </si>
  <si>
    <t>TXN-00145</t>
  </si>
  <si>
    <t>Benefits Admin</t>
  </si>
  <si>
    <t>Manulife</t>
  </si>
  <si>
    <t>TXN-00147</t>
  </si>
  <si>
    <t>TXN-00003</t>
  </si>
  <si>
    <t>GCP</t>
  </si>
  <si>
    <t>TXN-00012</t>
  </si>
  <si>
    <t>TXN-00013</t>
  </si>
  <si>
    <t>GitHub</t>
  </si>
  <si>
    <t>TXN-00016</t>
  </si>
  <si>
    <t>IT Support</t>
  </si>
  <si>
    <t>Rogers</t>
  </si>
  <si>
    <t>TXN-00055</t>
  </si>
  <si>
    <t>Content Tools</t>
  </si>
  <si>
    <t>HubSpot</t>
  </si>
  <si>
    <t>TXN-08173</t>
  </si>
  <si>
    <t>Revenue</t>
  </si>
  <si>
    <t>Client Payments</t>
  </si>
  <si>
    <t>REVENUE</t>
  </si>
  <si>
    <t>TXN-00159</t>
  </si>
  <si>
    <t>Green Shield Canada</t>
  </si>
  <si>
    <t>TXN-00172</t>
  </si>
  <si>
    <t>Udemy Business</t>
  </si>
  <si>
    <t>TXN-00011</t>
  </si>
  <si>
    <t>Hardware</t>
  </si>
  <si>
    <t>Apple</t>
  </si>
  <si>
    <t>TXN-00182</t>
  </si>
  <si>
    <t>TXN-00193</t>
  </si>
  <si>
    <t>WeWork</t>
  </si>
  <si>
    <t>TXN-00220</t>
  </si>
  <si>
    <t>TXN-00127</t>
  </si>
  <si>
    <t>Client Entertainment</t>
  </si>
  <si>
    <t>Hy's Steakhouse</t>
  </si>
  <si>
    <t>TXN-00136</t>
  </si>
  <si>
    <t>TXN-00180</t>
  </si>
  <si>
    <t>HR Software</t>
  </si>
  <si>
    <t>Workday</t>
  </si>
  <si>
    <t>TXN-00090</t>
  </si>
  <si>
    <t>TXN-00206</t>
  </si>
  <si>
    <t>Rogers Business</t>
  </si>
  <si>
    <t>TXN-00141</t>
  </si>
  <si>
    <t>Recruiting</t>
  </si>
  <si>
    <t>Hays Recruiting</t>
  </si>
  <si>
    <t>TXN-00007</t>
  </si>
  <si>
    <t>Datadog</t>
  </si>
  <si>
    <t>TXN-00076</t>
  </si>
  <si>
    <t>Adobe</t>
  </si>
  <si>
    <t>TXN-00089</t>
  </si>
  <si>
    <t>TXN-00219</t>
  </si>
  <si>
    <t>TXN-00093</t>
  </si>
  <si>
    <t>TXN-00102</t>
  </si>
  <si>
    <t>ZoomInfo</t>
  </si>
  <si>
    <t>TXN-00117</t>
  </si>
  <si>
    <t>TXN-00129</t>
  </si>
  <si>
    <t>Marriott</t>
  </si>
  <si>
    <t>TXN-00138</t>
  </si>
  <si>
    <t>Indeed Canada</t>
  </si>
  <si>
    <t>TXN-00140</t>
  </si>
  <si>
    <t>TXN-00173</t>
  </si>
  <si>
    <t>LinkedIn Talent</t>
  </si>
  <si>
    <t>TXN-00002</t>
  </si>
  <si>
    <t>Lenovo</t>
  </si>
  <si>
    <t>TXN-00038</t>
  </si>
  <si>
    <t>Bell Canada</t>
  </si>
  <si>
    <t>TXN-00056</t>
  </si>
  <si>
    <t>Agency Fees</t>
  </si>
  <si>
    <t>DDB Canada</t>
  </si>
  <si>
    <t>TXN-00065</t>
  </si>
  <si>
    <t>TXN-00068</t>
  </si>
  <si>
    <t>Fairmont Hotels</t>
  </si>
  <si>
    <t>TXN-00081</t>
  </si>
  <si>
    <t>Ogilvy Canada</t>
  </si>
  <si>
    <t>TXN-00189</t>
  </si>
  <si>
    <t>TXN-00203</t>
  </si>
  <si>
    <t>Logistics</t>
  </si>
  <si>
    <t>FedEx Canada</t>
  </si>
  <si>
    <t>TXN-00217</t>
  </si>
  <si>
    <t>TXN-00142</t>
  </si>
  <si>
    <t>BambooHR</t>
  </si>
  <si>
    <t>TXN-00035</t>
  </si>
  <si>
    <t>CDW Canada</t>
  </si>
  <si>
    <t>TXN-00044</t>
  </si>
  <si>
    <t>TXN-00061</t>
  </si>
  <si>
    <t>Hootsuite</t>
  </si>
  <si>
    <t>TXN-00187</t>
  </si>
  <si>
    <t>TXN-00188</t>
  </si>
  <si>
    <t>Canada Post</t>
  </si>
  <si>
    <t>TXN-00191</t>
  </si>
  <si>
    <t>Staples Canada</t>
  </si>
  <si>
    <t>TXN-00214</t>
  </si>
  <si>
    <t>TXN-00103</t>
  </si>
  <si>
    <t>TXN-00114</t>
  </si>
  <si>
    <t>TXN-00157</t>
  </si>
  <si>
    <t>TXN-00164</t>
  </si>
  <si>
    <t>TXN-00171</t>
  </si>
  <si>
    <t>TXN-00051</t>
  </si>
  <si>
    <t>LinkedIn Ads</t>
  </si>
  <si>
    <t>TXN-00063</t>
  </si>
  <si>
    <t>TXN-00092</t>
  </si>
  <si>
    <t>TXN-00110</t>
  </si>
  <si>
    <t>TXN-00116</t>
  </si>
  <si>
    <t>TXN-00155</t>
  </si>
  <si>
    <t>TXN-00029</t>
  </si>
  <si>
    <t>TXN-00046</t>
  </si>
  <si>
    <t>Zulu Alpha Kilo</t>
  </si>
  <si>
    <t>TXN-00054</t>
  </si>
  <si>
    <t>TXN-00066</t>
  </si>
  <si>
    <t>Eventbrite</t>
  </si>
  <si>
    <t>TXN-00205</t>
  </si>
  <si>
    <t>TXN-00212</t>
  </si>
  <si>
    <t>TXN-00213</t>
  </si>
  <si>
    <t>TXN-00105</t>
  </si>
  <si>
    <t>TXN-00139</t>
  </si>
  <si>
    <t>TXN-00143</t>
  </si>
  <si>
    <t>TXN-00023</t>
  </si>
  <si>
    <t>TXN-00052</t>
  </si>
  <si>
    <t>TXN-00128</t>
  </si>
  <si>
    <t>TXN-00130</t>
  </si>
  <si>
    <t>Canoe Restaurant</t>
  </si>
  <si>
    <t>TXN-00158</t>
  </si>
  <si>
    <t>TXN-00177</t>
  </si>
  <si>
    <t>TXN-00021</t>
  </si>
  <si>
    <t>AWS</t>
  </si>
  <si>
    <t>TXN-00031</t>
  </si>
  <si>
    <t>Atlassian</t>
  </si>
  <si>
    <t>TXN-00043</t>
  </si>
  <si>
    <t>TXN-00080</t>
  </si>
  <si>
    <t>TXN-00091</t>
  </si>
  <si>
    <t>TXN-00198</t>
  </si>
  <si>
    <t>TXN-00199</t>
  </si>
  <si>
    <t>TXN-00099</t>
  </si>
  <si>
    <t>TXN-00153</t>
  </si>
  <si>
    <t>TXN-00175</t>
  </si>
  <si>
    <t>TXN-00004</t>
  </si>
  <si>
    <t>TXN-00010</t>
  </si>
  <si>
    <t>TXN-00042</t>
  </si>
  <si>
    <t>TXN-00047</t>
  </si>
  <si>
    <t>TXN-00078</t>
  </si>
  <si>
    <t>TXN-00083</t>
  </si>
  <si>
    <t>TXN-00088</t>
  </si>
  <si>
    <t>Global Trade Partners</t>
  </si>
  <si>
    <t>TXN-00195</t>
  </si>
  <si>
    <t>Purolator</t>
  </si>
  <si>
    <t>TXN-00101</t>
  </si>
  <si>
    <t>TXN-08172</t>
  </si>
  <si>
    <t>TXN-00166</t>
  </si>
  <si>
    <t>Sun Life</t>
  </si>
  <si>
    <t>TXN-00008</t>
  </si>
  <si>
    <t>TXN-00027</t>
  </si>
  <si>
    <t>TXN-00064</t>
  </si>
  <si>
    <t>Canva</t>
  </si>
  <si>
    <t>TXN-00084</t>
  </si>
  <si>
    <t>TXN-00085</t>
  </si>
  <si>
    <t>TXN-00185</t>
  </si>
  <si>
    <t>TXN-00106</t>
  </si>
  <si>
    <t>TXN-00167</t>
  </si>
  <si>
    <t>TXN-00039</t>
  </si>
  <si>
    <t>TXN-00204</t>
  </si>
  <si>
    <t>TXN-00221</t>
  </si>
  <si>
    <t>TXN-00118</t>
  </si>
  <si>
    <t>Outreach</t>
  </si>
  <si>
    <t>TXN-00152</t>
  </si>
  <si>
    <t>TXN-00006</t>
  </si>
  <si>
    <t>TXN-00183</t>
  </si>
  <si>
    <t>TXN-00163</t>
  </si>
  <si>
    <t>TXN-00181</t>
  </si>
  <si>
    <t>TXN-00017</t>
  </si>
  <si>
    <t>TXN-00067</t>
  </si>
  <si>
    <t>TXN-00073</t>
  </si>
  <si>
    <t>TXN-00082</t>
  </si>
  <si>
    <t>TXN-00196</t>
  </si>
  <si>
    <t>TXN-00202</t>
  </si>
  <si>
    <t>TXN-00107</t>
  </si>
  <si>
    <t>TXN-00123</t>
  </si>
  <si>
    <t>TXN-00126</t>
  </si>
  <si>
    <t>TXN-00146</t>
  </si>
  <si>
    <t>TXN-00162</t>
  </si>
  <si>
    <t>TXN-00208</t>
  </si>
  <si>
    <t>TXN-00100</t>
  </si>
  <si>
    <t>TXN-00149</t>
  </si>
  <si>
    <t>TXN-00014</t>
  </si>
  <si>
    <t>TXN-00025</t>
  </si>
  <si>
    <t>Dell</t>
  </si>
  <si>
    <t>TXN-00184</t>
  </si>
  <si>
    <t>TXN-00207</t>
  </si>
  <si>
    <t>TXN-00178</t>
  </si>
  <si>
    <t>TXN-00022</t>
  </si>
  <si>
    <t>Cisco</t>
  </si>
  <si>
    <t>TXN-00033</t>
  </si>
  <si>
    <t>TXN-00041</t>
  </si>
  <si>
    <t>TXN-00086</t>
  </si>
  <si>
    <t>TXN-00209</t>
  </si>
  <si>
    <t>TXN-00121</t>
  </si>
  <si>
    <t>TXN-00160</t>
  </si>
  <si>
    <t>TXN-00169</t>
  </si>
  <si>
    <t>TXN-00019</t>
  </si>
  <si>
    <t>TXN-00024</t>
  </si>
  <si>
    <t>TXN-00045</t>
  </si>
  <si>
    <t>TXN-00060</t>
  </si>
  <si>
    <t>TXN-00072</t>
  </si>
  <si>
    <t>TXN-00077</t>
  </si>
  <si>
    <t>TXN-00079</t>
  </si>
  <si>
    <t>TXN-00104</t>
  </si>
  <si>
    <t>TXN-00176</t>
  </si>
  <si>
    <t>TXN-00018</t>
  </si>
  <si>
    <t>TXN-00069</t>
  </si>
  <si>
    <t>TXN-00194</t>
  </si>
  <si>
    <t>TXN-00223</t>
  </si>
  <si>
    <t>TXN-08174</t>
  </si>
  <si>
    <t>TXN-00148</t>
  </si>
  <si>
    <t>TXN-00161</t>
  </si>
  <si>
    <t>ADP Canada</t>
  </si>
  <si>
    <t>TXN-00001</t>
  </si>
  <si>
    <t>TXN-00015</t>
  </si>
  <si>
    <t>TXN-00026</t>
  </si>
  <si>
    <t>TXN-00036</t>
  </si>
  <si>
    <t>TXN-00058</t>
  </si>
  <si>
    <t>TXN-00095</t>
  </si>
  <si>
    <t>TXN-00115</t>
  </si>
  <si>
    <t>TXN-00122</t>
  </si>
  <si>
    <t>TXN-00179</t>
  </si>
  <si>
    <t>TXN-00009</t>
  </si>
  <si>
    <t>TXN-00049</t>
  </si>
  <si>
    <t>TXN-00059</t>
  </si>
  <si>
    <t>TXN-00201</t>
  </si>
  <si>
    <t>TXN-00135</t>
  </si>
  <si>
    <t>TXN-00165</t>
  </si>
  <si>
    <t>TXN-00075</t>
  </si>
  <si>
    <t>TXN-00112</t>
  </si>
  <si>
    <t>TXN-00132</t>
  </si>
  <si>
    <t>TXN-00144</t>
  </si>
  <si>
    <t>TXN-00170</t>
  </si>
  <si>
    <t>TXN-00030</t>
  </si>
  <si>
    <t>TXN-00215</t>
  </si>
  <si>
    <t>TXN-00111</t>
  </si>
  <si>
    <t>TXN-00125</t>
  </si>
  <si>
    <t>TXN-00137</t>
  </si>
  <si>
    <t>TXN-00174</t>
  </si>
  <si>
    <t>TXN-00040</t>
  </si>
  <si>
    <t>TXN-00186</t>
  </si>
  <si>
    <t>TXN-00210</t>
  </si>
  <si>
    <t>TXN-00150</t>
  </si>
  <si>
    <t>TXN-00156</t>
  </si>
  <si>
    <t>TXN-00034</t>
  </si>
  <si>
    <t>TXN-00037</t>
  </si>
  <si>
    <t>TXN-00057</t>
  </si>
  <si>
    <t>TXN-00192</t>
  </si>
  <si>
    <t>TXN-00109</t>
  </si>
  <si>
    <t>TXN-00134</t>
  </si>
  <si>
    <t>TXN-00154</t>
  </si>
  <si>
    <t>TXN-00028</t>
  </si>
  <si>
    <t>TXN-00032</t>
  </si>
  <si>
    <t>TXN-00050</t>
  </si>
  <si>
    <t>TXN-00062</t>
  </si>
  <si>
    <t>TXN-00074</t>
  </si>
  <si>
    <t>Apex Solutions Inc</t>
  </si>
  <si>
    <t>TXN-00087</t>
  </si>
  <si>
    <t>TXN-00108</t>
  </si>
  <si>
    <t>TXN-00113</t>
  </si>
  <si>
    <t>TXN-00131</t>
  </si>
  <si>
    <t>TXN-00053</t>
  </si>
  <si>
    <t>TXN-00200</t>
  </si>
  <si>
    <t>TXN-00222</t>
  </si>
  <si>
    <t>TXN-00094</t>
  </si>
  <si>
    <t>TXN-00381</t>
  </si>
  <si>
    <t>TXN-00400</t>
  </si>
  <si>
    <t>TXN-00405</t>
  </si>
  <si>
    <t>TXN-00226</t>
  </si>
  <si>
    <t>TXN-00245</t>
  </si>
  <si>
    <t>TXN-00289</t>
  </si>
  <si>
    <t>TXN-00430</t>
  </si>
  <si>
    <t>TXN-00433</t>
  </si>
  <si>
    <t>TXN-00325</t>
  </si>
  <si>
    <t>TXN-00361</t>
  </si>
  <si>
    <t>TXN-00269</t>
  </si>
  <si>
    <t>TXN-00274</t>
  </si>
  <si>
    <t>TXN-00291</t>
  </si>
  <si>
    <t>TXN-00298</t>
  </si>
  <si>
    <t>TXN-00308</t>
  </si>
  <si>
    <t>TXN-00417</t>
  </si>
  <si>
    <t>TXN-00421</t>
  </si>
  <si>
    <t>TXN-00440</t>
  </si>
  <si>
    <t>TXN-00320</t>
  </si>
  <si>
    <t>TXN-00343</t>
  </si>
  <si>
    <t>TXN-00346</t>
  </si>
  <si>
    <t>TXN-08177</t>
  </si>
  <si>
    <t>TXN-00287</t>
  </si>
  <si>
    <t>TXN-00303</t>
  </si>
  <si>
    <t>TXN-00311</t>
  </si>
  <si>
    <t>TXN-00423</t>
  </si>
  <si>
    <t>TXN-00445</t>
  </si>
  <si>
    <t>TXN-00446</t>
  </si>
  <si>
    <t>TXN-00327</t>
  </si>
  <si>
    <t>Hertz</t>
  </si>
  <si>
    <t>TXN-00359</t>
  </si>
  <si>
    <t>TXN-00377</t>
  </si>
  <si>
    <t>TXN-00387</t>
  </si>
  <si>
    <t>TXN-00401</t>
  </si>
  <si>
    <t>TXN-00235</t>
  </si>
  <si>
    <t>TXN-00261</t>
  </si>
  <si>
    <t>TXN-00262</t>
  </si>
  <si>
    <t>TXN-00275</t>
  </si>
  <si>
    <t>TXN-00296</t>
  </si>
  <si>
    <t>TXN-00300</t>
  </si>
  <si>
    <t>TXN-00411</t>
  </si>
  <si>
    <t>TXN-00432</t>
  </si>
  <si>
    <t>TXN-00437</t>
  </si>
  <si>
    <t>TXN-00313</t>
  </si>
  <si>
    <t>TXN-00348</t>
  </si>
  <si>
    <t>TXN-00390</t>
  </si>
  <si>
    <t>TXN-00237</t>
  </si>
  <si>
    <t>TXN-00268</t>
  </si>
  <si>
    <t>TXN-00270</t>
  </si>
  <si>
    <t>TXN-00278</t>
  </si>
  <si>
    <t>TXN-00297</t>
  </si>
  <si>
    <t>TXN-00409</t>
  </si>
  <si>
    <t>TXN-00412</t>
  </si>
  <si>
    <t>TXN-00431</t>
  </si>
  <si>
    <t>TXN-00436</t>
  </si>
  <si>
    <t>TXN-00360</t>
  </si>
  <si>
    <t>TXN-00366</t>
  </si>
  <si>
    <t>TXN-00246</t>
  </si>
  <si>
    <t>TXN-00288</t>
  </si>
  <si>
    <t>TXN-00310</t>
  </si>
  <si>
    <t>TXN-00435</t>
  </si>
  <si>
    <t>TXN-00376</t>
  </si>
  <si>
    <t>TXN-00392</t>
  </si>
  <si>
    <t>TXN-00263</t>
  </si>
  <si>
    <t>TXN-00286</t>
  </si>
  <si>
    <t>TXN-00422</t>
  </si>
  <si>
    <t>TXN-00428</t>
  </si>
  <si>
    <t>TXN-08176</t>
  </si>
  <si>
    <t>TXN-00406</t>
  </si>
  <si>
    <t>TXN-00250</t>
  </si>
  <si>
    <t>TXN-00266</t>
  </si>
  <si>
    <t>TXN-00279</t>
  </si>
  <si>
    <t>TXN-00306</t>
  </si>
  <si>
    <t>TXN-00332</t>
  </si>
  <si>
    <t>TXN-00371</t>
  </si>
  <si>
    <t>TXN-00375</t>
  </si>
  <si>
    <t>TXN-00386</t>
  </si>
  <si>
    <t>TXN-00394</t>
  </si>
  <si>
    <t>TXN-00242</t>
  </si>
  <si>
    <t>TXN-00248</t>
  </si>
  <si>
    <t>TXN-00305</t>
  </si>
  <si>
    <t>TXN-00317</t>
  </si>
  <si>
    <t>TXN-00323</t>
  </si>
  <si>
    <t>TXN-00362</t>
  </si>
  <si>
    <t>TXN-00372</t>
  </si>
  <si>
    <t>TXN-00374</t>
  </si>
  <si>
    <t>TXN-00379</t>
  </si>
  <si>
    <t>TXN-00408</t>
  </si>
  <si>
    <t>TXN-00225</t>
  </si>
  <si>
    <t>TXN-00254</t>
  </si>
  <si>
    <t>TXN-00260</t>
  </si>
  <si>
    <t>TXN-00267</t>
  </si>
  <si>
    <t>TXN-00272</t>
  </si>
  <si>
    <t>TXN-00410</t>
  </si>
  <si>
    <t>TXN-00326</t>
  </si>
  <si>
    <t>TXN-00337</t>
  </si>
  <si>
    <t>TXN-00391</t>
  </si>
  <si>
    <t>TXN-00453</t>
  </si>
  <si>
    <t>TXN-00312</t>
  </si>
  <si>
    <t>TXN-00340</t>
  </si>
  <si>
    <t>TXN-00341</t>
  </si>
  <si>
    <t>TXN-00393</t>
  </si>
  <si>
    <t>TXN-00399</t>
  </si>
  <si>
    <t>TXN-00232</t>
  </si>
  <si>
    <t>TXN-00247</t>
  </si>
  <si>
    <t>TXN-00413</t>
  </si>
  <si>
    <t>TXN-00403</t>
  </si>
  <si>
    <t>TXN-00227</t>
  </si>
  <si>
    <t>TXN-00333</t>
  </si>
  <si>
    <t>TXN-08175</t>
  </si>
  <si>
    <t>TXN-00363</t>
  </si>
  <si>
    <t>TXN-00283</t>
  </si>
  <si>
    <t>TXN-00454</t>
  </si>
  <si>
    <t>TXN-00455</t>
  </si>
  <si>
    <t>TXN-00314</t>
  </si>
  <si>
    <t>TXN-00370</t>
  </si>
  <si>
    <t>TXN-00373</t>
  </si>
  <si>
    <t>TXN-00396</t>
  </si>
  <si>
    <t>TXN-00239</t>
  </si>
  <si>
    <t>TXN-00273</t>
  </si>
  <si>
    <t>TXN-00282</t>
  </si>
  <si>
    <t>TXN-00418</t>
  </si>
  <si>
    <t>TXN-00438</t>
  </si>
  <si>
    <t>TXN-00439</t>
  </si>
  <si>
    <t>TXN-00452</t>
  </si>
  <si>
    <t>TXN-00316</t>
  </si>
  <si>
    <t>TXN-00324</t>
  </si>
  <si>
    <t>TXN-00328</t>
  </si>
  <si>
    <t>TXN-00339</t>
  </si>
  <si>
    <t>TXN-00252</t>
  </si>
  <si>
    <t>TXN-00276</t>
  </si>
  <si>
    <t>TXN-00442</t>
  </si>
  <si>
    <t>TXN-00329</t>
  </si>
  <si>
    <t>TXN-00344</t>
  </si>
  <si>
    <t>TXN-00351</t>
  </si>
  <si>
    <t>TXN-00364</t>
  </si>
  <si>
    <t>TXN-00238</t>
  </si>
  <si>
    <t>TXN-00249</t>
  </si>
  <si>
    <t>TXN-00302</t>
  </si>
  <si>
    <t>TXN-00309</t>
  </si>
  <si>
    <t>TXN-00449</t>
  </si>
  <si>
    <t>TXN-00231</t>
  </si>
  <si>
    <t>TXN-00251</t>
  </si>
  <si>
    <t>TXN-00257</t>
  </si>
  <si>
    <t>TXN-00369</t>
  </si>
  <si>
    <t>TXN-00378</t>
  </si>
  <si>
    <t>TXN-00389</t>
  </si>
  <si>
    <t>TXN-00228</t>
  </si>
  <si>
    <t>TXN-00240</t>
  </si>
  <si>
    <t>TXN-00434</t>
  </si>
  <si>
    <t>TXN-00338</t>
  </si>
  <si>
    <t>TXN-00342</t>
  </si>
  <si>
    <t>TXN-00224</t>
  </si>
  <si>
    <t>TXN-00244</t>
  </si>
  <si>
    <t>TXN-00284</t>
  </si>
  <si>
    <t>TXN-00299</t>
  </si>
  <si>
    <t>TXN-00416</t>
  </si>
  <si>
    <t>TXN-00447</t>
  </si>
  <si>
    <t>TXN-00448</t>
  </si>
  <si>
    <t>TXN-00321</t>
  </si>
  <si>
    <t>TXN-00352</t>
  </si>
  <si>
    <t>TXN-00356</t>
  </si>
  <si>
    <t>TXN-00385</t>
  </si>
  <si>
    <t>TXN-00233</t>
  </si>
  <si>
    <t>TXN-00236</t>
  </si>
  <si>
    <t>TXN-00277</t>
  </si>
  <si>
    <t>TXN-00415</t>
  </si>
  <si>
    <t>TXN-00424</t>
  </si>
  <si>
    <t>TXN-00441</t>
  </si>
  <si>
    <t>TXN-00451</t>
  </si>
  <si>
    <t>TXN-00355</t>
  </si>
  <si>
    <t>TXN-00357</t>
  </si>
  <si>
    <t>TXN-00365</t>
  </si>
  <si>
    <t>TXN-00368</t>
  </si>
  <si>
    <t>TXN-00402</t>
  </si>
  <si>
    <t>TXN-00404</t>
  </si>
  <si>
    <t>TXN-00256</t>
  </si>
  <si>
    <t>TXN-00294</t>
  </si>
  <si>
    <t>TXN-00420</t>
  </si>
  <si>
    <t>TXN-00443</t>
  </si>
  <si>
    <t>TXN-00315</t>
  </si>
  <si>
    <t>TXN-00319</t>
  </si>
  <si>
    <t>TXN-00345</t>
  </si>
  <si>
    <t>TXN-00229</t>
  </si>
  <si>
    <t>TXN-00255</t>
  </si>
  <si>
    <t>TXN-00259</t>
  </si>
  <si>
    <t>TXN-00290</t>
  </si>
  <si>
    <t>TXN-00292</t>
  </si>
  <si>
    <t>TXN-00301</t>
  </si>
  <si>
    <t>TXN-00444</t>
  </si>
  <si>
    <t>TXN-00330</t>
  </si>
  <si>
    <t>TXN-00358</t>
  </si>
  <si>
    <t>TXN-00382</t>
  </si>
  <si>
    <t>TXN-00395</t>
  </si>
  <si>
    <t>TXN-00398</t>
  </si>
  <si>
    <t>TXN-00258</t>
  </si>
  <si>
    <t>TXN-00264</t>
  </si>
  <si>
    <t>TXN-00285</t>
  </si>
  <si>
    <t>TXN-00304</t>
  </si>
  <si>
    <t>TXN-00414</t>
  </si>
  <si>
    <t>TXN-00349</t>
  </si>
  <si>
    <t>TXN-00383</t>
  </si>
  <si>
    <t>TXN-00397</t>
  </si>
  <si>
    <t>TXN-00243</t>
  </si>
  <si>
    <t>TXN-00280</t>
  </si>
  <si>
    <t>TXN-00281</t>
  </si>
  <si>
    <t>TXN-00429</t>
  </si>
  <si>
    <t>TXN-00318</t>
  </si>
  <si>
    <t>TXN-00322</t>
  </si>
  <si>
    <t>TXN-00335</t>
  </si>
  <si>
    <t>TXN-00384</t>
  </si>
  <si>
    <t>TXN-00388</t>
  </si>
  <si>
    <t>TXN-00230</t>
  </si>
  <si>
    <t>TXN-00253</t>
  </si>
  <si>
    <t>TXN-00295</t>
  </si>
  <si>
    <t>TXN-00425</t>
  </si>
  <si>
    <t>TXN-00426</t>
  </si>
  <si>
    <t>TXN-00450</t>
  </si>
  <si>
    <t>TXN-00336</t>
  </si>
  <si>
    <t>TXN-00380</t>
  </si>
  <si>
    <t>TXN-00407</t>
  </si>
  <si>
    <t>TXN-00265</t>
  </si>
  <si>
    <t>TXN-00307</t>
  </si>
  <si>
    <t>TXN-00427</t>
  </si>
  <si>
    <t>TXN-00331</t>
  </si>
  <si>
    <t>TXN-00367</t>
  </si>
  <si>
    <t>TXN-00234</t>
  </si>
  <si>
    <t>TXN-00241</t>
  </si>
  <si>
    <t>TXN-00271</t>
  </si>
  <si>
    <t>TXN-00293</t>
  </si>
  <si>
    <t>TXN-00419</t>
  </si>
  <si>
    <t>TXN-00334</t>
  </si>
  <si>
    <t>TXN-00347</t>
  </si>
  <si>
    <t>TXN-00350</t>
  </si>
  <si>
    <t>TXN-00353</t>
  </si>
  <si>
    <t>TXN-00354</t>
  </si>
  <si>
    <t>TXN-00474</t>
  </si>
  <si>
    <t>TXN-00499</t>
  </si>
  <si>
    <t>TXN-00503</t>
  </si>
  <si>
    <t>TXN-00550</t>
  </si>
  <si>
    <t>TXN-00586</t>
  </si>
  <si>
    <t>TXN-08179</t>
  </si>
  <si>
    <t>TXN-00605</t>
  </si>
  <si>
    <t>TXN-00614</t>
  </si>
  <si>
    <t>TXN-00461</t>
  </si>
  <si>
    <t>TXN-00490</t>
  </si>
  <si>
    <t>TXN-00525</t>
  </si>
  <si>
    <t>TXN-00682</t>
  </si>
  <si>
    <t>TXN-00626</t>
  </si>
  <si>
    <t>TXN-00458</t>
  </si>
  <si>
    <t>TXN-00505</t>
  </si>
  <si>
    <t>TXN-00526</t>
  </si>
  <si>
    <t>TXN-00533</t>
  </si>
  <si>
    <t>TXN-00543</t>
  </si>
  <si>
    <t>TXN-00666</t>
  </si>
  <si>
    <t>TXN-00591</t>
  </si>
  <si>
    <t>TXN-00465</t>
  </si>
  <si>
    <t>TXN-00486</t>
  </si>
  <si>
    <t>TXN-00487</t>
  </si>
  <si>
    <t>TXN-00514</t>
  </si>
  <si>
    <t>TXN-00532</t>
  </si>
  <si>
    <t>TXN-00647</t>
  </si>
  <si>
    <t>TXN-00588</t>
  </si>
  <si>
    <t>TXN-00636</t>
  </si>
  <si>
    <t>TXN-00637</t>
  </si>
  <si>
    <t>TXN-00640</t>
  </si>
  <si>
    <t>TXN-00476</t>
  </si>
  <si>
    <t>TXN-00495</t>
  </si>
  <si>
    <t>TXN-00516</t>
  </si>
  <si>
    <t>TXN-00553</t>
  </si>
  <si>
    <t>TXN-00556</t>
  </si>
  <si>
    <t>TXN-08180</t>
  </si>
  <si>
    <t>TXN-00608</t>
  </si>
  <si>
    <t>TXN-00620</t>
  </si>
  <si>
    <t>TXN-00472</t>
  </si>
  <si>
    <t>TXN-00479</t>
  </si>
  <si>
    <t>TXN-00482</t>
  </si>
  <si>
    <t>TXN-00551</t>
  </si>
  <si>
    <t>TXN-00652</t>
  </si>
  <si>
    <t>TXN-00672</t>
  </si>
  <si>
    <t>TXN-00557</t>
  </si>
  <si>
    <t>TXN-00515</t>
  </si>
  <si>
    <t>TXN-00650</t>
  </si>
  <si>
    <t>TXN-00658</t>
  </si>
  <si>
    <t>TXN-00552</t>
  </si>
  <si>
    <t>TXN-00603</t>
  </si>
  <si>
    <t>TXN-00489</t>
  </si>
  <si>
    <t>TXN-00506</t>
  </si>
  <si>
    <t>TXN-00534</t>
  </si>
  <si>
    <t>TXN-00580</t>
  </si>
  <si>
    <t>TXN-00590</t>
  </si>
  <si>
    <t>TXN-00595</t>
  </si>
  <si>
    <t>TXN-00601</t>
  </si>
  <si>
    <t>TXN-00622</t>
  </si>
  <si>
    <t>TXN-00483</t>
  </si>
  <si>
    <t>TXN-00485</t>
  </si>
  <si>
    <t>TXN-00542</t>
  </si>
  <si>
    <t>TXN-00675</t>
  </si>
  <si>
    <t>TXN-00573</t>
  </si>
  <si>
    <t>TXN-00610</t>
  </si>
  <si>
    <t>TXN-00625</t>
  </si>
  <si>
    <t>TXN-00627</t>
  </si>
  <si>
    <t>TXN-00491</t>
  </si>
  <si>
    <t>TXN-00502</t>
  </si>
  <si>
    <t>TXN-00544</t>
  </si>
  <si>
    <t>TXN-00663</t>
  </si>
  <si>
    <t>TXN-00572</t>
  </si>
  <si>
    <t>TXN-00583</t>
  </si>
  <si>
    <t>TXN-00589</t>
  </si>
  <si>
    <t>TXN-00606</t>
  </si>
  <si>
    <t>TXN-00616</t>
  </si>
  <si>
    <t>TXN-00493</t>
  </si>
  <si>
    <t>TXN-00509</t>
  </si>
  <si>
    <t>TXN-00540</t>
  </si>
  <si>
    <t>TXN-00643</t>
  </si>
  <si>
    <t>TXN-00597</t>
  </si>
  <si>
    <t>TXN-00615</t>
  </si>
  <si>
    <t>TXN-00641</t>
  </si>
  <si>
    <t>TXN-00513</t>
  </si>
  <si>
    <t>TXN-00536</t>
  </si>
  <si>
    <t>NovaTech Services</t>
  </si>
  <si>
    <t>TXN-00660</t>
  </si>
  <si>
    <t>TXN-00565</t>
  </si>
  <si>
    <t>TXN-00613</t>
  </si>
  <si>
    <t>TXN-00639</t>
  </si>
  <si>
    <t>TXN-00498</t>
  </si>
  <si>
    <t>TXN-00687</t>
  </si>
  <si>
    <t>TXN-00579</t>
  </si>
  <si>
    <t>TXN-00623</t>
  </si>
  <si>
    <t>TXN-00632</t>
  </si>
  <si>
    <t>TXN-00459</t>
  </si>
  <si>
    <t>TXN-00462</t>
  </si>
  <si>
    <t>TXN-00478</t>
  </si>
  <si>
    <t>TXN-00501</t>
  </si>
  <si>
    <t>TXN-00537</t>
  </si>
  <si>
    <t>TXN-00665</t>
  </si>
  <si>
    <t>TXN-00670</t>
  </si>
  <si>
    <t>TXN-00559</t>
  </si>
  <si>
    <t>TXN-00577</t>
  </si>
  <si>
    <t>TXN-00594</t>
  </si>
  <si>
    <t>TXN-00607</t>
  </si>
  <si>
    <t>TXN-00619</t>
  </si>
  <si>
    <t>TXN-00630</t>
  </si>
  <si>
    <t>TXN-00520</t>
  </si>
  <si>
    <t>TXN-00521</t>
  </si>
  <si>
    <t>TXN-00524</t>
  </si>
  <si>
    <t>TXN-00668</t>
  </si>
  <si>
    <t>TXN-00621</t>
  </si>
  <si>
    <t>TXN-00494</t>
  </si>
  <si>
    <t>TXN-00686</t>
  </si>
  <si>
    <t>TXN-08178</t>
  </si>
  <si>
    <t>TXN-00635</t>
  </si>
  <si>
    <t>TXN-00488</t>
  </si>
  <si>
    <t>TXN-00507</t>
  </si>
  <si>
    <t>TXN-00511</t>
  </si>
  <si>
    <t>TXN-00512</t>
  </si>
  <si>
    <t>TXN-00523</t>
  </si>
  <si>
    <t>TXN-00535</t>
  </si>
  <si>
    <t>TXN-00646</t>
  </si>
  <si>
    <t>TXN-00657</t>
  </si>
  <si>
    <t>TXN-00671</t>
  </si>
  <si>
    <t>TXN-00678</t>
  </si>
  <si>
    <t>TXN-00567</t>
  </si>
  <si>
    <t>TXN-00578</t>
  </si>
  <si>
    <t>TXN-00598</t>
  </si>
  <si>
    <t>TXN-00497</t>
  </si>
  <si>
    <t>TXN-00546</t>
  </si>
  <si>
    <t>TXN-00655</t>
  </si>
  <si>
    <t>TXN-00563</t>
  </si>
  <si>
    <t>TXN-00571</t>
  </si>
  <si>
    <t>TXN-00642</t>
  </si>
  <si>
    <t>TXN-00475</t>
  </si>
  <si>
    <t>TXN-00522</t>
  </si>
  <si>
    <t>TXN-00528</t>
  </si>
  <si>
    <t>TXN-00624</t>
  </si>
  <si>
    <t>TXN-00628</t>
  </si>
  <si>
    <t>TXN-00464</t>
  </si>
  <si>
    <t>TXN-00484</t>
  </si>
  <si>
    <t>TXN-00527</t>
  </si>
  <si>
    <t>TXN-00530</t>
  </si>
  <si>
    <t>TXN-00538</t>
  </si>
  <si>
    <t>TXN-00545</t>
  </si>
  <si>
    <t>TXN-00649</t>
  </si>
  <si>
    <t>TXN-00561</t>
  </si>
  <si>
    <t>TXN-00585</t>
  </si>
  <si>
    <t>TXN-00592</t>
  </si>
  <si>
    <t>TXN-00600</t>
  </si>
  <si>
    <t>TXN-00539</t>
  </si>
  <si>
    <t>TXN-00667</t>
  </si>
  <si>
    <t>TXN-00677</t>
  </si>
  <si>
    <t>TXN-00684</t>
  </si>
  <si>
    <t>TXN-00570</t>
  </si>
  <si>
    <t>TXN-00596</t>
  </si>
  <si>
    <t>TXN-00634</t>
  </si>
  <si>
    <t>TXN-00466</t>
  </si>
  <si>
    <t>TXN-00541</t>
  </si>
  <si>
    <t>TXN-00549</t>
  </si>
  <si>
    <t>TXN-00680</t>
  </si>
  <si>
    <t>TXN-00555</t>
  </si>
  <si>
    <t>TXN-00609</t>
  </si>
  <si>
    <t>TXN-00629</t>
  </si>
  <si>
    <t>TXN-00496</t>
  </si>
  <si>
    <t>TXN-00548</t>
  </si>
  <si>
    <t>TXN-00648</t>
  </si>
  <si>
    <t>TXN-00654</t>
  </si>
  <si>
    <t>TXN-00656</t>
  </si>
  <si>
    <t>TXN-00593</t>
  </si>
  <si>
    <t>TXN-00604</t>
  </si>
  <si>
    <t>TXN-00477</t>
  </si>
  <si>
    <t>TXN-00480</t>
  </si>
  <si>
    <t>TXN-00645</t>
  </si>
  <si>
    <t>TXN-00664</t>
  </si>
  <si>
    <t>TXN-00558</t>
  </si>
  <si>
    <t>TXN-00560</t>
  </si>
  <si>
    <t>TXN-00638</t>
  </si>
  <si>
    <t>TXN-00469</t>
  </si>
  <si>
    <t>TXN-00492</t>
  </si>
  <si>
    <t>TXN-00510</t>
  </si>
  <si>
    <t>TXN-00518</t>
  </si>
  <si>
    <t>TXN-00683</t>
  </si>
  <si>
    <t>TXN-00566</t>
  </si>
  <si>
    <t>TXN-00584</t>
  </si>
  <si>
    <t>TXN-00602</t>
  </si>
  <si>
    <t>TXN-00611</t>
  </si>
  <si>
    <t>TXN-00617</t>
  </si>
  <si>
    <t>TXN-00633</t>
  </si>
  <si>
    <t>TXN-00460</t>
  </si>
  <si>
    <t>TXN-00504</t>
  </si>
  <si>
    <t>TXN-00653</t>
  </si>
  <si>
    <t>TXN-00659</t>
  </si>
  <si>
    <t>TXN-00661</t>
  </si>
  <si>
    <t>TXN-00562</t>
  </si>
  <si>
    <t>TXN-00582</t>
  </si>
  <si>
    <t>TXN-00547</t>
  </si>
  <si>
    <t>TXN-00681</t>
  </si>
  <si>
    <t>TXN-00568</t>
  </si>
  <si>
    <t>TXN-00574</t>
  </si>
  <si>
    <t>TXN-00587</t>
  </si>
  <si>
    <t>TXN-00599</t>
  </si>
  <si>
    <t>TXN-00631</t>
  </si>
  <si>
    <t>TXN-00463</t>
  </si>
  <si>
    <t>TXN-00467</t>
  </si>
  <si>
    <t>TXN-00468</t>
  </si>
  <si>
    <t>TXN-00470</t>
  </si>
  <si>
    <t>TXN-00500</t>
  </si>
  <si>
    <t>TXN-00508</t>
  </si>
  <si>
    <t>TXN-00519</t>
  </si>
  <si>
    <t>TXN-00651</t>
  </si>
  <si>
    <t>TXN-00554</t>
  </si>
  <si>
    <t>TXN-00569</t>
  </si>
  <si>
    <t>TXN-00618</t>
  </si>
  <si>
    <t>TXN-00481</t>
  </si>
  <si>
    <t>TXN-00662</t>
  </si>
  <si>
    <t>TXN-00669</t>
  </si>
  <si>
    <t>TXN-00685</t>
  </si>
  <si>
    <t>TXN-00576</t>
  </si>
  <si>
    <t>TXN-00612</t>
  </si>
  <si>
    <t>TXN-00457</t>
  </si>
  <si>
    <t>TXN-00471</t>
  </si>
  <si>
    <t>TXN-00473</t>
  </si>
  <si>
    <t>TXN-00529</t>
  </si>
  <si>
    <t>TXN-00673</t>
  </si>
  <si>
    <t>TXN-00581</t>
  </si>
  <si>
    <t>TXN-00456</t>
  </si>
  <si>
    <t>TXN-00517</t>
  </si>
  <si>
    <t>TXN-00531</t>
  </si>
  <si>
    <t>TXN-00644</t>
  </si>
  <si>
    <t>TXN-00674</t>
  </si>
  <si>
    <t>TXN-00676</t>
  </si>
  <si>
    <t>TXN-00679</t>
  </si>
  <si>
    <t>TXN-00564</t>
  </si>
  <si>
    <t>TXN-00575</t>
  </si>
  <si>
    <t>TXN-00704</t>
  </si>
  <si>
    <t>TXN-00738</t>
  </si>
  <si>
    <t>TXN-00777</t>
  </si>
  <si>
    <t>TXN-00897</t>
  </si>
  <si>
    <t>TXN-00898</t>
  </si>
  <si>
    <t>TXN-00813</t>
  </si>
  <si>
    <t>TXN-00707</t>
  </si>
  <si>
    <t>TXN-00713</t>
  </si>
  <si>
    <t>TXN-00721</t>
  </si>
  <si>
    <t>TXN-00734</t>
  </si>
  <si>
    <t>TXN-00763</t>
  </si>
  <si>
    <t>TXN-00771</t>
  </si>
  <si>
    <t>TXN-00878</t>
  </si>
  <si>
    <t>TXN-00889</t>
  </si>
  <si>
    <t>TXN-00890</t>
  </si>
  <si>
    <t>TXN-00894</t>
  </si>
  <si>
    <t>TXN-00823</t>
  </si>
  <si>
    <t>TXN-00805</t>
  </si>
  <si>
    <t>TXN-00809</t>
  </si>
  <si>
    <t>TXN-00817</t>
  </si>
  <si>
    <t>TXN-00717</t>
  </si>
  <si>
    <t>TXN-00754</t>
  </si>
  <si>
    <t>TXN-00762</t>
  </si>
  <si>
    <t>TXN-00899</t>
  </si>
  <si>
    <t>TXN-00798</t>
  </si>
  <si>
    <t>TXN-00826</t>
  </si>
  <si>
    <t>TXN-00852</t>
  </si>
  <si>
    <t>TXN-00697</t>
  </si>
  <si>
    <t>TXN-00722</t>
  </si>
  <si>
    <t>TXN-00879</t>
  </si>
  <si>
    <t>TXN-00887</t>
  </si>
  <si>
    <t>TXN-00891</t>
  </si>
  <si>
    <t>TXN-00900</t>
  </si>
  <si>
    <t>TXN-00789</t>
  </si>
  <si>
    <t>TXN-00800</t>
  </si>
  <si>
    <t>TXN-00825</t>
  </si>
  <si>
    <t>TXN-00853</t>
  </si>
  <si>
    <t>TXN-00745</t>
  </si>
  <si>
    <t>TXN-00776</t>
  </si>
  <si>
    <t>TXN-00886</t>
  </si>
  <si>
    <t>TXN-00782</t>
  </si>
  <si>
    <t>TXN-00807</t>
  </si>
  <si>
    <t>TXN-00835</t>
  </si>
  <si>
    <t>TXN-00840</t>
  </si>
  <si>
    <t>TXN-00865</t>
  </si>
  <si>
    <t>TXN-00866</t>
  </si>
  <si>
    <t>TXN-00701</t>
  </si>
  <si>
    <t>TXN-00706</t>
  </si>
  <si>
    <t>TXN-00743</t>
  </si>
  <si>
    <t>TXN-00751</t>
  </si>
  <si>
    <t>TXN-00760</t>
  </si>
  <si>
    <t>TXN-00893</t>
  </si>
  <si>
    <t>TXN-00781</t>
  </si>
  <si>
    <t>TXN-00859</t>
  </si>
  <si>
    <t>TXN-00695</t>
  </si>
  <si>
    <t>TXN-00764</t>
  </si>
  <si>
    <t>TXN-00905</t>
  </si>
  <si>
    <t>TXN-00831</t>
  </si>
  <si>
    <t>TXN-00863</t>
  </si>
  <si>
    <t>TXN-00696</t>
  </si>
  <si>
    <t>TXN-00716</t>
  </si>
  <si>
    <t>TXN-00749</t>
  </si>
  <si>
    <t>TXN-00874</t>
  </si>
  <si>
    <t>TXN-00902</t>
  </si>
  <si>
    <t>TXN-00791</t>
  </si>
  <si>
    <t>TXN-00844</t>
  </si>
  <si>
    <t>TXN-00846</t>
  </si>
  <si>
    <t>TXN-00698</t>
  </si>
  <si>
    <t>TXN-00750</t>
  </si>
  <si>
    <t>TXN-00756</t>
  </si>
  <si>
    <t>TXN-00779</t>
  </si>
  <si>
    <t>TXN-00880</t>
  </si>
  <si>
    <t>TXN-00793</t>
  </si>
  <si>
    <t>TXN-00796</t>
  </si>
  <si>
    <t>TXN-00819</t>
  </si>
  <si>
    <t>TXN-00851</t>
  </si>
  <si>
    <t>TXN-00860</t>
  </si>
  <si>
    <t>TXN-00730</t>
  </si>
  <si>
    <t>TXN-00770</t>
  </si>
  <si>
    <t>TXN-00872</t>
  </si>
  <si>
    <t>TXN-00881</t>
  </si>
  <si>
    <t>TXN-00712</t>
  </si>
  <si>
    <t>TXN-00877</t>
  </si>
  <si>
    <t>TXN-00903</t>
  </si>
  <si>
    <t>TXN-00829</t>
  </si>
  <si>
    <t>TXN-00693</t>
  </si>
  <si>
    <t>TXN-00715</t>
  </si>
  <si>
    <t>TXN-00726</t>
  </si>
  <si>
    <t>TXN-00907</t>
  </si>
  <si>
    <t>TXN-00788</t>
  </si>
  <si>
    <t>TXN-08182</t>
  </si>
  <si>
    <t>TXN-00857</t>
  </si>
  <si>
    <t>TXN-00699</t>
  </si>
  <si>
    <t>TXN-00710</t>
  </si>
  <si>
    <t>TXN-00739</t>
  </si>
  <si>
    <t>TXN-00765</t>
  </si>
  <si>
    <t>TXN-00774</t>
  </si>
  <si>
    <t>TXN-00816</t>
  </si>
  <si>
    <t>TXN-00828</t>
  </si>
  <si>
    <t>TXN-00830</t>
  </si>
  <si>
    <t>TXN-00839</t>
  </si>
  <si>
    <t>TXN-00689</t>
  </si>
  <si>
    <t>TXN-00690</t>
  </si>
  <si>
    <t>TXN-00873</t>
  </si>
  <si>
    <t>TXN-00875</t>
  </si>
  <si>
    <t>TXN-00792</t>
  </si>
  <si>
    <t>TXN-00801</t>
  </si>
  <si>
    <t>TXN-00808</t>
  </si>
  <si>
    <t>TXN-00810</t>
  </si>
  <si>
    <t>TXN-00811</t>
  </si>
  <si>
    <t>TXN-08183</t>
  </si>
  <si>
    <t>TXN-00849</t>
  </si>
  <si>
    <t>TXN-00744</t>
  </si>
  <si>
    <t>TXN-00748</t>
  </si>
  <si>
    <t>TXN-00752</t>
  </si>
  <si>
    <t>TXN-00876</t>
  </si>
  <si>
    <t>TXN-00895</t>
  </si>
  <si>
    <t>TXN-00841</t>
  </si>
  <si>
    <t>TXN-00845</t>
  </si>
  <si>
    <t>TXN-00858</t>
  </si>
  <si>
    <t>TXN-00694</t>
  </si>
  <si>
    <t>TXN-00702</t>
  </si>
  <si>
    <t>TXN-00705</t>
  </si>
  <si>
    <t>TXN-00720</t>
  </si>
  <si>
    <t>TXN-00723</t>
  </si>
  <si>
    <t>TXN-00727</t>
  </si>
  <si>
    <t>TXN-00735</t>
  </si>
  <si>
    <t>TXN-00741</t>
  </si>
  <si>
    <t>TXN-00787</t>
  </si>
  <si>
    <t>TXN-00804</t>
  </si>
  <si>
    <t>TXN-00847</t>
  </si>
  <si>
    <t>TXN-00862</t>
  </si>
  <si>
    <t>TXN-00709</t>
  </si>
  <si>
    <t>TXN-00714</t>
  </si>
  <si>
    <t>TXN-00746</t>
  </si>
  <si>
    <t>TXN-00767</t>
  </si>
  <si>
    <t>TXN-00883</t>
  </si>
  <si>
    <t>TXN-00896</t>
  </si>
  <si>
    <t>TXN-00908</t>
  </si>
  <si>
    <t>TXN-08181</t>
  </si>
  <si>
    <t>TXN-00728</t>
  </si>
  <si>
    <t>TXN-00731</t>
  </si>
  <si>
    <t>TXN-00737</t>
  </si>
  <si>
    <t>TXN-00772</t>
  </si>
  <si>
    <t>TXN-00882</t>
  </si>
  <si>
    <t>TXN-00904</t>
  </si>
  <si>
    <t>TXN-00785</t>
  </si>
  <si>
    <t>TXN-00815</t>
  </si>
  <si>
    <t>TXN-00836</t>
  </si>
  <si>
    <t>TXN-00837</t>
  </si>
  <si>
    <t>TXN-00843</t>
  </si>
  <si>
    <t>TXN-00864</t>
  </si>
  <si>
    <t>TXN-00691</t>
  </si>
  <si>
    <t>TXN-00708</t>
  </si>
  <si>
    <t>TXN-00724</t>
  </si>
  <si>
    <t>TXN-00732</t>
  </si>
  <si>
    <t>TXN-00778</t>
  </si>
  <si>
    <t>TXN-00901</t>
  </si>
  <si>
    <t>TXN-00786</t>
  </si>
  <si>
    <t>TXN-00799</t>
  </si>
  <si>
    <t>TXN-00850</t>
  </si>
  <si>
    <t>TXN-00768</t>
  </si>
  <si>
    <t>TXN-00769</t>
  </si>
  <si>
    <t>TXN-00885</t>
  </si>
  <si>
    <t>TXN-00906</t>
  </si>
  <si>
    <t>TXN-00909</t>
  </si>
  <si>
    <t>TXN-00794</t>
  </si>
  <si>
    <t>TXN-00848</t>
  </si>
  <si>
    <t>TXN-00766</t>
  </si>
  <si>
    <t>TXN-00795</t>
  </si>
  <si>
    <t>TXN-00797</t>
  </si>
  <si>
    <t>TXN-00812</t>
  </si>
  <si>
    <t>TXN-00688</t>
  </si>
  <si>
    <t>TXN-00740</t>
  </si>
  <si>
    <t>TXN-00742</t>
  </si>
  <si>
    <t>TXN-00757</t>
  </si>
  <si>
    <t>TXN-00761</t>
  </si>
  <si>
    <t>TXN-00870</t>
  </si>
  <si>
    <t>TXN-00892</t>
  </si>
  <si>
    <t>TXN-00783</t>
  </si>
  <si>
    <t>TXN-00802</t>
  </si>
  <si>
    <t>TXN-00838</t>
  </si>
  <si>
    <t>TXN-00711</t>
  </si>
  <si>
    <t>TXN-00759</t>
  </si>
  <si>
    <t>TXN-00773</t>
  </si>
  <si>
    <t>TXN-00868</t>
  </si>
  <si>
    <t>TXN-00784</t>
  </si>
  <si>
    <t>TXN-00827</t>
  </si>
  <si>
    <t>TXN-00832</t>
  </si>
  <si>
    <t>TXN-00834</t>
  </si>
  <si>
    <t>TXN-00719</t>
  </si>
  <si>
    <t>TXN-00747</t>
  </si>
  <si>
    <t>TXN-00869</t>
  </si>
  <si>
    <t>TXN-00884</t>
  </si>
  <si>
    <t>TXN-00803</t>
  </si>
  <si>
    <t>TXN-00820</t>
  </si>
  <si>
    <t>TXN-00833</t>
  </si>
  <si>
    <t>TXN-00718</t>
  </si>
  <si>
    <t>TXN-00733</t>
  </si>
  <si>
    <t>TXN-00842</t>
  </si>
  <si>
    <t>TXN-00700</t>
  </si>
  <si>
    <t>TXN-00729</t>
  </si>
  <si>
    <t>TXN-00736</t>
  </si>
  <si>
    <t>TXN-00755</t>
  </si>
  <si>
    <t>TXN-00775</t>
  </si>
  <si>
    <t>TXN-00806</t>
  </si>
  <si>
    <t>TXN-00814</t>
  </si>
  <si>
    <t>TXN-00822</t>
  </si>
  <si>
    <t>TXN-00824</t>
  </si>
  <si>
    <t>TXN-00854</t>
  </si>
  <si>
    <t>TXN-00855</t>
  </si>
  <si>
    <t>TXN-00861</t>
  </si>
  <si>
    <t>TXN-00692</t>
  </si>
  <si>
    <t>TXN-00780</t>
  </si>
  <si>
    <t>TXN-00821</t>
  </si>
  <si>
    <t>TXN-00703</t>
  </si>
  <si>
    <t>TXN-00856</t>
  </si>
  <si>
    <t>TXN-00867</t>
  </si>
  <si>
    <t>TXN-00725</t>
  </si>
  <si>
    <t>TXN-00753</t>
  </si>
  <si>
    <t>TXN-00758</t>
  </si>
  <si>
    <t>TXN-00871</t>
  </si>
  <si>
    <t>TXN-00888</t>
  </si>
  <si>
    <t>TXN-00790</t>
  </si>
  <si>
    <t>TXN-00818</t>
  </si>
  <si>
    <t>TXN-01087</t>
  </si>
  <si>
    <t>TXN-00928</t>
  </si>
  <si>
    <t>TXN-00942</t>
  </si>
  <si>
    <t>TXN-00945</t>
  </si>
  <si>
    <t>TXN-00984</t>
  </si>
  <si>
    <t>TXN-00988</t>
  </si>
  <si>
    <t>TXN-01133</t>
  </si>
  <si>
    <t>TXN-01134</t>
  </si>
  <si>
    <t>TXN-01003</t>
  </si>
  <si>
    <t>TXN-01005</t>
  </si>
  <si>
    <t>TXN-00914</t>
  </si>
  <si>
    <t>TXN-01031</t>
  </si>
  <si>
    <t>TXN-01058</t>
  </si>
  <si>
    <t>TXN-01063</t>
  </si>
  <si>
    <t>TXN-01077</t>
  </si>
  <si>
    <t>TXN-01078</t>
  </si>
  <si>
    <t>TXN-00971</t>
  </si>
  <si>
    <t>TXN-01089</t>
  </si>
  <si>
    <t>TXN-01090</t>
  </si>
  <si>
    <t>TXN-01099</t>
  </si>
  <si>
    <t>TXN-01123</t>
  </si>
  <si>
    <t>TXN-00995</t>
  </si>
  <si>
    <t>TXN-01038</t>
  </si>
  <si>
    <t>TXN-01072</t>
  </si>
  <si>
    <t>TXN-01073</t>
  </si>
  <si>
    <t>TXN-01083</t>
  </si>
  <si>
    <t>TXN-00925</t>
  </si>
  <si>
    <t>TXN-00937</t>
  </si>
  <si>
    <t>TXN-00939</t>
  </si>
  <si>
    <t>TXN-00966</t>
  </si>
  <si>
    <t>TXN-00990</t>
  </si>
  <si>
    <t>TXN-01130</t>
  </si>
  <si>
    <t>TXN-00998</t>
  </si>
  <si>
    <t>TXN-01009</t>
  </si>
  <si>
    <t>TXN-01054</t>
  </si>
  <si>
    <t>TXN-01056</t>
  </si>
  <si>
    <t>TXN-00918</t>
  </si>
  <si>
    <t>TXN-00951</t>
  </si>
  <si>
    <t>TXN-00972</t>
  </si>
  <si>
    <t>TXN-01092</t>
  </si>
  <si>
    <t>TXN-00931</t>
  </si>
  <si>
    <t>TXN-00940</t>
  </si>
  <si>
    <t>TXN-01002</t>
  </si>
  <si>
    <t>TXN-01029</t>
  </si>
  <si>
    <t>TXN-08186</t>
  </si>
  <si>
    <t>TXN-01042</t>
  </si>
  <si>
    <t>TXN-01075</t>
  </si>
  <si>
    <t>TXN-00913</t>
  </si>
  <si>
    <t>TXN-00920</t>
  </si>
  <si>
    <t>TXN-00985</t>
  </si>
  <si>
    <t>TXN-01129</t>
  </si>
  <si>
    <t>TXN-01001</t>
  </si>
  <si>
    <t>TXN-01040</t>
  </si>
  <si>
    <t>TXN-01047</t>
  </si>
  <si>
    <t>TXN-01052</t>
  </si>
  <si>
    <t>TXN-00934</t>
  </si>
  <si>
    <t>TXN-00973</t>
  </si>
  <si>
    <t>TXN-01118</t>
  </si>
  <si>
    <t>TXN-01006</t>
  </si>
  <si>
    <t>TXN-01035</t>
  </si>
  <si>
    <t>TXN-01076</t>
  </si>
  <si>
    <t>TXN-00919</t>
  </si>
  <si>
    <t>TXN-00950</t>
  </si>
  <si>
    <t>TXN-00953</t>
  </si>
  <si>
    <t>TXN-00957</t>
  </si>
  <si>
    <t>TXN-00963</t>
  </si>
  <si>
    <t>TXN-00989</t>
  </si>
  <si>
    <t>TXN-00991</t>
  </si>
  <si>
    <t>TXN-01017</t>
  </si>
  <si>
    <t>TXN-00958</t>
  </si>
  <si>
    <t>TXN-00961</t>
  </si>
  <si>
    <t>TXN-00962</t>
  </si>
  <si>
    <t>TXN-00964</t>
  </si>
  <si>
    <t>TXN-01091</t>
  </si>
  <si>
    <t>TXN-01000</t>
  </si>
  <si>
    <t>TXN-01008</t>
  </si>
  <si>
    <t>TXN-01016</t>
  </si>
  <si>
    <t>TXN-01023</t>
  </si>
  <si>
    <t>TXN-00954</t>
  </si>
  <si>
    <t>TXN-00986</t>
  </si>
  <si>
    <t>TXN-01096</t>
  </si>
  <si>
    <t>TXN-01013</t>
  </si>
  <si>
    <t>TXN-01018</t>
  </si>
  <si>
    <t>TXN-01080</t>
  </si>
  <si>
    <t>TXN-00936</t>
  </si>
  <si>
    <t>TXN-00946</t>
  </si>
  <si>
    <t>TXN-00949</t>
  </si>
  <si>
    <t>TXN-01108</t>
  </si>
  <si>
    <t>TXN-01110</t>
  </si>
  <si>
    <t>TXN-01114</t>
  </si>
  <si>
    <t>TXN-01057</t>
  </si>
  <si>
    <t>TXN-00952</t>
  </si>
  <si>
    <t>TXN-00974</t>
  </si>
  <si>
    <t>TXN-01121</t>
  </si>
  <si>
    <t>TXN-01019</t>
  </si>
  <si>
    <t>TXN-01020</t>
  </si>
  <si>
    <t>TXN-01027</t>
  </si>
  <si>
    <t>TXN-01037</t>
  </si>
  <si>
    <t>TXN-01041</t>
  </si>
  <si>
    <t>TXN-01074</t>
  </si>
  <si>
    <t>TXN-00938</t>
  </si>
  <si>
    <t>TXN-00956</t>
  </si>
  <si>
    <t>TXN-00959</t>
  </si>
  <si>
    <t>TXN-00969</t>
  </si>
  <si>
    <t>TXN-00975</t>
  </si>
  <si>
    <t>TXN-01067</t>
  </si>
  <si>
    <t>TXN-01084</t>
  </si>
  <si>
    <t>TXN-00910</t>
  </si>
  <si>
    <t>TXN-00929</t>
  </si>
  <si>
    <t>TXN-01111</t>
  </si>
  <si>
    <t>TXN-00993</t>
  </si>
  <si>
    <t>TXN-01022</t>
  </si>
  <si>
    <t>TXN-01025</t>
  </si>
  <si>
    <t>TXN-01059</t>
  </si>
  <si>
    <t>TXN-00948</t>
  </si>
  <si>
    <t>TXN-01094</t>
  </si>
  <si>
    <t>TXN-01107</t>
  </si>
  <si>
    <t>TXN-01120</t>
  </si>
  <si>
    <t>TXN-01124</t>
  </si>
  <si>
    <t>TXN-00992</t>
  </si>
  <si>
    <t>TXN-00999</t>
  </si>
  <si>
    <t>TXN-01069</t>
  </si>
  <si>
    <t>TXN-00930</t>
  </si>
  <si>
    <t>TXN-00941</t>
  </si>
  <si>
    <t>TXN-00943</t>
  </si>
  <si>
    <t>TXN-00967</t>
  </si>
  <si>
    <t>TXN-00976</t>
  </si>
  <si>
    <t>TXN-01105</t>
  </si>
  <si>
    <t>TXN-01115</t>
  </si>
  <si>
    <t>TXN-01125</t>
  </si>
  <si>
    <t>TXN-01032</t>
  </si>
  <si>
    <t>TXN-01034</t>
  </si>
  <si>
    <t>TXN-01046</t>
  </si>
  <si>
    <t>TXN-01049</t>
  </si>
  <si>
    <t>TXN-01062</t>
  </si>
  <si>
    <t>TXN-01085</t>
  </si>
  <si>
    <t>TXN-01117</t>
  </si>
  <si>
    <t>TXN-01126</t>
  </si>
  <si>
    <t>TXN-01004</t>
  </si>
  <si>
    <t>TXN-01012</t>
  </si>
  <si>
    <t>TXN-01015</t>
  </si>
  <si>
    <t>TXN-01043</t>
  </si>
  <si>
    <t>TXN-01044</t>
  </si>
  <si>
    <t>TXN-00927</t>
  </si>
  <si>
    <t>TXN-00944</t>
  </si>
  <si>
    <t>TXN-01098</t>
  </si>
  <si>
    <t>TXN-01131</t>
  </si>
  <si>
    <t>TXN-01011</t>
  </si>
  <si>
    <t>TXN-01082</t>
  </si>
  <si>
    <t>TXN-00981</t>
  </si>
  <si>
    <t>TXN-00982</t>
  </si>
  <si>
    <t>TXN-01093</t>
  </si>
  <si>
    <t>TXN-01095</t>
  </si>
  <si>
    <t>TXN-01104</t>
  </si>
  <si>
    <t>TXN-01122</t>
  </si>
  <si>
    <t>TXN-01021</t>
  </si>
  <si>
    <t>TXN-08185</t>
  </si>
  <si>
    <t>TXN-01064</t>
  </si>
  <si>
    <t>TXN-01086</t>
  </si>
  <si>
    <t>TXN-00980</t>
  </si>
  <si>
    <t>TXN-01132</t>
  </si>
  <si>
    <t>TXN-01048</t>
  </si>
  <si>
    <t>TXN-01081</t>
  </si>
  <si>
    <t>TXN-00933</t>
  </si>
  <si>
    <t>TXN-00935</t>
  </si>
  <si>
    <t>TXN-01127</t>
  </si>
  <si>
    <t>TXN-01028</t>
  </si>
  <si>
    <t>TXN-08184</t>
  </si>
  <si>
    <t>TXN-00923</t>
  </si>
  <si>
    <t>TXN-00924</t>
  </si>
  <si>
    <t>TXN-00955</t>
  </si>
  <si>
    <t>TXN-01097</t>
  </si>
  <si>
    <t>TXN-01101</t>
  </si>
  <si>
    <t>TXN-00994</t>
  </si>
  <si>
    <t>TXN-01055</t>
  </si>
  <si>
    <t>TXN-00922</t>
  </si>
  <si>
    <t>TXN-00932</t>
  </si>
  <si>
    <t>TXN-00968</t>
  </si>
  <si>
    <t>TXN-00979</t>
  </si>
  <si>
    <t>TXN-00987</t>
  </si>
  <si>
    <t>TXN-01100</t>
  </si>
  <si>
    <t>TXN-01033</t>
  </si>
  <si>
    <t>TXN-01065</t>
  </si>
  <si>
    <t>TXN-00911</t>
  </si>
  <si>
    <t>TXN-00970</t>
  </si>
  <si>
    <t>TXN-00977</t>
  </si>
  <si>
    <t>TXN-01103</t>
  </si>
  <si>
    <t>TXN-01109</t>
  </si>
  <si>
    <t>TXN-00996</t>
  </si>
  <si>
    <t>TXN-01007</t>
  </si>
  <si>
    <t>TXN-01030</t>
  </si>
  <si>
    <t>TXN-01045</t>
  </si>
  <si>
    <t>TXN-01068</t>
  </si>
  <si>
    <t>TXN-00926</t>
  </si>
  <si>
    <t>TXN-00960</t>
  </si>
  <si>
    <t>TXN-00965</t>
  </si>
  <si>
    <t>TXN-01014</t>
  </si>
  <si>
    <t>TXN-01026</t>
  </si>
  <si>
    <t>TXN-01036</t>
  </si>
  <si>
    <t>TXN-01039</t>
  </si>
  <si>
    <t>TXN-01053</t>
  </si>
  <si>
    <t>TXN-01070</t>
  </si>
  <si>
    <t>TXN-01088</t>
  </si>
  <si>
    <t>TXN-01106</t>
  </si>
  <si>
    <t>TXN-00997</t>
  </si>
  <si>
    <t>TXN-01010</t>
  </si>
  <si>
    <t>TXN-01024</t>
  </si>
  <si>
    <t>TXN-01050</t>
  </si>
  <si>
    <t>TXN-01071</t>
  </si>
  <si>
    <t>TXN-01079</t>
  </si>
  <si>
    <t>TXN-00912</t>
  </si>
  <si>
    <t>TXN-00915</t>
  </si>
  <si>
    <t>TXN-00921</t>
  </si>
  <si>
    <t>TXN-00947</t>
  </si>
  <si>
    <t>TXN-00978</t>
  </si>
  <si>
    <t>TXN-01112</t>
  </si>
  <si>
    <t>TXN-01060</t>
  </si>
  <si>
    <t>TXN-00916</t>
  </si>
  <si>
    <t>TXN-01113</t>
  </si>
  <si>
    <t>TXN-01119</t>
  </si>
  <si>
    <t>TXN-01051</t>
  </si>
  <si>
    <t>TXN-01061</t>
  </si>
  <si>
    <t>TXN-01066</t>
  </si>
  <si>
    <t>TXN-00917</t>
  </si>
  <si>
    <t>TXN-00983</t>
  </si>
  <si>
    <t>TXN-01102</t>
  </si>
  <si>
    <t>TXN-01116</t>
  </si>
  <si>
    <t>TXN-01128</t>
  </si>
  <si>
    <t>TXN-01276</t>
  </si>
  <si>
    <t>TXN-01166</t>
  </si>
  <si>
    <t>TXN-01196</t>
  </si>
  <si>
    <t>TXN-01203</t>
  </si>
  <si>
    <t>TXN-01348</t>
  </si>
  <si>
    <t>TXN-01359</t>
  </si>
  <si>
    <t>TXN-01233</t>
  </si>
  <si>
    <t>TXN-01270</t>
  </si>
  <si>
    <t>TXN-01278</t>
  </si>
  <si>
    <t>TXN-01284</t>
  </si>
  <si>
    <t>TXN-01301</t>
  </si>
  <si>
    <t>TXN-01148</t>
  </si>
  <si>
    <t>TXN-01173</t>
  </si>
  <si>
    <t>TXN-01206</t>
  </si>
  <si>
    <t>TXN-01212</t>
  </si>
  <si>
    <t>TXN-01327</t>
  </si>
  <si>
    <t>TXN-01344</t>
  </si>
  <si>
    <t>TXN-01354</t>
  </si>
  <si>
    <t>TXN-01242</t>
  </si>
  <si>
    <t>TXN-08187</t>
  </si>
  <si>
    <t>TXN-01271</t>
  </si>
  <si>
    <t>TXN-01285</t>
  </si>
  <si>
    <t>TXN-01310</t>
  </si>
  <si>
    <t>TXN-01158</t>
  </si>
  <si>
    <t>TXN-01160</t>
  </si>
  <si>
    <t>TXN-01193</t>
  </si>
  <si>
    <t>TXN-01205</t>
  </si>
  <si>
    <t>TXN-01215</t>
  </si>
  <si>
    <t>TXN-01237</t>
  </si>
  <si>
    <t>TXN-01282</t>
  </si>
  <si>
    <t>TXN-01287</t>
  </si>
  <si>
    <t>TXN-01176</t>
  </si>
  <si>
    <t>TXN-01185</t>
  </si>
  <si>
    <t>TXN-01187</t>
  </si>
  <si>
    <t>TXN-01199</t>
  </si>
  <si>
    <t>TXN-01309</t>
  </si>
  <si>
    <t>TXN-01184</t>
  </si>
  <si>
    <t>TXN-01200</t>
  </si>
  <si>
    <t>TXN-01216</t>
  </si>
  <si>
    <t>TXN-01325</t>
  </si>
  <si>
    <t>TXN-01332</t>
  </si>
  <si>
    <t>TXN-01247</t>
  </si>
  <si>
    <t>TXN-01256</t>
  </si>
  <si>
    <t>TXN-01277</t>
  </si>
  <si>
    <t>TXN-01288</t>
  </si>
  <si>
    <t>TXN-01294</t>
  </si>
  <si>
    <t>TXN-01308</t>
  </si>
  <si>
    <t>TXN-01144</t>
  </si>
  <si>
    <t>TXN-01190</t>
  </si>
  <si>
    <t>TXN-01207</t>
  </si>
  <si>
    <t>TXN-01324</t>
  </si>
  <si>
    <t>TXN-01236</t>
  </si>
  <si>
    <t>TXN-01249</t>
  </si>
  <si>
    <t>TXN-01252</t>
  </si>
  <si>
    <t>TXN-01264</t>
  </si>
  <si>
    <t>TXN-01268</t>
  </si>
  <si>
    <t>TXN-01279</t>
  </si>
  <si>
    <t>TXN-01170</t>
  </si>
  <si>
    <t>TXN-01342</t>
  </si>
  <si>
    <t>TXN-01357</t>
  </si>
  <si>
    <t>TXN-01260</t>
  </si>
  <si>
    <t>TXN-01157</t>
  </si>
  <si>
    <t>TXN-01167</t>
  </si>
  <si>
    <t>TXN-01183</t>
  </si>
  <si>
    <t>TXN-01343</t>
  </si>
  <si>
    <t>TXN-01226</t>
  </si>
  <si>
    <t>TXN-01227</t>
  </si>
  <si>
    <t>TXN-01231</t>
  </si>
  <si>
    <t>TXN-01255</t>
  </si>
  <si>
    <t>TXN-01295</t>
  </si>
  <si>
    <t>TXN-01296</t>
  </si>
  <si>
    <t>TXN-01312</t>
  </si>
  <si>
    <t>TXN-01189</t>
  </si>
  <si>
    <t>TXN-01211</t>
  </si>
  <si>
    <t>TXN-01222</t>
  </si>
  <si>
    <t>TXN-01322</t>
  </si>
  <si>
    <t>TXN-01330</t>
  </si>
  <si>
    <t>TXN-01345</t>
  </si>
  <si>
    <t>TXN-01362</t>
  </si>
  <si>
    <t>TXN-01281</t>
  </si>
  <si>
    <t>TXN-01304</t>
  </si>
  <si>
    <t>TXN-01180</t>
  </si>
  <si>
    <t>TXN-01195</t>
  </si>
  <si>
    <t>TXN-01213</t>
  </si>
  <si>
    <t>TXN-01340</t>
  </si>
  <si>
    <t>TXN-01353</t>
  </si>
  <si>
    <t>TXN-01251</t>
  </si>
  <si>
    <t>TXN-01315</t>
  </si>
  <si>
    <t>TXN-01152</t>
  </si>
  <si>
    <t>TXN-01168</t>
  </si>
  <si>
    <t>TXN-01182</t>
  </si>
  <si>
    <t>TXN-01223</t>
  </si>
  <si>
    <t>TXN-01329</t>
  </si>
  <si>
    <t>TXN-01240</t>
  </si>
  <si>
    <t>TXN-01241</t>
  </si>
  <si>
    <t>TXN-01246</t>
  </si>
  <si>
    <t>TXN-01293</t>
  </si>
  <si>
    <t>TXN-01136</t>
  </si>
  <si>
    <t>TXN-01155</t>
  </si>
  <si>
    <t>TXN-01161</t>
  </si>
  <si>
    <t>TXN-01201</t>
  </si>
  <si>
    <t>TXN-01210</t>
  </si>
  <si>
    <t>TXN-01245</t>
  </si>
  <si>
    <t>TXN-01257</t>
  </si>
  <si>
    <t>TXN-01261</t>
  </si>
  <si>
    <t>TXN-01314</t>
  </si>
  <si>
    <t>TXN-01149</t>
  </si>
  <si>
    <t>TXN-01194</t>
  </si>
  <si>
    <t>TXN-01326</t>
  </si>
  <si>
    <t>TXN-01263</t>
  </si>
  <si>
    <t>TXN-01300</t>
  </si>
  <si>
    <t>TXN-01302</t>
  </si>
  <si>
    <t>TXN-01174</t>
  </si>
  <si>
    <t>TXN-01318</t>
  </si>
  <si>
    <t>TXN-01363</t>
  </si>
  <si>
    <t>TXN-01142</t>
  </si>
  <si>
    <t>TXN-01163</t>
  </si>
  <si>
    <t>TXN-01186</t>
  </si>
  <si>
    <t>TXN-01188</t>
  </si>
  <si>
    <t>TXN-01198</t>
  </si>
  <si>
    <t>TXN-01336</t>
  </si>
  <si>
    <t>TXN-01364</t>
  </si>
  <si>
    <t>TXN-01365</t>
  </si>
  <si>
    <t>TXN-01259</t>
  </si>
  <si>
    <t>TXN-01289</t>
  </si>
  <si>
    <t>TXN-01291</t>
  </si>
  <si>
    <t>TXN-01143</t>
  </si>
  <si>
    <t>TXN-01171</t>
  </si>
  <si>
    <t>TXN-01208</t>
  </si>
  <si>
    <t>TXN-01323</t>
  </si>
  <si>
    <t>TXN-01349</t>
  </si>
  <si>
    <t>TXN-01135</t>
  </si>
  <si>
    <t>TXN-01140</t>
  </si>
  <si>
    <t>TXN-01339</t>
  </si>
  <si>
    <t>TXN-01346</t>
  </si>
  <si>
    <t>TXN-01358</t>
  </si>
  <si>
    <t>TXN-01239</t>
  </si>
  <si>
    <t>TXN-01197</t>
  </si>
  <si>
    <t>TXN-01220</t>
  </si>
  <si>
    <t>TXN-01351</t>
  </si>
  <si>
    <t>TXN-01228</t>
  </si>
  <si>
    <t>TXN-01266</t>
  </si>
  <si>
    <t>TXN-01283</t>
  </si>
  <si>
    <t>TXN-01297</t>
  </si>
  <si>
    <t>TXN-01306</t>
  </si>
  <si>
    <t>TXN-01162</t>
  </si>
  <si>
    <t>TXN-01178</t>
  </si>
  <si>
    <t>TXN-01202</t>
  </si>
  <si>
    <t>TXN-01319</t>
  </si>
  <si>
    <t>TXN-01320</t>
  </si>
  <si>
    <t>TXN-01229</t>
  </si>
  <si>
    <t>TXN-01234</t>
  </si>
  <si>
    <t>TXN-01243</t>
  </si>
  <si>
    <t>TXN-01275</t>
  </si>
  <si>
    <t>TXN-01317</t>
  </si>
  <si>
    <t>TXN-01238</t>
  </si>
  <si>
    <t>TXN-01254</t>
  </si>
  <si>
    <t>TXN-01286</t>
  </si>
  <si>
    <t>TXN-01292</t>
  </si>
  <si>
    <t>TXN-01217</t>
  </si>
  <si>
    <t>TXN-01335</t>
  </si>
  <si>
    <t>TXN-01356</t>
  </si>
  <si>
    <t>TXN-01360</t>
  </si>
  <si>
    <t>TXN-01258</t>
  </si>
  <si>
    <t>TXN-01299</t>
  </si>
  <si>
    <t>TXN-01156</t>
  </si>
  <si>
    <t>TXN-01179</t>
  </si>
  <si>
    <t>TXN-01209</t>
  </si>
  <si>
    <t>TXN-01331</t>
  </si>
  <si>
    <t>TXN-01250</t>
  </si>
  <si>
    <t>TXN-01280</t>
  </si>
  <si>
    <t>TXN-01141</t>
  </si>
  <si>
    <t>TXN-01172</t>
  </si>
  <si>
    <t>TXN-01191</t>
  </si>
  <si>
    <t>TXN-01232</t>
  </si>
  <si>
    <t>TXN-01273</t>
  </si>
  <si>
    <t>TXN-01146</t>
  </si>
  <si>
    <t>TXN-01175</t>
  </si>
  <si>
    <t>TXN-01334</t>
  </si>
  <si>
    <t>TXN-01337</t>
  </si>
  <si>
    <t>TXN-01262</t>
  </si>
  <si>
    <t>TXN-01298</t>
  </si>
  <si>
    <t>TXN-01307</t>
  </si>
  <si>
    <t>TXN-01137</t>
  </si>
  <si>
    <t>TXN-01138</t>
  </si>
  <si>
    <t>TXN-01159</t>
  </si>
  <si>
    <t>TXN-01164</t>
  </si>
  <si>
    <t>TXN-01333</t>
  </si>
  <si>
    <t>TXN-01341</t>
  </si>
  <si>
    <t>TXN-01355</t>
  </si>
  <si>
    <t>TXN-01290</t>
  </si>
  <si>
    <t>TXN-01139</t>
  </si>
  <si>
    <t>TXN-01151</t>
  </si>
  <si>
    <t>TXN-01218</t>
  </si>
  <si>
    <t>TXN-01219</t>
  </si>
  <si>
    <t>TXN-01225</t>
  </si>
  <si>
    <t>TXN-01361</t>
  </si>
  <si>
    <t>TXN-01248</t>
  </si>
  <si>
    <t>TXN-01269</t>
  </si>
  <si>
    <t>TXN-01311</t>
  </si>
  <si>
    <t>TXN-01154</t>
  </si>
  <si>
    <t>TXN-01177</t>
  </si>
  <si>
    <t>TXN-01192</t>
  </si>
  <si>
    <t>TXN-01352</t>
  </si>
  <si>
    <t>TXN-01235</t>
  </si>
  <si>
    <t>TXN-01267</t>
  </si>
  <si>
    <t>TXN-01147</t>
  </si>
  <si>
    <t>TXN-01169</t>
  </si>
  <si>
    <t>TXN-01321</t>
  </si>
  <si>
    <t>TXN-01338</t>
  </si>
  <si>
    <t>TXN-01350</t>
  </si>
  <si>
    <t>TXN-01244</t>
  </si>
  <si>
    <t>TXN-01253</t>
  </si>
  <si>
    <t>TXN-01272</t>
  </si>
  <si>
    <t>TXN-01274</t>
  </si>
  <si>
    <t>TXN-01303</t>
  </si>
  <si>
    <t>TXN-01305</t>
  </si>
  <si>
    <t>TXN-01145</t>
  </si>
  <si>
    <t>TXN-01165</t>
  </si>
  <si>
    <t>TXN-01204</t>
  </si>
  <si>
    <t>TXN-01214</t>
  </si>
  <si>
    <t>TXN-01224</t>
  </si>
  <si>
    <t>TXN-01328</t>
  </si>
  <si>
    <t>TXN-01265</t>
  </si>
  <si>
    <t>TXN-01313</t>
  </si>
  <si>
    <t>TXN-01150</t>
  </si>
  <si>
    <t>TXN-01153</t>
  </si>
  <si>
    <t>TXN-01181</t>
  </si>
  <si>
    <t>TXN-01221</t>
  </si>
  <si>
    <t>TXN-01316</t>
  </si>
  <si>
    <t>TXN-01347</t>
  </si>
  <si>
    <t>TXN-01230</t>
  </si>
  <si>
    <t>TXN-08188</t>
  </si>
  <si>
    <t>TXN-08189</t>
  </si>
  <si>
    <t>TXN-01512</t>
  </si>
  <si>
    <t>TXN-01375</t>
  </si>
  <si>
    <t>TXN-01408</t>
  </si>
  <si>
    <t>TXN-01510</t>
  </si>
  <si>
    <t>TXN-01535</t>
  </si>
  <si>
    <t>TXN-01391</t>
  </si>
  <si>
    <t>TXN-01429</t>
  </si>
  <si>
    <t>TXN-01555</t>
  </si>
  <si>
    <t>TXN-01454</t>
  </si>
  <si>
    <t>TXN-01474</t>
  </si>
  <si>
    <t>TXN-01485</t>
  </si>
  <si>
    <t>TXN-08192</t>
  </si>
  <si>
    <t>TXN-01369</t>
  </si>
  <si>
    <t>TXN-01416</t>
  </si>
  <si>
    <t>TXN-01451</t>
  </si>
  <si>
    <t>TXN-01553</t>
  </si>
  <si>
    <t>TXN-01565</t>
  </si>
  <si>
    <t>TXN-01582</t>
  </si>
  <si>
    <t>TXN-01589</t>
  </si>
  <si>
    <t>TXN-01462</t>
  </si>
  <si>
    <t>TXN-01483</t>
  </si>
  <si>
    <t>TXN-01488</t>
  </si>
  <si>
    <t>TXN-01507</t>
  </si>
  <si>
    <t>TXN-01529</t>
  </si>
  <si>
    <t>TXN-01533</t>
  </si>
  <si>
    <t>TXN-01366</t>
  </si>
  <si>
    <t>TXN-01383</t>
  </si>
  <si>
    <t>TXN-01393</t>
  </si>
  <si>
    <t>TXN-01440</t>
  </si>
  <si>
    <t>TXN-01467</t>
  </si>
  <si>
    <t>TXN-01500</t>
  </si>
  <si>
    <t>TXN-01504</t>
  </si>
  <si>
    <t>TXN-01505</t>
  </si>
  <si>
    <t>TXN-01534</t>
  </si>
  <si>
    <t>TXN-01372</t>
  </si>
  <si>
    <t>TXN-01414</t>
  </si>
  <si>
    <t>TXN-01424</t>
  </si>
  <si>
    <t>TXN-01560</t>
  </si>
  <si>
    <t>TXN-08190</t>
  </si>
  <si>
    <t>TXN-01444</t>
  </si>
  <si>
    <t>TXN-01557</t>
  </si>
  <si>
    <t>TXN-01590</t>
  </si>
  <si>
    <t>TXN-01463</t>
  </si>
  <si>
    <t>TXN-01470</t>
  </si>
  <si>
    <t>TXN-01525</t>
  </si>
  <si>
    <t>TXN-01396</t>
  </si>
  <si>
    <t>TXN-01409</t>
  </si>
  <si>
    <t>TXN-01441</t>
  </si>
  <si>
    <t>TXN-01386</t>
  </si>
  <si>
    <t>TXN-01423</t>
  </si>
  <si>
    <t>TXN-01447</t>
  </si>
  <si>
    <t>TXN-01573</t>
  </si>
  <si>
    <t>TXN-01484</t>
  </si>
  <si>
    <t>TXN-01506</t>
  </si>
  <si>
    <t>TXN-01371</t>
  </si>
  <si>
    <t>TXN-01376</t>
  </si>
  <si>
    <t>TXN-01389</t>
  </si>
  <si>
    <t>TXN-01576</t>
  </si>
  <si>
    <t>TXN-01368</t>
  </si>
  <si>
    <t>TXN-01394</t>
  </si>
  <si>
    <t>TXN-01453</t>
  </si>
  <si>
    <t>TXN-01509</t>
  </si>
  <si>
    <t>TXN-01547</t>
  </si>
  <si>
    <t>TXN-01374</t>
  </si>
  <si>
    <t>TXN-01398</t>
  </si>
  <si>
    <t>TXN-01400</t>
  </si>
  <si>
    <t>TXN-01558</t>
  </si>
  <si>
    <t>TXN-01460</t>
  </si>
  <si>
    <t>TXN-01489</t>
  </si>
  <si>
    <t>TXN-01501</t>
  </si>
  <si>
    <t>TXN-01526</t>
  </si>
  <si>
    <t>TXN-01381</t>
  </si>
  <si>
    <t>TXN-01426</t>
  </si>
  <si>
    <t>TXN-01567</t>
  </si>
  <si>
    <t>TXN-01569</t>
  </si>
  <si>
    <t>TXN-01456</t>
  </si>
  <si>
    <t>TXN-01479</t>
  </si>
  <si>
    <t>TXN-01520</t>
  </si>
  <si>
    <t>TXN-01546</t>
  </si>
  <si>
    <t>TXN-01377</t>
  </si>
  <si>
    <t>TXN-01464</t>
  </si>
  <si>
    <t>TXN-01486</t>
  </si>
  <si>
    <t>TXN-01491</t>
  </si>
  <si>
    <t>TXN-01522</t>
  </si>
  <si>
    <t>TXN-01406</t>
  </si>
  <si>
    <t>TXN-01436</t>
  </si>
  <si>
    <t>TXN-01584</t>
  </si>
  <si>
    <t>TXN-01592</t>
  </si>
  <si>
    <t>TXN-01469</t>
  </si>
  <si>
    <t>TXN-01508</t>
  </si>
  <si>
    <t>TXN-01511</t>
  </si>
  <si>
    <t>TXN-01521</t>
  </si>
  <si>
    <t>TXN-01401</t>
  </si>
  <si>
    <t>TXN-01432</t>
  </si>
  <si>
    <t>TXN-01552</t>
  </si>
  <si>
    <t>TXN-01588</t>
  </si>
  <si>
    <t>TXN-01487</t>
  </si>
  <si>
    <t>TXN-01514</t>
  </si>
  <si>
    <t>TXN-01530</t>
  </si>
  <si>
    <t>TXN-01399</t>
  </si>
  <si>
    <t>TXN-01445</t>
  </si>
  <si>
    <t>TXN-01578</t>
  </si>
  <si>
    <t>TXN-01472</t>
  </si>
  <si>
    <t>TXN-01544</t>
  </si>
  <si>
    <t>TXN-01415</t>
  </si>
  <si>
    <t>TXN-01425</t>
  </si>
  <si>
    <t>TXN-01437</t>
  </si>
  <si>
    <t>TXN-01580</t>
  </si>
  <si>
    <t>TXN-01477</t>
  </si>
  <si>
    <t>TXN-01503</t>
  </si>
  <si>
    <t>TXN-01523</t>
  </si>
  <si>
    <t>TXN-01528</t>
  </si>
  <si>
    <t>TXN-01380</t>
  </si>
  <si>
    <t>TXN-01433</t>
  </si>
  <si>
    <t>TXN-01556</t>
  </si>
  <si>
    <t>TXN-01566</t>
  </si>
  <si>
    <t>TXN-01585</t>
  </si>
  <si>
    <t>TXN-01492</t>
  </si>
  <si>
    <t>TXN-01494</t>
  </si>
  <si>
    <t>TXN-01498</t>
  </si>
  <si>
    <t>TXN-01515</t>
  </si>
  <si>
    <t>TXN-01591</t>
  </si>
  <si>
    <t>TXN-01519</t>
  </si>
  <si>
    <t>TXN-01542</t>
  </si>
  <si>
    <t>TXN-01405</t>
  </si>
  <si>
    <t>TXN-01428</t>
  </si>
  <si>
    <t>TXN-01549</t>
  </si>
  <si>
    <t>TXN-01471</t>
  </si>
  <si>
    <t>TXN-01527</t>
  </si>
  <si>
    <t>TXN-01543</t>
  </si>
  <si>
    <t>TXN-01370</t>
  </si>
  <si>
    <t>TXN-01583</t>
  </si>
  <si>
    <t>TXN-01452</t>
  </si>
  <si>
    <t>TXN-01475</t>
  </si>
  <si>
    <t>TXN-01481</t>
  </si>
  <si>
    <t>TXN-01517</t>
  </si>
  <si>
    <t>TXN-01537</t>
  </si>
  <si>
    <t>TXN-01545</t>
  </si>
  <si>
    <t>TXN-01367</t>
  </si>
  <si>
    <t>TXN-01411</t>
  </si>
  <si>
    <t>TXN-01448</t>
  </si>
  <si>
    <t>TXN-01568</t>
  </si>
  <si>
    <t>TXN-01572</t>
  </si>
  <si>
    <t>TXN-01574</t>
  </si>
  <si>
    <t>TXN-01587</t>
  </si>
  <si>
    <t>TXN-01478</t>
  </si>
  <si>
    <t>TXN-01378</t>
  </si>
  <si>
    <t>TXN-01413</t>
  </si>
  <si>
    <t>TXN-01431</t>
  </si>
  <si>
    <t>TXN-01434</t>
  </si>
  <si>
    <t>TXN-01435</t>
  </si>
  <si>
    <t>TXN-01443</t>
  </si>
  <si>
    <t>TXN-01476</t>
  </si>
  <si>
    <t>TXN-01499</t>
  </si>
  <si>
    <t>TXN-01524</t>
  </si>
  <si>
    <t>TXN-01531</t>
  </si>
  <si>
    <t>TXN-01379</t>
  </si>
  <si>
    <t>TXN-01384</t>
  </si>
  <si>
    <t>TXN-01387</t>
  </si>
  <si>
    <t>TXN-01412</t>
  </si>
  <si>
    <t>TXN-01418</t>
  </si>
  <si>
    <t>TXN-01439</t>
  </si>
  <si>
    <t>TXN-01548</t>
  </si>
  <si>
    <t>TXN-01554</t>
  </si>
  <si>
    <t>TXN-01457</t>
  </si>
  <si>
    <t>TXN-01490</t>
  </si>
  <si>
    <t>TXN-01536</t>
  </si>
  <si>
    <t>TXN-01540</t>
  </si>
  <si>
    <t>TXN-01402</t>
  </si>
  <si>
    <t>TXN-01403</t>
  </si>
  <si>
    <t>TXN-01421</t>
  </si>
  <si>
    <t>TXN-01551</t>
  </si>
  <si>
    <t>TXN-01561</t>
  </si>
  <si>
    <t>TXN-08191</t>
  </si>
  <si>
    <t>TXN-01532</t>
  </si>
  <si>
    <t>TXN-01539</t>
  </si>
  <si>
    <t>TXN-01373</t>
  </si>
  <si>
    <t>TXN-01388</t>
  </si>
  <si>
    <t>TXN-01404</t>
  </si>
  <si>
    <t>TXN-01562</t>
  </si>
  <si>
    <t>TXN-01563</t>
  </si>
  <si>
    <t>TXN-01466</t>
  </si>
  <si>
    <t>TXN-01493</t>
  </si>
  <si>
    <t>TXN-01516</t>
  </si>
  <si>
    <t>TXN-01538</t>
  </si>
  <si>
    <t>TXN-01541</t>
  </si>
  <si>
    <t>TXN-01382</t>
  </si>
  <si>
    <t>TXN-01430</t>
  </si>
  <si>
    <t>TXN-01438</t>
  </si>
  <si>
    <t>TXN-01442</t>
  </si>
  <si>
    <t>TXN-01449</t>
  </si>
  <si>
    <t>TXN-01571</t>
  </si>
  <si>
    <t>TXN-01586</t>
  </si>
  <si>
    <t>TXN-01465</t>
  </si>
  <si>
    <t>TXN-01480</t>
  </si>
  <si>
    <t>TXN-01496</t>
  </si>
  <si>
    <t>TXN-01390</t>
  </si>
  <si>
    <t>TXN-01395</t>
  </si>
  <si>
    <t>TXN-01455</t>
  </si>
  <si>
    <t>TXN-01458</t>
  </si>
  <si>
    <t>TXN-01459</t>
  </si>
  <si>
    <t>TXN-01482</t>
  </si>
  <si>
    <t>TXN-01497</t>
  </si>
  <si>
    <t>TXN-01518</t>
  </si>
  <si>
    <t>TXN-01392</t>
  </si>
  <si>
    <t>TXN-01397</t>
  </si>
  <si>
    <t>TXN-01410</t>
  </si>
  <si>
    <t>TXN-01419</t>
  </si>
  <si>
    <t>TXN-01420</t>
  </si>
  <si>
    <t>TXN-01427</t>
  </si>
  <si>
    <t>TXN-01579</t>
  </si>
  <si>
    <t>TXN-01473</t>
  </si>
  <si>
    <t>TXN-01513</t>
  </si>
  <si>
    <t>TXN-01446</t>
  </si>
  <si>
    <t>TXN-01550</t>
  </si>
  <si>
    <t>TXN-01559</t>
  </si>
  <si>
    <t>TXN-01575</t>
  </si>
  <si>
    <t>TXN-01577</t>
  </si>
  <si>
    <t>TXN-01385</t>
  </si>
  <si>
    <t>TXN-01407</t>
  </si>
  <si>
    <t>TXN-01417</t>
  </si>
  <si>
    <t>TXN-01422</t>
  </si>
  <si>
    <t>TXN-01450</t>
  </si>
  <si>
    <t>TXN-01564</t>
  </si>
  <si>
    <t>TXN-01570</t>
  </si>
  <si>
    <t>TXN-01581</t>
  </si>
  <si>
    <t>TXN-01461</t>
  </si>
  <si>
    <t>TXN-01468</t>
  </si>
  <si>
    <t>TXN-01495</t>
  </si>
  <si>
    <t>TXN-01502</t>
  </si>
  <si>
    <t>TXN-01740</t>
  </si>
  <si>
    <t>TXN-01769</t>
  </si>
  <si>
    <t>TXN-01594</t>
  </si>
  <si>
    <t>TXN-01625</t>
  </si>
  <si>
    <t>TXN-01726</t>
  </si>
  <si>
    <t>TXN-01606</t>
  </si>
  <si>
    <t>TXN-01649</t>
  </si>
  <si>
    <t>TXN-01655</t>
  </si>
  <si>
    <t>TXN-08193</t>
  </si>
  <si>
    <t>TXN-01742</t>
  </si>
  <si>
    <t>TXN-01596</t>
  </si>
  <si>
    <t>TXN-01813</t>
  </si>
  <si>
    <t>TXN-01693</t>
  </si>
  <si>
    <t>TXN-01720</t>
  </si>
  <si>
    <t>TXN-01750</t>
  </si>
  <si>
    <t>TXN-01778</t>
  </si>
  <si>
    <t>TXN-01595</t>
  </si>
  <si>
    <t>TXN-01612</t>
  </si>
  <si>
    <t>TXN-01616</t>
  </si>
  <si>
    <t>TXN-01805</t>
  </si>
  <si>
    <t>TXN-01823</t>
  </si>
  <si>
    <t>TXN-01689</t>
  </si>
  <si>
    <t>TXN-01646</t>
  </si>
  <si>
    <t>TXN-01667</t>
  </si>
  <si>
    <t>TXN-01677</t>
  </si>
  <si>
    <t>TXN-01790</t>
  </si>
  <si>
    <t>TXN-01794</t>
  </si>
  <si>
    <t>TXN-01820</t>
  </si>
  <si>
    <t>TXN-01699</t>
  </si>
  <si>
    <t>TXN-01706</t>
  </si>
  <si>
    <t>TXN-01772</t>
  </si>
  <si>
    <t>TXN-01601</t>
  </si>
  <si>
    <t>TXN-01610</t>
  </si>
  <si>
    <t>TXN-01647</t>
  </si>
  <si>
    <t>TXN-01665</t>
  </si>
  <si>
    <t>TXN-01795</t>
  </si>
  <si>
    <t>TXN-01799</t>
  </si>
  <si>
    <t>TXN-01819</t>
  </si>
  <si>
    <t>TXN-01822</t>
  </si>
  <si>
    <t>TXN-01730</t>
  </si>
  <si>
    <t>TXN-01733</t>
  </si>
  <si>
    <t>TXN-01764</t>
  </si>
  <si>
    <t>TXN-01608</t>
  </si>
  <si>
    <t>TXN-01635</t>
  </si>
  <si>
    <t>TXN-01681</t>
  </si>
  <si>
    <t>TXN-01793</t>
  </si>
  <si>
    <t>TXN-01702</t>
  </si>
  <si>
    <t>TXN-01716</t>
  </si>
  <si>
    <t>TXN-01727</t>
  </si>
  <si>
    <t>TXN-01773</t>
  </si>
  <si>
    <t>TXN-01645</t>
  </si>
  <si>
    <t>TXN-01650</t>
  </si>
  <si>
    <t>TXN-01669</t>
  </si>
  <si>
    <t>TXN-01674</t>
  </si>
  <si>
    <t>TXN-01683</t>
  </si>
  <si>
    <t>TXN-01814</t>
  </si>
  <si>
    <t>TXN-01697</t>
  </si>
  <si>
    <t>TXN-01721</t>
  </si>
  <si>
    <t>TXN-01657</t>
  </si>
  <si>
    <t>TXN-01660</t>
  </si>
  <si>
    <t>TXN-01678</t>
  </si>
  <si>
    <t>TXN-01784</t>
  </si>
  <si>
    <t>TXN-01821</t>
  </si>
  <si>
    <t>TXN-01707</t>
  </si>
  <si>
    <t>TXN-01756</t>
  </si>
  <si>
    <t>TXN-01599</t>
  </si>
  <si>
    <t>TXN-01603</t>
  </si>
  <si>
    <t>TXN-01620</t>
  </si>
  <si>
    <t>TXN-01797</t>
  </si>
  <si>
    <t>TXN-01701</t>
  </si>
  <si>
    <t>TXN-01712</t>
  </si>
  <si>
    <t>TXN-01759</t>
  </si>
  <si>
    <t>TXN-01621</t>
  </si>
  <si>
    <t>TXN-01622</t>
  </si>
  <si>
    <t>TXN-01785</t>
  </si>
  <si>
    <t>TXN-08195</t>
  </si>
  <si>
    <t>TXN-01770</t>
  </si>
  <si>
    <t>TXN-01776</t>
  </si>
  <si>
    <t>TXN-01597</t>
  </si>
  <si>
    <t>TXN-01618</t>
  </si>
  <si>
    <t>TXN-01641</t>
  </si>
  <si>
    <t>TXN-01644</t>
  </si>
  <si>
    <t>TXN-01651</t>
  </si>
  <si>
    <t>TXN-01668</t>
  </si>
  <si>
    <t>TXN-01782</t>
  </si>
  <si>
    <t>TXN-01803</t>
  </si>
  <si>
    <t>TXN-01804</t>
  </si>
  <si>
    <t>TXN-01807</t>
  </si>
  <si>
    <t>TXN-01698</t>
  </si>
  <si>
    <t>TXN-01711</t>
  </si>
  <si>
    <t>TXN-01729</t>
  </si>
  <si>
    <t>TXN-01751</t>
  </si>
  <si>
    <t>TXN-01593</t>
  </si>
  <si>
    <t>TXN-01600</t>
  </si>
  <si>
    <t>TXN-01798</t>
  </si>
  <si>
    <t>TXN-01809</t>
  </si>
  <si>
    <t>TXN-01688</t>
  </si>
  <si>
    <t>TXN-01704</t>
  </si>
  <si>
    <t>TXN-01709</t>
  </si>
  <si>
    <t>TXN-01713</t>
  </si>
  <si>
    <t>TXN-01718</t>
  </si>
  <si>
    <t>TXN-01741</t>
  </si>
  <si>
    <t>TXN-01753</t>
  </si>
  <si>
    <t>TXN-01609</t>
  </si>
  <si>
    <t>TXN-01787</t>
  </si>
  <si>
    <t>TXN-01705</t>
  </si>
  <si>
    <t>TXN-01746</t>
  </si>
  <si>
    <t>TXN-01749</t>
  </si>
  <si>
    <t>TXN-01614</t>
  </si>
  <si>
    <t>TXN-01630</t>
  </si>
  <si>
    <t>TXN-01643</t>
  </si>
  <si>
    <t>TXN-01789</t>
  </si>
  <si>
    <t>TXN-01747</t>
  </si>
  <si>
    <t>TXN-01654</t>
  </si>
  <si>
    <t>TXN-01786</t>
  </si>
  <si>
    <t>TXN-01692</t>
  </si>
  <si>
    <t>TXN-01774</t>
  </si>
  <si>
    <t>TXN-01661</t>
  </si>
  <si>
    <t>TXN-01664</t>
  </si>
  <si>
    <t>TXN-01666</t>
  </si>
  <si>
    <t>TXN-01690</t>
  </si>
  <si>
    <t>TXN-01695</t>
  </si>
  <si>
    <t>TXN-01735</t>
  </si>
  <si>
    <t>TXN-01754</t>
  </si>
  <si>
    <t>TXN-01758</t>
  </si>
  <si>
    <t>TXN-01605</t>
  </si>
  <si>
    <t>TXN-01632</t>
  </si>
  <si>
    <t>TXN-01639</t>
  </si>
  <si>
    <t>TXN-01783</t>
  </si>
  <si>
    <t>TXN-01792</t>
  </si>
  <si>
    <t>TXN-01710</t>
  </si>
  <si>
    <t>TXN-01617</t>
  </si>
  <si>
    <t>TXN-01623</t>
  </si>
  <si>
    <t>TXN-01638</t>
  </si>
  <si>
    <t>TXN-01659</t>
  </si>
  <si>
    <t>TXN-01672</t>
  </si>
  <si>
    <t>TXN-01675</t>
  </si>
  <si>
    <t>TXN-01781</t>
  </si>
  <si>
    <t>TXN-01806</t>
  </si>
  <si>
    <t>TXN-01703</t>
  </si>
  <si>
    <t>TXN-01738</t>
  </si>
  <si>
    <t>TXN-01607</t>
  </si>
  <si>
    <t>TXN-01816</t>
  </si>
  <si>
    <t>TXN-01687</t>
  </si>
  <si>
    <t>TXN-01691</t>
  </si>
  <si>
    <t>TXN-01708</t>
  </si>
  <si>
    <t>TXN-01722</t>
  </si>
  <si>
    <t>TXN-01728</t>
  </si>
  <si>
    <t>TXN-08194</t>
  </si>
  <si>
    <t>TXN-01619</t>
  </si>
  <si>
    <t>TXN-01633</t>
  </si>
  <si>
    <t>TXN-01658</t>
  </si>
  <si>
    <t>TXN-01676</t>
  </si>
  <si>
    <t>TXN-01810</t>
  </si>
  <si>
    <t>TXN-01812</t>
  </si>
  <si>
    <t>TXN-01815</t>
  </si>
  <si>
    <t>TXN-01725</t>
  </si>
  <si>
    <t>TXN-01757</t>
  </si>
  <si>
    <t>TXN-01604</t>
  </si>
  <si>
    <t>TXN-01615</t>
  </si>
  <si>
    <t>TXN-01629</t>
  </si>
  <si>
    <t>TXN-01652</t>
  </si>
  <si>
    <t>TXN-01671</t>
  </si>
  <si>
    <t>TXN-01685</t>
  </si>
  <si>
    <t>TXN-01780</t>
  </si>
  <si>
    <t>TXN-01732</t>
  </si>
  <si>
    <t>TXN-01734</t>
  </si>
  <si>
    <t>TXN-01752</t>
  </si>
  <si>
    <t>TXN-01656</t>
  </si>
  <si>
    <t>TXN-01779</t>
  </si>
  <si>
    <t>TXN-01724</t>
  </si>
  <si>
    <t>TXN-01762</t>
  </si>
  <si>
    <t>TXN-01763</t>
  </si>
  <si>
    <t>TXN-01602</t>
  </si>
  <si>
    <t>TXN-01627</t>
  </si>
  <si>
    <t>TXN-01636</t>
  </si>
  <si>
    <t>TXN-01648</t>
  </si>
  <si>
    <t>TXN-01670</t>
  </si>
  <si>
    <t>TXN-01686</t>
  </si>
  <si>
    <t>TXN-01791</t>
  </si>
  <si>
    <t>TXN-01802</t>
  </si>
  <si>
    <t>TXN-01818</t>
  </si>
  <si>
    <t>TXN-01714</t>
  </si>
  <si>
    <t>TXN-01766</t>
  </si>
  <si>
    <t>TXN-01777</t>
  </si>
  <si>
    <t>TXN-01631</t>
  </si>
  <si>
    <t>TXN-01808</t>
  </si>
  <si>
    <t>TXN-01700</t>
  </si>
  <si>
    <t>TXN-01731</t>
  </si>
  <si>
    <t>TXN-01598</t>
  </si>
  <si>
    <t>TXN-01613</t>
  </si>
  <si>
    <t>TXN-01626</t>
  </si>
  <si>
    <t>TXN-01663</t>
  </si>
  <si>
    <t>TXN-01684</t>
  </si>
  <si>
    <t>TXN-01811</t>
  </si>
  <si>
    <t>TXN-01715</t>
  </si>
  <si>
    <t>TXN-01717</t>
  </si>
  <si>
    <t>TXN-01736</t>
  </si>
  <si>
    <t>TXN-01745</t>
  </si>
  <si>
    <t>TXN-01755</t>
  </si>
  <si>
    <t>TXN-01765</t>
  </si>
  <si>
    <t>TXN-01611</t>
  </si>
  <si>
    <t>TXN-01628</t>
  </si>
  <si>
    <t>TXN-01662</t>
  </si>
  <si>
    <t>TXN-01673</t>
  </si>
  <si>
    <t>TXN-01800</t>
  </si>
  <si>
    <t>TXN-01801</t>
  </si>
  <si>
    <t>TXN-01719</t>
  </si>
  <si>
    <t>TXN-01634</t>
  </si>
  <si>
    <t>TXN-01637</t>
  </si>
  <si>
    <t>TXN-01682</t>
  </si>
  <si>
    <t>TXN-01788</t>
  </si>
  <si>
    <t>TXN-01696</t>
  </si>
  <si>
    <t>TXN-01760</t>
  </si>
  <si>
    <t>TXN-01771</t>
  </si>
  <si>
    <t>TXN-01640</t>
  </si>
  <si>
    <t>TXN-01642</t>
  </si>
  <si>
    <t>TXN-01680</t>
  </si>
  <si>
    <t>TXN-01796</t>
  </si>
  <si>
    <t>TXN-01817</t>
  </si>
  <si>
    <t>TXN-01694</t>
  </si>
  <si>
    <t>TXN-01739</t>
  </si>
  <si>
    <t>TXN-01767</t>
  </si>
  <si>
    <t>TXN-01653</t>
  </si>
  <si>
    <t>TXN-01723</t>
  </si>
  <si>
    <t>TXN-01737</t>
  </si>
  <si>
    <t>TXN-01743</t>
  </si>
  <si>
    <t>TXN-01744</t>
  </si>
  <si>
    <t>TXN-01748</t>
  </si>
  <si>
    <t>TXN-01761</t>
  </si>
  <si>
    <t>TXN-01768</t>
  </si>
  <si>
    <t>TXN-01775</t>
  </si>
  <si>
    <t>TXN-01624</t>
  </si>
  <si>
    <t>TXN-01679</t>
  </si>
  <si>
    <t>TXN-01999</t>
  </si>
  <si>
    <t>TXN-01845</t>
  </si>
  <si>
    <t>TXN-01863</t>
  </si>
  <si>
    <t>TXN-01866</t>
  </si>
  <si>
    <t>TXN-01890</t>
  </si>
  <si>
    <t>TXN-02039</t>
  </si>
  <si>
    <t>TXN-01950</t>
  </si>
  <si>
    <t>TXN-01975</t>
  </si>
  <si>
    <t>TXN-01824</t>
  </si>
  <si>
    <t>TXN-01832</t>
  </si>
  <si>
    <t>TXN-01895</t>
  </si>
  <si>
    <t>TXN-01925</t>
  </si>
  <si>
    <t>TXN-01957</t>
  </si>
  <si>
    <t>TXN-01986</t>
  </si>
  <si>
    <t>TXN-01871</t>
  </si>
  <si>
    <t>TXN-02037</t>
  </si>
  <si>
    <t>TXN-01889</t>
  </si>
  <si>
    <t>TXN-01919</t>
  </si>
  <si>
    <t>TXN-01922</t>
  </si>
  <si>
    <t>TXN-01923</t>
  </si>
  <si>
    <t>TXN-01978</t>
  </si>
  <si>
    <t>TXN-01982</t>
  </si>
  <si>
    <t>TXN-01993</t>
  </si>
  <si>
    <t>TXN-01830</t>
  </si>
  <si>
    <t>TXN-01835</t>
  </si>
  <si>
    <t>TXN-01858</t>
  </si>
  <si>
    <t>TXN-01862</t>
  </si>
  <si>
    <t>TXN-01867</t>
  </si>
  <si>
    <t>TXN-02028</t>
  </si>
  <si>
    <t>TXN-02033</t>
  </si>
  <si>
    <t>TXN-02043</t>
  </si>
  <si>
    <t>TXN-01958</t>
  </si>
  <si>
    <t>TXN-01882</t>
  </si>
  <si>
    <t>TXN-01888</t>
  </si>
  <si>
    <t>TXN-01893</t>
  </si>
  <si>
    <t>TXN-02008</t>
  </si>
  <si>
    <t>TXN-02020</t>
  </si>
  <si>
    <t>TXN-01943</t>
  </si>
  <si>
    <t>TXN-01857</t>
  </si>
  <si>
    <t>TXN-01861</t>
  </si>
  <si>
    <t>TXN-01868</t>
  </si>
  <si>
    <t>TXN-01874</t>
  </si>
  <si>
    <t>TXN-01886</t>
  </si>
  <si>
    <t>TXN-02009</t>
  </si>
  <si>
    <t>TXN-02016</t>
  </si>
  <si>
    <t>TXN-01916</t>
  </si>
  <si>
    <t>TXN-01934</t>
  </si>
  <si>
    <t>TXN-01936</t>
  </si>
  <si>
    <t>TXN-01828</t>
  </si>
  <si>
    <t>TXN-01851</t>
  </si>
  <si>
    <t>TXN-01853</t>
  </si>
  <si>
    <t>TXN-01915</t>
  </si>
  <si>
    <t>TXN-02018</t>
  </si>
  <si>
    <t>TXN-02030</t>
  </si>
  <si>
    <t>TXN-08198</t>
  </si>
  <si>
    <t>TXN-01826</t>
  </si>
  <si>
    <t>TXN-01872</t>
  </si>
  <si>
    <t>TXN-02026</t>
  </si>
  <si>
    <t>TXN-01960</t>
  </si>
  <si>
    <t>TXN-01972</t>
  </si>
  <si>
    <t>TXN-01829</t>
  </si>
  <si>
    <t>TXN-01842</t>
  </si>
  <si>
    <t>TXN-01844</t>
  </si>
  <si>
    <t>TXN-01846</t>
  </si>
  <si>
    <t>TXN-01864</t>
  </si>
  <si>
    <t>TXN-01869</t>
  </si>
  <si>
    <t>TXN-01910</t>
  </si>
  <si>
    <t>TXN-02013</t>
  </si>
  <si>
    <t>TXN-02031</t>
  </si>
  <si>
    <t>TXN-02034</t>
  </si>
  <si>
    <t>TXN-01953</t>
  </si>
  <si>
    <t>TXN-01987</t>
  </si>
  <si>
    <t>TXN-01990</t>
  </si>
  <si>
    <t>TXN-02002</t>
  </si>
  <si>
    <t>TXN-02027</t>
  </si>
  <si>
    <t>TXN-02038</t>
  </si>
  <si>
    <t>TXN-01945</t>
  </si>
  <si>
    <t>TXN-01968</t>
  </si>
  <si>
    <t>TXN-01989</t>
  </si>
  <si>
    <t>TXN-01992</t>
  </si>
  <si>
    <t>TXN-01849</t>
  </si>
  <si>
    <t>TXN-01885</t>
  </si>
  <si>
    <t>TXN-01892</t>
  </si>
  <si>
    <t>TXN-01906</t>
  </si>
  <si>
    <t>TXN-01911</t>
  </si>
  <si>
    <t>TXN-01959</t>
  </si>
  <si>
    <t>TXN-01980</t>
  </si>
  <si>
    <t>TXN-01981</t>
  </si>
  <si>
    <t>TXN-01984</t>
  </si>
  <si>
    <t>TXN-01881</t>
  </si>
  <si>
    <t>TXN-02011</t>
  </si>
  <si>
    <t>TXN-02014</t>
  </si>
  <si>
    <t>TXN-02029</t>
  </si>
  <si>
    <t>TXN-01948</t>
  </si>
  <si>
    <t>TXN-01977</t>
  </si>
  <si>
    <t>TXN-01841</t>
  </si>
  <si>
    <t>TXN-01854</t>
  </si>
  <si>
    <t>TXN-02040</t>
  </si>
  <si>
    <t>TXN-01918</t>
  </si>
  <si>
    <t>TXN-02001</t>
  </si>
  <si>
    <t>TXN-01840</t>
  </si>
  <si>
    <t>TXN-01860</t>
  </si>
  <si>
    <t>TXN-01870</t>
  </si>
  <si>
    <t>TXN-01879</t>
  </si>
  <si>
    <t>TXN-01907</t>
  </si>
  <si>
    <t>TXN-02010</t>
  </si>
  <si>
    <t>TXN-01949</t>
  </si>
  <si>
    <t>TXN-01979</t>
  </si>
  <si>
    <t>TXN-01839</t>
  </si>
  <si>
    <t>TXN-01884</t>
  </si>
  <si>
    <t>TXN-01898</t>
  </si>
  <si>
    <t>TXN-01903</t>
  </si>
  <si>
    <t>TXN-02015</t>
  </si>
  <si>
    <t>TXN-02019</t>
  </si>
  <si>
    <t>TXN-01974</t>
  </si>
  <si>
    <t>TXN-01825</t>
  </si>
  <si>
    <t>TXN-01843</t>
  </si>
  <si>
    <t>TXN-01909</t>
  </si>
  <si>
    <t>TXN-02004</t>
  </si>
  <si>
    <t>TXN-02023</t>
  </si>
  <si>
    <t>TXN-01932</t>
  </si>
  <si>
    <t>TXN-01942</t>
  </si>
  <si>
    <t>TXN-01956</t>
  </si>
  <si>
    <t>TXN-01973</t>
  </si>
  <si>
    <t>TXN-01983</t>
  </si>
  <si>
    <t>TXN-02003</t>
  </si>
  <si>
    <t>TXN-01873</t>
  </si>
  <si>
    <t>TXN-01897</t>
  </si>
  <si>
    <t>TXN-01899</t>
  </si>
  <si>
    <t>TXN-01904</t>
  </si>
  <si>
    <t>TXN-02032</t>
  </si>
  <si>
    <t>TXN-01930</t>
  </si>
  <si>
    <t>TXN-01905</t>
  </si>
  <si>
    <t>TXN-02007</t>
  </si>
  <si>
    <t>TXN-01937</t>
  </si>
  <si>
    <t>TXN-01961</t>
  </si>
  <si>
    <t>TXN-01985</t>
  </si>
  <si>
    <t>TXN-01998</t>
  </si>
  <si>
    <t>TXN-01836</t>
  </si>
  <si>
    <t>TXN-02005</t>
  </si>
  <si>
    <t>TXN-02045</t>
  </si>
  <si>
    <t>TXN-01917</t>
  </si>
  <si>
    <t>TXN-01926</t>
  </si>
  <si>
    <t>TXN-01947</t>
  </si>
  <si>
    <t>TXN-01951</t>
  </si>
  <si>
    <t>TXN-01965</t>
  </si>
  <si>
    <t>TXN-01991</t>
  </si>
  <si>
    <t>TXN-01827</t>
  </si>
  <si>
    <t>TXN-01838</t>
  </si>
  <si>
    <t>TXN-01856</t>
  </si>
  <si>
    <t>TXN-01859</t>
  </si>
  <si>
    <t>TXN-01887</t>
  </si>
  <si>
    <t>TXN-01896</t>
  </si>
  <si>
    <t>TXN-02022</t>
  </si>
  <si>
    <t>TXN-02024</t>
  </si>
  <si>
    <t>TXN-01988</t>
  </si>
  <si>
    <t>TXN-01995</t>
  </si>
  <si>
    <t>TXN-01880</t>
  </si>
  <si>
    <t>TXN-01894</t>
  </si>
  <si>
    <t>TXN-02021</t>
  </si>
  <si>
    <t>TXN-01924</t>
  </si>
  <si>
    <t>TXN-01939</t>
  </si>
  <si>
    <t>TXN-01865</t>
  </si>
  <si>
    <t>TXN-01901</t>
  </si>
  <si>
    <t>TXN-02006</t>
  </si>
  <si>
    <t>TXN-01966</t>
  </si>
  <si>
    <t>TXN-01970</t>
  </si>
  <si>
    <t>TXN-01997</t>
  </si>
  <si>
    <t>TXN-01837</t>
  </si>
  <si>
    <t>TXN-01852</t>
  </si>
  <si>
    <t>TXN-01878</t>
  </si>
  <si>
    <t>TXN-01900</t>
  </si>
  <si>
    <t>TXN-01902</t>
  </si>
  <si>
    <t>TXN-02041</t>
  </si>
  <si>
    <t>TXN-01935</t>
  </si>
  <si>
    <t>TXN-01938</t>
  </si>
  <si>
    <t>TXN-01962</t>
  </si>
  <si>
    <t>TXN-01967</t>
  </si>
  <si>
    <t>TXN-01971</t>
  </si>
  <si>
    <t>TXN-01976</t>
  </si>
  <si>
    <t>TXN-01996</t>
  </si>
  <si>
    <t>TXN-01855</t>
  </si>
  <si>
    <t>TXN-01876</t>
  </si>
  <si>
    <t>TXN-01877</t>
  </si>
  <si>
    <t>TXN-01912</t>
  </si>
  <si>
    <t>TXN-02042</t>
  </si>
  <si>
    <t>TXN-02044</t>
  </si>
  <si>
    <t>TXN-01946</t>
  </si>
  <si>
    <t>TXN-01955</t>
  </si>
  <si>
    <t>TXN-08196</t>
  </si>
  <si>
    <t>TXN-02000</t>
  </si>
  <si>
    <t>TXN-01847</t>
  </si>
  <si>
    <t>TXN-01848</t>
  </si>
  <si>
    <t>TXN-01891</t>
  </si>
  <si>
    <t>TXN-01929</t>
  </si>
  <si>
    <t>TXN-01931</t>
  </si>
  <si>
    <t>TXN-01941</t>
  </si>
  <si>
    <t>TXN-01963</t>
  </si>
  <si>
    <t>TXN-08197</t>
  </si>
  <si>
    <t>TXN-01964</t>
  </si>
  <si>
    <t>TXN-01831</t>
  </si>
  <si>
    <t>TXN-01875</t>
  </si>
  <si>
    <t>TXN-01920</t>
  </si>
  <si>
    <t>TXN-01933</t>
  </si>
  <si>
    <t>TXN-01833</t>
  </si>
  <si>
    <t>TXN-01834</t>
  </si>
  <si>
    <t>TXN-01914</t>
  </si>
  <si>
    <t>TXN-02012</t>
  </si>
  <si>
    <t>TXN-01921</t>
  </si>
  <si>
    <t>TXN-01954</t>
  </si>
  <si>
    <t>TXN-01850</t>
  </si>
  <si>
    <t>TXN-01913</t>
  </si>
  <si>
    <t>TXN-02025</t>
  </si>
  <si>
    <t>TXN-01940</t>
  </si>
  <si>
    <t>TXN-01944</t>
  </si>
  <si>
    <t>TXN-01952</t>
  </si>
  <si>
    <t>TXN-01969</t>
  </si>
  <si>
    <t>TXN-01994</t>
  </si>
  <si>
    <t>TXN-01883</t>
  </si>
  <si>
    <t>TXN-01908</t>
  </si>
  <si>
    <t>TXN-02017</t>
  </si>
  <si>
    <t>TXN-02035</t>
  </si>
  <si>
    <t>TXN-02036</t>
  </si>
  <si>
    <t>TXN-01927</t>
  </si>
  <si>
    <t>TXN-01928</t>
  </si>
  <si>
    <t>TXN-02046</t>
  </si>
  <si>
    <t>TXN-02095</t>
  </si>
  <si>
    <t>TXN-02128</t>
  </si>
  <si>
    <t>TXN-02276</t>
  </si>
  <si>
    <t>TXN-02184</t>
  </si>
  <si>
    <t>TXN-02066</t>
  </si>
  <si>
    <t>TXN-02120</t>
  </si>
  <si>
    <t>TXN-02255</t>
  </si>
  <si>
    <t>TXN-02269</t>
  </si>
  <si>
    <t>TXN-02155</t>
  </si>
  <si>
    <t>TXN-02198</t>
  </si>
  <si>
    <t>TXN-02209</t>
  </si>
  <si>
    <t>TXN-02218</t>
  </si>
  <si>
    <t>TXN-02056</t>
  </si>
  <si>
    <t>TXN-02079</t>
  </si>
  <si>
    <t>TXN-02113</t>
  </si>
  <si>
    <t>TXN-02150</t>
  </si>
  <si>
    <t>TXN-02156</t>
  </si>
  <si>
    <t>TXN-02186</t>
  </si>
  <si>
    <t>TXN-02203</t>
  </si>
  <si>
    <t>TXN-02063</t>
  </si>
  <si>
    <t>TXN-02082</t>
  </si>
  <si>
    <t>TXN-02109</t>
  </si>
  <si>
    <t>TXN-02117</t>
  </si>
  <si>
    <t>TXN-02138</t>
  </si>
  <si>
    <t>TXN-02159</t>
  </si>
  <si>
    <t>TXN-02170</t>
  </si>
  <si>
    <t>TXN-02177</t>
  </si>
  <si>
    <t>TXN-02185</t>
  </si>
  <si>
    <t>TXN-02106</t>
  </si>
  <si>
    <t>TXN-02239</t>
  </si>
  <si>
    <t>TXN-02241</t>
  </si>
  <si>
    <t>TXN-02242</t>
  </si>
  <si>
    <t>TXN-02246</t>
  </si>
  <si>
    <t>TXN-02176</t>
  </si>
  <si>
    <t>TXN-02208</t>
  </si>
  <si>
    <t>TXN-02217</t>
  </si>
  <si>
    <t>TXN-02077</t>
  </si>
  <si>
    <t>TXN-02104</t>
  </si>
  <si>
    <t>TXN-02110</t>
  </si>
  <si>
    <t>TXN-02248</t>
  </si>
  <si>
    <t>TXN-02267</t>
  </si>
  <si>
    <t>TXN-02270</t>
  </si>
  <si>
    <t>TXN-02277</t>
  </si>
  <si>
    <t>TXN-02153</t>
  </si>
  <si>
    <t>TXN-02187</t>
  </si>
  <si>
    <t>TXN-02221</t>
  </si>
  <si>
    <t>TXN-02226</t>
  </si>
  <si>
    <t>TXN-02052</t>
  </si>
  <si>
    <t>TXN-02099</t>
  </si>
  <si>
    <t>TXN-02140</t>
  </si>
  <si>
    <t>TXN-02238</t>
  </si>
  <si>
    <t>TXN-02158</t>
  </si>
  <si>
    <t>TXN-02166</t>
  </si>
  <si>
    <t>TXN-02173</t>
  </si>
  <si>
    <t>TXN-02178</t>
  </si>
  <si>
    <t>TXN-02193</t>
  </si>
  <si>
    <t>TXN-02127</t>
  </si>
  <si>
    <t>TXN-02181</t>
  </si>
  <si>
    <t>TXN-02274</t>
  </si>
  <si>
    <t>TXN-02275</t>
  </si>
  <si>
    <t>TXN-02174</t>
  </si>
  <si>
    <t>TXN-02192</t>
  </si>
  <si>
    <t>TXN-02068</t>
  </si>
  <si>
    <t>TXN-02071</t>
  </si>
  <si>
    <t>TXN-02091</t>
  </si>
  <si>
    <t>TXN-02116</t>
  </si>
  <si>
    <t>TXN-02135</t>
  </si>
  <si>
    <t>TXN-02136</t>
  </si>
  <si>
    <t>TXN-02271</t>
  </si>
  <si>
    <t>TXN-02168</t>
  </si>
  <si>
    <t>TXN-02182</t>
  </si>
  <si>
    <t>TXN-02188</t>
  </si>
  <si>
    <t>TXN-02058</t>
  </si>
  <si>
    <t>TXN-02061</t>
  </si>
  <si>
    <t>TXN-02132</t>
  </si>
  <si>
    <t>TXN-02236</t>
  </si>
  <si>
    <t>TXN-02163</t>
  </si>
  <si>
    <t>TXN-02169</t>
  </si>
  <si>
    <t>TXN-02179</t>
  </si>
  <si>
    <t>TXN-02199</t>
  </si>
  <si>
    <t>TXN-02232</t>
  </si>
  <si>
    <t>TXN-02083</t>
  </si>
  <si>
    <t>TXN-02114</t>
  </si>
  <si>
    <t>TXN-02250</t>
  </si>
  <si>
    <t>TXN-02256</t>
  </si>
  <si>
    <t>TXN-02266</t>
  </si>
  <si>
    <t>TXN-02157</t>
  </si>
  <si>
    <t>TXN-02195</t>
  </si>
  <si>
    <t>TXN-02139</t>
  </si>
  <si>
    <t>TXN-02237</t>
  </si>
  <si>
    <t>TXN-02240</t>
  </si>
  <si>
    <t>TXN-02152</t>
  </si>
  <si>
    <t>TXN-02167</t>
  </si>
  <si>
    <t>TXN-08199</t>
  </si>
  <si>
    <t>TXN-02053</t>
  </si>
  <si>
    <t>TXN-02059</t>
  </si>
  <si>
    <t>TXN-02076</t>
  </si>
  <si>
    <t>TXN-02100</t>
  </si>
  <si>
    <t>TXN-02131</t>
  </si>
  <si>
    <t>TXN-02235</t>
  </si>
  <si>
    <t>TXN-02245</t>
  </si>
  <si>
    <t>TXN-02251</t>
  </si>
  <si>
    <t>TXN-02191</t>
  </si>
  <si>
    <t>TXN-02197</t>
  </si>
  <si>
    <t>TXN-02070</t>
  </si>
  <si>
    <t>TXN-02096</t>
  </si>
  <si>
    <t>TXN-02129</t>
  </si>
  <si>
    <t>TXN-02264</t>
  </si>
  <si>
    <t>TXN-02161</t>
  </si>
  <si>
    <t>TXN-02183</t>
  </si>
  <si>
    <t>TXN-02220</t>
  </si>
  <si>
    <t>TXN-02051</t>
  </si>
  <si>
    <t>TXN-02126</t>
  </si>
  <si>
    <t>TXN-02252</t>
  </si>
  <si>
    <t>TXN-02257</t>
  </si>
  <si>
    <t>TXN-02261</t>
  </si>
  <si>
    <t>TXN-02272</t>
  </si>
  <si>
    <t>TXN-02143</t>
  </si>
  <si>
    <t>TXN-02230</t>
  </si>
  <si>
    <t>TXN-02048</t>
  </si>
  <si>
    <t>TXN-02065</t>
  </si>
  <si>
    <t>TXN-02118</t>
  </si>
  <si>
    <t>TXN-02124</t>
  </si>
  <si>
    <t>TXN-02253</t>
  </si>
  <si>
    <t>TXN-02259</t>
  </si>
  <si>
    <t>TXN-02273</t>
  </si>
  <si>
    <t>TXN-02204</t>
  </si>
  <si>
    <t>TXN-02205</t>
  </si>
  <si>
    <t>TXN-02216</t>
  </si>
  <si>
    <t>TXN-02224</t>
  </si>
  <si>
    <t>TXN-02086</t>
  </si>
  <si>
    <t>TXN-02097</t>
  </si>
  <si>
    <t>TXN-02137</t>
  </si>
  <si>
    <t>TXN-02148</t>
  </si>
  <si>
    <t>TXN-02202</t>
  </si>
  <si>
    <t>TXN-02206</t>
  </si>
  <si>
    <t>TXN-02211</t>
  </si>
  <si>
    <t>TXN-02215</t>
  </si>
  <si>
    <t>TXN-02227</t>
  </si>
  <si>
    <t>TXN-02229</t>
  </si>
  <si>
    <t>TXN-02088</t>
  </si>
  <si>
    <t>TXN-02107</t>
  </si>
  <si>
    <t>TXN-02149</t>
  </si>
  <si>
    <t>TXN-02171</t>
  </si>
  <si>
    <t>TXN-02190</t>
  </si>
  <si>
    <t>TXN-02207</t>
  </si>
  <si>
    <t>TXN-02225</t>
  </si>
  <si>
    <t>TXN-02060</t>
  </si>
  <si>
    <t>TXN-02101</t>
  </si>
  <si>
    <t>TXN-02123</t>
  </si>
  <si>
    <t>TXN-02125</t>
  </si>
  <si>
    <t>TXN-02049</t>
  </si>
  <si>
    <t>TXN-02093</t>
  </si>
  <si>
    <t>TXN-02103</t>
  </si>
  <si>
    <t>TXN-02105</t>
  </si>
  <si>
    <t>TXN-02134</t>
  </si>
  <si>
    <t>TXN-02243</t>
  </si>
  <si>
    <t>TXN-02262</t>
  </si>
  <si>
    <t>TXN-02213</t>
  </si>
  <si>
    <t>TXN-02223</t>
  </si>
  <si>
    <t>TXN-02111</t>
  </si>
  <si>
    <t>TXN-02175</t>
  </si>
  <si>
    <t>TXN-02212</t>
  </si>
  <si>
    <t>TXN-02228</t>
  </si>
  <si>
    <t>TXN-02233</t>
  </si>
  <si>
    <t>TXN-02047</t>
  </si>
  <si>
    <t>TXN-02080</t>
  </si>
  <si>
    <t>TXN-02084</t>
  </si>
  <si>
    <t>TXN-02119</t>
  </si>
  <si>
    <t>TXN-02154</t>
  </si>
  <si>
    <t>TXN-02189</t>
  </si>
  <si>
    <t>TXN-02055</t>
  </si>
  <si>
    <t>TXN-02074</t>
  </si>
  <si>
    <t>TXN-02081</t>
  </si>
  <si>
    <t>TXN-02112</t>
  </si>
  <si>
    <t>TXN-02121</t>
  </si>
  <si>
    <t>TXN-02122</t>
  </si>
  <si>
    <t>TXN-02244</t>
  </si>
  <si>
    <t>TXN-02258</t>
  </si>
  <si>
    <t>TXN-02265</t>
  </si>
  <si>
    <t>TXN-02147</t>
  </si>
  <si>
    <t>TXN-02201</t>
  </si>
  <si>
    <t>TXN-02067</t>
  </si>
  <si>
    <t>TXN-02075</t>
  </si>
  <si>
    <t>TXN-02087</t>
  </si>
  <si>
    <t>TXN-02090</t>
  </si>
  <si>
    <t>TXN-02092</t>
  </si>
  <si>
    <t>TXN-02115</t>
  </si>
  <si>
    <t>TXN-02160</t>
  </si>
  <si>
    <t>TXN-02164</t>
  </si>
  <si>
    <t>TXN-02165</t>
  </si>
  <si>
    <t>TXN-02085</t>
  </si>
  <si>
    <t>TXN-02133</t>
  </si>
  <si>
    <t>TXN-02142</t>
  </si>
  <si>
    <t>TXN-02145</t>
  </si>
  <si>
    <t>TXN-08201</t>
  </si>
  <si>
    <t>TXN-02210</t>
  </si>
  <si>
    <t>TXN-02219</t>
  </si>
  <si>
    <t>TXN-02064</t>
  </si>
  <si>
    <t>TXN-02073</t>
  </si>
  <si>
    <t>TXN-02249</t>
  </si>
  <si>
    <t>TXN-02146</t>
  </si>
  <si>
    <t>TXN-02151</t>
  </si>
  <si>
    <t>TXN-02194</t>
  </si>
  <si>
    <t>TXN-02200</t>
  </si>
  <si>
    <t>TXN-02231</t>
  </si>
  <si>
    <t>TXN-02234</t>
  </si>
  <si>
    <t>TXN-02050</t>
  </si>
  <si>
    <t>TXN-02057</t>
  </si>
  <si>
    <t>TXN-02089</t>
  </si>
  <si>
    <t>TXN-02130</t>
  </si>
  <si>
    <t>TXN-02222</t>
  </si>
  <si>
    <t>TXN-02069</t>
  </si>
  <si>
    <t>TXN-02072</t>
  </si>
  <si>
    <t>TXN-02078</t>
  </si>
  <si>
    <t>TXN-02094</t>
  </si>
  <si>
    <t>TXN-02098</t>
  </si>
  <si>
    <t>TXN-02102</t>
  </si>
  <si>
    <t>TXN-02247</t>
  </si>
  <si>
    <t>TXN-02260</t>
  </si>
  <si>
    <t>TXN-02263</t>
  </si>
  <si>
    <t>TXN-02144</t>
  </si>
  <si>
    <t>TXN-02162</t>
  </si>
  <si>
    <t>TXN-02172</t>
  </si>
  <si>
    <t>TXN-08200</t>
  </si>
  <si>
    <t>TXN-02196</t>
  </si>
  <si>
    <t>TXN-02214</t>
  </si>
  <si>
    <t>TXN-02108</t>
  </si>
  <si>
    <t>TXN-02141</t>
  </si>
  <si>
    <t>TXN-02254</t>
  </si>
  <si>
    <t>TXN-02268</t>
  </si>
  <si>
    <t>TXN-02054</t>
  </si>
  <si>
    <t>TXN-02062</t>
  </si>
  <si>
    <t>TXN-02180</t>
  </si>
  <si>
    <t>TXN-02332</t>
  </si>
  <si>
    <t>TXN-02352</t>
  </si>
  <si>
    <t>TXN-02381</t>
  </si>
  <si>
    <t>TXN-02382</t>
  </si>
  <si>
    <t>TXN-02433</t>
  </si>
  <si>
    <t>TXN-02288</t>
  </si>
  <si>
    <t>TXN-02330</t>
  </si>
  <si>
    <t>TXN-02343</t>
  </si>
  <si>
    <t>TXN-02356</t>
  </si>
  <si>
    <t>TXN-02361</t>
  </si>
  <si>
    <t>TXN-02395</t>
  </si>
  <si>
    <t>TXN-02281</t>
  </si>
  <si>
    <t>TXN-02309</t>
  </si>
  <si>
    <t>TXN-02312</t>
  </si>
  <si>
    <t>TXN-02350</t>
  </si>
  <si>
    <t>TXN-02448</t>
  </si>
  <si>
    <t>TXN-02469</t>
  </si>
  <si>
    <t>TXN-02375</t>
  </si>
  <si>
    <t>TXN-02402</t>
  </si>
  <si>
    <t>TXN-02296</t>
  </si>
  <si>
    <t>TXN-02306</t>
  </si>
  <si>
    <t>TXN-02358</t>
  </si>
  <si>
    <t>TXN-02454</t>
  </si>
  <si>
    <t>TXN-02372</t>
  </si>
  <si>
    <t>TXN-02380</t>
  </si>
  <si>
    <t>TXN-02420</t>
  </si>
  <si>
    <t>TXN-02440</t>
  </si>
  <si>
    <t>TXN-02335</t>
  </si>
  <si>
    <t>TXN-02351</t>
  </si>
  <si>
    <t>TXN-08204</t>
  </si>
  <si>
    <t>TXN-02403</t>
  </si>
  <si>
    <t>TXN-02424</t>
  </si>
  <si>
    <t>TXN-02280</t>
  </si>
  <si>
    <t>TXN-02319</t>
  </si>
  <si>
    <t>TXN-02471</t>
  </si>
  <si>
    <t>TXN-02484</t>
  </si>
  <si>
    <t>TXN-02365</t>
  </si>
  <si>
    <t>TXN-02378</t>
  </si>
  <si>
    <t>TXN-02407</t>
  </si>
  <si>
    <t>TXN-02414</t>
  </si>
  <si>
    <t>TXN-02308</t>
  </si>
  <si>
    <t>TXN-02468</t>
  </si>
  <si>
    <t>TXN-02478</t>
  </si>
  <si>
    <t>TXN-02385</t>
  </si>
  <si>
    <t>TXN-02391</t>
  </si>
  <si>
    <t>TXN-02400</t>
  </si>
  <si>
    <t>TXN-02409</t>
  </si>
  <si>
    <t>TXN-02431</t>
  </si>
  <si>
    <t>TXN-02441</t>
  </si>
  <si>
    <t>TXN-02284</t>
  </si>
  <si>
    <t>TXN-02307</t>
  </si>
  <si>
    <t>TXN-02387</t>
  </si>
  <si>
    <t>TXN-02428</t>
  </si>
  <si>
    <t>TXN-02279</t>
  </si>
  <si>
    <t>TXN-02292</t>
  </si>
  <si>
    <t>TXN-02298</t>
  </si>
  <si>
    <t>TXN-02299</t>
  </si>
  <si>
    <t>TXN-02463</t>
  </si>
  <si>
    <t>TXN-02315</t>
  </si>
  <si>
    <t>TXN-02348</t>
  </si>
  <si>
    <t>TXN-02470</t>
  </si>
  <si>
    <t>TXN-02483</t>
  </si>
  <si>
    <t>TXN-02418</t>
  </si>
  <si>
    <t>TXN-02430</t>
  </si>
  <si>
    <t>TXN-02302</t>
  </si>
  <si>
    <t>TXN-02321</t>
  </si>
  <si>
    <t>TXN-02357</t>
  </si>
  <si>
    <t>TXN-02449</t>
  </si>
  <si>
    <t>TXN-02459</t>
  </si>
  <si>
    <t>TXN-02371</t>
  </si>
  <si>
    <t>TXN-02417</t>
  </si>
  <si>
    <t>TXN-02456</t>
  </si>
  <si>
    <t>TXN-02462</t>
  </si>
  <si>
    <t>TXN-02464</t>
  </si>
  <si>
    <t>TXN-02476</t>
  </si>
  <si>
    <t>TXN-02411</t>
  </si>
  <si>
    <t>TXN-02415</t>
  </si>
  <si>
    <t>TXN-02446</t>
  </si>
  <si>
    <t>TXN-02289</t>
  </si>
  <si>
    <t>TXN-02325</t>
  </si>
  <si>
    <t>TXN-02340</t>
  </si>
  <si>
    <t>TXN-02353</t>
  </si>
  <si>
    <t>TXN-02426</t>
  </si>
  <si>
    <t>TXN-02429</t>
  </si>
  <si>
    <t>TXN-02305</t>
  </si>
  <si>
    <t>TXN-02338</t>
  </si>
  <si>
    <t>TXN-02450</t>
  </si>
  <si>
    <t>TXN-02475</t>
  </si>
  <si>
    <t>TXN-02384</t>
  </si>
  <si>
    <t>TXN-02390</t>
  </si>
  <si>
    <t>TXN-08202</t>
  </si>
  <si>
    <t>TXN-02406</t>
  </si>
  <si>
    <t>TXN-02421</t>
  </si>
  <si>
    <t>TXN-02445</t>
  </si>
  <si>
    <t>TXN-02278</t>
  </si>
  <si>
    <t>TXN-02323</t>
  </si>
  <si>
    <t>TXN-02455</t>
  </si>
  <si>
    <t>TXN-02404</t>
  </si>
  <si>
    <t>TXN-02412</t>
  </si>
  <si>
    <t>TXN-02437</t>
  </si>
  <si>
    <t>TXN-02442</t>
  </si>
  <si>
    <t>TXN-02290</t>
  </si>
  <si>
    <t>TXN-02326</t>
  </si>
  <si>
    <t>TXN-02460</t>
  </si>
  <si>
    <t>TXN-02465</t>
  </si>
  <si>
    <t>TXN-02482</t>
  </si>
  <si>
    <t>TXN-02485</t>
  </si>
  <si>
    <t>TXN-02369</t>
  </si>
  <si>
    <t>TXN-02397</t>
  </si>
  <si>
    <t>TXN-02435</t>
  </si>
  <si>
    <t>TXN-02453</t>
  </si>
  <si>
    <t>TXN-02386</t>
  </si>
  <si>
    <t>TXN-02393</t>
  </si>
  <si>
    <t>TXN-02425</t>
  </si>
  <si>
    <t>TXN-02438</t>
  </si>
  <si>
    <t>TXN-02303</t>
  </si>
  <si>
    <t>TXN-02327</t>
  </si>
  <si>
    <t>TXN-02339</t>
  </si>
  <si>
    <t>TXN-02344</t>
  </si>
  <si>
    <t>TXN-02347</t>
  </si>
  <si>
    <t>TXN-02355</t>
  </si>
  <si>
    <t>TXN-02457</t>
  </si>
  <si>
    <t>TXN-02427</t>
  </si>
  <si>
    <t>TXN-02286</t>
  </si>
  <si>
    <t>TXN-02331</t>
  </si>
  <si>
    <t>TXN-02336</t>
  </si>
  <si>
    <t>TXN-02341</t>
  </si>
  <si>
    <t>TXN-02481</t>
  </si>
  <si>
    <t>TXN-02374</t>
  </si>
  <si>
    <t>TXN-02401</t>
  </si>
  <si>
    <t>TXN-02297</t>
  </si>
  <si>
    <t>TXN-02328</t>
  </si>
  <si>
    <t>TXN-02467</t>
  </si>
  <si>
    <t>TXN-02367</t>
  </si>
  <si>
    <t>TXN-02392</t>
  </si>
  <si>
    <t>TXN-02285</t>
  </si>
  <si>
    <t>TXN-02287</t>
  </si>
  <si>
    <t>TXN-02311</t>
  </si>
  <si>
    <t>TXN-02333</t>
  </si>
  <si>
    <t>TXN-02346</t>
  </si>
  <si>
    <t>TXN-02349</t>
  </si>
  <si>
    <t>TXN-02354</t>
  </si>
  <si>
    <t>TXN-02474</t>
  </si>
  <si>
    <t>TXN-02480</t>
  </si>
  <si>
    <t>TXN-02362</t>
  </si>
  <si>
    <t>TXN-02389</t>
  </si>
  <si>
    <t>TXN-02399</t>
  </si>
  <si>
    <t>TXN-02291</t>
  </si>
  <si>
    <t>TXN-02295</t>
  </si>
  <si>
    <t>TXN-02301</t>
  </si>
  <si>
    <t>TXN-02310</t>
  </si>
  <si>
    <t>TXN-02313</t>
  </si>
  <si>
    <t>TXN-02334</t>
  </si>
  <si>
    <t>TXN-02342</t>
  </si>
  <si>
    <t>TXN-02359</t>
  </si>
  <si>
    <t>TXN-02398</t>
  </si>
  <si>
    <t>TXN-02419</t>
  </si>
  <si>
    <t>TXN-02443</t>
  </si>
  <si>
    <t>TXN-02314</t>
  </si>
  <si>
    <t>TXN-02318</t>
  </si>
  <si>
    <t>TXN-02329</t>
  </si>
  <si>
    <t>TXN-02337</t>
  </si>
  <si>
    <t>TXN-02447</t>
  </si>
  <si>
    <t>TXN-02458</t>
  </si>
  <si>
    <t>TXN-02466</t>
  </si>
  <si>
    <t>TXN-02472</t>
  </si>
  <si>
    <t>TXN-02364</t>
  </si>
  <si>
    <t>TXN-02377</t>
  </si>
  <si>
    <t>TXN-02388</t>
  </si>
  <si>
    <t>TXN-02410</t>
  </si>
  <si>
    <t>TXN-02416</t>
  </si>
  <si>
    <t>TXN-02434</t>
  </si>
  <si>
    <t>TXN-02439</t>
  </si>
  <si>
    <t>TXN-02444</t>
  </si>
  <si>
    <t>TXN-02477</t>
  </si>
  <si>
    <t>TXN-02360</t>
  </si>
  <si>
    <t>TXN-08203</t>
  </si>
  <si>
    <t>TXN-02408</t>
  </si>
  <si>
    <t>TXN-02422</t>
  </si>
  <si>
    <t>TXN-02283</t>
  </si>
  <si>
    <t>TXN-02300</t>
  </si>
  <si>
    <t>TXN-02320</t>
  </si>
  <si>
    <t>TXN-02461</t>
  </si>
  <si>
    <t>TXN-02376</t>
  </si>
  <si>
    <t>TXN-02394</t>
  </si>
  <si>
    <t>TXN-02436</t>
  </si>
  <si>
    <t>TXN-02451</t>
  </si>
  <si>
    <t>TXN-02370</t>
  </si>
  <si>
    <t>TXN-02396</t>
  </si>
  <si>
    <t>TXN-02304</t>
  </si>
  <si>
    <t>TXN-02322</t>
  </si>
  <si>
    <t>TXN-02345</t>
  </si>
  <si>
    <t>TXN-02366</t>
  </si>
  <si>
    <t>TXN-02368</t>
  </si>
  <si>
    <t>TXN-02373</t>
  </si>
  <si>
    <t>TXN-02293</t>
  </si>
  <si>
    <t>TXN-02473</t>
  </si>
  <si>
    <t>TXN-02479</t>
  </si>
  <si>
    <t>TXN-02405</t>
  </si>
  <si>
    <t>TXN-02413</t>
  </si>
  <si>
    <t>TXN-02423</t>
  </si>
  <si>
    <t>TXN-02432</t>
  </si>
  <si>
    <t>TXN-02452</t>
  </si>
  <si>
    <t>TXN-02282</t>
  </si>
  <si>
    <t>TXN-02294</t>
  </si>
  <si>
    <t>TXN-02316</t>
  </si>
  <si>
    <t>TXN-02317</t>
  </si>
  <si>
    <t>TXN-02324</t>
  </si>
  <si>
    <t>TXN-02363</t>
  </si>
  <si>
    <t>TXN-02379</t>
  </si>
  <si>
    <t>TXN-02383</t>
  </si>
  <si>
    <t>TXN-02625</t>
  </si>
  <si>
    <t>TXN-02657</t>
  </si>
  <si>
    <t>TXN-02660</t>
  </si>
  <si>
    <t>TXN-02661</t>
  </si>
  <si>
    <t>TXN-02500</t>
  </si>
  <si>
    <t>TXN-02506</t>
  </si>
  <si>
    <t>TXN-02529</t>
  </si>
  <si>
    <t>TXN-02541</t>
  </si>
  <si>
    <t>TXN-02559</t>
  </si>
  <si>
    <t>TXN-02700</t>
  </si>
  <si>
    <t>TXN-02576</t>
  </si>
  <si>
    <t>TXN-02581</t>
  </si>
  <si>
    <t>TXN-02608</t>
  </si>
  <si>
    <t>TXN-02623</t>
  </si>
  <si>
    <t>TXN-02636</t>
  </si>
  <si>
    <t>TXN-02643</t>
  </si>
  <si>
    <t>TXN-02509</t>
  </si>
  <si>
    <t>TXN-02670</t>
  </si>
  <si>
    <t>TXN-02577</t>
  </si>
  <si>
    <t>TXN-02578</t>
  </si>
  <si>
    <t>TXN-02655</t>
  </si>
  <si>
    <t>TXN-02521</t>
  </si>
  <si>
    <t>TXN-02528</t>
  </si>
  <si>
    <t>TXN-02542</t>
  </si>
  <si>
    <t>TXN-02580</t>
  </si>
  <si>
    <t>TXN-02584</t>
  </si>
  <si>
    <t>TXN-02612</t>
  </si>
  <si>
    <t>TXN-08205</t>
  </si>
  <si>
    <t>TXN-02656</t>
  </si>
  <si>
    <t>TXN-02664</t>
  </si>
  <si>
    <t>TXN-02562</t>
  </si>
  <si>
    <t>TXN-02709</t>
  </si>
  <si>
    <t>TXN-02579</t>
  </si>
  <si>
    <t>TXN-02587</t>
  </si>
  <si>
    <t>TXN-02596</t>
  </si>
  <si>
    <t>TXN-02610</t>
  </si>
  <si>
    <t>TXN-02614</t>
  </si>
  <si>
    <t>TXN-02621</t>
  </si>
  <si>
    <t>TXN-02638</t>
  </si>
  <si>
    <t>TXN-02486</t>
  </si>
  <si>
    <t>TXN-02537</t>
  </si>
  <si>
    <t>TXN-02688</t>
  </si>
  <si>
    <t>TXN-02572</t>
  </si>
  <si>
    <t>TXN-02574</t>
  </si>
  <si>
    <t>TXN-02637</t>
  </si>
  <si>
    <t>TXN-02490</t>
  </si>
  <si>
    <t>TXN-02524</t>
  </si>
  <si>
    <t>TXN-02532</t>
  </si>
  <si>
    <t>TXN-02540</t>
  </si>
  <si>
    <t>TXN-02546</t>
  </si>
  <si>
    <t>TXN-02570</t>
  </si>
  <si>
    <t>TXN-02699</t>
  </si>
  <si>
    <t>TXN-02583</t>
  </si>
  <si>
    <t>TXN-02586</t>
  </si>
  <si>
    <t>TXN-02589</t>
  </si>
  <si>
    <t>TXN-02629</t>
  </si>
  <si>
    <t>TXN-02494</t>
  </si>
  <si>
    <t>TXN-02511</t>
  </si>
  <si>
    <t>TXN-02527</t>
  </si>
  <si>
    <t>TXN-02553</t>
  </si>
  <si>
    <t>TXN-02667</t>
  </si>
  <si>
    <t>TXN-02669</t>
  </si>
  <si>
    <t>TXN-02676</t>
  </si>
  <si>
    <t>TXN-02687</t>
  </si>
  <si>
    <t>TXN-02695</t>
  </si>
  <si>
    <t>TXN-02654</t>
  </si>
  <si>
    <t>TXN-02491</t>
  </si>
  <si>
    <t>TXN-02536</t>
  </si>
  <si>
    <t>TXN-02694</t>
  </si>
  <si>
    <t>TXN-02631</t>
  </si>
  <si>
    <t>TXN-02493</t>
  </si>
  <si>
    <t>TXN-02549</t>
  </si>
  <si>
    <t>TXN-02692</t>
  </si>
  <si>
    <t>TXN-02693</t>
  </si>
  <si>
    <t>TXN-02627</t>
  </si>
  <si>
    <t>TXN-02497</t>
  </si>
  <si>
    <t>TXN-02519</t>
  </si>
  <si>
    <t>TXN-02520</t>
  </si>
  <si>
    <t>TXN-02535</t>
  </si>
  <si>
    <t>TXN-02551</t>
  </si>
  <si>
    <t>TXN-02560</t>
  </si>
  <si>
    <t>TXN-02573</t>
  </si>
  <si>
    <t>TXN-02599</t>
  </si>
  <si>
    <t>TXN-02646</t>
  </si>
  <si>
    <t>TXN-02650</t>
  </si>
  <si>
    <t>TXN-02492</t>
  </si>
  <si>
    <t>TXN-02547</t>
  </si>
  <si>
    <t>TXN-02555</t>
  </si>
  <si>
    <t>TXN-02674</t>
  </si>
  <si>
    <t>TXN-02713</t>
  </si>
  <si>
    <t>TXN-02600</t>
  </si>
  <si>
    <t>TXN-02613</t>
  </si>
  <si>
    <t>TXN-02495</t>
  </si>
  <si>
    <t>TXN-02508</t>
  </si>
  <si>
    <t>TXN-02545</t>
  </si>
  <si>
    <t>TXN-02548</t>
  </si>
  <si>
    <t>TXN-02591</t>
  </si>
  <si>
    <t>TXN-08207</t>
  </si>
  <si>
    <t>TXN-02639</t>
  </si>
  <si>
    <t>TXN-02498</t>
  </si>
  <si>
    <t>TXN-02514</t>
  </si>
  <si>
    <t>TXN-02516</t>
  </si>
  <si>
    <t>TXN-02518</t>
  </si>
  <si>
    <t>TXN-02601</t>
  </si>
  <si>
    <t>TXN-02609</t>
  </si>
  <si>
    <t>TXN-02611</t>
  </si>
  <si>
    <t>TXN-02633</t>
  </si>
  <si>
    <t>TXN-02651</t>
  </si>
  <si>
    <t>TXN-02652</t>
  </si>
  <si>
    <t>TXN-02523</t>
  </si>
  <si>
    <t>TXN-02530</t>
  </si>
  <si>
    <t>TXN-02561</t>
  </si>
  <si>
    <t>TXN-02678</t>
  </si>
  <si>
    <t>TXN-02679</t>
  </si>
  <si>
    <t>TXN-02690</t>
  </si>
  <si>
    <t>TXN-02594</t>
  </si>
  <si>
    <t>TXN-02595</t>
  </si>
  <si>
    <t>TXN-02634</t>
  </si>
  <si>
    <t>TXN-02635</t>
  </si>
  <si>
    <t>TXN-02658</t>
  </si>
  <si>
    <t>TXN-02487</t>
  </si>
  <si>
    <t>TXN-02496</t>
  </si>
  <si>
    <t>TXN-02531</t>
  </si>
  <si>
    <t>TXN-02565</t>
  </si>
  <si>
    <t>TXN-02630</t>
  </si>
  <si>
    <t>TXN-02644</t>
  </si>
  <si>
    <t>TXN-02665</t>
  </si>
  <si>
    <t>TXN-02501</t>
  </si>
  <si>
    <t>TXN-02543</t>
  </si>
  <si>
    <t>TXN-02567</t>
  </si>
  <si>
    <t>TXN-02683</t>
  </si>
  <si>
    <t>TXN-02697</t>
  </si>
  <si>
    <t>TXN-02703</t>
  </si>
  <si>
    <t>TXN-02618</t>
  </si>
  <si>
    <t>TXN-02622</t>
  </si>
  <si>
    <t>TXN-02659</t>
  </si>
  <si>
    <t>TXN-02510</t>
  </si>
  <si>
    <t>TXN-02563</t>
  </si>
  <si>
    <t>TXN-02597</t>
  </si>
  <si>
    <t>TXN-02619</t>
  </si>
  <si>
    <t>TXN-02632</t>
  </si>
  <si>
    <t>TXN-02641</t>
  </si>
  <si>
    <t>TXN-02642</t>
  </si>
  <si>
    <t>TXN-02489</t>
  </si>
  <si>
    <t>TXN-02512</t>
  </si>
  <si>
    <t>TXN-02533</t>
  </si>
  <si>
    <t>TXN-02558</t>
  </si>
  <si>
    <t>TXN-02604</t>
  </si>
  <si>
    <t>TXN-02640</t>
  </si>
  <si>
    <t>TXN-02647</t>
  </si>
  <si>
    <t>TXN-02662</t>
  </si>
  <si>
    <t>TXN-02663</t>
  </si>
  <si>
    <t>TXN-02675</t>
  </si>
  <si>
    <t>TXN-08206</t>
  </si>
  <si>
    <t>TXN-02626</t>
  </si>
  <si>
    <t>TXN-02666</t>
  </si>
  <si>
    <t>TXN-02515</t>
  </si>
  <si>
    <t>TXN-02554</t>
  </si>
  <si>
    <t>TXN-02680</t>
  </si>
  <si>
    <t>TXN-02705</t>
  </si>
  <si>
    <t>TXN-02712</t>
  </si>
  <si>
    <t>TXN-02602</t>
  </si>
  <si>
    <t>TXN-02539</t>
  </si>
  <si>
    <t>TXN-02544</t>
  </si>
  <si>
    <t>TXN-02550</t>
  </si>
  <si>
    <t>TXN-02552</t>
  </si>
  <si>
    <t>TXN-02677</t>
  </si>
  <si>
    <t>TXN-02682</t>
  </si>
  <si>
    <t>TXN-02691</t>
  </si>
  <si>
    <t>TXN-02698</t>
  </si>
  <si>
    <t>TXN-02628</t>
  </si>
  <si>
    <t>TXN-02645</t>
  </si>
  <si>
    <t>TXN-02653</t>
  </si>
  <si>
    <t>TXN-02505</t>
  </si>
  <si>
    <t>TXN-02513</t>
  </si>
  <si>
    <t>TXN-02557</t>
  </si>
  <si>
    <t>TXN-02701</t>
  </si>
  <si>
    <t>TXN-02707</t>
  </si>
  <si>
    <t>TXN-02710</t>
  </si>
  <si>
    <t>TXN-02592</t>
  </si>
  <si>
    <t>TXN-02503</t>
  </si>
  <si>
    <t>TXN-02568</t>
  </si>
  <si>
    <t>TXN-02575</t>
  </si>
  <si>
    <t>TXN-02588</t>
  </si>
  <si>
    <t>TXN-02571</t>
  </si>
  <si>
    <t>TXN-02672</t>
  </si>
  <si>
    <t>TXN-02686</t>
  </si>
  <si>
    <t>TXN-02689</t>
  </si>
  <si>
    <t>TXN-02714</t>
  </si>
  <si>
    <t>TXN-02615</t>
  </si>
  <si>
    <t>TXN-02681</t>
  </si>
  <si>
    <t>TXN-02598</t>
  </si>
  <si>
    <t>TXN-02616</t>
  </si>
  <si>
    <t>TXN-02620</t>
  </si>
  <si>
    <t>TXN-02649</t>
  </si>
  <si>
    <t>TXN-02502</t>
  </si>
  <si>
    <t>TXN-02556</t>
  </si>
  <si>
    <t>TXN-02564</t>
  </si>
  <si>
    <t>TXN-02671</t>
  </si>
  <si>
    <t>TXN-02696</t>
  </si>
  <si>
    <t>TXN-02648</t>
  </si>
  <si>
    <t>TXN-02507</t>
  </si>
  <si>
    <t>TXN-02526</t>
  </si>
  <si>
    <t>TXN-02534</t>
  </si>
  <si>
    <t>TXN-02566</t>
  </si>
  <si>
    <t>TXN-02569</t>
  </si>
  <si>
    <t>TXN-02593</t>
  </si>
  <si>
    <t>TXN-02603</t>
  </si>
  <si>
    <t>TXN-02624</t>
  </si>
  <si>
    <t>TXN-02517</t>
  </si>
  <si>
    <t>TXN-02668</t>
  </si>
  <si>
    <t>TXN-02673</t>
  </si>
  <si>
    <t>TXN-02702</t>
  </si>
  <si>
    <t>TXN-02704</t>
  </si>
  <si>
    <t>TXN-02605</t>
  </si>
  <si>
    <t>TXN-02606</t>
  </si>
  <si>
    <t>TXN-02504</t>
  </si>
  <si>
    <t>TXN-02522</t>
  </si>
  <si>
    <t>TXN-02525</t>
  </si>
  <si>
    <t>TXN-02706</t>
  </si>
  <si>
    <t>TXN-02711</t>
  </si>
  <si>
    <t>TXN-02488</t>
  </si>
  <si>
    <t>TXN-02685</t>
  </si>
  <si>
    <t>TXN-02582</t>
  </si>
  <si>
    <t>TXN-02590</t>
  </si>
  <si>
    <t>TXN-02499</t>
  </si>
  <si>
    <t>TXN-02538</t>
  </si>
  <si>
    <t>TXN-02684</t>
  </si>
  <si>
    <t>TXN-02708</t>
  </si>
  <si>
    <t>TXN-02585</t>
  </si>
  <si>
    <t>TXN-02607</t>
  </si>
  <si>
    <t>TXN-02617</t>
  </si>
  <si>
    <t>TXN-02851</t>
  </si>
  <si>
    <t>TXN-02862</t>
  </si>
  <si>
    <t>TXN-02869</t>
  </si>
  <si>
    <t>TXN-02889</t>
  </si>
  <si>
    <t>TXN-02723</t>
  </si>
  <si>
    <t>TXN-02770</t>
  </si>
  <si>
    <t>TXN-02773</t>
  </si>
  <si>
    <t>TXN-02826</t>
  </si>
  <si>
    <t>TXN-02854</t>
  </si>
  <si>
    <t>TXN-02919</t>
  </si>
  <si>
    <t>TXN-02922</t>
  </si>
  <si>
    <t>TXN-02839</t>
  </si>
  <si>
    <t>TXN-02868</t>
  </si>
  <si>
    <t>TXN-02730</t>
  </si>
  <si>
    <t>TXN-02787</t>
  </si>
  <si>
    <t>TXN-02843</t>
  </si>
  <si>
    <t>TXN-02861</t>
  </si>
  <si>
    <t>TXN-02863</t>
  </si>
  <si>
    <t>TXN-02877</t>
  </si>
  <si>
    <t>TXN-02892</t>
  </si>
  <si>
    <t>TXN-02745</t>
  </si>
  <si>
    <t>TXN-02777</t>
  </si>
  <si>
    <t>TXN-02789</t>
  </si>
  <si>
    <t>TXN-02801</t>
  </si>
  <si>
    <t>TXN-02804</t>
  </si>
  <si>
    <t>TXN-02715</t>
  </si>
  <si>
    <t>TXN-02749</t>
  </si>
  <si>
    <t>TXN-02759</t>
  </si>
  <si>
    <t>TXN-02766</t>
  </si>
  <si>
    <t>TXN-02790</t>
  </si>
  <si>
    <t>TXN-02899</t>
  </si>
  <si>
    <t>TXN-02936</t>
  </si>
  <si>
    <t>TXN-02815</t>
  </si>
  <si>
    <t>TXN-02844</t>
  </si>
  <si>
    <t>TXN-02859</t>
  </si>
  <si>
    <t>TXN-02760</t>
  </si>
  <si>
    <t>TXN-02769</t>
  </si>
  <si>
    <t>TXN-02784</t>
  </si>
  <si>
    <t>TXN-02895</t>
  </si>
  <si>
    <t>TXN-02905</t>
  </si>
  <si>
    <t>TXN-02911</t>
  </si>
  <si>
    <t>TXN-02871</t>
  </si>
  <si>
    <t>TXN-02716</t>
  </si>
  <si>
    <t>TXN-02731</t>
  </si>
  <si>
    <t>TXN-02751</t>
  </si>
  <si>
    <t>TXN-02797</t>
  </si>
  <si>
    <t>TXN-02903</t>
  </si>
  <si>
    <t>TXN-08208</t>
  </si>
  <si>
    <t>TXN-02873</t>
  </si>
  <si>
    <t>TXN-02754</t>
  </si>
  <si>
    <t>TXN-02763</t>
  </si>
  <si>
    <t>TXN-02771</t>
  </si>
  <si>
    <t>TXN-02798</t>
  </si>
  <si>
    <t>TXN-02897</t>
  </si>
  <si>
    <t>TXN-02825</t>
  </si>
  <si>
    <t>TXN-02850</t>
  </si>
  <si>
    <t>TXN-02738</t>
  </si>
  <si>
    <t>TXN-02781</t>
  </si>
  <si>
    <t>TXN-02915</t>
  </si>
  <si>
    <t>TXN-02917</t>
  </si>
  <si>
    <t>TXN-02933</t>
  </si>
  <si>
    <t>TXN-02835</t>
  </si>
  <si>
    <t>TXN-02875</t>
  </si>
  <si>
    <t>TXN-02881</t>
  </si>
  <si>
    <t>TXN-02744</t>
  </si>
  <si>
    <t>TXN-02792</t>
  </si>
  <si>
    <t>TXN-02908</t>
  </si>
  <si>
    <t>TXN-02925</t>
  </si>
  <si>
    <t>TXN-02932</t>
  </si>
  <si>
    <t>TXN-02813</t>
  </si>
  <si>
    <t>TXN-02829</t>
  </si>
  <si>
    <t>TXN-02842</t>
  </si>
  <si>
    <t>TXN-02846</t>
  </si>
  <si>
    <t>TXN-02882</t>
  </si>
  <si>
    <t>TXN-02890</t>
  </si>
  <si>
    <t>TXN-02719</t>
  </si>
  <si>
    <t>TXN-02778</t>
  </si>
  <si>
    <t>TXN-02794</t>
  </si>
  <si>
    <t>TXN-02795</t>
  </si>
  <si>
    <t>TXN-02912</t>
  </si>
  <si>
    <t>TXN-02822</t>
  </si>
  <si>
    <t>TXN-02752</t>
  </si>
  <si>
    <t>TXN-02772</t>
  </si>
  <si>
    <t>TXN-02910</t>
  </si>
  <si>
    <t>TXN-02934</t>
  </si>
  <si>
    <t>TXN-02805</t>
  </si>
  <si>
    <t>TXN-02814</t>
  </si>
  <si>
    <t>TXN-02865</t>
  </si>
  <si>
    <t>TXN-02728</t>
  </si>
  <si>
    <t>TXN-02743</t>
  </si>
  <si>
    <t>TXN-02758</t>
  </si>
  <si>
    <t>TXN-02782</t>
  </si>
  <si>
    <t>TXN-02824</t>
  </si>
  <si>
    <t>TXN-02827</t>
  </si>
  <si>
    <t>TXN-02717</t>
  </si>
  <si>
    <t>TXN-02739</t>
  </si>
  <si>
    <t>TXN-02930</t>
  </si>
  <si>
    <t>TXN-08209</t>
  </si>
  <si>
    <t>TXN-02849</t>
  </si>
  <si>
    <t>TXN-02857</t>
  </si>
  <si>
    <t>TXN-02742</t>
  </si>
  <si>
    <t>TXN-02748</t>
  </si>
  <si>
    <t>TXN-02756</t>
  </si>
  <si>
    <t>TXN-02802</t>
  </si>
  <si>
    <t>TXN-02816</t>
  </si>
  <si>
    <t>TXN-02834</t>
  </si>
  <si>
    <t>TXN-02864</t>
  </si>
  <si>
    <t>TXN-02872</t>
  </si>
  <si>
    <t>TXN-02876</t>
  </si>
  <si>
    <t>TXN-02879</t>
  </si>
  <si>
    <t>TXN-02886</t>
  </si>
  <si>
    <t>TXN-02718</t>
  </si>
  <si>
    <t>TXN-02722</t>
  </si>
  <si>
    <t>TXN-02735</t>
  </si>
  <si>
    <t>TXN-02799</t>
  </si>
  <si>
    <t>TXN-02896</t>
  </si>
  <si>
    <t>TXN-02926</t>
  </si>
  <si>
    <t>TXN-02887</t>
  </si>
  <si>
    <t>TXN-02785</t>
  </si>
  <si>
    <t>TXN-02788</t>
  </si>
  <si>
    <t>TXN-02809</t>
  </si>
  <si>
    <t>TXN-02833</t>
  </si>
  <si>
    <t>TXN-02848</t>
  </si>
  <si>
    <t>TXN-02725</t>
  </si>
  <si>
    <t>TXN-02727</t>
  </si>
  <si>
    <t>TXN-02796</t>
  </si>
  <si>
    <t>TXN-02803</t>
  </si>
  <si>
    <t>TXN-02909</t>
  </si>
  <si>
    <t>TXN-02914</t>
  </si>
  <si>
    <t>TXN-02823</t>
  </si>
  <si>
    <t>TXN-02856</t>
  </si>
  <si>
    <t>TXN-02880</t>
  </si>
  <si>
    <t>TXN-02885</t>
  </si>
  <si>
    <t>TXN-02808</t>
  </si>
  <si>
    <t>TXN-02860</t>
  </si>
  <si>
    <t>TXN-02866</t>
  </si>
  <si>
    <t>TXN-02767</t>
  </si>
  <si>
    <t>TXN-02906</t>
  </si>
  <si>
    <t>TXN-02913</t>
  </si>
  <si>
    <t>TXN-02831</t>
  </si>
  <si>
    <t>TXN-02837</t>
  </si>
  <si>
    <t>TXN-02883</t>
  </si>
  <si>
    <t>TXN-02726</t>
  </si>
  <si>
    <t>TXN-02732</t>
  </si>
  <si>
    <t>TXN-02741</t>
  </si>
  <si>
    <t>TXN-02901</t>
  </si>
  <si>
    <t>TXN-02923</t>
  </si>
  <si>
    <t>TXN-02927</t>
  </si>
  <si>
    <t>TXN-02817</t>
  </si>
  <si>
    <t>TXN-02819</t>
  </si>
  <si>
    <t>TXN-02828</t>
  </si>
  <si>
    <t>TXN-02838</t>
  </si>
  <si>
    <t>TXN-02852</t>
  </si>
  <si>
    <t>TXN-02867</t>
  </si>
  <si>
    <t>TXN-02720</t>
  </si>
  <si>
    <t>TXN-02747</t>
  </si>
  <si>
    <t>TXN-02750</t>
  </si>
  <si>
    <t>TXN-02904</t>
  </si>
  <si>
    <t>TXN-02818</t>
  </si>
  <si>
    <t>TXN-02832</t>
  </si>
  <si>
    <t>TXN-02840</t>
  </si>
  <si>
    <t>TXN-02888</t>
  </si>
  <si>
    <t>TXN-02724</t>
  </si>
  <si>
    <t>TXN-02736</t>
  </si>
  <si>
    <t>TXN-02740</t>
  </si>
  <si>
    <t>TXN-02746</t>
  </si>
  <si>
    <t>TXN-02757</t>
  </si>
  <si>
    <t>TXN-02761</t>
  </si>
  <si>
    <t>TXN-02775</t>
  </si>
  <si>
    <t>TXN-02800</t>
  </si>
  <si>
    <t>TXN-02894</t>
  </si>
  <si>
    <t>TXN-02878</t>
  </si>
  <si>
    <t>TXN-02765</t>
  </si>
  <si>
    <t>TXN-02768</t>
  </si>
  <si>
    <t>TXN-02776</t>
  </si>
  <si>
    <t>TXN-02791</t>
  </si>
  <si>
    <t>TXN-02830</t>
  </si>
  <si>
    <t>TXN-02916</t>
  </si>
  <si>
    <t>TXN-02935</t>
  </si>
  <si>
    <t>TXN-02811</t>
  </si>
  <si>
    <t>TXN-02836</t>
  </si>
  <si>
    <t>TXN-02853</t>
  </si>
  <si>
    <t>TXN-02733</t>
  </si>
  <si>
    <t>TXN-02902</t>
  </si>
  <si>
    <t>TXN-02907</t>
  </si>
  <si>
    <t>TXN-02921</t>
  </si>
  <si>
    <t>TXN-02870</t>
  </si>
  <si>
    <t>TXN-02737</t>
  </si>
  <si>
    <t>TXN-02762</t>
  </si>
  <si>
    <t>TXN-02793</t>
  </si>
  <si>
    <t>TXN-02928</t>
  </si>
  <si>
    <t>TXN-02931</t>
  </si>
  <si>
    <t>TXN-02807</t>
  </si>
  <si>
    <t>TXN-02845</t>
  </si>
  <si>
    <t>TXN-02874</t>
  </si>
  <si>
    <t>TXN-02884</t>
  </si>
  <si>
    <t>TXN-02734</t>
  </si>
  <si>
    <t>TXN-02774</t>
  </si>
  <si>
    <t>TXN-02918</t>
  </si>
  <si>
    <t>TXN-02929</t>
  </si>
  <si>
    <t>TXN-02806</t>
  </si>
  <si>
    <t>TXN-02821</t>
  </si>
  <si>
    <t>TXN-02855</t>
  </si>
  <si>
    <t>TXN-02891</t>
  </si>
  <si>
    <t>TXN-02721</t>
  </si>
  <si>
    <t>TXN-02753</t>
  </si>
  <si>
    <t>TXN-02786</t>
  </si>
  <si>
    <t>TXN-02812</t>
  </si>
  <si>
    <t>TXN-02729</t>
  </si>
  <si>
    <t>TXN-02755</t>
  </si>
  <si>
    <t>TXN-02779</t>
  </si>
  <si>
    <t>TXN-02898</t>
  </si>
  <si>
    <t>TXN-02924</t>
  </si>
  <si>
    <t>TXN-02937</t>
  </si>
  <si>
    <t>TXN-02810</t>
  </si>
  <si>
    <t>TXN-02841</t>
  </si>
  <si>
    <t>TXN-02847</t>
  </si>
  <si>
    <t>TXN-02858</t>
  </si>
  <si>
    <t>TXN-02893</t>
  </si>
  <si>
    <t>TXN-02764</t>
  </si>
  <si>
    <t>TXN-02780</t>
  </si>
  <si>
    <t>TXN-02783</t>
  </si>
  <si>
    <t>TXN-02900</t>
  </si>
  <si>
    <t>TXN-02920</t>
  </si>
  <si>
    <t>TXN-02938</t>
  </si>
  <si>
    <t>TXN-02820</t>
  </si>
  <si>
    <t>TXN-08210</t>
  </si>
  <si>
    <t>TXN-03096</t>
  </si>
  <si>
    <t>TXN-03126</t>
  </si>
  <si>
    <t>TXN-02958</t>
  </si>
  <si>
    <t>TXN-02992</t>
  </si>
  <si>
    <t>TXN-03024</t>
  </si>
  <si>
    <t>TXN-03031</t>
  </si>
  <si>
    <t>TXN-03153</t>
  </si>
  <si>
    <t>TXN-03154</t>
  </si>
  <si>
    <t>TXN-03157</t>
  </si>
  <si>
    <t>TXN-03163</t>
  </si>
  <si>
    <t>TXN-03063</t>
  </si>
  <si>
    <t>TXN-08213</t>
  </si>
  <si>
    <t>TXN-03112</t>
  </si>
  <si>
    <t>TXN-03114</t>
  </si>
  <si>
    <t>TXN-03117</t>
  </si>
  <si>
    <t>TXN-03132</t>
  </si>
  <si>
    <t>TXN-02943</t>
  </si>
  <si>
    <t>TXN-02945</t>
  </si>
  <si>
    <t>TXN-02953</t>
  </si>
  <si>
    <t>TXN-02963</t>
  </si>
  <si>
    <t>TXN-03030</t>
  </si>
  <si>
    <t>TXN-03035</t>
  </si>
  <si>
    <t>TXN-03048</t>
  </si>
  <si>
    <t>TXN-03054</t>
  </si>
  <si>
    <t>TXN-02956</t>
  </si>
  <si>
    <t>TXN-02973</t>
  </si>
  <si>
    <t>TXN-03168</t>
  </si>
  <si>
    <t>TXN-03045</t>
  </si>
  <si>
    <t>TXN-03076</t>
  </si>
  <si>
    <t>TXN-03084</t>
  </si>
  <si>
    <t>TXN-03092</t>
  </si>
  <si>
    <t>TXN-03111</t>
  </si>
  <si>
    <t>TXN-03116</t>
  </si>
  <si>
    <t>TXN-03026</t>
  </si>
  <si>
    <t>TXN-03128</t>
  </si>
  <si>
    <t>TXN-02981</t>
  </si>
  <si>
    <t>TXN-03027</t>
  </si>
  <si>
    <t>TXN-03033</t>
  </si>
  <si>
    <t>TXN-03085</t>
  </si>
  <si>
    <t>TXN-03050</t>
  </si>
  <si>
    <t>TXN-03071</t>
  </si>
  <si>
    <t>TXN-03125</t>
  </si>
  <si>
    <t>TXN-02950</t>
  </si>
  <si>
    <t>TXN-02975</t>
  </si>
  <si>
    <t>TXN-02995</t>
  </si>
  <si>
    <t>TXN-03151</t>
  </si>
  <si>
    <t>TXN-03161</t>
  </si>
  <si>
    <t>TXN-03165</t>
  </si>
  <si>
    <t>TXN-03170</t>
  </si>
  <si>
    <t>TXN-03058</t>
  </si>
  <si>
    <t>TXN-03062</t>
  </si>
  <si>
    <t>TXN-03080</t>
  </si>
  <si>
    <t>TXN-03094</t>
  </si>
  <si>
    <t>TXN-03099</t>
  </si>
  <si>
    <t>TXN-03100</t>
  </si>
  <si>
    <t>TXN-03105</t>
  </si>
  <si>
    <t>TXN-03106</t>
  </si>
  <si>
    <t>TXN-03131</t>
  </si>
  <si>
    <t>TXN-03006</t>
  </si>
  <si>
    <t>TXN-03138</t>
  </si>
  <si>
    <t>TXN-03147</t>
  </si>
  <si>
    <t>TXN-03148</t>
  </si>
  <si>
    <t>TXN-03175</t>
  </si>
  <si>
    <t>TXN-03077</t>
  </si>
  <si>
    <t>TXN-03018</t>
  </si>
  <si>
    <t>TXN-03025</t>
  </si>
  <si>
    <t>TXN-03034</t>
  </si>
  <si>
    <t>TXN-03038</t>
  </si>
  <si>
    <t>TXN-03042</t>
  </si>
  <si>
    <t>TXN-03052</t>
  </si>
  <si>
    <t>TXN-03115</t>
  </si>
  <si>
    <t>TXN-02964</t>
  </si>
  <si>
    <t>TXN-02967</t>
  </si>
  <si>
    <t>TXN-02991</t>
  </si>
  <si>
    <t>TXN-03029</t>
  </si>
  <si>
    <t>TXN-03136</t>
  </si>
  <si>
    <t>TXN-03155</t>
  </si>
  <si>
    <t>TXN-03158</t>
  </si>
  <si>
    <t>TXN-03174</t>
  </si>
  <si>
    <t>TXN-03055</t>
  </si>
  <si>
    <t>TXN-03097</t>
  </si>
  <si>
    <t>TXN-03101</t>
  </si>
  <si>
    <t>TXN-02941</t>
  </si>
  <si>
    <t>TXN-02965</t>
  </si>
  <si>
    <t>TXN-02970</t>
  </si>
  <si>
    <t>TXN-03141</t>
  </si>
  <si>
    <t>TXN-03145</t>
  </si>
  <si>
    <t>TXN-03160</t>
  </si>
  <si>
    <t>TXN-03059</t>
  </si>
  <si>
    <t>TXN-03093</t>
  </si>
  <si>
    <t>TXN-02947</t>
  </si>
  <si>
    <t>TXN-02951</t>
  </si>
  <si>
    <t>TXN-02976</t>
  </si>
  <si>
    <t>TXN-02986</t>
  </si>
  <si>
    <t>TXN-02988</t>
  </si>
  <si>
    <t>TXN-02990</t>
  </si>
  <si>
    <t>TXN-03139</t>
  </si>
  <si>
    <t>TXN-03166</t>
  </si>
  <si>
    <t>TXN-03171</t>
  </si>
  <si>
    <t>TXN-03046</t>
  </si>
  <si>
    <t>TXN-03078</t>
  </si>
  <si>
    <t>TXN-03118</t>
  </si>
  <si>
    <t>TXN-03121</t>
  </si>
  <si>
    <t>TXN-02946</t>
  </si>
  <si>
    <t>TXN-02949</t>
  </si>
  <si>
    <t>TXN-03032</t>
  </si>
  <si>
    <t>TXN-03090</t>
  </si>
  <si>
    <t>TXN-03091</t>
  </si>
  <si>
    <t>TXN-03095</t>
  </si>
  <si>
    <t>TXN-03129</t>
  </si>
  <si>
    <t>TXN-02979</t>
  </si>
  <si>
    <t>TXN-03023</t>
  </si>
  <si>
    <t>TXN-03066</t>
  </si>
  <si>
    <t>TXN-02939</t>
  </si>
  <si>
    <t>TXN-02971</t>
  </si>
  <si>
    <t>TXN-02984</t>
  </si>
  <si>
    <t>TXN-03000</t>
  </si>
  <si>
    <t>TXN-03146</t>
  </si>
  <si>
    <t>TXN-03039</t>
  </si>
  <si>
    <t>TXN-03060</t>
  </si>
  <si>
    <t>TXN-03072</t>
  </si>
  <si>
    <t>TXN-03073</t>
  </si>
  <si>
    <t>TXN-03103</t>
  </si>
  <si>
    <t>TXN-02980</t>
  </si>
  <si>
    <t>TXN-02996</t>
  </si>
  <si>
    <t>TXN-02999</t>
  </si>
  <si>
    <t>TXN-03001</t>
  </si>
  <si>
    <t>TXN-03135</t>
  </si>
  <si>
    <t>TXN-03142</t>
  </si>
  <si>
    <t>TXN-03150</t>
  </si>
  <si>
    <t>TXN-03040</t>
  </si>
  <si>
    <t>TXN-03051</t>
  </si>
  <si>
    <t>TXN-03079</t>
  </si>
  <si>
    <t>TXN-03124</t>
  </si>
  <si>
    <t>TXN-02960</t>
  </si>
  <si>
    <t>TXN-02989</t>
  </si>
  <si>
    <t>TXN-03002</t>
  </si>
  <si>
    <t>TXN-03015</t>
  </si>
  <si>
    <t>TXN-03016</t>
  </si>
  <si>
    <t>TXN-03137</t>
  </si>
  <si>
    <t>TXN-03167</t>
  </si>
  <si>
    <t>TXN-03037</t>
  </si>
  <si>
    <t>TXN-03082</t>
  </si>
  <si>
    <t>TXN-03089</t>
  </si>
  <si>
    <t>TXN-02955</t>
  </si>
  <si>
    <t>TXN-02977</t>
  </si>
  <si>
    <t>TXN-02997</t>
  </si>
  <si>
    <t>TXN-03007</t>
  </si>
  <si>
    <t>TXN-03013</t>
  </si>
  <si>
    <t>TXN-03047</t>
  </si>
  <si>
    <t>TXN-03067</t>
  </si>
  <si>
    <t>TXN-03068</t>
  </si>
  <si>
    <t>TXN-03083</t>
  </si>
  <si>
    <t>TXN-08211</t>
  </si>
  <si>
    <t>TXN-03104</t>
  </si>
  <si>
    <t>TXN-03133</t>
  </si>
  <si>
    <t>TXN-02966</t>
  </si>
  <si>
    <t>TXN-02978</t>
  </si>
  <si>
    <t>TXN-03021</t>
  </si>
  <si>
    <t>TXN-03134</t>
  </si>
  <si>
    <t>TXN-03044</t>
  </si>
  <si>
    <t>TXN-08212</t>
  </si>
  <si>
    <t>TXN-03130</t>
  </si>
  <si>
    <t>TXN-03014</t>
  </si>
  <si>
    <t>TXN-03144</t>
  </si>
  <si>
    <t>TXN-03149</t>
  </si>
  <si>
    <t>TXN-03064</t>
  </si>
  <si>
    <t>TXN-03102</t>
  </si>
  <si>
    <t>TXN-03110</t>
  </si>
  <si>
    <t>TXN-03123</t>
  </si>
  <si>
    <t>TXN-02962</t>
  </si>
  <si>
    <t>TXN-03009</t>
  </si>
  <si>
    <t>TXN-03011</t>
  </si>
  <si>
    <t>TXN-03012</t>
  </si>
  <si>
    <t>TXN-03140</t>
  </si>
  <si>
    <t>TXN-03156</t>
  </si>
  <si>
    <t>TXN-03164</t>
  </si>
  <si>
    <t>TXN-03172</t>
  </si>
  <si>
    <t>TXN-03041</t>
  </si>
  <si>
    <t>TXN-03088</t>
  </si>
  <si>
    <t>TXN-02944</t>
  </si>
  <si>
    <t>TXN-03003</t>
  </si>
  <si>
    <t>TXN-03017</t>
  </si>
  <si>
    <t>TXN-03061</t>
  </si>
  <si>
    <t>TXN-03069</t>
  </si>
  <si>
    <t>TXN-03075</t>
  </si>
  <si>
    <t>TXN-02940</t>
  </si>
  <si>
    <t>TXN-02968</t>
  </si>
  <si>
    <t>TXN-02972</t>
  </si>
  <si>
    <t>TXN-02982</t>
  </si>
  <si>
    <t>TXN-02983</t>
  </si>
  <si>
    <t>TXN-03010</t>
  </si>
  <si>
    <t>TXN-03143</t>
  </si>
  <si>
    <t>TXN-03056</t>
  </si>
  <si>
    <t>TXN-03086</t>
  </si>
  <si>
    <t>TXN-02954</t>
  </si>
  <si>
    <t>TXN-02969</t>
  </si>
  <si>
    <t>TXN-02985</t>
  </si>
  <si>
    <t>TXN-03178</t>
  </si>
  <si>
    <t>TXN-03057</t>
  </si>
  <si>
    <t>TXN-03074</t>
  </si>
  <si>
    <t>TXN-03109</t>
  </si>
  <si>
    <t>TXN-03119</t>
  </si>
  <si>
    <t>TXN-02942</t>
  </si>
  <si>
    <t>TXN-02957</t>
  </si>
  <si>
    <t>TXN-03028</t>
  </si>
  <si>
    <t>TXN-03036</t>
  </si>
  <si>
    <t>TXN-03173</t>
  </si>
  <si>
    <t>TXN-03043</t>
  </si>
  <si>
    <t>TXN-03098</t>
  </si>
  <si>
    <t>TXN-03108</t>
  </si>
  <si>
    <t>TXN-03127</t>
  </si>
  <si>
    <t>TXN-02993</t>
  </si>
  <si>
    <t>TXN-03005</t>
  </si>
  <si>
    <t>TXN-03020</t>
  </si>
  <si>
    <t>TXN-03176</t>
  </si>
  <si>
    <t>TXN-03179</t>
  </si>
  <si>
    <t>TXN-03107</t>
  </si>
  <si>
    <t>TXN-02959</t>
  </si>
  <si>
    <t>TXN-02961</t>
  </si>
  <si>
    <t>TXN-03019</t>
  </si>
  <si>
    <t>TXN-03152</t>
  </si>
  <si>
    <t>TXN-03162</t>
  </si>
  <si>
    <t>TXN-03049</t>
  </si>
  <si>
    <t>TXN-03053</t>
  </si>
  <si>
    <t>TXN-03070</t>
  </si>
  <si>
    <t>TXN-03087</t>
  </si>
  <si>
    <t>TXN-03120</t>
  </si>
  <si>
    <t>TXN-02987</t>
  </si>
  <si>
    <t>TXN-02998</t>
  </si>
  <si>
    <t>TXN-03004</t>
  </si>
  <si>
    <t>TXN-03022</t>
  </si>
  <si>
    <t>TXN-03177</t>
  </si>
  <si>
    <t>TXN-03081</t>
  </si>
  <si>
    <t>TXN-03113</t>
  </si>
  <si>
    <t>TXN-03122</t>
  </si>
  <si>
    <t>TXN-02948</t>
  </si>
  <si>
    <t>TXN-02952</t>
  </si>
  <si>
    <t>TXN-02974</t>
  </si>
  <si>
    <t>TXN-02994</t>
  </si>
  <si>
    <t>TXN-03008</t>
  </si>
  <si>
    <t>TXN-03159</t>
  </si>
  <si>
    <t>TXN-03169</t>
  </si>
  <si>
    <t>TXN-03065</t>
  </si>
  <si>
    <t>TXN-03325</t>
  </si>
  <si>
    <t>TXN-03200</t>
  </si>
  <si>
    <t>TXN-03223</t>
  </si>
  <si>
    <t>TXN-03245</t>
  </si>
  <si>
    <t>TXN-03371</t>
  </si>
  <si>
    <t>TXN-03278</t>
  </si>
  <si>
    <t>TXN-03301</t>
  </si>
  <si>
    <t>TXN-08214</t>
  </si>
  <si>
    <t>TXN-03331</t>
  </si>
  <si>
    <t>TXN-03339</t>
  </si>
  <si>
    <t>TXN-03206</t>
  </si>
  <si>
    <t>TXN-03244</t>
  </si>
  <si>
    <t>TXN-03281</t>
  </si>
  <si>
    <t>TXN-03296</t>
  </si>
  <si>
    <t>TXN-03356</t>
  </si>
  <si>
    <t>TXN-03237</t>
  </si>
  <si>
    <t>TXN-03260</t>
  </si>
  <si>
    <t>TXN-03274</t>
  </si>
  <si>
    <t>TXN-03291</t>
  </si>
  <si>
    <t>TXN-03300</t>
  </si>
  <si>
    <t>TXN-03315</t>
  </si>
  <si>
    <t>TXN-03205</t>
  </si>
  <si>
    <t>TXN-03388</t>
  </si>
  <si>
    <t>TXN-03400</t>
  </si>
  <si>
    <t>TXN-03282</t>
  </si>
  <si>
    <t>TXN-03308</t>
  </si>
  <si>
    <t>TXN-03309</t>
  </si>
  <si>
    <t>TXN-03328</t>
  </si>
  <si>
    <t>TXN-03347</t>
  </si>
  <si>
    <t>TXN-03231</t>
  </si>
  <si>
    <t>TXN-03386</t>
  </si>
  <si>
    <t>TXN-03286</t>
  </si>
  <si>
    <t>TXN-03292</t>
  </si>
  <si>
    <t>TXN-03351</t>
  </si>
  <si>
    <t>TXN-03191</t>
  </si>
  <si>
    <t>TXN-03240</t>
  </si>
  <si>
    <t>TXN-03247</t>
  </si>
  <si>
    <t>TXN-03392</t>
  </si>
  <si>
    <t>TXN-03399</t>
  </si>
  <si>
    <t>TXN-03403</t>
  </si>
  <si>
    <t>TXN-03409</t>
  </si>
  <si>
    <t>TXN-03289</t>
  </si>
  <si>
    <t>TXN-03293</t>
  </si>
  <si>
    <t>TXN-03310</t>
  </si>
  <si>
    <t>TXN-03355</t>
  </si>
  <si>
    <t>TXN-03189</t>
  </si>
  <si>
    <t>TXN-03207</t>
  </si>
  <si>
    <t>TXN-03233</t>
  </si>
  <si>
    <t>TXN-03242</t>
  </si>
  <si>
    <t>TXN-03254</t>
  </si>
  <si>
    <t>TXN-03255</t>
  </si>
  <si>
    <t>TXN-03408</t>
  </si>
  <si>
    <t>TXN-03277</t>
  </si>
  <si>
    <t>TXN-03326</t>
  </si>
  <si>
    <t>TXN-03337</t>
  </si>
  <si>
    <t>TXN-03338</t>
  </si>
  <si>
    <t>TXN-03353</t>
  </si>
  <si>
    <t>TXN-03187</t>
  </si>
  <si>
    <t>TXN-03201</t>
  </si>
  <si>
    <t>TXN-03215</t>
  </si>
  <si>
    <t>TXN-03217</t>
  </si>
  <si>
    <t>TXN-03227</t>
  </si>
  <si>
    <t>TXN-03264</t>
  </si>
  <si>
    <t>TXN-03303</t>
  </si>
  <si>
    <t>TXN-03313</t>
  </si>
  <si>
    <t>TXN-03334</t>
  </si>
  <si>
    <t>TXN-03185</t>
  </si>
  <si>
    <t>TXN-03397</t>
  </si>
  <si>
    <t>TXN-03329</t>
  </si>
  <si>
    <t>TXN-03208</t>
  </si>
  <si>
    <t>TXN-03366</t>
  </si>
  <si>
    <t>TXN-03402</t>
  </si>
  <si>
    <t>TXN-03316</t>
  </si>
  <si>
    <t>TXN-03342</t>
  </si>
  <si>
    <t>TXN-03183</t>
  </si>
  <si>
    <t>TXN-03199</t>
  </si>
  <si>
    <t>TXN-03229</t>
  </si>
  <si>
    <t>TXN-03258</t>
  </si>
  <si>
    <t>TXN-03368</t>
  </si>
  <si>
    <t>TXN-03306</t>
  </si>
  <si>
    <t>TXN-03320</t>
  </si>
  <si>
    <t>TXN-03322</t>
  </si>
  <si>
    <t>TXN-08215</t>
  </si>
  <si>
    <t>TXN-03202</t>
  </si>
  <si>
    <t>TXN-03330</t>
  </si>
  <si>
    <t>TXN-03357</t>
  </si>
  <si>
    <t>TXN-03266</t>
  </si>
  <si>
    <t>TXN-03372</t>
  </si>
  <si>
    <t>TXN-03376</t>
  </si>
  <si>
    <t>TXN-03398</t>
  </si>
  <si>
    <t>TXN-03279</t>
  </si>
  <si>
    <t>TXN-03280</t>
  </si>
  <si>
    <t>TXN-03295</t>
  </si>
  <si>
    <t>TXN-03312</t>
  </si>
  <si>
    <t>TXN-03352</t>
  </si>
  <si>
    <t>TXN-03198</t>
  </si>
  <si>
    <t>TXN-03252</t>
  </si>
  <si>
    <t>TXN-03273</t>
  </si>
  <si>
    <t>TXN-03375</t>
  </si>
  <si>
    <t>TXN-03401</t>
  </si>
  <si>
    <t>TXN-03305</t>
  </si>
  <si>
    <t>TXN-03358</t>
  </si>
  <si>
    <t>TXN-03194</t>
  </si>
  <si>
    <t>TXN-03197</t>
  </si>
  <si>
    <t>TXN-03222</t>
  </si>
  <si>
    <t>TXN-03256</t>
  </si>
  <si>
    <t>TXN-03259</t>
  </si>
  <si>
    <t>TXN-03365</t>
  </si>
  <si>
    <t>TXN-03276</t>
  </si>
  <si>
    <t>TXN-03284</t>
  </si>
  <si>
    <t>TXN-03294</t>
  </si>
  <si>
    <t>TXN-08216</t>
  </si>
  <si>
    <t>TXN-03235</t>
  </si>
  <si>
    <t>TXN-03369</t>
  </si>
  <si>
    <t>TXN-03374</t>
  </si>
  <si>
    <t>TXN-03382</t>
  </si>
  <si>
    <t>TXN-03405</t>
  </si>
  <si>
    <t>TXN-03323</t>
  </si>
  <si>
    <t>TXN-03349</t>
  </si>
  <si>
    <t>TXN-03180</t>
  </si>
  <si>
    <t>TXN-03182</t>
  </si>
  <si>
    <t>TXN-03196</t>
  </si>
  <si>
    <t>TXN-03378</t>
  </si>
  <si>
    <t>TXN-03192</t>
  </si>
  <si>
    <t>TXN-03234</t>
  </si>
  <si>
    <t>TXN-03248</t>
  </si>
  <si>
    <t>TXN-03285</t>
  </si>
  <si>
    <t>TXN-03290</t>
  </si>
  <si>
    <t>TXN-03324</t>
  </si>
  <si>
    <t>TXN-03348</t>
  </si>
  <si>
    <t>TXN-03354</t>
  </si>
  <si>
    <t>TXN-03195</t>
  </si>
  <si>
    <t>TXN-03224</t>
  </si>
  <si>
    <t>TXN-03236</t>
  </si>
  <si>
    <t>TXN-03267</t>
  </si>
  <si>
    <t>TXN-03394</t>
  </si>
  <si>
    <t>TXN-03407</t>
  </si>
  <si>
    <t>TXN-03327</t>
  </si>
  <si>
    <t>TXN-03332</t>
  </si>
  <si>
    <t>TXN-03359</t>
  </si>
  <si>
    <t>TXN-03363</t>
  </si>
  <si>
    <t>TXN-03253</t>
  </si>
  <si>
    <t>TXN-03257</t>
  </si>
  <si>
    <t>TXN-03263</t>
  </si>
  <si>
    <t>TXN-03367</t>
  </si>
  <si>
    <t>TXN-03385</t>
  </si>
  <si>
    <t>TXN-03387</t>
  </si>
  <si>
    <t>TXN-03343</t>
  </si>
  <si>
    <t>TXN-03346</t>
  </si>
  <si>
    <t>TXN-03214</t>
  </si>
  <si>
    <t>TXN-03232</t>
  </si>
  <si>
    <t>TXN-03380</t>
  </si>
  <si>
    <t>TXN-03383</t>
  </si>
  <si>
    <t>TXN-03396</t>
  </si>
  <si>
    <t>TXN-03311</t>
  </si>
  <si>
    <t>TXN-03314</t>
  </si>
  <si>
    <t>TXN-03319</t>
  </si>
  <si>
    <t>TXN-03228</t>
  </si>
  <si>
    <t>TXN-03238</t>
  </si>
  <si>
    <t>TXN-03243</t>
  </si>
  <si>
    <t>TXN-03384</t>
  </si>
  <si>
    <t>TXN-03283</t>
  </si>
  <si>
    <t>TXN-03340</t>
  </si>
  <si>
    <t>TXN-03184</t>
  </si>
  <si>
    <t>TXN-03209</t>
  </si>
  <si>
    <t>TXN-03262</t>
  </si>
  <si>
    <t>TXN-03268</t>
  </si>
  <si>
    <t>TXN-03379</t>
  </si>
  <si>
    <t>TXN-03389</t>
  </si>
  <si>
    <t>TXN-03390</t>
  </si>
  <si>
    <t>TXN-03393</t>
  </si>
  <si>
    <t>TXN-03404</t>
  </si>
  <si>
    <t>TXN-03317</t>
  </si>
  <si>
    <t>TXN-03350</t>
  </si>
  <si>
    <t>TXN-03364</t>
  </si>
  <si>
    <t>TXN-03210</t>
  </si>
  <si>
    <t>TXN-03216</t>
  </si>
  <si>
    <t>TXN-03249</t>
  </si>
  <si>
    <t>TXN-03265</t>
  </si>
  <si>
    <t>TXN-03272</t>
  </si>
  <si>
    <t>TXN-03373</t>
  </si>
  <si>
    <t>TXN-03381</t>
  </si>
  <si>
    <t>TXN-03304</t>
  </si>
  <si>
    <t>TXN-03361</t>
  </si>
  <si>
    <t>TXN-03181</t>
  </si>
  <si>
    <t>TXN-03193</t>
  </si>
  <si>
    <t>TXN-03211</t>
  </si>
  <si>
    <t>TXN-03221</t>
  </si>
  <si>
    <t>TXN-03275</t>
  </si>
  <si>
    <t>TXN-03377</t>
  </si>
  <si>
    <t>TXN-03395</t>
  </si>
  <si>
    <t>TXN-03297</t>
  </si>
  <si>
    <t>TXN-03335</t>
  </si>
  <si>
    <t>TXN-03219</t>
  </si>
  <si>
    <t>TXN-03226</t>
  </si>
  <si>
    <t>TXN-03230</t>
  </si>
  <si>
    <t>TXN-03336</t>
  </si>
  <si>
    <t>TXN-03360</t>
  </si>
  <si>
    <t>TXN-03203</t>
  </si>
  <si>
    <t>TXN-03212</t>
  </si>
  <si>
    <t>TXN-03213</t>
  </si>
  <si>
    <t>TXN-03218</t>
  </si>
  <si>
    <t>TXN-03239</t>
  </si>
  <si>
    <t>TXN-03287</t>
  </si>
  <si>
    <t>TXN-03288</t>
  </si>
  <si>
    <t>TXN-03302</t>
  </si>
  <si>
    <t>TXN-03341</t>
  </si>
  <si>
    <t>TXN-03344</t>
  </si>
  <si>
    <t>TXN-03362</t>
  </si>
  <si>
    <t>TXN-03188</t>
  </si>
  <si>
    <t>TXN-03220</t>
  </si>
  <si>
    <t>TXN-03246</t>
  </si>
  <si>
    <t>TXN-03251</t>
  </si>
  <si>
    <t>TXN-03321</t>
  </si>
  <si>
    <t>TXN-03333</t>
  </si>
  <si>
    <t>TXN-03190</t>
  </si>
  <si>
    <t>TXN-03261</t>
  </si>
  <si>
    <t>TXN-03269</t>
  </si>
  <si>
    <t>TXN-03270</t>
  </si>
  <si>
    <t>TXN-03410</t>
  </si>
  <si>
    <t>TXN-03186</t>
  </si>
  <si>
    <t>TXN-03204</t>
  </si>
  <si>
    <t>TXN-03241</t>
  </si>
  <si>
    <t>TXN-03271</t>
  </si>
  <si>
    <t>TXN-03370</t>
  </si>
  <si>
    <t>TXN-03391</t>
  </si>
  <si>
    <t>TXN-03298</t>
  </si>
  <si>
    <t>TXN-03299</t>
  </si>
  <si>
    <t>TXN-03307</t>
  </si>
  <si>
    <t>TXN-03345</t>
  </si>
  <si>
    <t>TXN-03225</t>
  </si>
  <si>
    <t>TXN-03250</t>
  </si>
  <si>
    <t>TXN-03406</t>
  </si>
  <si>
    <t>TXN-03318</t>
  </si>
  <si>
    <t>TXN-03557</t>
  </si>
  <si>
    <t>TXN-03569</t>
  </si>
  <si>
    <t>TXN-03587</t>
  </si>
  <si>
    <t>TXN-03588</t>
  </si>
  <si>
    <t>TXN-03427</t>
  </si>
  <si>
    <t>TXN-03620</t>
  </si>
  <si>
    <t>TXN-03511</t>
  </si>
  <si>
    <t>TXN-03551</t>
  </si>
  <si>
    <t>TXN-03417</t>
  </si>
  <si>
    <t>TXN-03464</t>
  </si>
  <si>
    <t>TXN-03647</t>
  </si>
  <si>
    <t>TXN-03537</t>
  </si>
  <si>
    <t>TXN-03593</t>
  </si>
  <si>
    <t>TXN-03412</t>
  </si>
  <si>
    <t>TXN-03414</t>
  </si>
  <si>
    <t>TXN-03460</t>
  </si>
  <si>
    <t>TXN-03487</t>
  </si>
  <si>
    <t>TXN-03611</t>
  </si>
  <si>
    <t>TXN-03512</t>
  </si>
  <si>
    <t>TXN-03527</t>
  </si>
  <si>
    <t>TXN-03528</t>
  </si>
  <si>
    <t>TXN-03541</t>
  </si>
  <si>
    <t>TXN-03501</t>
  </si>
  <si>
    <t>TXN-03607</t>
  </si>
  <si>
    <t>TXN-03612</t>
  </si>
  <si>
    <t>TXN-03630</t>
  </si>
  <si>
    <t>TXN-03646</t>
  </si>
  <si>
    <t>TXN-03525</t>
  </si>
  <si>
    <t>TXN-03570</t>
  </si>
  <si>
    <t>TXN-03441</t>
  </si>
  <si>
    <t>TXN-03470</t>
  </si>
  <si>
    <t>TXN-03479</t>
  </si>
  <si>
    <t>TXN-03490</t>
  </si>
  <si>
    <t>TXN-03613</t>
  </si>
  <si>
    <t>TXN-03619</t>
  </si>
  <si>
    <t>TXN-03622</t>
  </si>
  <si>
    <t>TXN-03631</t>
  </si>
  <si>
    <t>TXN-03556</t>
  </si>
  <si>
    <t>TXN-03565</t>
  </si>
  <si>
    <t>TXN-03566</t>
  </si>
  <si>
    <t>TXN-03582</t>
  </si>
  <si>
    <t>TXN-03596</t>
  </si>
  <si>
    <t>TXN-03502</t>
  </si>
  <si>
    <t>TXN-03624</t>
  </si>
  <si>
    <t>TXN-03419</t>
  </si>
  <si>
    <t>TXN-03446</t>
  </si>
  <si>
    <t>TXN-03496</t>
  </si>
  <si>
    <t>TXN-03621</t>
  </si>
  <si>
    <t>TXN-03558</t>
  </si>
  <si>
    <t>TXN-03436</t>
  </si>
  <si>
    <t>TXN-03458</t>
  </si>
  <si>
    <t>TXN-03633</t>
  </si>
  <si>
    <t>TXN-03638</t>
  </si>
  <si>
    <t>TXN-03505</t>
  </si>
  <si>
    <t>TXN-03506</t>
  </si>
  <si>
    <t>TXN-03564</t>
  </si>
  <si>
    <t>TXN-03600</t>
  </si>
  <si>
    <t>TXN-03430</t>
  </si>
  <si>
    <t>TXN-03640</t>
  </si>
  <si>
    <t>TXN-03540</t>
  </si>
  <si>
    <t>TXN-03552</t>
  </si>
  <si>
    <t>TXN-03599</t>
  </si>
  <si>
    <t>TXN-03440</t>
  </si>
  <si>
    <t>TXN-03459</t>
  </si>
  <si>
    <t>TXN-03483</t>
  </si>
  <si>
    <t>TXN-03492</t>
  </si>
  <si>
    <t>TXN-03615</t>
  </si>
  <si>
    <t>TXN-03507</t>
  </si>
  <si>
    <t>TXN-03517</t>
  </si>
  <si>
    <t>TXN-03531</t>
  </si>
  <si>
    <t>TXN-03538</t>
  </si>
  <si>
    <t>TXN-03597</t>
  </si>
  <si>
    <t>TXN-03422</t>
  </si>
  <si>
    <t>TXN-03423</t>
  </si>
  <si>
    <t>TXN-03474</t>
  </si>
  <si>
    <t>TXN-03518</t>
  </si>
  <si>
    <t>TXN-03554</t>
  </si>
  <si>
    <t>TXN-08219</t>
  </si>
  <si>
    <t>TXN-03605</t>
  </si>
  <si>
    <t>TXN-03462</t>
  </si>
  <si>
    <t>TXN-03609</t>
  </si>
  <si>
    <t>TXN-03529</t>
  </si>
  <si>
    <t>TXN-03413</t>
  </si>
  <si>
    <t>TXN-03428</t>
  </si>
  <si>
    <t>TXN-03456</t>
  </si>
  <si>
    <t>TXN-03468</t>
  </si>
  <si>
    <t>TXN-03478</t>
  </si>
  <si>
    <t>TXN-03516</t>
  </si>
  <si>
    <t>TXN-03519</t>
  </si>
  <si>
    <t>TXN-03542</t>
  </si>
  <si>
    <t>TXN-03577</t>
  </si>
  <si>
    <t>TXN-03579</t>
  </si>
  <si>
    <t>TXN-03585</t>
  </si>
  <si>
    <t>TXN-03595</t>
  </si>
  <si>
    <t>TXN-03432</t>
  </si>
  <si>
    <t>TXN-03438</t>
  </si>
  <si>
    <t>TXN-03448</t>
  </si>
  <si>
    <t>TXN-03465</t>
  </si>
  <si>
    <t>TXN-03485</t>
  </si>
  <si>
    <t>TXN-03500</t>
  </si>
  <si>
    <t>TXN-03610</t>
  </si>
  <si>
    <t>TXN-03626</t>
  </si>
  <si>
    <t>TXN-03504</t>
  </si>
  <si>
    <t>TXN-03575</t>
  </si>
  <si>
    <t>TXN-03591</t>
  </si>
  <si>
    <t>TXN-03606</t>
  </si>
  <si>
    <t>TXN-03431</t>
  </si>
  <si>
    <t>TXN-03618</t>
  </si>
  <si>
    <t>TXN-03543</t>
  </si>
  <si>
    <t>TXN-03586</t>
  </si>
  <si>
    <t>TXN-03416</t>
  </si>
  <si>
    <t>TXN-03421</t>
  </si>
  <si>
    <t>TXN-03442</t>
  </si>
  <si>
    <t>TXN-03445</t>
  </si>
  <si>
    <t>TXN-03471</t>
  </si>
  <si>
    <t>TXN-03477</t>
  </si>
  <si>
    <t>TXN-03614</t>
  </si>
  <si>
    <t>TXN-03627</t>
  </si>
  <si>
    <t>TXN-03636</t>
  </si>
  <si>
    <t>TXN-03637</t>
  </si>
  <si>
    <t>TXN-03643</t>
  </si>
  <si>
    <t>TXN-08217</t>
  </si>
  <si>
    <t>TXN-03560</t>
  </si>
  <si>
    <t>TXN-03562</t>
  </si>
  <si>
    <t>TXN-03576</t>
  </si>
  <si>
    <t>TXN-03594</t>
  </si>
  <si>
    <t>TXN-03603</t>
  </si>
  <si>
    <t>TXN-03503</t>
  </si>
  <si>
    <t>TXN-03632</t>
  </si>
  <si>
    <t>TXN-03639</t>
  </si>
  <si>
    <t>TXN-03521</t>
  </si>
  <si>
    <t>TXN-03534</t>
  </si>
  <si>
    <t>TXN-03589</t>
  </si>
  <si>
    <t>TXN-03484</t>
  </si>
  <si>
    <t>TXN-03520</t>
  </si>
  <si>
    <t>TXN-03524</t>
  </si>
  <si>
    <t>TXN-03535</t>
  </si>
  <si>
    <t>TXN-03545</t>
  </si>
  <si>
    <t>TXN-03563</t>
  </si>
  <si>
    <t>TXN-03568</t>
  </si>
  <si>
    <t>TXN-03571</t>
  </si>
  <si>
    <t>TXN-03415</t>
  </si>
  <si>
    <t>TXN-03463</t>
  </si>
  <si>
    <t>TXN-03476</t>
  </si>
  <si>
    <t>TXN-03493</t>
  </si>
  <si>
    <t>TXN-03514</t>
  </si>
  <si>
    <t>TXN-03526</t>
  </si>
  <si>
    <t>TXN-03533</t>
  </si>
  <si>
    <t>TXN-03548</t>
  </si>
  <si>
    <t>TXN-03574</t>
  </si>
  <si>
    <t>TXN-03420</t>
  </si>
  <si>
    <t>TXN-03425</t>
  </si>
  <si>
    <t>TXN-03429</t>
  </si>
  <si>
    <t>TXN-03472</t>
  </si>
  <si>
    <t>TXN-03539</t>
  </si>
  <si>
    <t>TXN-08218</t>
  </si>
  <si>
    <t>TXN-03578</t>
  </si>
  <si>
    <t>TXN-03580</t>
  </si>
  <si>
    <t>TXN-03411</t>
  </si>
  <si>
    <t>TXN-03433</t>
  </si>
  <si>
    <t>TXN-03434</t>
  </si>
  <si>
    <t>TXN-03457</t>
  </si>
  <si>
    <t>TXN-03497</t>
  </si>
  <si>
    <t>TXN-03510</t>
  </si>
  <si>
    <t>TXN-03513</t>
  </si>
  <si>
    <t>TXN-03546</t>
  </si>
  <si>
    <t>TXN-03567</t>
  </si>
  <si>
    <t>TXN-03418</t>
  </si>
  <si>
    <t>TXN-03424</t>
  </si>
  <si>
    <t>TXN-03467</t>
  </si>
  <si>
    <t>TXN-03625</t>
  </si>
  <si>
    <t>TXN-03522</t>
  </si>
  <si>
    <t>TXN-03530</t>
  </si>
  <si>
    <t>TXN-03532</t>
  </si>
  <si>
    <t>TXN-03536</t>
  </si>
  <si>
    <t>TXN-03544</t>
  </si>
  <si>
    <t>TXN-03553</t>
  </si>
  <si>
    <t>TXN-03447</t>
  </si>
  <si>
    <t>TXN-03475</t>
  </si>
  <si>
    <t>TXN-03488</t>
  </si>
  <si>
    <t>TXN-03494</t>
  </si>
  <si>
    <t>TXN-03641</t>
  </si>
  <si>
    <t>TXN-03515</t>
  </si>
  <si>
    <t>TXN-03547</t>
  </si>
  <si>
    <t>TXN-03581</t>
  </si>
  <si>
    <t>TXN-03583</t>
  </si>
  <si>
    <t>TXN-03590</t>
  </si>
  <si>
    <t>TXN-03601</t>
  </si>
  <si>
    <t>TXN-03437</t>
  </si>
  <si>
    <t>TXN-03451</t>
  </si>
  <si>
    <t>TXN-03461</t>
  </si>
  <si>
    <t>TXN-03473</t>
  </si>
  <si>
    <t>TXN-03481</t>
  </si>
  <si>
    <t>TXN-03498</t>
  </si>
  <si>
    <t>TXN-03623</t>
  </si>
  <si>
    <t>TXN-03629</t>
  </si>
  <si>
    <t>TXN-03635</t>
  </si>
  <si>
    <t>TXN-03644</t>
  </si>
  <si>
    <t>TXN-03573</t>
  </si>
  <si>
    <t>TXN-03450</t>
  </si>
  <si>
    <t>TXN-03486</t>
  </si>
  <si>
    <t>TXN-03628</t>
  </si>
  <si>
    <t>TXN-03508</t>
  </si>
  <si>
    <t>TXN-03559</t>
  </si>
  <si>
    <t>TXN-03435</t>
  </si>
  <si>
    <t>TXN-03454</t>
  </si>
  <si>
    <t>TXN-03466</t>
  </si>
  <si>
    <t>TXN-03499</t>
  </si>
  <si>
    <t>TXN-03617</t>
  </si>
  <si>
    <t>TXN-03550</t>
  </si>
  <si>
    <t>TXN-03561</t>
  </si>
  <si>
    <t>TXN-03443</t>
  </si>
  <si>
    <t>TXN-03634</t>
  </si>
  <si>
    <t>TXN-03642</t>
  </si>
  <si>
    <t>TXN-03549</t>
  </si>
  <si>
    <t>TXN-03598</t>
  </si>
  <si>
    <t>TXN-03426</t>
  </si>
  <si>
    <t>TXN-03439</t>
  </si>
  <si>
    <t>TXN-03469</t>
  </si>
  <si>
    <t>TXN-03482</t>
  </si>
  <si>
    <t>TXN-03489</t>
  </si>
  <si>
    <t>TXN-03491</t>
  </si>
  <si>
    <t>TXN-03645</t>
  </si>
  <si>
    <t>TXN-03509</t>
  </si>
  <si>
    <t>TXN-03523</t>
  </si>
  <si>
    <t>TXN-03604</t>
  </si>
  <si>
    <t>TXN-03444</t>
  </si>
  <si>
    <t>TXN-03452</t>
  </si>
  <si>
    <t>TXN-03495</t>
  </si>
  <si>
    <t>TXN-03608</t>
  </si>
  <si>
    <t>TXN-03616</t>
  </si>
  <si>
    <t>TXN-03572</t>
  </si>
  <si>
    <t>TXN-03584</t>
  </si>
  <si>
    <t>TXN-03592</t>
  </si>
  <si>
    <t>TXN-03602</t>
  </si>
  <si>
    <t>TXN-03449</t>
  </si>
  <si>
    <t>TXN-03453</t>
  </si>
  <si>
    <t>TXN-03455</t>
  </si>
  <si>
    <t>TXN-03480</t>
  </si>
  <si>
    <t>TXN-03648</t>
  </si>
  <si>
    <t>TXN-03555</t>
  </si>
  <si>
    <t>TXN-03793</t>
  </si>
  <si>
    <t>TXN-03730</t>
  </si>
  <si>
    <t>TXN-03745</t>
  </si>
  <si>
    <t>TXN-08220</t>
  </si>
  <si>
    <t>TXN-03811</t>
  </si>
  <si>
    <t>TXN-03828</t>
  </si>
  <si>
    <t>TXN-03659</t>
  </si>
  <si>
    <t>TXN-03684</t>
  </si>
  <si>
    <t>TXN-03846</t>
  </si>
  <si>
    <t>TXN-03785</t>
  </si>
  <si>
    <t>TXN-08221</t>
  </si>
  <si>
    <t>TXN-03792</t>
  </si>
  <si>
    <t>TXN-03818</t>
  </si>
  <si>
    <t>TXN-03673</t>
  </si>
  <si>
    <t>TXN-03680</t>
  </si>
  <si>
    <t>TXN-03704</t>
  </si>
  <si>
    <t>TXN-03724</t>
  </si>
  <si>
    <t>TXN-03736</t>
  </si>
  <si>
    <t>TXN-03853</t>
  </si>
  <si>
    <t>TXN-03862</t>
  </si>
  <si>
    <t>TXN-03870</t>
  </si>
  <si>
    <t>TXN-03872</t>
  </si>
  <si>
    <t>TXN-03875</t>
  </si>
  <si>
    <t>TXN-03752</t>
  </si>
  <si>
    <t>TXN-03775</t>
  </si>
  <si>
    <t>TXN-03799</t>
  </si>
  <si>
    <t>TXN-03655</t>
  </si>
  <si>
    <t>TXN-03664</t>
  </si>
  <si>
    <t>TXN-03702</t>
  </si>
  <si>
    <t>TXN-03729</t>
  </si>
  <si>
    <t>TXN-03873</t>
  </si>
  <si>
    <t>TXN-03751</t>
  </si>
  <si>
    <t>TXN-03766</t>
  </si>
  <si>
    <t>TXN-08222</t>
  </si>
  <si>
    <t>TXN-03791</t>
  </si>
  <si>
    <t>TXN-03676</t>
  </si>
  <si>
    <t>TXN-03705</t>
  </si>
  <si>
    <t>TXN-03717</t>
  </si>
  <si>
    <t>TXN-03733</t>
  </si>
  <si>
    <t>TXN-03739</t>
  </si>
  <si>
    <t>TXN-03747</t>
  </si>
  <si>
    <t>TXN-03767</t>
  </si>
  <si>
    <t>TXN-03768</t>
  </si>
  <si>
    <t>TXN-03802</t>
  </si>
  <si>
    <t>TXN-03812</t>
  </si>
  <si>
    <t>TXN-03815</t>
  </si>
  <si>
    <t>TXN-03839</t>
  </si>
  <si>
    <t>TXN-03658</t>
  </si>
  <si>
    <t>TXN-03662</t>
  </si>
  <si>
    <t>TXN-03690</t>
  </si>
  <si>
    <t>TXN-03719</t>
  </si>
  <si>
    <t>TXN-03843</t>
  </si>
  <si>
    <t>TXN-03855</t>
  </si>
  <si>
    <t>TXN-03750</t>
  </si>
  <si>
    <t>TXN-03756</t>
  </si>
  <si>
    <t>TXN-03810</t>
  </si>
  <si>
    <t>TXN-03822</t>
  </si>
  <si>
    <t>TXN-03823</t>
  </si>
  <si>
    <t>TXN-03714</t>
  </si>
  <si>
    <t>TXN-03847</t>
  </si>
  <si>
    <t>TXN-03874</t>
  </si>
  <si>
    <t>TXN-03807</t>
  </si>
  <si>
    <t>TXN-03820</t>
  </si>
  <si>
    <t>TXN-03652</t>
  </si>
  <si>
    <t>TXN-03657</t>
  </si>
  <si>
    <t>TXN-03667</t>
  </si>
  <si>
    <t>TXN-03696</t>
  </si>
  <si>
    <t>TXN-03697</t>
  </si>
  <si>
    <t>TXN-03701</t>
  </si>
  <si>
    <t>TXN-03713</t>
  </si>
  <si>
    <t>TXN-03732</t>
  </si>
  <si>
    <t>TXN-03841</t>
  </si>
  <si>
    <t>TXN-03746</t>
  </si>
  <si>
    <t>TXN-03784</t>
  </si>
  <si>
    <t>TXN-03808</t>
  </si>
  <si>
    <t>TXN-03817</t>
  </si>
  <si>
    <t>TXN-03825</t>
  </si>
  <si>
    <t>TXN-03656</t>
  </si>
  <si>
    <t>TXN-03695</t>
  </si>
  <si>
    <t>TXN-03709</t>
  </si>
  <si>
    <t>TXN-03878</t>
  </si>
  <si>
    <t>TXN-03660</t>
  </si>
  <si>
    <t>TXN-03683</t>
  </si>
  <si>
    <t>TXN-03722</t>
  </si>
  <si>
    <t>TXN-03845</t>
  </si>
  <si>
    <t>TXN-03738</t>
  </si>
  <si>
    <t>TXN-03748</t>
  </si>
  <si>
    <t>TXN-03706</t>
  </si>
  <si>
    <t>TXN-03852</t>
  </si>
  <si>
    <t>TXN-03764</t>
  </si>
  <si>
    <t>TXN-03830</t>
  </si>
  <si>
    <t>TXN-03833</t>
  </si>
  <si>
    <t>TXN-03663</t>
  </si>
  <si>
    <t>TXN-03666</t>
  </si>
  <si>
    <t>TXN-03703</t>
  </si>
  <si>
    <t>TXN-03854</t>
  </si>
  <si>
    <t>TXN-03859</t>
  </si>
  <si>
    <t>TXN-03861</t>
  </si>
  <si>
    <t>TXN-03753</t>
  </si>
  <si>
    <t>TXN-03769</t>
  </si>
  <si>
    <t>TXN-03777</t>
  </si>
  <si>
    <t>TXN-03788</t>
  </si>
  <si>
    <t>TXN-03809</t>
  </si>
  <si>
    <t>TXN-03867</t>
  </si>
  <si>
    <t>TXN-03868</t>
  </si>
  <si>
    <t>TXN-03869</t>
  </si>
  <si>
    <t>TXN-03797</t>
  </si>
  <si>
    <t>TXN-03835</t>
  </si>
  <si>
    <t>TXN-03651</t>
  </si>
  <si>
    <t>TXN-03654</t>
  </si>
  <si>
    <t>TXN-03725</t>
  </si>
  <si>
    <t>TXN-03860</t>
  </si>
  <si>
    <t>TXN-03755</t>
  </si>
  <si>
    <t>TXN-03770</t>
  </si>
  <si>
    <t>TXN-03773</t>
  </si>
  <si>
    <t>TXN-03813</t>
  </si>
  <si>
    <t>TXN-03687</t>
  </si>
  <si>
    <t>TXN-03693</t>
  </si>
  <si>
    <t>TXN-03715</t>
  </si>
  <si>
    <t>TXN-03863</t>
  </si>
  <si>
    <t>TXN-03871</t>
  </si>
  <si>
    <t>TXN-03765</t>
  </si>
  <si>
    <t>TXN-03783</t>
  </si>
  <si>
    <t>TXN-03653</t>
  </si>
  <si>
    <t>TXN-03718</t>
  </si>
  <si>
    <t>TXN-03737</t>
  </si>
  <si>
    <t>TXN-03851</t>
  </si>
  <si>
    <t>TXN-03856</t>
  </si>
  <si>
    <t>TXN-03796</t>
  </si>
  <si>
    <t>TXN-03806</t>
  </si>
  <si>
    <t>TXN-03831</t>
  </si>
  <si>
    <t>TXN-03681</t>
  </si>
  <si>
    <t>TXN-03744</t>
  </si>
  <si>
    <t>TXN-03821</t>
  </si>
  <si>
    <t>TXN-03675</t>
  </si>
  <si>
    <t>TXN-03677</t>
  </si>
  <si>
    <t>TXN-03740</t>
  </si>
  <si>
    <t>TXN-03741</t>
  </si>
  <si>
    <t>TXN-03743</t>
  </si>
  <si>
    <t>TXN-03774</t>
  </si>
  <si>
    <t>TXN-03779</t>
  </si>
  <si>
    <t>TXN-03826</t>
  </si>
  <si>
    <t>TXN-03837</t>
  </si>
  <si>
    <t>TXN-03838</t>
  </si>
  <si>
    <t>TXN-03668</t>
  </si>
  <si>
    <t>TXN-03671</t>
  </si>
  <si>
    <t>TXN-03691</t>
  </si>
  <si>
    <t>TXN-03720</t>
  </si>
  <si>
    <t>TXN-03848</t>
  </si>
  <si>
    <t>TXN-03858</t>
  </si>
  <si>
    <t>TXN-03649</t>
  </si>
  <si>
    <t>TXN-03682</t>
  </si>
  <si>
    <t>TXN-03689</t>
  </si>
  <si>
    <t>TXN-03864</t>
  </si>
  <si>
    <t>TXN-03876</t>
  </si>
  <si>
    <t>TXN-03754</t>
  </si>
  <si>
    <t>TXN-03771</t>
  </si>
  <si>
    <t>TXN-03814</t>
  </si>
  <si>
    <t>TXN-03816</t>
  </si>
  <si>
    <t>TXN-03670</t>
  </si>
  <si>
    <t>TXN-03679</t>
  </si>
  <si>
    <t>TXN-03698</t>
  </si>
  <si>
    <t>TXN-03721</t>
  </si>
  <si>
    <t>TXN-03842</t>
  </si>
  <si>
    <t>TXN-03857</t>
  </si>
  <si>
    <t>TXN-03834</t>
  </si>
  <si>
    <t>TXN-03665</t>
  </si>
  <si>
    <t>TXN-03686</t>
  </si>
  <si>
    <t>TXN-03710</t>
  </si>
  <si>
    <t>TXN-03749</t>
  </si>
  <si>
    <t>TXN-03789</t>
  </si>
  <si>
    <t>TXN-03805</t>
  </si>
  <si>
    <t>TXN-03672</t>
  </si>
  <si>
    <t>TXN-03692</t>
  </si>
  <si>
    <t>TXN-03877</t>
  </si>
  <si>
    <t>TXN-03776</t>
  </si>
  <si>
    <t>TXN-03795</t>
  </si>
  <si>
    <t>TXN-03674</t>
  </si>
  <si>
    <t>TXN-03708</t>
  </si>
  <si>
    <t>TXN-03711</t>
  </si>
  <si>
    <t>TXN-03716</t>
  </si>
  <si>
    <t>TXN-03727</t>
  </si>
  <si>
    <t>TXN-03735</t>
  </si>
  <si>
    <t>TXN-03787</t>
  </si>
  <si>
    <t>TXN-03794</t>
  </si>
  <si>
    <t>TXN-03801</t>
  </si>
  <si>
    <t>TXN-03819</t>
  </si>
  <si>
    <t>TXN-03832</t>
  </si>
  <si>
    <t>TXN-03688</t>
  </si>
  <si>
    <t>TXN-03728</t>
  </si>
  <si>
    <t>TXN-03731</t>
  </si>
  <si>
    <t>TXN-03850</t>
  </si>
  <si>
    <t>TXN-03798</t>
  </si>
  <si>
    <t>TXN-03827</t>
  </si>
  <si>
    <t>TXN-03836</t>
  </si>
  <si>
    <t>TXN-03844</t>
  </si>
  <si>
    <t>TXN-03849</t>
  </si>
  <si>
    <t>TXN-03865</t>
  </si>
  <si>
    <t>TXN-03762</t>
  </si>
  <si>
    <t>TXN-03772</t>
  </si>
  <si>
    <t>TXN-03790</t>
  </si>
  <si>
    <t>TXN-03803</t>
  </si>
  <si>
    <t>TXN-03685</t>
  </si>
  <si>
    <t>TXN-03707</t>
  </si>
  <si>
    <t>TXN-03723</t>
  </si>
  <si>
    <t>TXN-03742</t>
  </si>
  <si>
    <t>TXN-03758</t>
  </si>
  <si>
    <t>TXN-03650</t>
  </si>
  <si>
    <t>TXN-03694</t>
  </si>
  <si>
    <t>TXN-03700</t>
  </si>
  <si>
    <t>TXN-03712</t>
  </si>
  <si>
    <t>TXN-03866</t>
  </si>
  <si>
    <t>TXN-03763</t>
  </si>
  <si>
    <t>TXN-03778</t>
  </si>
  <si>
    <t>TXN-03782</t>
  </si>
  <si>
    <t>TXN-03800</t>
  </si>
  <si>
    <t>TXN-03669</t>
  </si>
  <si>
    <t>TXN-03678</t>
  </si>
  <si>
    <t>TXN-03840</t>
  </si>
  <si>
    <t>TXN-03757</t>
  </si>
  <si>
    <t>TXN-03759</t>
  </si>
  <si>
    <t>TXN-03824</t>
  </si>
  <si>
    <t>TXN-03661</t>
  </si>
  <si>
    <t>TXN-03699</t>
  </si>
  <si>
    <t>TXN-03726</t>
  </si>
  <si>
    <t>TXN-03760</t>
  </si>
  <si>
    <t>TXN-03761</t>
  </si>
  <si>
    <t>TXN-03780</t>
  </si>
  <si>
    <t>TXN-03781</t>
  </si>
  <si>
    <t>TXN-03804</t>
  </si>
  <si>
    <t>TXN-03829</t>
  </si>
  <si>
    <t>TXN-03734</t>
  </si>
  <si>
    <t>TXN-03786</t>
  </si>
  <si>
    <t>TXN-04025</t>
  </si>
  <si>
    <t>TXN-04043</t>
  </si>
  <si>
    <t>TXN-03940</t>
  </si>
  <si>
    <t>TXN-03954</t>
  </si>
  <si>
    <t>TXN-03965</t>
  </si>
  <si>
    <t>TXN-04105</t>
  </si>
  <si>
    <t>TXN-04109</t>
  </si>
  <si>
    <t>TXN-04005</t>
  </si>
  <si>
    <t>TXN-04011</t>
  </si>
  <si>
    <t>TXN-04012</t>
  </si>
  <si>
    <t>TXN-04028</t>
  </si>
  <si>
    <t>TXN-04045</t>
  </si>
  <si>
    <t>TXN-04061</t>
  </si>
  <si>
    <t>TXN-04033</t>
  </si>
  <si>
    <t>TXN-04056</t>
  </si>
  <si>
    <t>TXN-04060</t>
  </si>
  <si>
    <t>TXN-03887</t>
  </si>
  <si>
    <t>TXN-03964</t>
  </si>
  <si>
    <t>TXN-03969</t>
  </si>
  <si>
    <t>TXN-04079</t>
  </si>
  <si>
    <t>TXN-04092</t>
  </si>
  <si>
    <t>TXN-03987</t>
  </si>
  <si>
    <t>TXN-03989</t>
  </si>
  <si>
    <t>TXN-03932</t>
  </si>
  <si>
    <t>TXN-03933</t>
  </si>
  <si>
    <t>TXN-03950</t>
  </si>
  <si>
    <t>TXN-03951</t>
  </si>
  <si>
    <t>TXN-03971</t>
  </si>
  <si>
    <t>TXN-04067</t>
  </si>
  <si>
    <t>TXN-04074</t>
  </si>
  <si>
    <t>TXN-04083</t>
  </si>
  <si>
    <t>TXN-04090</t>
  </si>
  <si>
    <t>TXN-03995</t>
  </si>
  <si>
    <t>TXN-04016</t>
  </si>
  <si>
    <t>TXN-04039</t>
  </si>
  <si>
    <t>TXN-04050</t>
  </si>
  <si>
    <t>TXN-03879</t>
  </si>
  <si>
    <t>TXN-03902</t>
  </si>
  <si>
    <t>TXN-03967</t>
  </si>
  <si>
    <t>TXN-04103</t>
  </si>
  <si>
    <t>TXN-08225</t>
  </si>
  <si>
    <t>TXN-04041</t>
  </si>
  <si>
    <t>TXN-03894</t>
  </si>
  <si>
    <t>TXN-03943</t>
  </si>
  <si>
    <t>TXN-03949</t>
  </si>
  <si>
    <t>TXN-04086</t>
  </si>
  <si>
    <t>TXN-04099</t>
  </si>
  <si>
    <t>TXN-04102</t>
  </si>
  <si>
    <t>TXN-04002</t>
  </si>
  <si>
    <t>TXN-04065</t>
  </si>
  <si>
    <t>TXN-03885</t>
  </si>
  <si>
    <t>TXN-03908</t>
  </si>
  <si>
    <t>TXN-03911</t>
  </si>
  <si>
    <t>TXN-03953</t>
  </si>
  <si>
    <t>TXN-03961</t>
  </si>
  <si>
    <t>TXN-04070</t>
  </si>
  <si>
    <t>TXN-04080</t>
  </si>
  <si>
    <t>TXN-04096</t>
  </si>
  <si>
    <t>TXN-03982</t>
  </si>
  <si>
    <t>TXN-04020</t>
  </si>
  <si>
    <t>TXN-04038</t>
  </si>
  <si>
    <t>TXN-03931</t>
  </si>
  <si>
    <t>TXN-03960</t>
  </si>
  <si>
    <t>TXN-04089</t>
  </si>
  <si>
    <t>TXN-04093</t>
  </si>
  <si>
    <t>TXN-04008</t>
  </si>
  <si>
    <t>TXN-08224</t>
  </si>
  <si>
    <t>TXN-04046</t>
  </si>
  <si>
    <t>TXN-03886</t>
  </si>
  <si>
    <t>TXN-03888</t>
  </si>
  <si>
    <t>TXN-03937</t>
  </si>
  <si>
    <t>TXN-04076</t>
  </si>
  <si>
    <t>TXN-04078</t>
  </si>
  <si>
    <t>TXN-03988</t>
  </si>
  <si>
    <t>TXN-03993</t>
  </si>
  <si>
    <t>TXN-04027</t>
  </si>
  <si>
    <t>TXN-04035</t>
  </si>
  <si>
    <t>TXN-03889</t>
  </si>
  <si>
    <t>TXN-03914</t>
  </si>
  <si>
    <t>TXN-03924</t>
  </si>
  <si>
    <t>TXN-03930</t>
  </si>
  <si>
    <t>TXN-03936</t>
  </si>
  <si>
    <t>TXN-04072</t>
  </si>
  <si>
    <t>TXN-04085</t>
  </si>
  <si>
    <t>TXN-04100</t>
  </si>
  <si>
    <t>TXN-03977</t>
  </si>
  <si>
    <t>TXN-04015</t>
  </si>
  <si>
    <t>TXN-04032</t>
  </si>
  <si>
    <t>TXN-04101</t>
  </si>
  <si>
    <t>TXN-03979</t>
  </si>
  <si>
    <t>TXN-03986</t>
  </si>
  <si>
    <t>TXN-03917</t>
  </si>
  <si>
    <t>TXN-03935</t>
  </si>
  <si>
    <t>TXN-04108</t>
  </si>
  <si>
    <t>TXN-04001</t>
  </si>
  <si>
    <t>TXN-04024</t>
  </si>
  <si>
    <t>TXN-03910</t>
  </si>
  <si>
    <t>TXN-03948</t>
  </si>
  <si>
    <t>TXN-03957</t>
  </si>
  <si>
    <t>TXN-04084</t>
  </si>
  <si>
    <t>TXN-04094</t>
  </si>
  <si>
    <t>TXN-03895</t>
  </si>
  <si>
    <t>TXN-03897</t>
  </si>
  <si>
    <t>TXN-03920</t>
  </si>
  <si>
    <t>TXN-03922</t>
  </si>
  <si>
    <t>TXN-03934</t>
  </si>
  <si>
    <t>TXN-03972</t>
  </si>
  <si>
    <t>TXN-04071</t>
  </si>
  <si>
    <t>TXN-03997</t>
  </si>
  <si>
    <t>TXN-04000</t>
  </si>
  <si>
    <t>TXN-04022</t>
  </si>
  <si>
    <t>TXN-04052</t>
  </si>
  <si>
    <t>TXN-03907</t>
  </si>
  <si>
    <t>TXN-03916</t>
  </si>
  <si>
    <t>TXN-03929</t>
  </si>
  <si>
    <t>TXN-03966</t>
  </si>
  <si>
    <t>TXN-04069</t>
  </si>
  <si>
    <t>TXN-04073</t>
  </si>
  <si>
    <t>TXN-04082</t>
  </si>
  <si>
    <t>TXN-04013</t>
  </si>
  <si>
    <t>TXN-04023</t>
  </si>
  <si>
    <t>TXN-04030</t>
  </si>
  <si>
    <t>TXN-04054</t>
  </si>
  <si>
    <t>TXN-04064</t>
  </si>
  <si>
    <t>TXN-03884</t>
  </si>
  <si>
    <t>TXN-03903</t>
  </si>
  <si>
    <t>TXN-03928</t>
  </si>
  <si>
    <t>TXN-04104</t>
  </si>
  <si>
    <t>TXN-04021</t>
  </si>
  <si>
    <t>TXN-08223</t>
  </si>
  <si>
    <t>TXN-04053</t>
  </si>
  <si>
    <t>TXN-03890</t>
  </si>
  <si>
    <t>TXN-03905</t>
  </si>
  <si>
    <t>TXN-03918</t>
  </si>
  <si>
    <t>TXN-04081</t>
  </si>
  <si>
    <t>TXN-04087</t>
  </si>
  <si>
    <t>TXN-03981</t>
  </si>
  <si>
    <t>TXN-03983</t>
  </si>
  <si>
    <t>TXN-03992</t>
  </si>
  <si>
    <t>TXN-04058</t>
  </si>
  <si>
    <t>TXN-03896</t>
  </si>
  <si>
    <t>TXN-03921</t>
  </si>
  <si>
    <t>TXN-03944</t>
  </si>
  <si>
    <t>TXN-03990</t>
  </si>
  <si>
    <t>TXN-04014</t>
  </si>
  <si>
    <t>TXN-04049</t>
  </si>
  <si>
    <t>TXN-03881</t>
  </si>
  <si>
    <t>TXN-03912</t>
  </si>
  <si>
    <t>TXN-04091</t>
  </si>
  <si>
    <t>TXN-04003</t>
  </si>
  <si>
    <t>TXN-04034</t>
  </si>
  <si>
    <t>TXN-04037</t>
  </si>
  <si>
    <t>TXN-04047</t>
  </si>
  <si>
    <t>TXN-03945</t>
  </si>
  <si>
    <t>TXN-03956</t>
  </si>
  <si>
    <t>TXN-03980</t>
  </si>
  <si>
    <t>TXN-03998</t>
  </si>
  <si>
    <t>TXN-03999</t>
  </si>
  <si>
    <t>TXN-04004</t>
  </si>
  <si>
    <t>TXN-04017</t>
  </si>
  <si>
    <t>TXN-04026</t>
  </si>
  <si>
    <t>TXN-04029</t>
  </si>
  <si>
    <t>TXN-04059</t>
  </si>
  <si>
    <t>TXN-03880</t>
  </si>
  <si>
    <t>TXN-03926</t>
  </si>
  <si>
    <t>TXN-03947</t>
  </si>
  <si>
    <t>TXN-03955</t>
  </si>
  <si>
    <t>TXN-03959</t>
  </si>
  <si>
    <t>TXN-03973</t>
  </si>
  <si>
    <t>TXN-04097</t>
  </si>
  <si>
    <t>TXN-04062</t>
  </si>
  <si>
    <t>TXN-03901</t>
  </si>
  <si>
    <t>TXN-03938</t>
  </si>
  <si>
    <t>TXN-03963</t>
  </si>
  <si>
    <t>TXN-03974</t>
  </si>
  <si>
    <t>TXN-04077</t>
  </si>
  <si>
    <t>TXN-04088</t>
  </si>
  <si>
    <t>TXN-04107</t>
  </si>
  <si>
    <t>TXN-03978</t>
  </si>
  <si>
    <t>TXN-03994</t>
  </si>
  <si>
    <t>TXN-04009</t>
  </si>
  <si>
    <t>TXN-04018</t>
  </si>
  <si>
    <t>TXN-04048</t>
  </si>
  <si>
    <t>TXN-04057</t>
  </si>
  <si>
    <t>TXN-04066</t>
  </si>
  <si>
    <t>TXN-03909</t>
  </si>
  <si>
    <t>TXN-03915</t>
  </si>
  <si>
    <t>TXN-04031</t>
  </si>
  <si>
    <t>TXN-04042</t>
  </si>
  <si>
    <t>TXN-03900</t>
  </si>
  <si>
    <t>TXN-03958</t>
  </si>
  <si>
    <t>TXN-04095</t>
  </si>
  <si>
    <t>TXN-04098</t>
  </si>
  <si>
    <t>TXN-03991</t>
  </si>
  <si>
    <t>TXN-04051</t>
  </si>
  <si>
    <t>TXN-04055</t>
  </si>
  <si>
    <t>TXN-03882</t>
  </si>
  <si>
    <t>TXN-03962</t>
  </si>
  <si>
    <t>TXN-04010</t>
  </si>
  <si>
    <t>TXN-03899</t>
  </si>
  <si>
    <t>TXN-03904</t>
  </si>
  <si>
    <t>TXN-03925</t>
  </si>
  <si>
    <t>TXN-03941</t>
  </si>
  <si>
    <t>TXN-03946</t>
  </si>
  <si>
    <t>TXN-03996</t>
  </si>
  <si>
    <t>TXN-04006</t>
  </si>
  <si>
    <t>TXN-04007</t>
  </si>
  <si>
    <t>TXN-04063</t>
  </si>
  <si>
    <t>TXN-03892</t>
  </si>
  <si>
    <t>TXN-03898</t>
  </si>
  <si>
    <t>TXN-03906</t>
  </si>
  <si>
    <t>TXN-03913</t>
  </si>
  <si>
    <t>TXN-03942</t>
  </si>
  <si>
    <t>TXN-03952</t>
  </si>
  <si>
    <t>TXN-04019</t>
  </si>
  <si>
    <t>TXN-04036</t>
  </si>
  <si>
    <t>TXN-04040</t>
  </si>
  <si>
    <t>TXN-03923</t>
  </si>
  <si>
    <t>TXN-03984</t>
  </si>
  <si>
    <t>TXN-04044</t>
  </si>
  <si>
    <t>TXN-03891</t>
  </si>
  <si>
    <t>TXN-03893</t>
  </si>
  <si>
    <t>TXN-03939</t>
  </si>
  <si>
    <t>TXN-03968</t>
  </si>
  <si>
    <t>TXN-03975</t>
  </si>
  <si>
    <t>TXN-04075</t>
  </si>
  <si>
    <t>TXN-04106</t>
  </si>
  <si>
    <t>TXN-03985</t>
  </si>
  <si>
    <t>TXN-03883</t>
  </si>
  <si>
    <t>TXN-03919</t>
  </si>
  <si>
    <t>TXN-03927</t>
  </si>
  <si>
    <t>TXN-03970</t>
  </si>
  <si>
    <t>TXN-03976</t>
  </si>
  <si>
    <t>TXN-04068</t>
  </si>
  <si>
    <t>TXN-04261</t>
  </si>
  <si>
    <t>TXN-04275</t>
  </si>
  <si>
    <t>TXN-04196</t>
  </si>
  <si>
    <t>TXN-04287</t>
  </si>
  <si>
    <t>TXN-04310</t>
  </si>
  <si>
    <t>TXN-04314</t>
  </si>
  <si>
    <t>TXN-04203</t>
  </si>
  <si>
    <t>TXN-04209</t>
  </si>
  <si>
    <t>TXN-04240</t>
  </si>
  <si>
    <t>TXN-04252</t>
  </si>
  <si>
    <t>TXN-04272</t>
  </si>
  <si>
    <t>TXN-04145</t>
  </si>
  <si>
    <t>TXN-04191</t>
  </si>
  <si>
    <t>TXN-04292</t>
  </si>
  <si>
    <t>TXN-04318</t>
  </si>
  <si>
    <t>TXN-04222</t>
  </si>
  <si>
    <t>TXN-04228</t>
  </si>
  <si>
    <t>TXN-04229</t>
  </si>
  <si>
    <t>TXN-04256</t>
  </si>
  <si>
    <t>TXN-04268</t>
  </si>
  <si>
    <t>TXN-04140</t>
  </si>
  <si>
    <t>TXN-04167</t>
  </si>
  <si>
    <t>TXN-04174</t>
  </si>
  <si>
    <t>TXN-04186</t>
  </si>
  <si>
    <t>TXN-04290</t>
  </si>
  <si>
    <t>TXN-04296</t>
  </si>
  <si>
    <t>TXN-04304</t>
  </si>
  <si>
    <t>TXN-04216</t>
  </si>
  <si>
    <t>TXN-04251</t>
  </si>
  <si>
    <t>TXN-04110</t>
  </si>
  <si>
    <t>TXN-04120</t>
  </si>
  <si>
    <t>TXN-04127</t>
  </si>
  <si>
    <t>TXN-04135</t>
  </si>
  <si>
    <t>TXN-04188</t>
  </si>
  <si>
    <t>TXN-04189</t>
  </si>
  <si>
    <t>TXN-04283</t>
  </si>
  <si>
    <t>TXN-04204</t>
  </si>
  <si>
    <t>TXN-04223</t>
  </si>
  <si>
    <t>TXN-04226</t>
  </si>
  <si>
    <t>TXN-04281</t>
  </si>
  <si>
    <t>TXN-04121</t>
  </si>
  <si>
    <t>TXN-04148</t>
  </si>
  <si>
    <t>TXN-04158</t>
  </si>
  <si>
    <t>TXN-04162</t>
  </si>
  <si>
    <t>TXN-04282</t>
  </si>
  <si>
    <t>TXN-04294</t>
  </si>
  <si>
    <t>TXN-04243</t>
  </si>
  <si>
    <t>TXN-04197</t>
  </si>
  <si>
    <t>TXN-04212</t>
  </si>
  <si>
    <t>TXN-04236</t>
  </si>
  <si>
    <t>TXN-04264</t>
  </si>
  <si>
    <t>TXN-04125</t>
  </si>
  <si>
    <t>TXN-04180</t>
  </si>
  <si>
    <t>TXN-04284</t>
  </si>
  <si>
    <t>TXN-04316</t>
  </si>
  <si>
    <t>TXN-04234</t>
  </si>
  <si>
    <t>TXN-04253</t>
  </si>
  <si>
    <t>TXN-04273</t>
  </si>
  <si>
    <t>TXN-04150</t>
  </si>
  <si>
    <t>TXN-04182</t>
  </si>
  <si>
    <t>TXN-04286</t>
  </si>
  <si>
    <t>TXN-04308</t>
  </si>
  <si>
    <t>TXN-04194</t>
  </si>
  <si>
    <t>TXN-04311</t>
  </si>
  <si>
    <t>TXN-04313</t>
  </si>
  <si>
    <t>TXN-04114</t>
  </si>
  <si>
    <t>TXN-04131</t>
  </si>
  <si>
    <t>TXN-04139</t>
  </si>
  <si>
    <t>TXN-04159</t>
  </si>
  <si>
    <t>TXN-04160</t>
  </si>
  <si>
    <t>TXN-04312</t>
  </si>
  <si>
    <t>TXN-04263</t>
  </si>
  <si>
    <t>TXN-04322</t>
  </si>
  <si>
    <t>TXN-04232</t>
  </si>
  <si>
    <t>TXN-08226</t>
  </si>
  <si>
    <t>TXN-04241</t>
  </si>
  <si>
    <t>TXN-04246</t>
  </si>
  <si>
    <t>TXN-04117</t>
  </si>
  <si>
    <t>TXN-04146</t>
  </si>
  <si>
    <t>TXN-04164</t>
  </si>
  <si>
    <t>TXN-04302</t>
  </si>
  <si>
    <t>TXN-04307</t>
  </si>
  <si>
    <t>TXN-04200</t>
  </si>
  <si>
    <t>TXN-04254</t>
  </si>
  <si>
    <t>TXN-04130</t>
  </si>
  <si>
    <t>TXN-04153</t>
  </si>
  <si>
    <t>TXN-04161</t>
  </si>
  <si>
    <t>TXN-04172</t>
  </si>
  <si>
    <t>TXN-04192</t>
  </si>
  <si>
    <t>TXN-04201</t>
  </si>
  <si>
    <t>TXN-04233</t>
  </si>
  <si>
    <t>TXN-04262</t>
  </si>
  <si>
    <t>TXN-04133</t>
  </si>
  <si>
    <t>TXN-04144</t>
  </si>
  <si>
    <t>TXN-04165</t>
  </si>
  <si>
    <t>TXN-04195</t>
  </si>
  <si>
    <t>TXN-04202</t>
  </si>
  <si>
    <t>TXN-04248</t>
  </si>
  <si>
    <t>TXN-04141</t>
  </si>
  <si>
    <t>TXN-04291</t>
  </si>
  <si>
    <t>TXN-04298</t>
  </si>
  <si>
    <t>TXN-04315</t>
  </si>
  <si>
    <t>TXN-04208</t>
  </si>
  <si>
    <t>TXN-04260</t>
  </si>
  <si>
    <t>TXN-04266</t>
  </si>
  <si>
    <t>TXN-04270</t>
  </si>
  <si>
    <t>TXN-04274</t>
  </si>
  <si>
    <t>TXN-04279</t>
  </si>
  <si>
    <t>TXN-04115</t>
  </si>
  <si>
    <t>TXN-04123</t>
  </si>
  <si>
    <t>TXN-04143</t>
  </si>
  <si>
    <t>TXN-04297</t>
  </si>
  <si>
    <t>TXN-04198</t>
  </si>
  <si>
    <t>TXN-04112</t>
  </si>
  <si>
    <t>TXN-04163</t>
  </si>
  <si>
    <t>TXN-04300</t>
  </si>
  <si>
    <t>TXN-04242</t>
  </si>
  <si>
    <t>TXN-04319</t>
  </si>
  <si>
    <t>TXN-04324</t>
  </si>
  <si>
    <t>TXN-04238</t>
  </si>
  <si>
    <t>TXN-04249</t>
  </si>
  <si>
    <t>TXN-04111</t>
  </si>
  <si>
    <t>TXN-04124</t>
  </si>
  <si>
    <t>TXN-04132</t>
  </si>
  <si>
    <t>TXN-04149</t>
  </si>
  <si>
    <t>TXN-04155</t>
  </si>
  <si>
    <t>TXN-04169</t>
  </si>
  <si>
    <t>TXN-04177</t>
  </si>
  <si>
    <t>TXN-04205</t>
  </si>
  <si>
    <t>TXN-04218</t>
  </si>
  <si>
    <t>TXN-04258</t>
  </si>
  <si>
    <t>TXN-04277</t>
  </si>
  <si>
    <t>TXN-04154</t>
  </si>
  <si>
    <t>TXN-04170</t>
  </si>
  <si>
    <t>TXN-04176</t>
  </si>
  <si>
    <t>TXN-04185</t>
  </si>
  <si>
    <t>TXN-04187</t>
  </si>
  <si>
    <t>TXN-04293</t>
  </si>
  <si>
    <t>TXN-04221</t>
  </si>
  <si>
    <t>TXN-04183</t>
  </si>
  <si>
    <t>TXN-04206</t>
  </si>
  <si>
    <t>TXN-04213</t>
  </si>
  <si>
    <t>TXN-04231</t>
  </si>
  <si>
    <t>TXN-04235</t>
  </si>
  <si>
    <t>TXN-04278</t>
  </si>
  <si>
    <t>TXN-04116</t>
  </si>
  <si>
    <t>TXN-04122</t>
  </si>
  <si>
    <t>TXN-04137</t>
  </si>
  <si>
    <t>TXN-04295</t>
  </si>
  <si>
    <t>TXN-04317</t>
  </si>
  <si>
    <t>TXN-04199</t>
  </si>
  <si>
    <t>TXN-04259</t>
  </si>
  <si>
    <t>TXN-04119</t>
  </si>
  <si>
    <t>TXN-04301</t>
  </si>
  <si>
    <t>TXN-04214</t>
  </si>
  <si>
    <t>TXN-04219</t>
  </si>
  <si>
    <t>TXN-04269</t>
  </si>
  <si>
    <t>TXN-04271</t>
  </si>
  <si>
    <t>TXN-04179</t>
  </si>
  <si>
    <t>TXN-04181</t>
  </si>
  <si>
    <t>TXN-04288</t>
  </si>
  <si>
    <t>TXN-04306</t>
  </si>
  <si>
    <t>TXN-04276</t>
  </si>
  <si>
    <t>TXN-04280</t>
  </si>
  <si>
    <t>TXN-04113</t>
  </si>
  <si>
    <t>TXN-04157</t>
  </si>
  <si>
    <t>TXN-04171</t>
  </si>
  <si>
    <t>TXN-04299</t>
  </si>
  <si>
    <t>TXN-04309</t>
  </si>
  <si>
    <t>TXN-04225</t>
  </si>
  <si>
    <t>TXN-04227</t>
  </si>
  <si>
    <t>TXN-04230</t>
  </si>
  <si>
    <t>TXN-04250</t>
  </si>
  <si>
    <t>TXN-04152</t>
  </si>
  <si>
    <t>TXN-04156</t>
  </si>
  <si>
    <t>TXN-04173</t>
  </si>
  <si>
    <t>TXN-04321</t>
  </si>
  <si>
    <t>TXN-04323</t>
  </si>
  <si>
    <t>TXN-04215</t>
  </si>
  <si>
    <t>TXN-08228</t>
  </si>
  <si>
    <t>TXN-04237</t>
  </si>
  <si>
    <t>TXN-04244</t>
  </si>
  <si>
    <t>TXN-04245</t>
  </si>
  <si>
    <t>TXN-04118</t>
  </si>
  <si>
    <t>TXN-04142</t>
  </si>
  <si>
    <t>TXN-04175</t>
  </si>
  <si>
    <t>TXN-04190</t>
  </si>
  <si>
    <t>TXN-04193</t>
  </si>
  <si>
    <t>TXN-04305</t>
  </si>
  <si>
    <t>TXN-04255</t>
  </si>
  <si>
    <t>TXN-04178</t>
  </si>
  <si>
    <t>TXN-04289</t>
  </si>
  <si>
    <t>TXN-04210</t>
  </si>
  <si>
    <t>TXN-04247</t>
  </si>
  <si>
    <t>TXN-04267</t>
  </si>
  <si>
    <t>TXN-04211</t>
  </si>
  <si>
    <t>TXN-04257</t>
  </si>
  <si>
    <t>TXN-04265</t>
  </si>
  <si>
    <t>TXN-04126</t>
  </si>
  <si>
    <t>TXN-04129</t>
  </si>
  <si>
    <t>TXN-04136</t>
  </si>
  <si>
    <t>TXN-04151</t>
  </si>
  <si>
    <t>TXN-04166</t>
  </si>
  <si>
    <t>TXN-04168</t>
  </si>
  <si>
    <t>TXN-04184</t>
  </si>
  <si>
    <t>TXN-04285</t>
  </si>
  <si>
    <t>TXN-04320</t>
  </si>
  <si>
    <t>TXN-04325</t>
  </si>
  <si>
    <t>TXN-04207</t>
  </si>
  <si>
    <t>TXN-04224</t>
  </si>
  <si>
    <t>TXN-04239</t>
  </si>
  <si>
    <t>TXN-04128</t>
  </si>
  <si>
    <t>TXN-04134</t>
  </si>
  <si>
    <t>TXN-04138</t>
  </si>
  <si>
    <t>TXN-04147</t>
  </si>
  <si>
    <t>TXN-04303</t>
  </si>
  <si>
    <t>TXN-04217</t>
  </si>
  <si>
    <t>TXN-04220</t>
  </si>
  <si>
    <t>TXN-08227</t>
  </si>
  <si>
    <t>TXN-04484</t>
  </si>
  <si>
    <t>TXN-04503</t>
  </si>
  <si>
    <t>TXN-04353</t>
  </si>
  <si>
    <t>TXN-04366</t>
  </si>
  <si>
    <t>TXN-04396</t>
  </si>
  <si>
    <t>TXN-04513</t>
  </si>
  <si>
    <t>TXN-04516</t>
  </si>
  <si>
    <t>TXN-04542</t>
  </si>
  <si>
    <t>TXN-04430</t>
  </si>
  <si>
    <t>TXN-04431</t>
  </si>
  <si>
    <t>TXN-04452</t>
  </si>
  <si>
    <t>TXN-08231</t>
  </si>
  <si>
    <t>TXN-04472</t>
  </si>
  <si>
    <t>TXN-04487</t>
  </si>
  <si>
    <t>TXN-04493</t>
  </si>
  <si>
    <t>TXN-04495</t>
  </si>
  <si>
    <t>TXN-04339</t>
  </si>
  <si>
    <t>TXN-04341</t>
  </si>
  <si>
    <t>TXN-04403</t>
  </si>
  <si>
    <t>TXN-04539</t>
  </si>
  <si>
    <t>TXN-04454</t>
  </si>
  <si>
    <t>TXN-04501</t>
  </si>
  <si>
    <t>TXN-04357</t>
  </si>
  <si>
    <t>TXN-04359</t>
  </si>
  <si>
    <t>TXN-04389</t>
  </si>
  <si>
    <t>TXN-04510</t>
  </si>
  <si>
    <t>TXN-04494</t>
  </si>
  <si>
    <t>TXN-04335</t>
  </si>
  <si>
    <t>TXN-04348</t>
  </si>
  <si>
    <t>TXN-04355</t>
  </si>
  <si>
    <t>TXN-04508</t>
  </si>
  <si>
    <t>TXN-04423</t>
  </si>
  <si>
    <t>TXN-04429</t>
  </si>
  <si>
    <t>TXN-04444</t>
  </si>
  <si>
    <t>TXN-04468</t>
  </si>
  <si>
    <t>TXN-04360</t>
  </si>
  <si>
    <t>TXN-04395</t>
  </si>
  <si>
    <t>TXN-04397</t>
  </si>
  <si>
    <t>TXN-04523</t>
  </si>
  <si>
    <t>TXN-04536</t>
  </si>
  <si>
    <t>TXN-04465</t>
  </si>
  <si>
    <t>TXN-04364</t>
  </si>
  <si>
    <t>TXN-04393</t>
  </si>
  <si>
    <t>TXN-04540</t>
  </si>
  <si>
    <t>TXN-04550</t>
  </si>
  <si>
    <t>TXN-04441</t>
  </si>
  <si>
    <t>TXN-04481</t>
  </si>
  <si>
    <t>TXN-04367</t>
  </si>
  <si>
    <t>TXN-04538</t>
  </si>
  <si>
    <t>TXN-04432</t>
  </si>
  <si>
    <t>TXN-04462</t>
  </si>
  <si>
    <t>TXN-04464</t>
  </si>
  <si>
    <t>TXN-04470</t>
  </si>
  <si>
    <t>TXN-04477</t>
  </si>
  <si>
    <t>TXN-04490</t>
  </si>
  <si>
    <t>TXN-04331</t>
  </si>
  <si>
    <t>TXN-04346</t>
  </si>
  <si>
    <t>TXN-04378</t>
  </si>
  <si>
    <t>TXN-04380</t>
  </si>
  <si>
    <t>TXN-04386</t>
  </si>
  <si>
    <t>TXN-04414</t>
  </si>
  <si>
    <t>TXN-04446</t>
  </si>
  <si>
    <t>TXN-04471</t>
  </si>
  <si>
    <t>TXN-04476</t>
  </si>
  <si>
    <t>TXN-04498</t>
  </si>
  <si>
    <t>TXN-04334</t>
  </si>
  <si>
    <t>TXN-04394</t>
  </si>
  <si>
    <t>TXN-04507</t>
  </si>
  <si>
    <t>TXN-04530</t>
  </si>
  <si>
    <t>TXN-04437</t>
  </si>
  <si>
    <t>TXN-04438</t>
  </si>
  <si>
    <t>TXN-04496</t>
  </si>
  <si>
    <t>TXN-04365</t>
  </si>
  <si>
    <t>TXN-04400</t>
  </si>
  <si>
    <t>TXN-04406</t>
  </si>
  <si>
    <t>TXN-04512</t>
  </si>
  <si>
    <t>TXN-04519</t>
  </si>
  <si>
    <t>TXN-04546</t>
  </si>
  <si>
    <t>TXN-04450</t>
  </si>
  <si>
    <t>TXN-04350</t>
  </si>
  <si>
    <t>TXN-04358</t>
  </si>
  <si>
    <t>TXN-04375</t>
  </si>
  <si>
    <t>TXN-04377</t>
  </si>
  <si>
    <t>TXN-04388</t>
  </si>
  <si>
    <t>TXN-04412</t>
  </si>
  <si>
    <t>TXN-04415</t>
  </si>
  <si>
    <t>TXN-04417</t>
  </si>
  <si>
    <t>TXN-04529</t>
  </si>
  <si>
    <t>TXN-04533</t>
  </si>
  <si>
    <t>TXN-04381</t>
  </si>
  <si>
    <t>TXN-04398</t>
  </si>
  <si>
    <t>TXN-04422</t>
  </si>
  <si>
    <t>TXN-04460</t>
  </si>
  <si>
    <t>TXN-04474</t>
  </si>
  <si>
    <t>TXN-04475</t>
  </si>
  <si>
    <t>TXN-04370</t>
  </si>
  <si>
    <t>TXN-04509</t>
  </si>
  <si>
    <t>TXN-04514</t>
  </si>
  <si>
    <t>TXN-04463</t>
  </si>
  <si>
    <t>TXN-04492</t>
  </si>
  <si>
    <t>TXN-04326</t>
  </si>
  <si>
    <t>TXN-04362</t>
  </si>
  <si>
    <t>TXN-04506</t>
  </si>
  <si>
    <t>TXN-04527</t>
  </si>
  <si>
    <t>TXN-04535</t>
  </si>
  <si>
    <t>TXN-04543</t>
  </si>
  <si>
    <t>TXN-04433</t>
  </si>
  <si>
    <t>TXN-04479</t>
  </si>
  <si>
    <t>TXN-04337</t>
  </si>
  <si>
    <t>TXN-04338</t>
  </si>
  <si>
    <t>TXN-04343</t>
  </si>
  <si>
    <t>TXN-04356</t>
  </si>
  <si>
    <t>TXN-04384</t>
  </si>
  <si>
    <t>TXN-04515</t>
  </si>
  <si>
    <t>TXN-04517</t>
  </si>
  <si>
    <t>TXN-04436</t>
  </si>
  <si>
    <t>TXN-04442</t>
  </si>
  <si>
    <t>TXN-04461</t>
  </si>
  <si>
    <t>TXN-04391</t>
  </si>
  <si>
    <t>TXN-04532</t>
  </si>
  <si>
    <t>TXN-04534</t>
  </si>
  <si>
    <t>TXN-04548</t>
  </si>
  <si>
    <t>TXN-04424</t>
  </si>
  <si>
    <t>TXN-04448</t>
  </si>
  <si>
    <t>TXN-04453</t>
  </si>
  <si>
    <t>TXN-04372</t>
  </si>
  <si>
    <t>TXN-04390</t>
  </si>
  <si>
    <t>TXN-04413</t>
  </si>
  <si>
    <t>TXN-04416</t>
  </si>
  <si>
    <t>TXN-04537</t>
  </si>
  <si>
    <t>TXN-04544</t>
  </si>
  <si>
    <t>TXN-04420</t>
  </si>
  <si>
    <t>TXN-04457</t>
  </si>
  <si>
    <t>TXN-04488</t>
  </si>
  <si>
    <t>TXN-04382</t>
  </si>
  <si>
    <t>TXN-04511</t>
  </si>
  <si>
    <t>TXN-04521</t>
  </si>
  <si>
    <t>TXN-04480</t>
  </si>
  <si>
    <t>TXN-04332</t>
  </si>
  <si>
    <t>TXN-04385</t>
  </si>
  <si>
    <t>TXN-04410</t>
  </si>
  <si>
    <t>TXN-04518</t>
  </si>
  <si>
    <t>TXN-04522</t>
  </si>
  <si>
    <t>TXN-04545</t>
  </si>
  <si>
    <t>TXN-08229</t>
  </si>
  <si>
    <t>TXN-04469</t>
  </si>
  <si>
    <t>TXN-04482</t>
  </si>
  <si>
    <t>TXN-04483</t>
  </si>
  <si>
    <t>TXN-04333</t>
  </si>
  <si>
    <t>TXN-04354</t>
  </si>
  <si>
    <t>TXN-04361</t>
  </si>
  <si>
    <t>TXN-04387</t>
  </si>
  <si>
    <t>TXN-04402</t>
  </si>
  <si>
    <t>TXN-04455</t>
  </si>
  <si>
    <t>TXN-04497</t>
  </si>
  <si>
    <t>TXN-04499</t>
  </si>
  <si>
    <t>TXN-04340</t>
  </si>
  <si>
    <t>TXN-04383</t>
  </si>
  <si>
    <t>TXN-04405</t>
  </si>
  <si>
    <t>TXN-04411</t>
  </si>
  <si>
    <t>TXN-04451</t>
  </si>
  <si>
    <t>TXN-04456</t>
  </si>
  <si>
    <t>TXN-04466</t>
  </si>
  <si>
    <t>TXN-04473</t>
  </si>
  <si>
    <t>TXN-04349</t>
  </si>
  <si>
    <t>TXN-04428</t>
  </si>
  <si>
    <t>TXN-04447</t>
  </si>
  <si>
    <t>TXN-04459</t>
  </si>
  <si>
    <t>TXN-04467</t>
  </si>
  <si>
    <t>TXN-04351</t>
  </si>
  <si>
    <t>TXN-04399</t>
  </si>
  <si>
    <t>TXN-04502</t>
  </si>
  <si>
    <t>TXN-04504</t>
  </si>
  <si>
    <t>TXN-04328</t>
  </si>
  <si>
    <t>TXN-04373</t>
  </si>
  <si>
    <t>TXN-04379</t>
  </si>
  <si>
    <t>TXN-04407</t>
  </si>
  <si>
    <t>TXN-04525</t>
  </si>
  <si>
    <t>TXN-04541</t>
  </si>
  <si>
    <t>TXN-04440</t>
  </si>
  <si>
    <t>TXN-04485</t>
  </si>
  <si>
    <t>TXN-04486</t>
  </si>
  <si>
    <t>TXN-04344</t>
  </si>
  <si>
    <t>TXN-04408</t>
  </si>
  <si>
    <t>TXN-04418</t>
  </si>
  <si>
    <t>TXN-04526</t>
  </si>
  <si>
    <t>TXN-04427</t>
  </si>
  <si>
    <t>TXN-04330</t>
  </si>
  <si>
    <t>TXN-04374</t>
  </si>
  <si>
    <t>TXN-04520</t>
  </si>
  <si>
    <t>TXN-04531</t>
  </si>
  <si>
    <t>TXN-04439</t>
  </si>
  <si>
    <t>TXN-04478</t>
  </si>
  <si>
    <t>TXN-04489</t>
  </si>
  <si>
    <t>TXN-04500</t>
  </si>
  <si>
    <t>TXN-04505</t>
  </si>
  <si>
    <t>TXN-04336</t>
  </si>
  <si>
    <t>TXN-04369</t>
  </si>
  <si>
    <t>TXN-04376</t>
  </si>
  <si>
    <t>TXN-04524</t>
  </si>
  <si>
    <t>TXN-04528</t>
  </si>
  <si>
    <t>TXN-04419</t>
  </si>
  <si>
    <t>TXN-04434</t>
  </si>
  <si>
    <t>TXN-04445</t>
  </si>
  <si>
    <t>TXN-04449</t>
  </si>
  <si>
    <t>TXN-04458</t>
  </si>
  <si>
    <t>TXN-04345</t>
  </si>
  <si>
    <t>TXN-04347</t>
  </si>
  <si>
    <t>TXN-04342</t>
  </si>
  <si>
    <t>TXN-04392</t>
  </si>
  <si>
    <t>TXN-04401</t>
  </si>
  <si>
    <t>TXN-04409</t>
  </si>
  <si>
    <t>TXN-04421</t>
  </si>
  <si>
    <t>TXN-04425</t>
  </si>
  <si>
    <t>TXN-04443</t>
  </si>
  <si>
    <t>TXN-04491</t>
  </si>
  <si>
    <t>TXN-04329</t>
  </si>
  <si>
    <t>TXN-04404</t>
  </si>
  <si>
    <t>TXN-04549</t>
  </si>
  <si>
    <t>TXN-04435</t>
  </si>
  <si>
    <t>TXN-04327</t>
  </si>
  <si>
    <t>TXN-04352</t>
  </si>
  <si>
    <t>TXN-04363</t>
  </si>
  <si>
    <t>TXN-04368</t>
  </si>
  <si>
    <t>TXN-04371</t>
  </si>
  <si>
    <t>TXN-04547</t>
  </si>
  <si>
    <t>TXN-04426</t>
  </si>
  <si>
    <t>TXN-08230</t>
  </si>
  <si>
    <t>TXN-04553</t>
  </si>
  <si>
    <t>TXN-04592</t>
  </si>
  <si>
    <t>TXN-04614</t>
  </si>
  <si>
    <t>TXN-04755</t>
  </si>
  <si>
    <t>TXN-04756</t>
  </si>
  <si>
    <t>TXN-04674</t>
  </si>
  <si>
    <t>TXN-08232</t>
  </si>
  <si>
    <t>TXN-04721</t>
  </si>
  <si>
    <t>TXN-04722</t>
  </si>
  <si>
    <t>TXN-04556</t>
  </si>
  <si>
    <t>TXN-04633</t>
  </si>
  <si>
    <t>TXN-04740</t>
  </si>
  <si>
    <t>TXN-04642</t>
  </si>
  <si>
    <t>TXN-04648</t>
  </si>
  <si>
    <t>TXN-04697</t>
  </si>
  <si>
    <t>TXN-04718</t>
  </si>
  <si>
    <t>TXN-04571</t>
  </si>
  <si>
    <t>TXN-04608</t>
  </si>
  <si>
    <t>TXN-04630</t>
  </si>
  <si>
    <t>TXN-04739</t>
  </si>
  <si>
    <t>TXN-04761</t>
  </si>
  <si>
    <t>TXN-04639</t>
  </si>
  <si>
    <t>TXN-04671</t>
  </si>
  <si>
    <t>TXN-04678</t>
  </si>
  <si>
    <t>TXN-04595</t>
  </si>
  <si>
    <t>TXN-04610</t>
  </si>
  <si>
    <t>TXN-04625</t>
  </si>
  <si>
    <t>TXN-04731</t>
  </si>
  <si>
    <t>TXN-04734</t>
  </si>
  <si>
    <t>TXN-04681</t>
  </si>
  <si>
    <t>TXN-04552</t>
  </si>
  <si>
    <t>TXN-04574</t>
  </si>
  <si>
    <t>TXN-04735</t>
  </si>
  <si>
    <t>TXN-04757</t>
  </si>
  <si>
    <t>TXN-04670</t>
  </si>
  <si>
    <t>TXN-04702</t>
  </si>
  <si>
    <t>TXN-04707</t>
  </si>
  <si>
    <t>TXN-04557</t>
  </si>
  <si>
    <t>TXN-04566</t>
  </si>
  <si>
    <t>TXN-04572</t>
  </si>
  <si>
    <t>TXN-04613</t>
  </si>
  <si>
    <t>TXN-04634</t>
  </si>
  <si>
    <t>TXN-04733</t>
  </si>
  <si>
    <t>TXN-04657</t>
  </si>
  <si>
    <t>TXN-04696</t>
  </si>
  <si>
    <t>TXN-04554</t>
  </si>
  <si>
    <t>TXN-04569</t>
  </si>
  <si>
    <t>TXN-04590</t>
  </si>
  <si>
    <t>TXN-04616</t>
  </si>
  <si>
    <t>TXN-04647</t>
  </si>
  <si>
    <t>TXN-04636</t>
  </si>
  <si>
    <t>TXN-04759</t>
  </si>
  <si>
    <t>TXN-04677</t>
  </si>
  <si>
    <t>TXN-04701</t>
  </si>
  <si>
    <t>TXN-04712</t>
  </si>
  <si>
    <t>TXN-04560</t>
  </si>
  <si>
    <t>TXN-04617</t>
  </si>
  <si>
    <t>TXN-04622</t>
  </si>
  <si>
    <t>TXN-04727</t>
  </si>
  <si>
    <t>TXN-04748</t>
  </si>
  <si>
    <t>TXN-04699</t>
  </si>
  <si>
    <t>TXN-04576</t>
  </si>
  <si>
    <t>TXN-04638</t>
  </si>
  <si>
    <t>TXN-04664</t>
  </si>
  <si>
    <t>TXN-04676</t>
  </si>
  <si>
    <t>TXN-04715</t>
  </si>
  <si>
    <t>TXN-04719</t>
  </si>
  <si>
    <t>TXN-04551</t>
  </si>
  <si>
    <t>TXN-04573</t>
  </si>
  <si>
    <t>TXN-04623</t>
  </si>
  <si>
    <t>TXN-04627</t>
  </si>
  <si>
    <t>TXN-04765</t>
  </si>
  <si>
    <t>TXN-04645</t>
  </si>
  <si>
    <t>TXN-04652</t>
  </si>
  <si>
    <t>TXN-04655</t>
  </si>
  <si>
    <t>TXN-04663</t>
  </si>
  <si>
    <t>TXN-04691</t>
  </si>
  <si>
    <t>TXN-04714</t>
  </si>
  <si>
    <t>TXN-04587</t>
  </si>
  <si>
    <t>TXN-04591</t>
  </si>
  <si>
    <t>TXN-04593</t>
  </si>
  <si>
    <t>TXN-04605</t>
  </si>
  <si>
    <t>TXN-04728</t>
  </si>
  <si>
    <t>TXN-04644</t>
  </si>
  <si>
    <t>TXN-04686</t>
  </si>
  <si>
    <t>TXN-04688</t>
  </si>
  <si>
    <t>TXN-04744</t>
  </si>
  <si>
    <t>TXN-04754</t>
  </si>
  <si>
    <t>TXN-04667</t>
  </si>
  <si>
    <t>TXN-04673</t>
  </si>
  <si>
    <t>TXN-04685</t>
  </si>
  <si>
    <t>TXN-04725</t>
  </si>
  <si>
    <t>TXN-04654</t>
  </si>
  <si>
    <t>TXN-04666</t>
  </si>
  <si>
    <t>TXN-04709</t>
  </si>
  <si>
    <t>TXN-04723</t>
  </si>
  <si>
    <t>TXN-04555</t>
  </si>
  <si>
    <t>TXN-04584</t>
  </si>
  <si>
    <t>TXN-04609</t>
  </si>
  <si>
    <t>TXN-04618</t>
  </si>
  <si>
    <t>TXN-04729</t>
  </si>
  <si>
    <t>TXN-04737</t>
  </si>
  <si>
    <t>TXN-04758</t>
  </si>
  <si>
    <t>TXN-04767</t>
  </si>
  <si>
    <t>TXN-08234</t>
  </si>
  <si>
    <t>TXN-04689</t>
  </si>
  <si>
    <t>TXN-04695</t>
  </si>
  <si>
    <t>TXN-04579</t>
  </si>
  <si>
    <t>TXN-04598</t>
  </si>
  <si>
    <t>TXN-04603</t>
  </si>
  <si>
    <t>TXN-04764</t>
  </si>
  <si>
    <t>TXN-04649</t>
  </si>
  <si>
    <t>TXN-04680</t>
  </si>
  <si>
    <t>TXN-04692</t>
  </si>
  <si>
    <t>TXN-04703</t>
  </si>
  <si>
    <t>TXN-04720</t>
  </si>
  <si>
    <t>TXN-04596</t>
  </si>
  <si>
    <t>TXN-04620</t>
  </si>
  <si>
    <t>TXN-04742</t>
  </si>
  <si>
    <t>TXN-04753</t>
  </si>
  <si>
    <t>TXN-04646</t>
  </si>
  <si>
    <t>TXN-04668</t>
  </si>
  <si>
    <t>TXN-04717</t>
  </si>
  <si>
    <t>TXN-04563</t>
  </si>
  <si>
    <t>TXN-04577</t>
  </si>
  <si>
    <t>TXN-04586</t>
  </si>
  <si>
    <t>TXN-04732</t>
  </si>
  <si>
    <t>TXN-04643</t>
  </si>
  <si>
    <t>TXN-04708</t>
  </si>
  <si>
    <t>TXN-04561</t>
  </si>
  <si>
    <t>TXN-04564</t>
  </si>
  <si>
    <t>TXN-04568</t>
  </si>
  <si>
    <t>TXN-04594</t>
  </si>
  <si>
    <t>TXN-04635</t>
  </si>
  <si>
    <t>TXN-04750</t>
  </si>
  <si>
    <t>TXN-04762</t>
  </si>
  <si>
    <t>TXN-04640</t>
  </si>
  <si>
    <t>TXN-04650</t>
  </si>
  <si>
    <t>TXN-04651</t>
  </si>
  <si>
    <t>TXN-04693</t>
  </si>
  <si>
    <t>TXN-04562</t>
  </si>
  <si>
    <t>TXN-04619</t>
  </si>
  <si>
    <t>TXN-04763</t>
  </si>
  <si>
    <t>TXN-04694</t>
  </si>
  <si>
    <t>TXN-04698</t>
  </si>
  <si>
    <t>TXN-04710</t>
  </si>
  <si>
    <t>TXN-04558</t>
  </si>
  <si>
    <t>TXN-04559</t>
  </si>
  <si>
    <t>TXN-04582</t>
  </si>
  <si>
    <t>TXN-04597</t>
  </si>
  <si>
    <t>TXN-04600</t>
  </si>
  <si>
    <t>TXN-04611</t>
  </si>
  <si>
    <t>TXN-04621</t>
  </si>
  <si>
    <t>TXN-04629</t>
  </si>
  <si>
    <t>TXN-04730</t>
  </si>
  <si>
    <t>TXN-04700</t>
  </si>
  <si>
    <t>TXN-04705</t>
  </si>
  <si>
    <t>TXN-04575</t>
  </si>
  <si>
    <t>TXN-04724</t>
  </si>
  <si>
    <t>TXN-04679</t>
  </si>
  <si>
    <t>TXN-04683</t>
  </si>
  <si>
    <t>TXN-04599</t>
  </si>
  <si>
    <t>TXN-04749</t>
  </si>
  <si>
    <t>TXN-04760</t>
  </si>
  <si>
    <t>TXN-04682</t>
  </si>
  <si>
    <t>TXN-04684</t>
  </si>
  <si>
    <t>TXN-04565</t>
  </si>
  <si>
    <t>TXN-04604</t>
  </si>
  <si>
    <t>TXN-04607</t>
  </si>
  <si>
    <t>TXN-04626</t>
  </si>
  <si>
    <t>TXN-04741</t>
  </si>
  <si>
    <t>TXN-04745</t>
  </si>
  <si>
    <t>TXN-04752</t>
  </si>
  <si>
    <t>TXN-04660</t>
  </si>
  <si>
    <t>TXN-04662</t>
  </si>
  <si>
    <t>TXN-04711</t>
  </si>
  <si>
    <t>TXN-04578</t>
  </si>
  <si>
    <t>TXN-04589</t>
  </si>
  <si>
    <t>TXN-04632</t>
  </si>
  <si>
    <t>TXN-04726</t>
  </si>
  <si>
    <t>TXN-04751</t>
  </si>
  <si>
    <t>TXN-04641</t>
  </si>
  <si>
    <t>TXN-04658</t>
  </si>
  <si>
    <t>TXN-04665</t>
  </si>
  <si>
    <t>TXN-04704</t>
  </si>
  <si>
    <t>TXN-04713</t>
  </si>
  <si>
    <t>TXN-04716</t>
  </si>
  <si>
    <t>TXN-04567</t>
  </si>
  <si>
    <t>TXN-04570</t>
  </si>
  <si>
    <t>TXN-04585</t>
  </si>
  <si>
    <t>TXN-04628</t>
  </si>
  <si>
    <t>TXN-04747</t>
  </si>
  <si>
    <t>TXN-04659</t>
  </si>
  <si>
    <t>TXN-04672</t>
  </si>
  <si>
    <t>TXN-08233</t>
  </si>
  <si>
    <t>TXN-04687</t>
  </si>
  <si>
    <t>TXN-04580</t>
  </si>
  <si>
    <t>TXN-04583</t>
  </si>
  <si>
    <t>TXN-04601</t>
  </si>
  <si>
    <t>TXN-04612</t>
  </si>
  <si>
    <t>TXN-04615</t>
  </si>
  <si>
    <t>TXN-04631</t>
  </si>
  <si>
    <t>TXN-04738</t>
  </si>
  <si>
    <t>TXN-04746</t>
  </si>
  <si>
    <t>TXN-04766</t>
  </si>
  <si>
    <t>TXN-04661</t>
  </si>
  <si>
    <t>TXN-04706</t>
  </si>
  <si>
    <t>TXN-04588</t>
  </si>
  <si>
    <t>TXN-04653</t>
  </si>
  <si>
    <t>TXN-04690</t>
  </si>
  <si>
    <t>TXN-04581</t>
  </si>
  <si>
    <t>TXN-04606</t>
  </si>
  <si>
    <t>TXN-04637</t>
  </si>
  <si>
    <t>TXN-04736</t>
  </si>
  <si>
    <t>TXN-04669</t>
  </si>
  <si>
    <t>TXN-04675</t>
  </si>
  <si>
    <t>TXN-04602</t>
  </si>
  <si>
    <t>TXN-04624</t>
  </si>
  <si>
    <t>TXN-04743</t>
  </si>
  <si>
    <t>TXN-04656</t>
  </si>
  <si>
    <t>TXN-04917</t>
  </si>
  <si>
    <t>TXN-04818</t>
  </si>
  <si>
    <t>TXN-04851</t>
  </si>
  <si>
    <t>TXN-04971</t>
  </si>
  <si>
    <t>TXN-04979</t>
  </si>
  <si>
    <t>TXN-04858</t>
  </si>
  <si>
    <t>TXN-04886</t>
  </si>
  <si>
    <t>TXN-04770</t>
  </si>
  <si>
    <t>TXN-04872</t>
  </si>
  <si>
    <t>TXN-04804</t>
  </si>
  <si>
    <t>TXN-04941</t>
  </si>
  <si>
    <t>TXN-04960</t>
  </si>
  <si>
    <t>TXN-04867</t>
  </si>
  <si>
    <t>TXN-04881</t>
  </si>
  <si>
    <t>TXN-04927</t>
  </si>
  <si>
    <t>TXN-04933</t>
  </si>
  <si>
    <t>TXN-04936</t>
  </si>
  <si>
    <t>TXN-04782</t>
  </si>
  <si>
    <t>TXN-04952</t>
  </si>
  <si>
    <t>TXN-04878</t>
  </si>
  <si>
    <t>TXN-04882</t>
  </si>
  <si>
    <t>TXN-04913</t>
  </si>
  <si>
    <t>TXN-04775</t>
  </si>
  <si>
    <t>TXN-04810</t>
  </si>
  <si>
    <t>TXN-04828</t>
  </si>
  <si>
    <t>TXN-04840</t>
  </si>
  <si>
    <t>TXN-04846</t>
  </si>
  <si>
    <t>TXN-04966</t>
  </si>
  <si>
    <t>TXN-04986</t>
  </si>
  <si>
    <t>TXN-04854</t>
  </si>
  <si>
    <t>TXN-04896</t>
  </si>
  <si>
    <t>TXN-04906</t>
  </si>
  <si>
    <t>TXN-04928</t>
  </si>
  <si>
    <t>TXN-04808</t>
  </si>
  <si>
    <t>TXN-04830</t>
  </si>
  <si>
    <t>TXN-04961</t>
  </si>
  <si>
    <t>TXN-04967</t>
  </si>
  <si>
    <t>TXN-04857</t>
  </si>
  <si>
    <t>TXN-04901</t>
  </si>
  <si>
    <t>TXN-04772</t>
  </si>
  <si>
    <t>TXN-04833</t>
  </si>
  <si>
    <t>TXN-04950</t>
  </si>
  <si>
    <t>TXN-04977</t>
  </si>
  <si>
    <t>TXN-04876</t>
  </si>
  <si>
    <t>TXN-08235</t>
  </si>
  <si>
    <t>TXN-04799</t>
  </si>
  <si>
    <t>TXN-04817</t>
  </si>
  <si>
    <t>TXN-04841</t>
  </si>
  <si>
    <t>TXN-04859</t>
  </si>
  <si>
    <t>TXN-04860</t>
  </si>
  <si>
    <t>TXN-04871</t>
  </si>
  <si>
    <t>TXN-04911</t>
  </si>
  <si>
    <t>TXN-04932</t>
  </si>
  <si>
    <t>TXN-04786</t>
  </si>
  <si>
    <t>TXN-04848</t>
  </si>
  <si>
    <t>TXN-04984</t>
  </si>
  <si>
    <t>TXN-04870</t>
  </si>
  <si>
    <t>TXN-04873</t>
  </si>
  <si>
    <t>TXN-04892</t>
  </si>
  <si>
    <t>TXN-04902</t>
  </si>
  <si>
    <t>TXN-04904</t>
  </si>
  <si>
    <t>TXN-04773</t>
  </si>
  <si>
    <t>TXN-04793</t>
  </si>
  <si>
    <t>TXN-04837</t>
  </si>
  <si>
    <t>TXN-04850</t>
  </si>
  <si>
    <t>TXN-04940</t>
  </si>
  <si>
    <t>TXN-04958</t>
  </si>
  <si>
    <t>TXN-04978</t>
  </si>
  <si>
    <t>TXN-04983</t>
  </si>
  <si>
    <t>TXN-04883</t>
  </si>
  <si>
    <t>TXN-04915</t>
  </si>
  <si>
    <t>TXN-04924</t>
  </si>
  <si>
    <t>TXN-04925</t>
  </si>
  <si>
    <t>TXN-04934</t>
  </si>
  <si>
    <t>TXN-04802</t>
  </si>
  <si>
    <t>TXN-04834</t>
  </si>
  <si>
    <t>TXN-04942</t>
  </si>
  <si>
    <t>TXN-04948</t>
  </si>
  <si>
    <t>TXN-04981</t>
  </si>
  <si>
    <t>TXN-04935</t>
  </si>
  <si>
    <t>TXN-04776</t>
  </si>
  <si>
    <t>TXN-04826</t>
  </si>
  <si>
    <t>TXN-04842</t>
  </si>
  <si>
    <t>TXN-04955</t>
  </si>
  <si>
    <t>TXN-04855</t>
  </si>
  <si>
    <t>TXN-04862</t>
  </si>
  <si>
    <t>TXN-04769</t>
  </si>
  <si>
    <t>TXN-04779</t>
  </si>
  <si>
    <t>TXN-04781</t>
  </si>
  <si>
    <t>TXN-04784</t>
  </si>
  <si>
    <t>TXN-04953</t>
  </si>
  <si>
    <t>TXN-04969</t>
  </si>
  <si>
    <t>TXN-04916</t>
  </si>
  <si>
    <t>TXN-04798</t>
  </si>
  <si>
    <t>TXN-04827</t>
  </si>
  <si>
    <t>TXN-04956</t>
  </si>
  <si>
    <t>TXN-04972</t>
  </si>
  <si>
    <t>TXN-04807</t>
  </si>
  <si>
    <t>TXN-04812</t>
  </si>
  <si>
    <t>TXN-04949</t>
  </si>
  <si>
    <t>TXN-04965</t>
  </si>
  <si>
    <t>TXN-04988</t>
  </si>
  <si>
    <t>TXN-04869</t>
  </si>
  <si>
    <t>TXN-04893</t>
  </si>
  <si>
    <t>TXN-08237</t>
  </si>
  <si>
    <t>TXN-04895</t>
  </si>
  <si>
    <t>TXN-04903</t>
  </si>
  <si>
    <t>TXN-04912</t>
  </si>
  <si>
    <t>TXN-04929</t>
  </si>
  <si>
    <t>TXN-04824</t>
  </si>
  <si>
    <t>TXN-04880</t>
  </si>
  <si>
    <t>TXN-04894</t>
  </si>
  <si>
    <t>TXN-04788</t>
  </si>
  <si>
    <t>TXN-04806</t>
  </si>
  <si>
    <t>TXN-04815</t>
  </si>
  <si>
    <t>TXN-04968</t>
  </si>
  <si>
    <t>TXN-04875</t>
  </si>
  <si>
    <t>TXN-04889</t>
  </si>
  <si>
    <t>TXN-04768</t>
  </si>
  <si>
    <t>TXN-04771</t>
  </si>
  <si>
    <t>TXN-04778</t>
  </si>
  <si>
    <t>TXN-04980</t>
  </si>
  <si>
    <t>TXN-04797</t>
  </si>
  <si>
    <t>TXN-04801</t>
  </si>
  <si>
    <t>TXN-04803</t>
  </si>
  <si>
    <t>TXN-04839</t>
  </si>
  <si>
    <t>TXN-04863</t>
  </si>
  <si>
    <t>TXN-04877</t>
  </si>
  <si>
    <t>TXN-04910</t>
  </si>
  <si>
    <t>TXN-04926</t>
  </si>
  <si>
    <t>TXN-04780</t>
  </si>
  <si>
    <t>TXN-04800</t>
  </si>
  <si>
    <t>TXN-04847</t>
  </si>
  <si>
    <t>TXN-04853</t>
  </si>
  <si>
    <t>TXN-04951</t>
  </si>
  <si>
    <t>TXN-04970</t>
  </si>
  <si>
    <t>TXN-04861</t>
  </si>
  <si>
    <t>TXN-04887</t>
  </si>
  <si>
    <t>TXN-08236</t>
  </si>
  <si>
    <t>TXN-04899</t>
  </si>
  <si>
    <t>TXN-04919</t>
  </si>
  <si>
    <t>TXN-04787</t>
  </si>
  <si>
    <t>TXN-04795</t>
  </si>
  <si>
    <t>TXN-04844</t>
  </si>
  <si>
    <t>TXN-04963</t>
  </si>
  <si>
    <t>TXN-04975</t>
  </si>
  <si>
    <t>TXN-04856</t>
  </si>
  <si>
    <t>TXN-04866</t>
  </si>
  <si>
    <t>TXN-04888</t>
  </si>
  <si>
    <t>TXN-04897</t>
  </si>
  <si>
    <t>TXN-04905</t>
  </si>
  <si>
    <t>TXN-04908</t>
  </si>
  <si>
    <t>TXN-04922</t>
  </si>
  <si>
    <t>TXN-04774</t>
  </si>
  <si>
    <t>TXN-04813</t>
  </si>
  <si>
    <t>TXN-04819</t>
  </si>
  <si>
    <t>TXN-04831</t>
  </si>
  <si>
    <t>TXN-04974</t>
  </si>
  <si>
    <t>TXN-04982</t>
  </si>
  <si>
    <t>TXN-04865</t>
  </si>
  <si>
    <t>TXN-04845</t>
  </si>
  <si>
    <t>TXN-04943</t>
  </si>
  <si>
    <t>TXN-04945</t>
  </si>
  <si>
    <t>TXN-04914</t>
  </si>
  <si>
    <t>TXN-04805</t>
  </si>
  <si>
    <t>TXN-04852</t>
  </si>
  <si>
    <t>TXN-04959</t>
  </si>
  <si>
    <t>TXN-04864</t>
  </si>
  <si>
    <t>TXN-04874</t>
  </si>
  <si>
    <t>TXN-04900</t>
  </si>
  <si>
    <t>TXN-04920</t>
  </si>
  <si>
    <t>TXN-04930</t>
  </si>
  <si>
    <t>TXN-04777</t>
  </si>
  <si>
    <t>TXN-04785</t>
  </si>
  <si>
    <t>TXN-04790</t>
  </si>
  <si>
    <t>TXN-04823</t>
  </si>
  <si>
    <t>TXN-04829</t>
  </si>
  <si>
    <t>TXN-04836</t>
  </si>
  <si>
    <t>TXN-04938</t>
  </si>
  <si>
    <t>TXN-04944</t>
  </si>
  <si>
    <t>TXN-04964</t>
  </si>
  <si>
    <t>TXN-04985</t>
  </si>
  <si>
    <t>TXN-04885</t>
  </si>
  <si>
    <t>TXN-04814</t>
  </si>
  <si>
    <t>TXN-04821</t>
  </si>
  <si>
    <t>TXN-04825</t>
  </si>
  <si>
    <t>TXN-04838</t>
  </si>
  <si>
    <t>TXN-04879</t>
  </si>
  <si>
    <t>TXN-04921</t>
  </si>
  <si>
    <t>TXN-04923</t>
  </si>
  <si>
    <t>TXN-04791</t>
  </si>
  <si>
    <t>TXN-04794</t>
  </si>
  <si>
    <t>TXN-04816</t>
  </si>
  <si>
    <t>TXN-04954</t>
  </si>
  <si>
    <t>TXN-04987</t>
  </si>
  <si>
    <t>TXN-04907</t>
  </si>
  <si>
    <t>TXN-04783</t>
  </si>
  <si>
    <t>TXN-04789</t>
  </si>
  <si>
    <t>TXN-04820</t>
  </si>
  <si>
    <t>TXN-04849</t>
  </si>
  <si>
    <t>TXN-04939</t>
  </si>
  <si>
    <t>TXN-04957</t>
  </si>
  <si>
    <t>TXN-04973</t>
  </si>
  <si>
    <t>TXN-04884</t>
  </si>
  <si>
    <t>TXN-04891</t>
  </si>
  <si>
    <t>TXN-04937</t>
  </si>
  <si>
    <t>TXN-04811</t>
  </si>
  <si>
    <t>TXN-04822</t>
  </si>
  <si>
    <t>TXN-04835</t>
  </si>
  <si>
    <t>TXN-04946</t>
  </si>
  <si>
    <t>TXN-04947</t>
  </si>
  <si>
    <t>TXN-04898</t>
  </si>
  <si>
    <t>TXN-04792</t>
  </si>
  <si>
    <t>TXN-04796</t>
  </si>
  <si>
    <t>TXN-04809</t>
  </si>
  <si>
    <t>TXN-04832</t>
  </si>
  <si>
    <t>TXN-04962</t>
  </si>
  <si>
    <t>TXN-04976</t>
  </si>
  <si>
    <t>TXN-04909</t>
  </si>
  <si>
    <t>TXN-04918</t>
  </si>
  <si>
    <t>TXN-04931</t>
  </si>
  <si>
    <t>TXN-04843</t>
  </si>
  <si>
    <t>TXN-04868</t>
  </si>
  <si>
    <t>TXN-04890</t>
  </si>
  <si>
    <t>TXN-05166</t>
  </si>
  <si>
    <t>TXN-05167</t>
  </si>
  <si>
    <t>TXN-04999</t>
  </si>
  <si>
    <t>TXN-05018</t>
  </si>
  <si>
    <t>TXN-05021</t>
  </si>
  <si>
    <t>TXN-05022</t>
  </si>
  <si>
    <t>TXN-05048</t>
  </si>
  <si>
    <t>TXN-05201</t>
  </si>
  <si>
    <t>TXN-05217</t>
  </si>
  <si>
    <t>TXN-04989</t>
  </si>
  <si>
    <t>TXN-05011</t>
  </si>
  <si>
    <t>TXN-05024</t>
  </si>
  <si>
    <t>TXN-05049</t>
  </si>
  <si>
    <t>TXN-05215</t>
  </si>
  <si>
    <t>TXN-05153</t>
  </si>
  <si>
    <t>TXN-04997</t>
  </si>
  <si>
    <t>TXN-05198</t>
  </si>
  <si>
    <t>TXN-05115</t>
  </si>
  <si>
    <t>TXN-08238</t>
  </si>
  <si>
    <t>TXN-05149</t>
  </si>
  <si>
    <t>TXN-05026</t>
  </si>
  <si>
    <t>TXN-05202</t>
  </si>
  <si>
    <t>TXN-05203</t>
  </si>
  <si>
    <t>TXN-05207</t>
  </si>
  <si>
    <t>TXN-05119</t>
  </si>
  <si>
    <t>TXN-05122</t>
  </si>
  <si>
    <t>TXN-05155</t>
  </si>
  <si>
    <t>TXN-05007</t>
  </si>
  <si>
    <t>TXN-05033</t>
  </si>
  <si>
    <t>TXN-05045</t>
  </si>
  <si>
    <t>TXN-05064</t>
  </si>
  <si>
    <t>TXN-05079</t>
  </si>
  <si>
    <t>TXN-05088</t>
  </si>
  <si>
    <t>TXN-05175</t>
  </si>
  <si>
    <t>TXN-05101</t>
  </si>
  <si>
    <t>TXN-05148</t>
  </si>
  <si>
    <t>TXN-05169</t>
  </si>
  <si>
    <t>TXN-04993</t>
  </si>
  <si>
    <t>TXN-05077</t>
  </si>
  <si>
    <t>TXN-05078</t>
  </si>
  <si>
    <t>TXN-05183</t>
  </si>
  <si>
    <t>TXN-05199</t>
  </si>
  <si>
    <t>TXN-05208</t>
  </si>
  <si>
    <t>TXN-05216</t>
  </si>
  <si>
    <t>TXN-05220</t>
  </si>
  <si>
    <t>TXN-05136</t>
  </si>
  <si>
    <t>TXN-05145</t>
  </si>
  <si>
    <t>TXN-05054</t>
  </si>
  <si>
    <t>TXN-05072</t>
  </si>
  <si>
    <t>TXN-05191</t>
  </si>
  <si>
    <t>TXN-05128</t>
  </si>
  <si>
    <t>TXN-08239</t>
  </si>
  <si>
    <t>TXN-05160</t>
  </si>
  <si>
    <t>TXN-05161</t>
  </si>
  <si>
    <t>TXN-05036</t>
  </si>
  <si>
    <t>TXN-05037</t>
  </si>
  <si>
    <t>TXN-05040</t>
  </si>
  <si>
    <t>TXN-05179</t>
  </si>
  <si>
    <t>TXN-05193</t>
  </si>
  <si>
    <t>TXN-05211</t>
  </si>
  <si>
    <t>TXN-05092</t>
  </si>
  <si>
    <t>TXN-05099</t>
  </si>
  <si>
    <t>TXN-05133</t>
  </si>
  <si>
    <t>TXN-05162</t>
  </si>
  <si>
    <t>TXN-05171</t>
  </si>
  <si>
    <t>TXN-04998</t>
  </si>
  <si>
    <t>TXN-05006</t>
  </si>
  <si>
    <t>TXN-05062</t>
  </si>
  <si>
    <t>TXN-05080</t>
  </si>
  <si>
    <t>TXN-05085</t>
  </si>
  <si>
    <t>TXN-05210</t>
  </si>
  <si>
    <t>TXN-05150</t>
  </si>
  <si>
    <t>TXN-05019</t>
  </si>
  <si>
    <t>TXN-05081</t>
  </si>
  <si>
    <t>TXN-05084</t>
  </si>
  <si>
    <t>TXN-05130</t>
  </si>
  <si>
    <t>TXN-05134</t>
  </si>
  <si>
    <t>TXN-05139</t>
  </si>
  <si>
    <t>TXN-05083</t>
  </si>
  <si>
    <t>TXN-05178</t>
  </si>
  <si>
    <t>TXN-05212</t>
  </si>
  <si>
    <t>TXN-05156</t>
  </si>
  <si>
    <t>TXN-05002</t>
  </si>
  <si>
    <t>TXN-05020</t>
  </si>
  <si>
    <t>TXN-05075</t>
  </si>
  <si>
    <t>TXN-05132</t>
  </si>
  <si>
    <t>TXN-05137</t>
  </si>
  <si>
    <t>TXN-05143</t>
  </si>
  <si>
    <t>TXN-04990</t>
  </si>
  <si>
    <t>TXN-05050</t>
  </si>
  <si>
    <t>TXN-05205</t>
  </si>
  <si>
    <t>TXN-05218</t>
  </si>
  <si>
    <t>TXN-05089</t>
  </si>
  <si>
    <t>TXN-05090</t>
  </si>
  <si>
    <t>TXN-05103</t>
  </si>
  <si>
    <t>TXN-05168</t>
  </si>
  <si>
    <t>TXN-05172</t>
  </si>
  <si>
    <t>TXN-04996</t>
  </si>
  <si>
    <t>TXN-05003</t>
  </si>
  <si>
    <t>TXN-05014</t>
  </si>
  <si>
    <t>TXN-05028</t>
  </si>
  <si>
    <t>TXN-05044</t>
  </si>
  <si>
    <t>TXN-05063</t>
  </si>
  <si>
    <t>TXN-05110</t>
  </si>
  <si>
    <t>TXN-05065</t>
  </si>
  <si>
    <t>TXN-05068</t>
  </si>
  <si>
    <t>TXN-05180</t>
  </si>
  <si>
    <t>TXN-05181</t>
  </si>
  <si>
    <t>TXN-05184</t>
  </si>
  <si>
    <t>TXN-05095</t>
  </si>
  <si>
    <t>TXN-05144</t>
  </si>
  <si>
    <t>TXN-05146</t>
  </si>
  <si>
    <t>TXN-04995</t>
  </si>
  <si>
    <t>TXN-05029</t>
  </si>
  <si>
    <t>TXN-05032</t>
  </si>
  <si>
    <t>TXN-05035</t>
  </si>
  <si>
    <t>TXN-05185</t>
  </si>
  <si>
    <t>TXN-05209</t>
  </si>
  <si>
    <t>TXN-05009</t>
  </si>
  <si>
    <t>TXN-05076</t>
  </si>
  <si>
    <t>TXN-05213</t>
  </si>
  <si>
    <t>TXN-05098</t>
  </si>
  <si>
    <t>TXN-05107</t>
  </si>
  <si>
    <t>TXN-05140</t>
  </si>
  <si>
    <t>TXN-05151</t>
  </si>
  <si>
    <t>TXN-05174</t>
  </si>
  <si>
    <t>TXN-05055</t>
  </si>
  <si>
    <t>TXN-05066</t>
  </si>
  <si>
    <t>TXN-05192</t>
  </si>
  <si>
    <t>TXN-05222</t>
  </si>
  <si>
    <t>TXN-05159</t>
  </si>
  <si>
    <t>TXN-05170</t>
  </si>
  <si>
    <t>TXN-05008</t>
  </si>
  <si>
    <t>TXN-05051</t>
  </si>
  <si>
    <t>TXN-05182</t>
  </si>
  <si>
    <t>TXN-05105</t>
  </si>
  <si>
    <t>TXN-05117</t>
  </si>
  <si>
    <t>TXN-05118</t>
  </si>
  <si>
    <t>TXN-05123</t>
  </si>
  <si>
    <t>TXN-05126</t>
  </si>
  <si>
    <t>TXN-05152</t>
  </si>
  <si>
    <t>TXN-05154</t>
  </si>
  <si>
    <t>TXN-05013</t>
  </si>
  <si>
    <t>TXN-05034</t>
  </si>
  <si>
    <t>TXN-05073</t>
  </si>
  <si>
    <t>TXN-05189</t>
  </si>
  <si>
    <t>TXN-05195</t>
  </si>
  <si>
    <t>TXN-05200</t>
  </si>
  <si>
    <t>TXN-05221</t>
  </si>
  <si>
    <t>TXN-05120</t>
  </si>
  <si>
    <t>TXN-05121</t>
  </si>
  <si>
    <t>TXN-05135</t>
  </si>
  <si>
    <t>TXN-05165</t>
  </si>
  <si>
    <t>TXN-05053</t>
  </si>
  <si>
    <t>TXN-05097</t>
  </si>
  <si>
    <t>TXN-05104</t>
  </si>
  <si>
    <t>TXN-05113</t>
  </si>
  <si>
    <t>TXN-05125</t>
  </si>
  <si>
    <t>TXN-05129</t>
  </si>
  <si>
    <t>TXN-05012</t>
  </si>
  <si>
    <t>TXN-05060</t>
  </si>
  <si>
    <t>TXN-05186</t>
  </si>
  <si>
    <t>TXN-05114</t>
  </si>
  <si>
    <t>TXN-05004</t>
  </si>
  <si>
    <t>TXN-05010</t>
  </si>
  <si>
    <t>TXN-05038</t>
  </si>
  <si>
    <t>TXN-05042</t>
  </si>
  <si>
    <t>TXN-05190</t>
  </si>
  <si>
    <t>TXN-05204</t>
  </si>
  <si>
    <t>TXN-05116</t>
  </si>
  <si>
    <t>TXN-05124</t>
  </si>
  <si>
    <t>TXN-05023</t>
  </si>
  <si>
    <t>TXN-05025</t>
  </si>
  <si>
    <t>TXN-05041</t>
  </si>
  <si>
    <t>TXN-05056</t>
  </si>
  <si>
    <t>TXN-05187</t>
  </si>
  <si>
    <t>TXN-05094</t>
  </si>
  <si>
    <t>TXN-05108</t>
  </si>
  <si>
    <t>TXN-05112</t>
  </si>
  <si>
    <t>TXN-05131</t>
  </si>
  <si>
    <t>TXN-04991</t>
  </si>
  <si>
    <t>TXN-04994</t>
  </si>
  <si>
    <t>TXN-05043</t>
  </si>
  <si>
    <t>TXN-05057</t>
  </si>
  <si>
    <t>TXN-05087</t>
  </si>
  <si>
    <t>TXN-05194</t>
  </si>
  <si>
    <t>TXN-05196</t>
  </si>
  <si>
    <t>TXN-05197</t>
  </si>
  <si>
    <t>TXN-05096</t>
  </si>
  <si>
    <t>TXN-05106</t>
  </si>
  <si>
    <t>TXN-08240</t>
  </si>
  <si>
    <t>TXN-05147</t>
  </si>
  <si>
    <t>TXN-05000</t>
  </si>
  <si>
    <t>TXN-05016</t>
  </si>
  <si>
    <t>TXN-05047</t>
  </si>
  <si>
    <t>TXN-05059</t>
  </si>
  <si>
    <t>TXN-05176</t>
  </si>
  <si>
    <t>TXN-05219</t>
  </si>
  <si>
    <t>TXN-05141</t>
  </si>
  <si>
    <t>TXN-05163</t>
  </si>
  <si>
    <t>TXN-04992</t>
  </si>
  <si>
    <t>TXN-05070</t>
  </si>
  <si>
    <t>TXN-05071</t>
  </si>
  <si>
    <t>TXN-05091</t>
  </si>
  <si>
    <t>TXN-05100</t>
  </si>
  <si>
    <t>TXN-05127</t>
  </si>
  <si>
    <t>TXN-05138</t>
  </si>
  <si>
    <t>TXN-05158</t>
  </si>
  <si>
    <t>TXN-05001</t>
  </si>
  <si>
    <t>TXN-05030</t>
  </si>
  <si>
    <t>TXN-05031</t>
  </si>
  <si>
    <t>TXN-05052</t>
  </si>
  <si>
    <t>TXN-05061</t>
  </si>
  <si>
    <t>TXN-05067</t>
  </si>
  <si>
    <t>TXN-05069</t>
  </si>
  <si>
    <t>TXN-05074</t>
  </si>
  <si>
    <t>TXN-05206</t>
  </si>
  <si>
    <t>TXN-05109</t>
  </si>
  <si>
    <t>TXN-05111</t>
  </si>
  <si>
    <t>TXN-05164</t>
  </si>
  <si>
    <t>TXN-05173</t>
  </si>
  <si>
    <t>TXN-05005</t>
  </si>
  <si>
    <t>TXN-05017</t>
  </si>
  <si>
    <t>TXN-05027</t>
  </si>
  <si>
    <t>TXN-05039</t>
  </si>
  <si>
    <t>TXN-05046</t>
  </si>
  <si>
    <t>TXN-05058</t>
  </si>
  <si>
    <t>TXN-05082</t>
  </si>
  <si>
    <t>TXN-05188</t>
  </si>
  <si>
    <t>TXN-05214</t>
  </si>
  <si>
    <t>TXN-05093</t>
  </si>
  <si>
    <t>TXN-05102</t>
  </si>
  <si>
    <t>TXN-05142</t>
  </si>
  <si>
    <t>TXN-05157</t>
  </si>
  <si>
    <t>TXN-05015</t>
  </si>
  <si>
    <t>TXN-05086</t>
  </si>
  <si>
    <t>TXN-05177</t>
  </si>
  <si>
    <t>TXN-05362</t>
  </si>
  <si>
    <t>TXN-05255</t>
  </si>
  <si>
    <t>TXN-05267</t>
  </si>
  <si>
    <t>TXN-05413</t>
  </si>
  <si>
    <t>TXN-05442</t>
  </si>
  <si>
    <t>TXN-05427</t>
  </si>
  <si>
    <t>TXN-05444</t>
  </si>
  <si>
    <t>TXN-05317</t>
  </si>
  <si>
    <t>TXN-05334</t>
  </si>
  <si>
    <t>TXN-08242</t>
  </si>
  <si>
    <t>TXN-05384</t>
  </si>
  <si>
    <t>TXN-05241</t>
  </si>
  <si>
    <t>TXN-05400</t>
  </si>
  <si>
    <t>TXN-05412</t>
  </si>
  <si>
    <t>TXN-05425</t>
  </si>
  <si>
    <t>TXN-05361</t>
  </si>
  <si>
    <t>TXN-05376</t>
  </si>
  <si>
    <t>TXN-05260</t>
  </si>
  <si>
    <t>TXN-05435</t>
  </si>
  <si>
    <t>TXN-05314</t>
  </si>
  <si>
    <t>TXN-05348</t>
  </si>
  <si>
    <t>TXN-05385</t>
  </si>
  <si>
    <t>TXN-05226</t>
  </si>
  <si>
    <t>TXN-05233</t>
  </si>
  <si>
    <t>TXN-05271</t>
  </si>
  <si>
    <t>TXN-05292</t>
  </si>
  <si>
    <t>TXN-05401</t>
  </si>
  <si>
    <t>TXN-05420</t>
  </si>
  <si>
    <t>TXN-05434</t>
  </si>
  <si>
    <t>TXN-05329</t>
  </si>
  <si>
    <t>TXN-05336</t>
  </si>
  <si>
    <t>TXN-05371</t>
  </si>
  <si>
    <t>TXN-05283</t>
  </si>
  <si>
    <t>TXN-05284</t>
  </si>
  <si>
    <t>TXN-05295</t>
  </si>
  <si>
    <t>TXN-05308</t>
  </si>
  <si>
    <t>TXN-05432</t>
  </si>
  <si>
    <t>TXN-05433</t>
  </si>
  <si>
    <t>TXN-05436</t>
  </si>
  <si>
    <t>TXN-05437</t>
  </si>
  <si>
    <t>TXN-05263</t>
  </si>
  <si>
    <t>TXN-05350</t>
  </si>
  <si>
    <t>TXN-05359</t>
  </si>
  <si>
    <t>TXN-05236</t>
  </si>
  <si>
    <t>TXN-05237</t>
  </si>
  <si>
    <t>TXN-05272</t>
  </si>
  <si>
    <t>TXN-05294</t>
  </si>
  <si>
    <t>TXN-05414</t>
  </si>
  <si>
    <t>TXN-05343</t>
  </si>
  <si>
    <t>TXN-05374</t>
  </si>
  <si>
    <t>TXN-05278</t>
  </si>
  <si>
    <t>TXN-05331</t>
  </si>
  <si>
    <t>TXN-05366</t>
  </si>
  <si>
    <t>TXN-05370</t>
  </si>
  <si>
    <t>TXN-05397</t>
  </si>
  <si>
    <t>TXN-05410</t>
  </si>
  <si>
    <t>TXN-05431</t>
  </si>
  <si>
    <t>TXN-05324</t>
  </si>
  <si>
    <t>TXN-05360</t>
  </si>
  <si>
    <t>TXN-05363</t>
  </si>
  <si>
    <t>TXN-05369</t>
  </si>
  <si>
    <t>TXN-05388</t>
  </si>
  <si>
    <t>TXN-05395</t>
  </si>
  <si>
    <t>TXN-05243</t>
  </si>
  <si>
    <t>TXN-05248</t>
  </si>
  <si>
    <t>TXN-05254</t>
  </si>
  <si>
    <t>TXN-05262</t>
  </si>
  <si>
    <t>TXN-05303</t>
  </si>
  <si>
    <t>TXN-05406</t>
  </si>
  <si>
    <t>TXN-05428</t>
  </si>
  <si>
    <t>TXN-05341</t>
  </si>
  <si>
    <t>TXN-05392</t>
  </si>
  <si>
    <t>TXN-05224</t>
  </si>
  <si>
    <t>TXN-05230</t>
  </si>
  <si>
    <t>TXN-05239</t>
  </si>
  <si>
    <t>TXN-05259</t>
  </si>
  <si>
    <t>TXN-05304</t>
  </si>
  <si>
    <t>TXN-05415</t>
  </si>
  <si>
    <t>TXN-05445</t>
  </si>
  <si>
    <t>TXN-05346</t>
  </si>
  <si>
    <t>TXN-05357</t>
  </si>
  <si>
    <t>TXN-05378</t>
  </si>
  <si>
    <t>TXN-05386</t>
  </si>
  <si>
    <t>TXN-05249</t>
  </si>
  <si>
    <t>TXN-05256</t>
  </si>
  <si>
    <t>TXN-05269</t>
  </si>
  <si>
    <t>TXN-05306</t>
  </si>
  <si>
    <t>TXN-05403</t>
  </si>
  <si>
    <t>TXN-05404</t>
  </si>
  <si>
    <t>TXN-05319</t>
  </si>
  <si>
    <t>TXN-05342</t>
  </si>
  <si>
    <t>TXN-05347</t>
  </si>
  <si>
    <t>TXN-05358</t>
  </si>
  <si>
    <t>TXN-05372</t>
  </si>
  <si>
    <t>TXN-05398</t>
  </si>
  <si>
    <t>TXN-05246</t>
  </si>
  <si>
    <t>TXN-05297</t>
  </si>
  <si>
    <t>TXN-05407</t>
  </si>
  <si>
    <t>TXN-05426</t>
  </si>
  <si>
    <t>TXN-05440</t>
  </si>
  <si>
    <t>TXN-05327</t>
  </si>
  <si>
    <t>TXN-05328</t>
  </si>
  <si>
    <t>TXN-05232</t>
  </si>
  <si>
    <t>TXN-05247</t>
  </si>
  <si>
    <t>TXN-05293</t>
  </si>
  <si>
    <t>TXN-05430</t>
  </si>
  <si>
    <t>TXN-05393</t>
  </si>
  <si>
    <t>TXN-05231</t>
  </si>
  <si>
    <t>TXN-05251</t>
  </si>
  <si>
    <t>TXN-05307</t>
  </si>
  <si>
    <t>TXN-05439</t>
  </si>
  <si>
    <t>TXN-05315</t>
  </si>
  <si>
    <t>TXN-05373</t>
  </si>
  <si>
    <t>TXN-05287</t>
  </si>
  <si>
    <t>TXN-05291</t>
  </si>
  <si>
    <t>TXN-05409</t>
  </si>
  <si>
    <t>TXN-05312</t>
  </si>
  <si>
    <t>TXN-05313</t>
  </si>
  <si>
    <t>TXN-05351</t>
  </si>
  <si>
    <t>TXN-05381</t>
  </si>
  <si>
    <t>TXN-05264</t>
  </si>
  <si>
    <t>TXN-05302</t>
  </si>
  <si>
    <t>TXN-05402</t>
  </si>
  <si>
    <t>TXN-05416</t>
  </si>
  <si>
    <t>TXN-05322</t>
  </si>
  <si>
    <t>TXN-05344</t>
  </si>
  <si>
    <t>TXN-05355</t>
  </si>
  <si>
    <t>TXN-05367</t>
  </si>
  <si>
    <t>TXN-05390</t>
  </si>
  <si>
    <t>TXN-05391</t>
  </si>
  <si>
    <t>TXN-05227</t>
  </si>
  <si>
    <t>TXN-05299</t>
  </si>
  <si>
    <t>TXN-05422</t>
  </si>
  <si>
    <t>TXN-05326</t>
  </si>
  <si>
    <t>TXN-05396</t>
  </si>
  <si>
    <t>TXN-05282</t>
  </si>
  <si>
    <t>TXN-05323</t>
  </si>
  <si>
    <t>TXN-08243</t>
  </si>
  <si>
    <t>TXN-05375</t>
  </si>
  <si>
    <t>TXN-05273</t>
  </si>
  <si>
    <t>TXN-05281</t>
  </si>
  <si>
    <t>TXN-05309</t>
  </si>
  <si>
    <t>TXN-05318</t>
  </si>
  <si>
    <t>TXN-05380</t>
  </si>
  <si>
    <t>TXN-05225</t>
  </si>
  <si>
    <t>TXN-05275</t>
  </si>
  <si>
    <t>TXN-05279</t>
  </si>
  <si>
    <t>TXN-05280</t>
  </si>
  <si>
    <t>TXN-05286</t>
  </si>
  <si>
    <t>TXN-05405</t>
  </si>
  <si>
    <t>TXN-05423</t>
  </si>
  <si>
    <t>TXN-05335</t>
  </si>
  <si>
    <t>TXN-05354</t>
  </si>
  <si>
    <t>TXN-05356</t>
  </si>
  <si>
    <t>TXN-05365</t>
  </si>
  <si>
    <t>TXN-05258</t>
  </si>
  <si>
    <t>TXN-05298</t>
  </si>
  <si>
    <t>TXN-05301</t>
  </si>
  <si>
    <t>TXN-05399</t>
  </si>
  <si>
    <t>TXN-05418</t>
  </si>
  <si>
    <t>TXN-05441</t>
  </si>
  <si>
    <t>TXN-05316</t>
  </si>
  <si>
    <t>TXN-05330</t>
  </si>
  <si>
    <t>TXN-05332</t>
  </si>
  <si>
    <t>TXN-05339</t>
  </si>
  <si>
    <t>TXN-05379</t>
  </si>
  <si>
    <t>TXN-05242</t>
  </si>
  <si>
    <t>TXN-05244</t>
  </si>
  <si>
    <t>TXN-05289</t>
  </si>
  <si>
    <t>TXN-05443</t>
  </si>
  <si>
    <t>TXN-05446</t>
  </si>
  <si>
    <t>TXN-08241</t>
  </si>
  <si>
    <t>TXN-05389</t>
  </si>
  <si>
    <t>TXN-05238</t>
  </si>
  <si>
    <t>TXN-05240</t>
  </si>
  <si>
    <t>TXN-05250</t>
  </si>
  <si>
    <t>TXN-05296</t>
  </si>
  <si>
    <t>TXN-05419</t>
  </si>
  <si>
    <t>TXN-05333</t>
  </si>
  <si>
    <t>TXN-05268</t>
  </si>
  <si>
    <t>TXN-05276</t>
  </si>
  <si>
    <t>TXN-05277</t>
  </si>
  <si>
    <t>TXN-05290</t>
  </si>
  <si>
    <t>TXN-05429</t>
  </si>
  <si>
    <t>TXN-05438</t>
  </si>
  <si>
    <t>TXN-05311</t>
  </si>
  <si>
    <t>TXN-05320</t>
  </si>
  <si>
    <t>TXN-05223</t>
  </si>
  <si>
    <t>TXN-05288</t>
  </si>
  <si>
    <t>TXN-05417</t>
  </si>
  <si>
    <t>TXN-05421</t>
  </si>
  <si>
    <t>TXN-05310</t>
  </si>
  <si>
    <t>TXN-05321</t>
  </si>
  <si>
    <t>TXN-05368</t>
  </si>
  <si>
    <t>TXN-05377</t>
  </si>
  <si>
    <t>TXN-05382</t>
  </si>
  <si>
    <t>TXN-05394</t>
  </si>
  <si>
    <t>TXN-05228</t>
  </si>
  <si>
    <t>TXN-05253</t>
  </si>
  <si>
    <t>TXN-05261</t>
  </si>
  <si>
    <t>TXN-05266</t>
  </si>
  <si>
    <t>TXN-05305</t>
  </si>
  <si>
    <t>TXN-05338</t>
  </si>
  <si>
    <t>TXN-05345</t>
  </si>
  <si>
    <t>TXN-05349</t>
  </si>
  <si>
    <t>TXN-05364</t>
  </si>
  <si>
    <t>TXN-05387</t>
  </si>
  <si>
    <t>TXN-05229</t>
  </si>
  <si>
    <t>TXN-05234</t>
  </si>
  <si>
    <t>TXN-05265</t>
  </si>
  <si>
    <t>TXN-05270</t>
  </si>
  <si>
    <t>TXN-05300</t>
  </si>
  <si>
    <t>TXN-05411</t>
  </si>
  <si>
    <t>TXN-05424</t>
  </si>
  <si>
    <t>TXN-05325</t>
  </si>
  <si>
    <t>TXN-05352</t>
  </si>
  <si>
    <t>TXN-05383</t>
  </si>
  <si>
    <t>TXN-05235</t>
  </si>
  <si>
    <t>TXN-05245</t>
  </si>
  <si>
    <t>TXN-05252</t>
  </si>
  <si>
    <t>TXN-05257</t>
  </si>
  <si>
    <t>TXN-05274</t>
  </si>
  <si>
    <t>TXN-05285</t>
  </si>
  <si>
    <t>TXN-05408</t>
  </si>
  <si>
    <t>TXN-05337</t>
  </si>
  <si>
    <t>TXN-05340</t>
  </si>
  <si>
    <t>TXN-05353</t>
  </si>
  <si>
    <t>TXN-05594</t>
  </si>
  <si>
    <t>TXN-05602</t>
  </si>
  <si>
    <t>TXN-05488</t>
  </si>
  <si>
    <t>TXN-05507</t>
  </si>
  <si>
    <t>TXN-05649</t>
  </si>
  <si>
    <t>TXN-05655</t>
  </si>
  <si>
    <t>TXN-05660</t>
  </si>
  <si>
    <t>TXN-05670</t>
  </si>
  <si>
    <t>TXN-05679</t>
  </si>
  <si>
    <t>TXN-05555</t>
  </si>
  <si>
    <t>TXN-05556</t>
  </si>
  <si>
    <t>TXN-05577</t>
  </si>
  <si>
    <t>TXN-05586</t>
  </si>
  <si>
    <t>TXN-05590</t>
  </si>
  <si>
    <t>TXN-05537</t>
  </si>
  <si>
    <t>TXN-05550</t>
  </si>
  <si>
    <t>TXN-05551</t>
  </si>
  <si>
    <t>TXN-05557</t>
  </si>
  <si>
    <t>TXN-05600</t>
  </si>
  <si>
    <t>TXN-05604</t>
  </si>
  <si>
    <t>TXN-05609</t>
  </si>
  <si>
    <t>TXN-05502</t>
  </si>
  <si>
    <t>TXN-05538</t>
  </si>
  <si>
    <t>TXN-05673</t>
  </si>
  <si>
    <t>TXN-05468</t>
  </si>
  <si>
    <t>TXN-05524</t>
  </si>
  <si>
    <t>TXN-05639</t>
  </si>
  <si>
    <t>TXN-05642</t>
  </si>
  <si>
    <t>TXN-05596</t>
  </si>
  <si>
    <t>TXN-05626</t>
  </si>
  <si>
    <t>TXN-05460</t>
  </si>
  <si>
    <t>TXN-05485</t>
  </si>
  <si>
    <t>TXN-05539</t>
  </si>
  <si>
    <t>TXN-05635</t>
  </si>
  <si>
    <t>TXN-05650</t>
  </si>
  <si>
    <t>TXN-05599</t>
  </si>
  <si>
    <t>TXN-05624</t>
  </si>
  <si>
    <t>TXN-05527</t>
  </si>
  <si>
    <t>TXN-05540</t>
  </si>
  <si>
    <t>TXN-05657</t>
  </si>
  <si>
    <t>TXN-05682</t>
  </si>
  <si>
    <t>TXN-05570</t>
  </si>
  <si>
    <t>TXN-08245</t>
  </si>
  <si>
    <t>TXN-08246</t>
  </si>
  <si>
    <t>TXN-05473</t>
  </si>
  <si>
    <t>TXN-05512</t>
  </si>
  <si>
    <t>TXN-05678</t>
  </si>
  <si>
    <t>TXN-05561</t>
  </si>
  <si>
    <t>TXN-05566</t>
  </si>
  <si>
    <t>TXN-05572</t>
  </si>
  <si>
    <t>TXN-05576</t>
  </si>
  <si>
    <t>TXN-05613</t>
  </si>
  <si>
    <t>TXN-05480</t>
  </si>
  <si>
    <t>TXN-05506</t>
  </si>
  <si>
    <t>TXN-05641</t>
  </si>
  <si>
    <t>TXN-05549</t>
  </si>
  <si>
    <t>TXN-05558</t>
  </si>
  <si>
    <t>TXN-05593</t>
  </si>
  <si>
    <t>TXN-05518</t>
  </si>
  <si>
    <t>TXN-05525</t>
  </si>
  <si>
    <t>TXN-05658</t>
  </si>
  <si>
    <t>TXN-05667</t>
  </si>
  <si>
    <t>TXN-05610</t>
  </si>
  <si>
    <t>TXN-05472</t>
  </si>
  <si>
    <t>TXN-05519</t>
  </si>
  <si>
    <t>TXN-05535</t>
  </si>
  <si>
    <t>TXN-05656</t>
  </si>
  <si>
    <t>TXN-05662</t>
  </si>
  <si>
    <t>TXN-05630</t>
  </si>
  <si>
    <t>TXN-05633</t>
  </si>
  <si>
    <t>TXN-05470</t>
  </si>
  <si>
    <t>TXN-05498</t>
  </si>
  <si>
    <t>TXN-05500</t>
  </si>
  <si>
    <t>TXN-05531</t>
  </si>
  <si>
    <t>TXN-05634</t>
  </si>
  <si>
    <t>TXN-05666</t>
  </si>
  <si>
    <t>TXN-05677</t>
  </si>
  <si>
    <t>TXN-05542</t>
  </si>
  <si>
    <t>TXN-05543</t>
  </si>
  <si>
    <t>TXN-05554</t>
  </si>
  <si>
    <t>TXN-05618</t>
  </si>
  <si>
    <t>TXN-05619</t>
  </si>
  <si>
    <t>TXN-05452</t>
  </si>
  <si>
    <t>TXN-05465</t>
  </si>
  <si>
    <t>TXN-05487</t>
  </si>
  <si>
    <t>TXN-05521</t>
  </si>
  <si>
    <t>TXN-05559</t>
  </si>
  <si>
    <t>TXN-05574</t>
  </si>
  <si>
    <t>TXN-05605</t>
  </si>
  <si>
    <t>TXN-05533</t>
  </si>
  <si>
    <t>TXN-05636</t>
  </si>
  <si>
    <t>TXN-05661</t>
  </si>
  <si>
    <t>TXN-05675</t>
  </si>
  <si>
    <t>TXN-05544</t>
  </si>
  <si>
    <t>TXN-05564</t>
  </si>
  <si>
    <t>TXN-05567</t>
  </si>
  <si>
    <t>TXN-05607</t>
  </si>
  <si>
    <t>TXN-05475</t>
  </si>
  <si>
    <t>TXN-05481</t>
  </si>
  <si>
    <t>TXN-05489</t>
  </si>
  <si>
    <t>TXN-05659</t>
  </si>
  <si>
    <t>TXN-05588</t>
  </si>
  <si>
    <t>TXN-05625</t>
  </si>
  <si>
    <t>TXN-05631</t>
  </si>
  <si>
    <t>TXN-05451</t>
  </si>
  <si>
    <t>TXN-05457</t>
  </si>
  <si>
    <t>TXN-05522</t>
  </si>
  <si>
    <t>TXN-05681</t>
  </si>
  <si>
    <t>TXN-05547</t>
  </si>
  <si>
    <t>TXN-05568</t>
  </si>
  <si>
    <t>TXN-05580</t>
  </si>
  <si>
    <t>TXN-08244</t>
  </si>
  <si>
    <t>TXN-05606</t>
  </si>
  <si>
    <t>TXN-05469</t>
  </si>
  <si>
    <t>TXN-05471</t>
  </si>
  <si>
    <t>TXN-05497</t>
  </si>
  <si>
    <t>TXN-05501</t>
  </si>
  <si>
    <t>TXN-05510</t>
  </si>
  <si>
    <t>TXN-05530</t>
  </si>
  <si>
    <t>TXN-05665</t>
  </si>
  <si>
    <t>TXN-05672</t>
  </si>
  <si>
    <t>TXN-05579</t>
  </si>
  <si>
    <t>TXN-05560</t>
  </si>
  <si>
    <t>TXN-05620</t>
  </si>
  <si>
    <t>TXN-05622</t>
  </si>
  <si>
    <t>TXN-05627</t>
  </si>
  <si>
    <t>TXN-05454</t>
  </si>
  <si>
    <t>TXN-05638</t>
  </si>
  <si>
    <t>TXN-05643</t>
  </si>
  <si>
    <t>TXN-05546</t>
  </si>
  <si>
    <t>TXN-05563</t>
  </si>
  <si>
    <t>TXN-05582</t>
  </si>
  <si>
    <t>TXN-05589</t>
  </si>
  <si>
    <t>TXN-05608</t>
  </si>
  <si>
    <t>TXN-05449</t>
  </si>
  <si>
    <t>TXN-05450</t>
  </si>
  <si>
    <t>TXN-05455</t>
  </si>
  <si>
    <t>TXN-05467</t>
  </si>
  <si>
    <t>TXN-05493</t>
  </si>
  <si>
    <t>TXN-05496</t>
  </si>
  <si>
    <t>TXN-05645</t>
  </si>
  <si>
    <t>TXN-05663</t>
  </si>
  <si>
    <t>TXN-05584</t>
  </si>
  <si>
    <t>TXN-05629</t>
  </si>
  <si>
    <t>TXN-05479</t>
  </si>
  <si>
    <t>TXN-05484</t>
  </si>
  <si>
    <t>TXN-05523</t>
  </si>
  <si>
    <t>TXN-05526</t>
  </si>
  <si>
    <t>TXN-05534</t>
  </si>
  <si>
    <t>TXN-05664</t>
  </si>
  <si>
    <t>TXN-05676</t>
  </si>
  <si>
    <t>TXN-05569</t>
  </si>
  <si>
    <t>TXN-05591</t>
  </si>
  <si>
    <t>TXN-05614</t>
  </si>
  <si>
    <t>TXN-05482</t>
  </si>
  <si>
    <t>TXN-05483</t>
  </si>
  <si>
    <t>TXN-05520</t>
  </si>
  <si>
    <t>TXN-05532</t>
  </si>
  <si>
    <t>TXN-05647</t>
  </si>
  <si>
    <t>TXN-05654</t>
  </si>
  <si>
    <t>TXN-05684</t>
  </si>
  <si>
    <t>TXN-05545</t>
  </si>
  <si>
    <t>TXN-05575</t>
  </si>
  <si>
    <t>TXN-05612</t>
  </si>
  <si>
    <t>TXN-05621</t>
  </si>
  <si>
    <t>TXN-05447</t>
  </si>
  <si>
    <t>TXN-05476</t>
  </si>
  <si>
    <t>TXN-05644</t>
  </si>
  <si>
    <t>TXN-05573</t>
  </si>
  <si>
    <t>TXN-05617</t>
  </si>
  <si>
    <t>TXN-05456</t>
  </si>
  <si>
    <t>TXN-05504</t>
  </si>
  <si>
    <t>TXN-05517</t>
  </si>
  <si>
    <t>TXN-05646</t>
  </si>
  <si>
    <t>TXN-05669</t>
  </si>
  <si>
    <t>TXN-05683</t>
  </si>
  <si>
    <t>TXN-05592</t>
  </si>
  <si>
    <t>TXN-05603</t>
  </si>
  <si>
    <t>TXN-05623</t>
  </si>
  <si>
    <t>TXN-05448</t>
  </si>
  <si>
    <t>TXN-05474</t>
  </si>
  <si>
    <t>TXN-05486</t>
  </si>
  <si>
    <t>TXN-05513</t>
  </si>
  <si>
    <t>TXN-05453</t>
  </si>
  <si>
    <t>TXN-05461</t>
  </si>
  <si>
    <t>TXN-05499</t>
  </si>
  <si>
    <t>TXN-05503</t>
  </si>
  <si>
    <t>TXN-05536</t>
  </si>
  <si>
    <t>TXN-05652</t>
  </si>
  <si>
    <t>TXN-05668</t>
  </si>
  <si>
    <t>TXN-05541</t>
  </si>
  <si>
    <t>TXN-05548</t>
  </si>
  <si>
    <t>TXN-05552</t>
  </si>
  <si>
    <t>TXN-05565</t>
  </si>
  <si>
    <t>TXN-05611</t>
  </si>
  <si>
    <t>TXN-05463</t>
  </si>
  <si>
    <t>TXN-05466</t>
  </si>
  <si>
    <t>TXN-05492</t>
  </si>
  <si>
    <t>TXN-05495</t>
  </si>
  <si>
    <t>TXN-05509</t>
  </si>
  <si>
    <t>TXN-05515</t>
  </si>
  <si>
    <t>TXN-05516</t>
  </si>
  <si>
    <t>TXN-05571</t>
  </si>
  <si>
    <t>TXN-05615</t>
  </si>
  <si>
    <t>TXN-05508</t>
  </si>
  <si>
    <t>TXN-05648</t>
  </si>
  <si>
    <t>TXN-05653</t>
  </si>
  <si>
    <t>TXN-05674</t>
  </si>
  <si>
    <t>TXN-05583</t>
  </si>
  <si>
    <t>TXN-05585</t>
  </si>
  <si>
    <t>TXN-05601</t>
  </si>
  <si>
    <t>TXN-05632</t>
  </si>
  <si>
    <t>TXN-05459</t>
  </si>
  <si>
    <t>TXN-05464</t>
  </si>
  <si>
    <t>TXN-05505</t>
  </si>
  <si>
    <t>TXN-05529</t>
  </si>
  <si>
    <t>TXN-05680</t>
  </si>
  <si>
    <t>TXN-05578</t>
  </si>
  <si>
    <t>TXN-05595</t>
  </si>
  <si>
    <t>TXN-05494</t>
  </si>
  <si>
    <t>TXN-05511</t>
  </si>
  <si>
    <t>TXN-05514</t>
  </si>
  <si>
    <t>TXN-05637</t>
  </si>
  <si>
    <t>TXN-05587</t>
  </si>
  <si>
    <t>TXN-05597</t>
  </si>
  <si>
    <t>TXN-05598</t>
  </si>
  <si>
    <t>TXN-05458</t>
  </si>
  <si>
    <t>TXN-05491</t>
  </si>
  <si>
    <t>TXN-05640</t>
  </si>
  <si>
    <t>TXN-05562</t>
  </si>
  <si>
    <t>TXN-05581</t>
  </si>
  <si>
    <t>TXN-05616</t>
  </si>
  <si>
    <t>TXN-05628</t>
  </si>
  <si>
    <t>TXN-05462</t>
  </si>
  <si>
    <t>TXN-05477</t>
  </si>
  <si>
    <t>TXN-05478</t>
  </si>
  <si>
    <t>TXN-05490</t>
  </si>
  <si>
    <t>TXN-05528</t>
  </si>
  <si>
    <t>TXN-05651</t>
  </si>
  <si>
    <t>TXN-05671</t>
  </si>
  <si>
    <t>TXN-05553</t>
  </si>
  <si>
    <t>TXN-05700</t>
  </si>
  <si>
    <t>TXN-05732</t>
  </si>
  <si>
    <t>TXN-05772</t>
  </si>
  <si>
    <t>TXN-05874</t>
  </si>
  <si>
    <t>TXN-05896</t>
  </si>
  <si>
    <t>TXN-05786</t>
  </si>
  <si>
    <t>TXN-05791</t>
  </si>
  <si>
    <t>TXN-05806</t>
  </si>
  <si>
    <t>TXN-05809</t>
  </si>
  <si>
    <t>TXN-05693</t>
  </si>
  <si>
    <t>TXN-05730</t>
  </si>
  <si>
    <t>TXN-05742</t>
  </si>
  <si>
    <t>TXN-05884</t>
  </si>
  <si>
    <t>TXN-05911</t>
  </si>
  <si>
    <t>TXN-05823</t>
  </si>
  <si>
    <t>TXN-05832</t>
  </si>
  <si>
    <t>TXN-05837</t>
  </si>
  <si>
    <t>TXN-05703</t>
  </si>
  <si>
    <t>TXN-05707</t>
  </si>
  <si>
    <t>TXN-05740</t>
  </si>
  <si>
    <t>TXN-05871</t>
  </si>
  <si>
    <t>TXN-05794</t>
  </si>
  <si>
    <t>TXN-08247</t>
  </si>
  <si>
    <t>TXN-05846</t>
  </si>
  <si>
    <t>TXN-05689</t>
  </si>
  <si>
    <t>TXN-05696</t>
  </si>
  <si>
    <t>TXN-05706</t>
  </si>
  <si>
    <t>TXN-05763</t>
  </si>
  <si>
    <t>TXN-05771</t>
  </si>
  <si>
    <t>TXN-05872</t>
  </si>
  <si>
    <t>TXN-05894</t>
  </si>
  <si>
    <t>TXN-05783</t>
  </si>
  <si>
    <t>TXN-05795</t>
  </si>
  <si>
    <t>TXN-05799</t>
  </si>
  <si>
    <t>TXN-08248</t>
  </si>
  <si>
    <t>TXN-05833</t>
  </si>
  <si>
    <t>TXN-05853</t>
  </si>
  <si>
    <t>TXN-05697</t>
  </si>
  <si>
    <t>TXN-05714</t>
  </si>
  <si>
    <t>TXN-05725</t>
  </si>
  <si>
    <t>TXN-05735</t>
  </si>
  <si>
    <t>TXN-05908</t>
  </si>
  <si>
    <t>TXN-05912</t>
  </si>
  <si>
    <t>TXN-05826</t>
  </si>
  <si>
    <t>TXN-05841</t>
  </si>
  <si>
    <t>TXN-05848</t>
  </si>
  <si>
    <t>TXN-05849</t>
  </si>
  <si>
    <t>TXN-05722</t>
  </si>
  <si>
    <t>TXN-05727</t>
  </si>
  <si>
    <t>TXN-05780</t>
  </si>
  <si>
    <t>TXN-05792</t>
  </si>
  <si>
    <t>TXN-05798</t>
  </si>
  <si>
    <t>TXN-05690</t>
  </si>
  <si>
    <t>TXN-05708</t>
  </si>
  <si>
    <t>TXN-05713</t>
  </si>
  <si>
    <t>TXN-05720</t>
  </si>
  <si>
    <t>TXN-05754</t>
  </si>
  <si>
    <t>TXN-05755</t>
  </si>
  <si>
    <t>TXN-05875</t>
  </si>
  <si>
    <t>TXN-05883</t>
  </si>
  <si>
    <t>TXN-05785</t>
  </si>
  <si>
    <t>TXN-05802</t>
  </si>
  <si>
    <t>TXN-05814</t>
  </si>
  <si>
    <t>TXN-08249</t>
  </si>
  <si>
    <t>TXN-05855</t>
  </si>
  <si>
    <t>TXN-05857</t>
  </si>
  <si>
    <t>TXN-05859</t>
  </si>
  <si>
    <t>TXN-05691</t>
  </si>
  <si>
    <t>TXN-05694</t>
  </si>
  <si>
    <t>TXN-05695</t>
  </si>
  <si>
    <t>TXN-05719</t>
  </si>
  <si>
    <t>TXN-05764</t>
  </si>
  <si>
    <t>TXN-05767</t>
  </si>
  <si>
    <t>TXN-05879</t>
  </si>
  <si>
    <t>TXN-05880</t>
  </si>
  <si>
    <t>TXN-05789</t>
  </si>
  <si>
    <t>TXN-05797</t>
  </si>
  <si>
    <t>TXN-05757</t>
  </si>
  <si>
    <t>TXN-05770</t>
  </si>
  <si>
    <t>TXN-05776</t>
  </si>
  <si>
    <t>TXN-05862</t>
  </si>
  <si>
    <t>TXN-05687</t>
  </si>
  <si>
    <t>TXN-05688</t>
  </si>
  <si>
    <t>TXN-05718</t>
  </si>
  <si>
    <t>TXN-05744</t>
  </si>
  <si>
    <t>TXN-05759</t>
  </si>
  <si>
    <t>TXN-05893</t>
  </si>
  <si>
    <t>TXN-05850</t>
  </si>
  <si>
    <t>TXN-05747</t>
  </si>
  <si>
    <t>TXN-05753</t>
  </si>
  <si>
    <t>TXN-05779</t>
  </si>
  <si>
    <t>TXN-05824</t>
  </si>
  <si>
    <t>TXN-05825</t>
  </si>
  <si>
    <t>TXN-05715</t>
  </si>
  <si>
    <t>TXN-05886</t>
  </si>
  <si>
    <t>TXN-05892</t>
  </si>
  <si>
    <t>TXN-05899</t>
  </si>
  <si>
    <t>TXN-05900</t>
  </si>
  <si>
    <t>TXN-05790</t>
  </si>
  <si>
    <t>TXN-05811</t>
  </si>
  <si>
    <t>TXN-05821</t>
  </si>
  <si>
    <t>TXN-05828</t>
  </si>
  <si>
    <t>TXN-05861</t>
  </si>
  <si>
    <t>TXN-05705</t>
  </si>
  <si>
    <t>TXN-05743</t>
  </si>
  <si>
    <t>TXN-05746</t>
  </si>
  <si>
    <t>TXN-05873</t>
  </si>
  <si>
    <t>TXN-05910</t>
  </si>
  <si>
    <t>TXN-05815</t>
  </si>
  <si>
    <t>TXN-05817</t>
  </si>
  <si>
    <t>TXN-05822</t>
  </si>
  <si>
    <t>TXN-05836</t>
  </si>
  <si>
    <t>TXN-05701</t>
  </si>
  <si>
    <t>TXN-05702</t>
  </si>
  <si>
    <t>TXN-05876</t>
  </si>
  <si>
    <t>TXN-05788</t>
  </si>
  <si>
    <t>TXN-05866</t>
  </si>
  <si>
    <t>TXN-05734</t>
  </si>
  <si>
    <t>TXN-05769</t>
  </si>
  <si>
    <t>TXN-05887</t>
  </si>
  <si>
    <t>TXN-05898</t>
  </si>
  <si>
    <t>TXN-05819</t>
  </si>
  <si>
    <t>TXN-05854</t>
  </si>
  <si>
    <t>TXN-05686</t>
  </si>
  <si>
    <t>TXN-05699</t>
  </si>
  <si>
    <t>TXN-05710</t>
  </si>
  <si>
    <t>TXN-05721</t>
  </si>
  <si>
    <t>TXN-05748</t>
  </si>
  <si>
    <t>TXN-05881</t>
  </si>
  <si>
    <t>TXN-05778</t>
  </si>
  <si>
    <t>TXN-05851</t>
  </si>
  <si>
    <t>TXN-05852</t>
  </si>
  <si>
    <t>TXN-05868</t>
  </si>
  <si>
    <t>TXN-05726</t>
  </si>
  <si>
    <t>TXN-05749</t>
  </si>
  <si>
    <t>TXN-05752</t>
  </si>
  <si>
    <t>TXN-05897</t>
  </si>
  <si>
    <t>TXN-05840</t>
  </si>
  <si>
    <t>TXN-05865</t>
  </si>
  <si>
    <t>TXN-05709</t>
  </si>
  <si>
    <t>TXN-05712</t>
  </si>
  <si>
    <t>TXN-05761</t>
  </si>
  <si>
    <t>TXN-05774</t>
  </si>
  <si>
    <t>TXN-05793</t>
  </si>
  <si>
    <t>TXN-05820</t>
  </si>
  <si>
    <t>TXN-05867</t>
  </si>
  <si>
    <t>TXN-05685</t>
  </si>
  <si>
    <t>TXN-05711</t>
  </si>
  <si>
    <t>TXN-05901</t>
  </si>
  <si>
    <t>TXN-05913</t>
  </si>
  <si>
    <t>TXN-05775</t>
  </si>
  <si>
    <t>TXN-05801</t>
  </si>
  <si>
    <t>TXN-05831</t>
  </si>
  <si>
    <t>TXN-05838</t>
  </si>
  <si>
    <t>TXN-05860</t>
  </si>
  <si>
    <t>TXN-05698</t>
  </si>
  <si>
    <t>TXN-05737</t>
  </si>
  <si>
    <t>TXN-05739</t>
  </si>
  <si>
    <t>TXN-05889</t>
  </si>
  <si>
    <t>TXN-05909</t>
  </si>
  <si>
    <t>TXN-05787</t>
  </si>
  <si>
    <t>TXN-05812</t>
  </si>
  <si>
    <t>TXN-05839</t>
  </si>
  <si>
    <t>TXN-05723</t>
  </si>
  <si>
    <t>TXN-05736</t>
  </si>
  <si>
    <t>TXN-05750</t>
  </si>
  <si>
    <t>TXN-05766</t>
  </si>
  <si>
    <t>TXN-05885</t>
  </si>
  <si>
    <t>TXN-05777</t>
  </si>
  <si>
    <t>TXN-05704</t>
  </si>
  <si>
    <t>TXN-05717</t>
  </si>
  <si>
    <t>TXN-05724</t>
  </si>
  <si>
    <t>TXN-05756</t>
  </si>
  <si>
    <t>TXN-05760</t>
  </si>
  <si>
    <t>TXN-05906</t>
  </si>
  <si>
    <t>TXN-05800</t>
  </si>
  <si>
    <t>TXN-05807</t>
  </si>
  <si>
    <t>TXN-05818</t>
  </si>
  <si>
    <t>TXN-05830</t>
  </si>
  <si>
    <t>TXN-05843</t>
  </si>
  <si>
    <t>TXN-05858</t>
  </si>
  <si>
    <t>TXN-05768</t>
  </si>
  <si>
    <t>TXN-05882</t>
  </si>
  <si>
    <t>TXN-05895</t>
  </si>
  <si>
    <t>TXN-05804</t>
  </si>
  <si>
    <t>TXN-05816</t>
  </si>
  <si>
    <t>TXN-05733</t>
  </si>
  <si>
    <t>TXN-05907</t>
  </si>
  <si>
    <t>TXN-05805</t>
  </si>
  <si>
    <t>TXN-05829</t>
  </si>
  <si>
    <t>TXN-05844</t>
  </si>
  <si>
    <t>TXN-05847</t>
  </si>
  <si>
    <t>TXN-05864</t>
  </si>
  <si>
    <t>TXN-05692</t>
  </si>
  <si>
    <t>TXN-05728</t>
  </si>
  <si>
    <t>TXN-05738</t>
  </si>
  <si>
    <t>TXN-05741</t>
  </si>
  <si>
    <t>TXN-05758</t>
  </si>
  <si>
    <t>TXN-05902</t>
  </si>
  <si>
    <t>TXN-05903</t>
  </si>
  <si>
    <t>TXN-05904</t>
  </si>
  <si>
    <t>TXN-05781</t>
  </si>
  <si>
    <t>TXN-05842</t>
  </si>
  <si>
    <t>TXN-05856</t>
  </si>
  <si>
    <t>TXN-05863</t>
  </si>
  <si>
    <t>TXN-05716</t>
  </si>
  <si>
    <t>TXN-05762</t>
  </si>
  <si>
    <t>TXN-05765</t>
  </si>
  <si>
    <t>TXN-05773</t>
  </si>
  <si>
    <t>TXN-05870</t>
  </si>
  <si>
    <t>TXN-05878</t>
  </si>
  <si>
    <t>TXN-05784</t>
  </si>
  <si>
    <t>TXN-05808</t>
  </si>
  <si>
    <t>TXN-05813</t>
  </si>
  <si>
    <t>TXN-05845</t>
  </si>
  <si>
    <t>TXN-05729</t>
  </si>
  <si>
    <t>TXN-05890</t>
  </si>
  <si>
    <t>TXN-05905</t>
  </si>
  <si>
    <t>TXN-05810</t>
  </si>
  <si>
    <t>TXN-05827</t>
  </si>
  <si>
    <t>TXN-05834</t>
  </si>
  <si>
    <t>TXN-05835</t>
  </si>
  <si>
    <t>TXN-05731</t>
  </si>
  <si>
    <t>TXN-05745</t>
  </si>
  <si>
    <t>TXN-05751</t>
  </si>
  <si>
    <t>TXN-05869</t>
  </si>
  <si>
    <t>TXN-05877</t>
  </si>
  <si>
    <t>TXN-05888</t>
  </si>
  <si>
    <t>TXN-05891</t>
  </si>
  <si>
    <t>TXN-05782</t>
  </si>
  <si>
    <t>TXN-05796</t>
  </si>
  <si>
    <t>TXN-05803</t>
  </si>
  <si>
    <t>TXN-06081</t>
  </si>
  <si>
    <t>TXN-05915</t>
  </si>
  <si>
    <t>TXN-05940</t>
  </si>
  <si>
    <t>TXN-05958</t>
  </si>
  <si>
    <t>TXN-06097</t>
  </si>
  <si>
    <t>TXN-06106</t>
  </si>
  <si>
    <t>TXN-06115</t>
  </si>
  <si>
    <t>TXN-06126</t>
  </si>
  <si>
    <t>TXN-06030</t>
  </si>
  <si>
    <t>TXN-06073</t>
  </si>
  <si>
    <t>TXN-06089</t>
  </si>
  <si>
    <t>TXN-05951</t>
  </si>
  <si>
    <t>TXN-05986</t>
  </si>
  <si>
    <t>TXN-05995</t>
  </si>
  <si>
    <t>TXN-06098</t>
  </si>
  <si>
    <t>TXN-06120</t>
  </si>
  <si>
    <t>TXN-06020</t>
  </si>
  <si>
    <t>TXN-06078</t>
  </si>
  <si>
    <t>TXN-05920</t>
  </si>
  <si>
    <t>TXN-05935</t>
  </si>
  <si>
    <t>TXN-05937</t>
  </si>
  <si>
    <t>TXN-05948</t>
  </si>
  <si>
    <t>TXN-05957</t>
  </si>
  <si>
    <t>TXN-05975</t>
  </si>
  <si>
    <t>TXN-06096</t>
  </si>
  <si>
    <t>TXN-06122</t>
  </si>
  <si>
    <t>TXN-06052</t>
  </si>
  <si>
    <t>TXN-06084</t>
  </si>
  <si>
    <t>TXN-05929</t>
  </si>
  <si>
    <t>TXN-05956</t>
  </si>
  <si>
    <t>TXN-05960</t>
  </si>
  <si>
    <t>TXN-05977</t>
  </si>
  <si>
    <t>TXN-05982</t>
  </si>
  <si>
    <t>TXN-06092</t>
  </si>
  <si>
    <t>TXN-06002</t>
  </si>
  <si>
    <t>TXN-06036</t>
  </si>
  <si>
    <t>TXN-06041</t>
  </si>
  <si>
    <t>TXN-06042</t>
  </si>
  <si>
    <t>TXN-06066</t>
  </si>
  <si>
    <t>TXN-06068</t>
  </si>
  <si>
    <t>TXN-05939</t>
  </si>
  <si>
    <t>TXN-05949</t>
  </si>
  <si>
    <t>TXN-05978</t>
  </si>
  <si>
    <t>TXN-06111</t>
  </si>
  <si>
    <t>TXN-06128</t>
  </si>
  <si>
    <t>TXN-06133</t>
  </si>
  <si>
    <t>TXN-06038</t>
  </si>
  <si>
    <t>TXN-06048</t>
  </si>
  <si>
    <t>TXN-06049</t>
  </si>
  <si>
    <t>TXN-06053</t>
  </si>
  <si>
    <t>TXN-06082</t>
  </si>
  <si>
    <t>TXN-05946</t>
  </si>
  <si>
    <t>TXN-05952</t>
  </si>
  <si>
    <t>TXN-05955</t>
  </si>
  <si>
    <t>TXN-05968</t>
  </si>
  <si>
    <t>TXN-05998</t>
  </si>
  <si>
    <t>TXN-06100</t>
  </si>
  <si>
    <t>TXN-06118</t>
  </si>
  <si>
    <t>TXN-06027</t>
  </si>
  <si>
    <t>TXN-06045</t>
  </si>
  <si>
    <t>TXN-05983</t>
  </si>
  <si>
    <t>TXN-05985</t>
  </si>
  <si>
    <t>TXN-06104</t>
  </si>
  <si>
    <t>TXN-06125</t>
  </si>
  <si>
    <t>TXN-06003</t>
  </si>
  <si>
    <t>TXN-06056</t>
  </si>
  <si>
    <t>TXN-05918</t>
  </si>
  <si>
    <t>TXN-05925</t>
  </si>
  <si>
    <t>TXN-05930</t>
  </si>
  <si>
    <t>TXN-05945</t>
  </si>
  <si>
    <t>TXN-05973</t>
  </si>
  <si>
    <t>TXN-06113</t>
  </si>
  <si>
    <t>TXN-06119</t>
  </si>
  <si>
    <t>TXN-06018</t>
  </si>
  <si>
    <t>TXN-06076</t>
  </si>
  <si>
    <t>TXN-06077</t>
  </si>
  <si>
    <t>TXN-06117</t>
  </si>
  <si>
    <t>TXN-06014</t>
  </si>
  <si>
    <t>TXN-06017</t>
  </si>
  <si>
    <t>TXN-06033</t>
  </si>
  <si>
    <t>TXN-06080</t>
  </si>
  <si>
    <t>TXN-05941</t>
  </si>
  <si>
    <t>TXN-05953</t>
  </si>
  <si>
    <t>TXN-05961</t>
  </si>
  <si>
    <t>TXN-05962</t>
  </si>
  <si>
    <t>TXN-05966</t>
  </si>
  <si>
    <t>TXN-06093</t>
  </si>
  <si>
    <t>TXN-06009</t>
  </si>
  <si>
    <t>TXN-06051</t>
  </si>
  <si>
    <t>TXN-06058</t>
  </si>
  <si>
    <t>TXN-06063</t>
  </si>
  <si>
    <t>TXN-06071</t>
  </si>
  <si>
    <t>TXN-05980</t>
  </si>
  <si>
    <t>TXN-06101</t>
  </si>
  <si>
    <t>TXN-06127</t>
  </si>
  <si>
    <t>TXN-06130</t>
  </si>
  <si>
    <t>TXN-06029</t>
  </si>
  <si>
    <t>TXN-06061</t>
  </si>
  <si>
    <t>TXN-05969</t>
  </si>
  <si>
    <t>TXN-05984</t>
  </si>
  <si>
    <t>TXN-06000</t>
  </si>
  <si>
    <t>TXN-06134</t>
  </si>
  <si>
    <t>TXN-06001</t>
  </si>
  <si>
    <t>TXN-06044</t>
  </si>
  <si>
    <t>TXN-05987</t>
  </si>
  <si>
    <t>TXN-06099</t>
  </si>
  <si>
    <t>TXN-06005</t>
  </si>
  <si>
    <t>TXN-06019</t>
  </si>
  <si>
    <t>TXN-08252</t>
  </si>
  <si>
    <t>TXN-05914</t>
  </si>
  <si>
    <t>TXN-05938</t>
  </si>
  <si>
    <t>TXN-05944</t>
  </si>
  <si>
    <t>TXN-05993</t>
  </si>
  <si>
    <t>TXN-06108</t>
  </si>
  <si>
    <t>TXN-06112</t>
  </si>
  <si>
    <t>TXN-06114</t>
  </si>
  <si>
    <t>TXN-06010</t>
  </si>
  <si>
    <t>TXN-06060</t>
  </si>
  <si>
    <t>TXN-05931</t>
  </si>
  <si>
    <t>TXN-05963</t>
  </si>
  <si>
    <t>TXN-05989</t>
  </si>
  <si>
    <t>TXN-06079</t>
  </si>
  <si>
    <t>TXN-05926</t>
  </si>
  <si>
    <t>TXN-05927</t>
  </si>
  <si>
    <t>TXN-05981</t>
  </si>
  <si>
    <t>TXN-06107</t>
  </si>
  <si>
    <t>TXN-06136</t>
  </si>
  <si>
    <t>TXN-06043</t>
  </si>
  <si>
    <t>TXN-06067</t>
  </si>
  <si>
    <t>TXN-05996</t>
  </si>
  <si>
    <t>TXN-06022</t>
  </si>
  <si>
    <t>TXN-06069</t>
  </si>
  <si>
    <t>TXN-06072</t>
  </si>
  <si>
    <t>TXN-06091</t>
  </si>
  <si>
    <t>TXN-06021</t>
  </si>
  <si>
    <t>TXN-06037</t>
  </si>
  <si>
    <t>TXN-06046</t>
  </si>
  <si>
    <t>TXN-08250</t>
  </si>
  <si>
    <t>TXN-06087</t>
  </si>
  <si>
    <t>TXN-05934</t>
  </si>
  <si>
    <t>TXN-05943</t>
  </si>
  <si>
    <t>TXN-06116</t>
  </si>
  <si>
    <t>TXN-06124</t>
  </si>
  <si>
    <t>TXN-06024</t>
  </si>
  <si>
    <t>TXN-06070</t>
  </si>
  <si>
    <t>TXN-05921</t>
  </si>
  <si>
    <t>TXN-05936</t>
  </si>
  <si>
    <t>TXN-05965</t>
  </si>
  <si>
    <t>TXN-06054</t>
  </si>
  <si>
    <t>TXN-05923</t>
  </si>
  <si>
    <t>TXN-05964</t>
  </si>
  <si>
    <t>TXN-05970</t>
  </si>
  <si>
    <t>TXN-06102</t>
  </si>
  <si>
    <t>TXN-06129</t>
  </si>
  <si>
    <t>TXN-05924</t>
  </si>
  <si>
    <t>TXN-05954</t>
  </si>
  <si>
    <t>TXN-05972</t>
  </si>
  <si>
    <t>TXN-05988</t>
  </si>
  <si>
    <t>TXN-06094</t>
  </si>
  <si>
    <t>TXN-06109</t>
  </si>
  <si>
    <t>TXN-06131</t>
  </si>
  <si>
    <t>TXN-06132</t>
  </si>
  <si>
    <t>TXN-06004</t>
  </si>
  <si>
    <t>TXN-06016</t>
  </si>
  <si>
    <t>TXN-06023</t>
  </si>
  <si>
    <t>TXN-06028</t>
  </si>
  <si>
    <t>TXN-06032</t>
  </si>
  <si>
    <t>TXN-05932</t>
  </si>
  <si>
    <t>TXN-05974</t>
  </si>
  <si>
    <t>TXN-06055</t>
  </si>
  <si>
    <t>TXN-05917</t>
  </si>
  <si>
    <t>TXN-05933</t>
  </si>
  <si>
    <t>TXN-05990</t>
  </si>
  <si>
    <t>TXN-06095</t>
  </si>
  <si>
    <t>TXN-06105</t>
  </si>
  <si>
    <t>TXN-06121</t>
  </si>
  <si>
    <t>TXN-06035</t>
  </si>
  <si>
    <t>TXN-06057</t>
  </si>
  <si>
    <t>TXN-06085</t>
  </si>
  <si>
    <t>TXN-05979</t>
  </si>
  <si>
    <t>TXN-05999</t>
  </si>
  <si>
    <t>TXN-06006</t>
  </si>
  <si>
    <t>TXN-06008</t>
  </si>
  <si>
    <t>TXN-06025</t>
  </si>
  <si>
    <t>TXN-06040</t>
  </si>
  <si>
    <t>TXN-06047</t>
  </si>
  <si>
    <t>TXN-06088</t>
  </si>
  <si>
    <t>TXN-05971</t>
  </si>
  <si>
    <t>TXN-06103</t>
  </si>
  <si>
    <t>TXN-06064</t>
  </si>
  <si>
    <t>TXN-06090</t>
  </si>
  <si>
    <t>TXN-06110</t>
  </si>
  <si>
    <t>TXN-06011</t>
  </si>
  <si>
    <t>TXN-06013</t>
  </si>
  <si>
    <t>TXN-08251</t>
  </si>
  <si>
    <t>TXN-06065</t>
  </si>
  <si>
    <t>TXN-05916</t>
  </si>
  <si>
    <t>TXN-05947</t>
  </si>
  <si>
    <t>TXN-05967</t>
  </si>
  <si>
    <t>TXN-05992</t>
  </si>
  <si>
    <t>TXN-06135</t>
  </si>
  <si>
    <t>TXN-06015</t>
  </si>
  <si>
    <t>TXN-06059</t>
  </si>
  <si>
    <t>TXN-06086</t>
  </si>
  <si>
    <t>TXN-05942</t>
  </si>
  <si>
    <t>TXN-05950</t>
  </si>
  <si>
    <t>TXN-05959</t>
  </si>
  <si>
    <t>TXN-05976</t>
  </si>
  <si>
    <t>TXN-05994</t>
  </si>
  <si>
    <t>TXN-06034</t>
  </si>
  <si>
    <t>TXN-06050</t>
  </si>
  <si>
    <t>TXN-06062</t>
  </si>
  <si>
    <t>TXN-06083</t>
  </si>
  <si>
    <t>TXN-05919</t>
  </si>
  <si>
    <t>TXN-05997</t>
  </si>
  <si>
    <t>TXN-06012</t>
  </si>
  <si>
    <t>TXN-06026</t>
  </si>
  <si>
    <t>TXN-06031</t>
  </si>
  <si>
    <t>TXN-06074</t>
  </si>
  <si>
    <t>TXN-06075</t>
  </si>
  <si>
    <t>TXN-05922</t>
  </si>
  <si>
    <t>TXN-05928</t>
  </si>
  <si>
    <t>TXN-05991</t>
  </si>
  <si>
    <t>TXN-06123</t>
  </si>
  <si>
    <t>TXN-06007</t>
  </si>
  <si>
    <t>TXN-06039</t>
  </si>
  <si>
    <t>TXN-06156</t>
  </si>
  <si>
    <t>TXN-06162</t>
  </si>
  <si>
    <t>TXN-06196</t>
  </si>
  <si>
    <t>TXN-06241</t>
  </si>
  <si>
    <t>TXN-06258</t>
  </si>
  <si>
    <t>TXN-06259</t>
  </si>
  <si>
    <t>TXN-06171</t>
  </si>
  <si>
    <t>TXN-06322</t>
  </si>
  <si>
    <t>TXN-08254</t>
  </si>
  <si>
    <t>TXN-06276</t>
  </si>
  <si>
    <t>TXN-06295</t>
  </si>
  <si>
    <t>TXN-06304</t>
  </si>
  <si>
    <t>TXN-06184</t>
  </si>
  <si>
    <t>TXN-06192</t>
  </si>
  <si>
    <t>TXN-06213</t>
  </si>
  <si>
    <t>TXN-06214</t>
  </si>
  <si>
    <t>TXN-06238</t>
  </si>
  <si>
    <t>TXN-06245</t>
  </si>
  <si>
    <t>TXN-06279</t>
  </si>
  <si>
    <t>TXN-06294</t>
  </si>
  <si>
    <t>TXN-06175</t>
  </si>
  <si>
    <t>TXN-06215</t>
  </si>
  <si>
    <t>TXN-06320</t>
  </si>
  <si>
    <t>TXN-06263</t>
  </si>
  <si>
    <t>TXN-06293</t>
  </si>
  <si>
    <t>TXN-06142</t>
  </si>
  <si>
    <t>TXN-06205</t>
  </si>
  <si>
    <t>TXN-06234</t>
  </si>
  <si>
    <t>TXN-06254</t>
  </si>
  <si>
    <t>TXN-06281</t>
  </si>
  <si>
    <t>TXN-06290</t>
  </si>
  <si>
    <t>TXN-06143</t>
  </si>
  <si>
    <t>TXN-06189</t>
  </si>
  <si>
    <t>TXN-06201</t>
  </si>
  <si>
    <t>TXN-06210</t>
  </si>
  <si>
    <t>TXN-06218</t>
  </si>
  <si>
    <t>TXN-06240</t>
  </si>
  <si>
    <t>TXN-06272</t>
  </si>
  <si>
    <t>TXN-06283</t>
  </si>
  <si>
    <t>TXN-06303</t>
  </si>
  <si>
    <t>TXN-06147</t>
  </si>
  <si>
    <t>TXN-06164</t>
  </si>
  <si>
    <t>TXN-06170</t>
  </si>
  <si>
    <t>TXN-06202</t>
  </si>
  <si>
    <t>TXN-06315</t>
  </si>
  <si>
    <t>TXN-06325</t>
  </si>
  <si>
    <t>TXN-06222</t>
  </si>
  <si>
    <t>TXN-06292</t>
  </si>
  <si>
    <t>TXN-06152</t>
  </si>
  <si>
    <t>TXN-06179</t>
  </si>
  <si>
    <t>TXN-06309</t>
  </si>
  <si>
    <t>TXN-06314</t>
  </si>
  <si>
    <t>TXN-06349</t>
  </si>
  <si>
    <t>TXN-06231</t>
  </si>
  <si>
    <t>TXN-06286</t>
  </si>
  <si>
    <t>TXN-06137</t>
  </si>
  <si>
    <t>TXN-06153</t>
  </si>
  <si>
    <t>TXN-06166</t>
  </si>
  <si>
    <t>TXN-06181</t>
  </si>
  <si>
    <t>TXN-06193</t>
  </si>
  <si>
    <t>TXN-06198</t>
  </si>
  <si>
    <t>TXN-06233</t>
  </si>
  <si>
    <t>TXN-06251</t>
  </si>
  <si>
    <t>TXN-06268</t>
  </si>
  <si>
    <t>TXN-06291</t>
  </si>
  <si>
    <t>TXN-06305</t>
  </si>
  <si>
    <t>TXN-06313</t>
  </si>
  <si>
    <t>TXN-06346</t>
  </si>
  <si>
    <t>TXN-06253</t>
  </si>
  <si>
    <t>TXN-06173</t>
  </si>
  <si>
    <t>TXN-06221</t>
  </si>
  <si>
    <t>TXN-06310</t>
  </si>
  <si>
    <t>TXN-06326</t>
  </si>
  <si>
    <t>TXN-06244</t>
  </si>
  <si>
    <t>TXN-06261</t>
  </si>
  <si>
    <t>TXN-06267</t>
  </si>
  <si>
    <t>TXN-06274</t>
  </si>
  <si>
    <t>TXN-06298</t>
  </si>
  <si>
    <t>TXN-06180</t>
  </si>
  <si>
    <t>TXN-06344</t>
  </si>
  <si>
    <t>TXN-06249</t>
  </si>
  <si>
    <t>TXN-06269</t>
  </si>
  <si>
    <t>TXN-06300</t>
  </si>
  <si>
    <t>TXN-06148</t>
  </si>
  <si>
    <t>TXN-06169</t>
  </si>
  <si>
    <t>TXN-06330</t>
  </si>
  <si>
    <t>TXN-06339</t>
  </si>
  <si>
    <t>TXN-06223</t>
  </si>
  <si>
    <t>TXN-06227</t>
  </si>
  <si>
    <t>TXN-06256</t>
  </si>
  <si>
    <t>TXN-06260</t>
  </si>
  <si>
    <t>TXN-06265</t>
  </si>
  <si>
    <t>TXN-06141</t>
  </si>
  <si>
    <t>TXN-06174</t>
  </si>
  <si>
    <t>TXN-06176</t>
  </si>
  <si>
    <t>TXN-06182</t>
  </si>
  <si>
    <t>TXN-06208</t>
  </si>
  <si>
    <t>TXN-06219</t>
  </si>
  <si>
    <t>TXN-06235</t>
  </si>
  <si>
    <t>TXN-06138</t>
  </si>
  <si>
    <t>TXN-06145</t>
  </si>
  <si>
    <t>TXN-06177</t>
  </si>
  <si>
    <t>TXN-06203</t>
  </si>
  <si>
    <t>TXN-06204</t>
  </si>
  <si>
    <t>TXN-06321</t>
  </si>
  <si>
    <t>TXN-06271</t>
  </si>
  <si>
    <t>TXN-06144</t>
  </si>
  <si>
    <t>TXN-06149</t>
  </si>
  <si>
    <t>TXN-06161</t>
  </si>
  <si>
    <t>TXN-06172</t>
  </si>
  <si>
    <t>TXN-06188</t>
  </si>
  <si>
    <t>TXN-06209</t>
  </si>
  <si>
    <t>TXN-06350</t>
  </si>
  <si>
    <t>TXN-06266</t>
  </si>
  <si>
    <t>TXN-06140</t>
  </si>
  <si>
    <t>TXN-06331</t>
  </si>
  <si>
    <t>TXN-06338</t>
  </si>
  <si>
    <t>TXN-06228</t>
  </si>
  <si>
    <t>TXN-06232</t>
  </si>
  <si>
    <t>TXN-06237</t>
  </si>
  <si>
    <t>TXN-06255</t>
  </si>
  <si>
    <t>TXN-06257</t>
  </si>
  <si>
    <t>TXN-06302</t>
  </si>
  <si>
    <t>TXN-06187</t>
  </si>
  <si>
    <t>TXN-06211</t>
  </si>
  <si>
    <t>TXN-06337</t>
  </si>
  <si>
    <t>TXN-06348</t>
  </si>
  <si>
    <t>TXN-06252</t>
  </si>
  <si>
    <t>TXN-06264</t>
  </si>
  <si>
    <t>TXN-06307</t>
  </si>
  <si>
    <t>TXN-06163</t>
  </si>
  <si>
    <t>TXN-06197</t>
  </si>
  <si>
    <t>TXN-06323</t>
  </si>
  <si>
    <t>TXN-06335</t>
  </si>
  <si>
    <t>TXN-08253</t>
  </si>
  <si>
    <t>TXN-06273</t>
  </si>
  <si>
    <t>TXN-06185</t>
  </si>
  <si>
    <t>TXN-06311</t>
  </si>
  <si>
    <t>TXN-06280</t>
  </si>
  <si>
    <t>TXN-06285</t>
  </si>
  <si>
    <t>TXN-06297</t>
  </si>
  <si>
    <t>TXN-06146</t>
  </si>
  <si>
    <t>TXN-06151</t>
  </si>
  <si>
    <t>TXN-06167</t>
  </si>
  <si>
    <t>TXN-06183</t>
  </si>
  <si>
    <t>TXN-06207</t>
  </si>
  <si>
    <t>TXN-06340</t>
  </si>
  <si>
    <t>TXN-06287</t>
  </si>
  <si>
    <t>TXN-06289</t>
  </si>
  <si>
    <t>TXN-06301</t>
  </si>
  <si>
    <t>TXN-06178</t>
  </si>
  <si>
    <t>TXN-06324</t>
  </si>
  <si>
    <t>TXN-06250</t>
  </si>
  <si>
    <t>TXN-06270</t>
  </si>
  <si>
    <t>TXN-06288</t>
  </si>
  <si>
    <t>TXN-06154</t>
  </si>
  <si>
    <t>TXN-06194</t>
  </si>
  <si>
    <t>TXN-06216</t>
  </si>
  <si>
    <t>TXN-06217</t>
  </si>
  <si>
    <t>TXN-06312</t>
  </si>
  <si>
    <t>TXN-06165</t>
  </si>
  <si>
    <t>TXN-06200</t>
  </si>
  <si>
    <t>TXN-06206</t>
  </si>
  <si>
    <t>TXN-06308</t>
  </si>
  <si>
    <t>TXN-06318</t>
  </si>
  <si>
    <t>TXN-06328</t>
  </si>
  <si>
    <t>TXN-06332</t>
  </si>
  <si>
    <t>TXN-06341</t>
  </si>
  <si>
    <t>TXN-06342</t>
  </si>
  <si>
    <t>TXN-06226</t>
  </si>
  <si>
    <t>TXN-06239</t>
  </si>
  <si>
    <t>TXN-06262</t>
  </si>
  <si>
    <t>TXN-08255</t>
  </si>
  <si>
    <t>TXN-06275</t>
  </si>
  <si>
    <t>TXN-06284</t>
  </si>
  <si>
    <t>TXN-06195</t>
  </si>
  <si>
    <t>TXN-06336</t>
  </si>
  <si>
    <t>TXN-06242</t>
  </si>
  <si>
    <t>TXN-06277</t>
  </si>
  <si>
    <t>TXN-06139</t>
  </si>
  <si>
    <t>TXN-06159</t>
  </si>
  <si>
    <t>TXN-06186</t>
  </si>
  <si>
    <t>TXN-06319</t>
  </si>
  <si>
    <t>TXN-06229</t>
  </si>
  <si>
    <t>TXN-06236</t>
  </si>
  <si>
    <t>TXN-06246</t>
  </si>
  <si>
    <t>TXN-06247</t>
  </si>
  <si>
    <t>TXN-06248</t>
  </si>
  <si>
    <t>TXN-06296</t>
  </si>
  <si>
    <t>TXN-06168</t>
  </si>
  <si>
    <t>TXN-06190</t>
  </si>
  <si>
    <t>TXN-06199</t>
  </si>
  <si>
    <t>TXN-06212</t>
  </si>
  <si>
    <t>TXN-06220</t>
  </si>
  <si>
    <t>TXN-06316</t>
  </si>
  <si>
    <t>TXN-06334</t>
  </si>
  <si>
    <t>TXN-06278</t>
  </si>
  <si>
    <t>TXN-06299</t>
  </si>
  <si>
    <t>TXN-06306</t>
  </si>
  <si>
    <t>TXN-06155</t>
  </si>
  <si>
    <t>TXN-06347</t>
  </si>
  <si>
    <t>TXN-06224</t>
  </si>
  <si>
    <t>TXN-06243</t>
  </si>
  <si>
    <t>TXN-06282</t>
  </si>
  <si>
    <t>TXN-06150</t>
  </si>
  <si>
    <t>TXN-06157</t>
  </si>
  <si>
    <t>TXN-06158</t>
  </si>
  <si>
    <t>TXN-06191</t>
  </si>
  <si>
    <t>TXN-06317</t>
  </si>
  <si>
    <t>TXN-06327</t>
  </si>
  <si>
    <t>TXN-06343</t>
  </si>
  <si>
    <t>TXN-06345</t>
  </si>
  <si>
    <t>TXN-06225</t>
  </si>
  <si>
    <t>TXN-06160</t>
  </si>
  <si>
    <t>TXN-06329</t>
  </si>
  <si>
    <t>TXN-06333</t>
  </si>
  <si>
    <t>TXN-06230</t>
  </si>
  <si>
    <t>TXN-06504</t>
  </si>
  <si>
    <t>TXN-06506</t>
  </si>
  <si>
    <t>TXN-06401</t>
  </si>
  <si>
    <t>TXN-06421</t>
  </si>
  <si>
    <t>TXN-06438</t>
  </si>
  <si>
    <t>TXN-06454</t>
  </si>
  <si>
    <t>TXN-06460</t>
  </si>
  <si>
    <t>TXN-06464</t>
  </si>
  <si>
    <t>TXN-06471</t>
  </si>
  <si>
    <t>TXN-06492</t>
  </si>
  <si>
    <t>TXN-06359</t>
  </si>
  <si>
    <t>TXN-06374</t>
  </si>
  <si>
    <t>TXN-06385</t>
  </si>
  <si>
    <t>TXN-06387</t>
  </si>
  <si>
    <t>TXN-06440</t>
  </si>
  <si>
    <t>TXN-06556</t>
  </si>
  <si>
    <t>TXN-06448</t>
  </si>
  <si>
    <t>TXN-06486</t>
  </si>
  <si>
    <t>TXN-06493</t>
  </si>
  <si>
    <t>TXN-06537</t>
  </si>
  <si>
    <t>TXN-06356</t>
  </si>
  <si>
    <t>TXN-06369</t>
  </si>
  <si>
    <t>TXN-06442</t>
  </si>
  <si>
    <t>TXN-06546</t>
  </si>
  <si>
    <t>TXN-06573</t>
  </si>
  <si>
    <t>TXN-06465</t>
  </si>
  <si>
    <t>TXN-06467</t>
  </si>
  <si>
    <t>TXN-06429</t>
  </si>
  <si>
    <t>TXN-06579</t>
  </si>
  <si>
    <t>TXN-06580</t>
  </si>
  <si>
    <t>TXN-06521</t>
  </si>
  <si>
    <t>TXN-06529</t>
  </si>
  <si>
    <t>TXN-06351</t>
  </si>
  <si>
    <t>TXN-06358</t>
  </si>
  <si>
    <t>TXN-06370</t>
  </si>
  <si>
    <t>TXN-06420</t>
  </si>
  <si>
    <t>TXN-06483</t>
  </si>
  <si>
    <t>TXN-06352</t>
  </si>
  <si>
    <t>TXN-06404</t>
  </si>
  <si>
    <t>TXN-06575</t>
  </si>
  <si>
    <t>TXN-06456</t>
  </si>
  <si>
    <t>TXN-06379</t>
  </si>
  <si>
    <t>TXN-06466</t>
  </si>
  <si>
    <t>TXN-06479</t>
  </si>
  <si>
    <t>TXN-06487</t>
  </si>
  <si>
    <t>TXN-06515</t>
  </si>
  <si>
    <t>TXN-06354</t>
  </si>
  <si>
    <t>TXN-06381</t>
  </si>
  <si>
    <t>TXN-06416</t>
  </si>
  <si>
    <t>TXN-06578</t>
  </si>
  <si>
    <t>TXN-06586</t>
  </si>
  <si>
    <t>TXN-06520</t>
  </si>
  <si>
    <t>TXN-06373</t>
  </si>
  <si>
    <t>TXN-06435</t>
  </si>
  <si>
    <t>TXN-06561</t>
  </si>
  <si>
    <t>TXN-06563</t>
  </si>
  <si>
    <t>TXN-06481</t>
  </si>
  <si>
    <t>TXN-06534</t>
  </si>
  <si>
    <t>TXN-06391</t>
  </si>
  <si>
    <t>TXN-06587</t>
  </si>
  <si>
    <t>TXN-06355</t>
  </si>
  <si>
    <t>TXN-06371</t>
  </si>
  <si>
    <t>TXN-06383</t>
  </si>
  <si>
    <t>TXN-06400</t>
  </si>
  <si>
    <t>TXN-06431</t>
  </si>
  <si>
    <t>TXN-06443</t>
  </si>
  <si>
    <t>TXN-06551</t>
  </si>
  <si>
    <t>TXN-06562</t>
  </si>
  <si>
    <t>TXN-06512</t>
  </si>
  <si>
    <t>TXN-06540</t>
  </si>
  <si>
    <t>TXN-06390</t>
  </si>
  <si>
    <t>TXN-06426</t>
  </si>
  <si>
    <t>TXN-06566</t>
  </si>
  <si>
    <t>TXN-06581</t>
  </si>
  <si>
    <t>TXN-06468</t>
  </si>
  <si>
    <t>TXN-06469</t>
  </si>
  <si>
    <t>TXN-06517</t>
  </si>
  <si>
    <t>TXN-06368</t>
  </si>
  <si>
    <t>TXN-06399</t>
  </si>
  <si>
    <t>TXN-06406</t>
  </si>
  <si>
    <t>TXN-06433</t>
  </si>
  <si>
    <t>TXN-06542</t>
  </si>
  <si>
    <t>TXN-06545</t>
  </si>
  <si>
    <t>TXN-06554</t>
  </si>
  <si>
    <t>TXN-06558</t>
  </si>
  <si>
    <t>TXN-06564</t>
  </si>
  <si>
    <t>TXN-06565</t>
  </si>
  <si>
    <t>TXN-06572</t>
  </si>
  <si>
    <t>TXN-06474</t>
  </si>
  <si>
    <t>TXN-06478</t>
  </si>
  <si>
    <t>TXN-06488</t>
  </si>
  <si>
    <t>TXN-06527</t>
  </si>
  <si>
    <t>TXN-06362</t>
  </si>
  <si>
    <t>TXN-06485</t>
  </si>
  <si>
    <t>TXN-06519</t>
  </si>
  <si>
    <t>TXN-06538</t>
  </si>
  <si>
    <t>TXN-06388</t>
  </si>
  <si>
    <t>TXN-06455</t>
  </si>
  <si>
    <t>TXN-06470</t>
  </si>
  <si>
    <t>TXN-06477</t>
  </si>
  <si>
    <t>TXN-06509</t>
  </si>
  <si>
    <t>TXN-06361</t>
  </si>
  <si>
    <t>TXN-06384</t>
  </si>
  <si>
    <t>TXN-06408</t>
  </si>
  <si>
    <t>TXN-06550</t>
  </si>
  <si>
    <t>TXN-06582</t>
  </si>
  <si>
    <t>TXN-08257</t>
  </si>
  <si>
    <t>TXN-06496</t>
  </si>
  <si>
    <t>TXN-06511</t>
  </si>
  <si>
    <t>TXN-06441</t>
  </si>
  <si>
    <t>TXN-06445</t>
  </si>
  <si>
    <t>TXN-06484</t>
  </si>
  <si>
    <t>TXN-08256</t>
  </si>
  <si>
    <t>TXN-06494</t>
  </si>
  <si>
    <t>TXN-06513</t>
  </si>
  <si>
    <t>TXN-06375</t>
  </si>
  <si>
    <t>TXN-06398</t>
  </si>
  <si>
    <t>TXN-06413</t>
  </si>
  <si>
    <t>TXN-06428</t>
  </si>
  <si>
    <t>TXN-06543</t>
  </si>
  <si>
    <t>TXN-06548</t>
  </si>
  <si>
    <t>TXN-06553</t>
  </si>
  <si>
    <t>TXN-06569</t>
  </si>
  <si>
    <t>TXN-06571</t>
  </si>
  <si>
    <t>TXN-06574</t>
  </si>
  <si>
    <t>TXN-06497</t>
  </si>
  <si>
    <t>TXN-06505</t>
  </si>
  <si>
    <t>TXN-06507</t>
  </si>
  <si>
    <t>TXN-06523</t>
  </si>
  <si>
    <t>TXN-06524</t>
  </si>
  <si>
    <t>TXN-06526</t>
  </si>
  <si>
    <t>TXN-06376</t>
  </si>
  <si>
    <t>TXN-06393</t>
  </si>
  <si>
    <t>TXN-06395</t>
  </si>
  <si>
    <t>TXN-06422</t>
  </si>
  <si>
    <t>TXN-06434</t>
  </si>
  <si>
    <t>TXN-06549</t>
  </si>
  <si>
    <t>TXN-06559</t>
  </si>
  <si>
    <t>TXN-06463</t>
  </si>
  <si>
    <t>TXN-06533</t>
  </si>
  <si>
    <t>TXN-06536</t>
  </si>
  <si>
    <t>TXN-06353</t>
  </si>
  <si>
    <t>TXN-06402</t>
  </si>
  <si>
    <t>TXN-06407</t>
  </si>
  <si>
    <t>TXN-06414</t>
  </si>
  <si>
    <t>TXN-06547</t>
  </si>
  <si>
    <t>TXN-06584</t>
  </si>
  <si>
    <t>TXN-06459</t>
  </si>
  <si>
    <t>TXN-06473</t>
  </si>
  <si>
    <t>TXN-06495</t>
  </si>
  <si>
    <t>TXN-06522</t>
  </si>
  <si>
    <t>TXN-06377</t>
  </si>
  <si>
    <t>TXN-06386</t>
  </si>
  <si>
    <t>TXN-06409</t>
  </si>
  <si>
    <t>TXN-06411</t>
  </si>
  <si>
    <t>TXN-06446</t>
  </si>
  <si>
    <t>TXN-06555</t>
  </si>
  <si>
    <t>TXN-06567</t>
  </si>
  <si>
    <t>TXN-06447</t>
  </si>
  <si>
    <t>TXN-06451</t>
  </si>
  <si>
    <t>TXN-06453</t>
  </si>
  <si>
    <t>TXN-06499</t>
  </si>
  <si>
    <t>TXN-06503</t>
  </si>
  <si>
    <t>TXN-06508</t>
  </si>
  <si>
    <t>TXN-06514</t>
  </si>
  <si>
    <t>TXN-06516</t>
  </si>
  <si>
    <t>TXN-06415</t>
  </si>
  <si>
    <t>TXN-06423</t>
  </si>
  <si>
    <t>TXN-06424</t>
  </si>
  <si>
    <t>TXN-06557</t>
  </si>
  <si>
    <t>TXN-06560</t>
  </si>
  <si>
    <t>TXN-06472</t>
  </si>
  <si>
    <t>TXN-06531</t>
  </si>
  <si>
    <t>TXN-06539</t>
  </si>
  <si>
    <t>TXN-06363</t>
  </si>
  <si>
    <t>TXN-06392</t>
  </si>
  <si>
    <t>TXN-06364</t>
  </si>
  <si>
    <t>TXN-06380</t>
  </si>
  <si>
    <t>TXN-06412</t>
  </si>
  <si>
    <t>TXN-06552</t>
  </si>
  <si>
    <t>TXN-06452</t>
  </si>
  <si>
    <t>TXN-06461</t>
  </si>
  <si>
    <t>TXN-06490</t>
  </si>
  <si>
    <t>TXN-06500</t>
  </si>
  <si>
    <t>TXN-06518</t>
  </si>
  <si>
    <t>TXN-06525</t>
  </si>
  <si>
    <t>TXN-06360</t>
  </si>
  <si>
    <t>TXN-06378</t>
  </si>
  <si>
    <t>TXN-06394</t>
  </si>
  <si>
    <t>TXN-06405</t>
  </si>
  <si>
    <t>TXN-06410</t>
  </si>
  <si>
    <t>TXN-06437</t>
  </si>
  <si>
    <t>TXN-06585</t>
  </si>
  <si>
    <t>TXN-06449</t>
  </si>
  <si>
    <t>TXN-06458</t>
  </si>
  <si>
    <t>TXN-06475</t>
  </si>
  <si>
    <t>TXN-06530</t>
  </si>
  <si>
    <t>TXN-06382</t>
  </si>
  <si>
    <t>TXN-06425</t>
  </si>
  <si>
    <t>TXN-06430</t>
  </si>
  <si>
    <t>TXN-06498</t>
  </si>
  <si>
    <t>TXN-06532</t>
  </si>
  <si>
    <t>TXN-06389</t>
  </si>
  <si>
    <t>TXN-06396</t>
  </si>
  <si>
    <t>TXN-06418</t>
  </si>
  <si>
    <t>TXN-06432</t>
  </si>
  <si>
    <t>TXN-06436</t>
  </si>
  <si>
    <t>TXN-06570</t>
  </si>
  <si>
    <t>TXN-06476</t>
  </si>
  <si>
    <t>TXN-06501</t>
  </si>
  <si>
    <t>TXN-06502</t>
  </si>
  <si>
    <t>TXN-06510</t>
  </si>
  <si>
    <t>TXN-06528</t>
  </si>
  <si>
    <t>TXN-06366</t>
  </si>
  <si>
    <t>TXN-06450</t>
  </si>
  <si>
    <t>TXN-06482</t>
  </si>
  <si>
    <t>TXN-06535</t>
  </si>
  <si>
    <t>TXN-06541</t>
  </si>
  <si>
    <t>TXN-06367</t>
  </si>
  <si>
    <t>TXN-06397</t>
  </si>
  <si>
    <t>TXN-06403</t>
  </si>
  <si>
    <t>TXN-06417</t>
  </si>
  <si>
    <t>TXN-06588</t>
  </si>
  <si>
    <t>TXN-06457</t>
  </si>
  <si>
    <t>TXN-06480</t>
  </si>
  <si>
    <t>TXN-08258</t>
  </si>
  <si>
    <t>TXN-06357</t>
  </si>
  <si>
    <t>TXN-06427</t>
  </si>
  <si>
    <t>TXN-06439</t>
  </si>
  <si>
    <t>TXN-06544</t>
  </si>
  <si>
    <t>TXN-06589</t>
  </si>
  <si>
    <t>TXN-06462</t>
  </si>
  <si>
    <t>TXN-06489</t>
  </si>
  <si>
    <t>TXN-06491</t>
  </si>
  <si>
    <t>TXN-06365</t>
  </si>
  <si>
    <t>TXN-06372</t>
  </si>
  <si>
    <t>TXN-06419</t>
  </si>
  <si>
    <t>TXN-06444</t>
  </si>
  <si>
    <t>TXN-06568</t>
  </si>
  <si>
    <t>TXN-06576</t>
  </si>
  <si>
    <t>TXN-06577</t>
  </si>
  <si>
    <t>TXN-06583</t>
  </si>
  <si>
    <t>TXN-06603</t>
  </si>
  <si>
    <t>TXN-06611</t>
  </si>
  <si>
    <t>TXN-06627</t>
  </si>
  <si>
    <t>TXN-06658</t>
  </si>
  <si>
    <t>TXN-06781</t>
  </si>
  <si>
    <t>TXN-06801</t>
  </si>
  <si>
    <t>TXN-06817</t>
  </si>
  <si>
    <t>TXN-06696</t>
  </si>
  <si>
    <t>TXN-06713</t>
  </si>
  <si>
    <t>TXN-06721</t>
  </si>
  <si>
    <t>TXN-06770</t>
  </si>
  <si>
    <t>TXN-06590</t>
  </si>
  <si>
    <t>TXN-06610</t>
  </si>
  <si>
    <t>TXN-06616</t>
  </si>
  <si>
    <t>TXN-06791</t>
  </si>
  <si>
    <t>TXN-06798</t>
  </si>
  <si>
    <t>TXN-06804</t>
  </si>
  <si>
    <t>TXN-06698</t>
  </si>
  <si>
    <t>TXN-06736</t>
  </si>
  <si>
    <t>TXN-06765</t>
  </si>
  <si>
    <t>TXN-06803</t>
  </si>
  <si>
    <t>TXN-06807</t>
  </si>
  <si>
    <t>TXN-06726</t>
  </si>
  <si>
    <t>TXN-06727</t>
  </si>
  <si>
    <t>TXN-08259</t>
  </si>
  <si>
    <t>TXN-06745</t>
  </si>
  <si>
    <t>TXN-06596</t>
  </si>
  <si>
    <t>TXN-06639</t>
  </si>
  <si>
    <t>TXN-06670</t>
  </si>
  <si>
    <t>TXN-06799</t>
  </si>
  <si>
    <t>TXN-06800</t>
  </si>
  <si>
    <t>TXN-06805</t>
  </si>
  <si>
    <t>TXN-06733</t>
  </si>
  <si>
    <t>TXN-06734</t>
  </si>
  <si>
    <t>TXN-06735</t>
  </si>
  <si>
    <t>TXN-06751</t>
  </si>
  <si>
    <t>TXN-06752</t>
  </si>
  <si>
    <t>TXN-06766</t>
  </si>
  <si>
    <t>TXN-06612</t>
  </si>
  <si>
    <t>TXN-06629</t>
  </si>
  <si>
    <t>TXN-06650</t>
  </si>
  <si>
    <t>TXN-06651</t>
  </si>
  <si>
    <t>TXN-06652</t>
  </si>
  <si>
    <t>TXN-06665</t>
  </si>
  <si>
    <t>TXN-06667</t>
  </si>
  <si>
    <t>TXN-06678</t>
  </si>
  <si>
    <t>TXN-06703</t>
  </si>
  <si>
    <t>TXN-06704</t>
  </si>
  <si>
    <t>TXN-06743</t>
  </si>
  <si>
    <t>TXN-06746</t>
  </si>
  <si>
    <t>TXN-06614</t>
  </si>
  <si>
    <t>TXN-06624</t>
  </si>
  <si>
    <t>TXN-06797</t>
  </si>
  <si>
    <t>TXN-06810</t>
  </si>
  <si>
    <t>TXN-06695</t>
  </si>
  <si>
    <t>TXN-06706</t>
  </si>
  <si>
    <t>TXN-06739</t>
  </si>
  <si>
    <t>TXN-06753</t>
  </si>
  <si>
    <t>TXN-06597</t>
  </si>
  <si>
    <t>TXN-06635</t>
  </si>
  <si>
    <t>TXN-06657</t>
  </si>
  <si>
    <t>TXN-06793</t>
  </si>
  <si>
    <t>TXN-06811</t>
  </si>
  <si>
    <t>TXN-06816</t>
  </si>
  <si>
    <t>TXN-06722</t>
  </si>
  <si>
    <t>TXN-06730</t>
  </si>
  <si>
    <t>TXN-06769</t>
  </si>
  <si>
    <t>TXN-06774</t>
  </si>
  <si>
    <t>TXN-06632</t>
  </si>
  <si>
    <t>TXN-06686</t>
  </si>
  <si>
    <t>TXN-06780</t>
  </si>
  <si>
    <t>TXN-06787</t>
  </si>
  <si>
    <t>TXN-06795</t>
  </si>
  <si>
    <t>TXN-06690</t>
  </si>
  <si>
    <t>TXN-06711</t>
  </si>
  <si>
    <t>TXN-06714</t>
  </si>
  <si>
    <t>TXN-06760</t>
  </si>
  <si>
    <t>TXN-06592</t>
  </si>
  <si>
    <t>TXN-06656</t>
  </si>
  <si>
    <t>TXN-06796</t>
  </si>
  <si>
    <t>TXN-06815</t>
  </si>
  <si>
    <t>TXN-06707</t>
  </si>
  <si>
    <t>TXN-06740</t>
  </si>
  <si>
    <t>TXN-06747</t>
  </si>
  <si>
    <t>TXN-06763</t>
  </si>
  <si>
    <t>TXN-06640</t>
  </si>
  <si>
    <t>TXN-06647</t>
  </si>
  <si>
    <t>TXN-06653</t>
  </si>
  <si>
    <t>TXN-06682</t>
  </si>
  <si>
    <t>TXN-06786</t>
  </si>
  <si>
    <t>TXN-06809</t>
  </si>
  <si>
    <t>TXN-06691</t>
  </si>
  <si>
    <t>TXN-06762</t>
  </si>
  <si>
    <t>TXN-06777</t>
  </si>
  <si>
    <t>TXN-06595</t>
  </si>
  <si>
    <t>TXN-06636</t>
  </si>
  <si>
    <t>TXN-06677</t>
  </si>
  <si>
    <t>TXN-06646</t>
  </si>
  <si>
    <t>TXN-06784</t>
  </si>
  <si>
    <t>TXN-06813</t>
  </si>
  <si>
    <t>TXN-06741</t>
  </si>
  <si>
    <t>TXN-06594</t>
  </si>
  <si>
    <t>TXN-06654</t>
  </si>
  <si>
    <t>TXN-06659</t>
  </si>
  <si>
    <t>TXN-06819</t>
  </si>
  <si>
    <t>TXN-06728</t>
  </si>
  <si>
    <t>TXN-08261</t>
  </si>
  <si>
    <t>TXN-06767</t>
  </si>
  <si>
    <t>TXN-06773</t>
  </si>
  <si>
    <t>TXN-06679</t>
  </si>
  <si>
    <t>TXN-06783</t>
  </si>
  <si>
    <t>TXN-06790</t>
  </si>
  <si>
    <t>TXN-06814</t>
  </si>
  <si>
    <t>TXN-06688</t>
  </si>
  <si>
    <t>TXN-06759</t>
  </si>
  <si>
    <t>TXN-06607</t>
  </si>
  <si>
    <t>TXN-06618</t>
  </si>
  <si>
    <t>TXN-06643</t>
  </si>
  <si>
    <t>TXN-06660</t>
  </si>
  <si>
    <t>TXN-06662</t>
  </si>
  <si>
    <t>TXN-06672</t>
  </si>
  <si>
    <t>TXN-06674</t>
  </si>
  <si>
    <t>TXN-06675</t>
  </si>
  <si>
    <t>TXN-06806</t>
  </si>
  <si>
    <t>TXN-06697</t>
  </si>
  <si>
    <t>TXN-06716</t>
  </si>
  <si>
    <t>TXN-06732</t>
  </si>
  <si>
    <t>TXN-06737</t>
  </si>
  <si>
    <t>TXN-06600</t>
  </si>
  <si>
    <t>TXN-06620</t>
  </si>
  <si>
    <t>TXN-06642</t>
  </si>
  <si>
    <t>TXN-06673</t>
  </si>
  <si>
    <t>TXN-06782</t>
  </si>
  <si>
    <t>TXN-06701</t>
  </si>
  <si>
    <t>TXN-06749</t>
  </si>
  <si>
    <t>TXN-06608</t>
  </si>
  <si>
    <t>TXN-06609</t>
  </si>
  <si>
    <t>TXN-06613</t>
  </si>
  <si>
    <t>TXN-06637</t>
  </si>
  <si>
    <t>TXN-06648</t>
  </si>
  <si>
    <t>TXN-06655</t>
  </si>
  <si>
    <t>TXN-06808</t>
  </si>
  <si>
    <t>TXN-06708</t>
  </si>
  <si>
    <t>TXN-06742</t>
  </si>
  <si>
    <t>TXN-06615</t>
  </si>
  <si>
    <t>TXN-06671</t>
  </si>
  <si>
    <t>TXN-06683</t>
  </si>
  <si>
    <t>TXN-06687</t>
  </si>
  <si>
    <t>TXN-06641</t>
  </si>
  <si>
    <t>TXN-06812</t>
  </si>
  <si>
    <t>TXN-06692</t>
  </si>
  <si>
    <t>TXN-06702</t>
  </si>
  <si>
    <t>TXN-06725</t>
  </si>
  <si>
    <t>TXN-06768</t>
  </si>
  <si>
    <t>TXN-06771</t>
  </si>
  <si>
    <t>TXN-06599</t>
  </si>
  <si>
    <t>TXN-06625</t>
  </si>
  <si>
    <t>TXN-06724</t>
  </si>
  <si>
    <t>TXN-06776</t>
  </si>
  <si>
    <t>TXN-06630</t>
  </si>
  <si>
    <t>TXN-06631</t>
  </si>
  <si>
    <t>TXN-06638</t>
  </si>
  <si>
    <t>TXN-06644</t>
  </si>
  <si>
    <t>TXN-06664</t>
  </si>
  <si>
    <t>TXN-06676</t>
  </si>
  <si>
    <t>TXN-06685</t>
  </si>
  <si>
    <t>TXN-08260</t>
  </si>
  <si>
    <t>TXN-06748</t>
  </si>
  <si>
    <t>TXN-06681</t>
  </si>
  <si>
    <t>TXN-06785</t>
  </si>
  <si>
    <t>TXN-06818</t>
  </si>
  <si>
    <t>TXN-06699</t>
  </si>
  <si>
    <t>TXN-06709</t>
  </si>
  <si>
    <t>TXN-06710</t>
  </si>
  <si>
    <t>TXN-06756</t>
  </si>
  <si>
    <t>TXN-06604</t>
  </si>
  <si>
    <t>TXN-06649</t>
  </si>
  <si>
    <t>TXN-06779</t>
  </si>
  <si>
    <t>TXN-06802</t>
  </si>
  <si>
    <t>TXN-06738</t>
  </si>
  <si>
    <t>TXN-06754</t>
  </si>
  <si>
    <t>TXN-06772</t>
  </si>
  <si>
    <t>TXN-06598</t>
  </si>
  <si>
    <t>TXN-06621</t>
  </si>
  <si>
    <t>TXN-06622</t>
  </si>
  <si>
    <t>TXN-06645</t>
  </si>
  <si>
    <t>TXN-06663</t>
  </si>
  <si>
    <t>TXN-06680</t>
  </si>
  <si>
    <t>TXN-06689</t>
  </si>
  <si>
    <t>TXN-06700</t>
  </si>
  <si>
    <t>TXN-06705</t>
  </si>
  <si>
    <t>TXN-06729</t>
  </si>
  <si>
    <t>TXN-06757</t>
  </si>
  <si>
    <t>TXN-06758</t>
  </si>
  <si>
    <t>TXN-06605</t>
  </si>
  <si>
    <t>TXN-06606</t>
  </si>
  <si>
    <t>TXN-06719</t>
  </si>
  <si>
    <t>TXN-06720</t>
  </si>
  <si>
    <t>TXN-06755</t>
  </si>
  <si>
    <t>TXN-06601</t>
  </si>
  <si>
    <t>TXN-06617</t>
  </si>
  <si>
    <t>TXN-06623</t>
  </si>
  <si>
    <t>TXN-06626</t>
  </si>
  <si>
    <t>TXN-06792</t>
  </si>
  <si>
    <t>TXN-06794</t>
  </si>
  <si>
    <t>TXN-06694</t>
  </si>
  <si>
    <t>TXN-06712</t>
  </si>
  <si>
    <t>TXN-06778</t>
  </si>
  <si>
    <t>TXN-06591</t>
  </si>
  <si>
    <t>TXN-06593</t>
  </si>
  <si>
    <t>TXN-06668</t>
  </si>
  <si>
    <t>TXN-06788</t>
  </si>
  <si>
    <t>TXN-06789</t>
  </si>
  <si>
    <t>TXN-06715</t>
  </si>
  <si>
    <t>TXN-06717</t>
  </si>
  <si>
    <t>TXN-06750</t>
  </si>
  <si>
    <t>TXN-06764</t>
  </si>
  <si>
    <t>TXN-06775</t>
  </si>
  <si>
    <t>TXN-06602</t>
  </si>
  <si>
    <t>TXN-06619</t>
  </si>
  <si>
    <t>TXN-06634</t>
  </si>
  <si>
    <t>TXN-06666</t>
  </si>
  <si>
    <t>TXN-06693</t>
  </si>
  <si>
    <t>TXN-06718</t>
  </si>
  <si>
    <t>TXN-06723</t>
  </si>
  <si>
    <t>TXN-06731</t>
  </si>
  <si>
    <t>TXN-06744</t>
  </si>
  <si>
    <t>TXN-06628</t>
  </si>
  <si>
    <t>TXN-06633</t>
  </si>
  <si>
    <t>TXN-06661</t>
  </si>
  <si>
    <t>TXN-06669</t>
  </si>
  <si>
    <t>TXN-06684</t>
  </si>
  <si>
    <t>TXN-06761</t>
  </si>
  <si>
    <t>TXN-06961</t>
  </si>
  <si>
    <t>TXN-06990</t>
  </si>
  <si>
    <t>TXN-06903</t>
  </si>
  <si>
    <t>TXN-06994</t>
  </si>
  <si>
    <t>TXN-06914</t>
  </si>
  <si>
    <t>TXN-06930</t>
  </si>
  <si>
    <t>TXN-06952</t>
  </si>
  <si>
    <t>TXN-06963</t>
  </si>
  <si>
    <t>TXN-06825</t>
  </si>
  <si>
    <t>TXN-06832</t>
  </si>
  <si>
    <t>TXN-06887</t>
  </si>
  <si>
    <t>TXN-06897</t>
  </si>
  <si>
    <t>TXN-06993</t>
  </si>
  <si>
    <t>TXN-07004</t>
  </si>
  <si>
    <t>TXN-07009</t>
  </si>
  <si>
    <t>TXN-07016</t>
  </si>
  <si>
    <t>TXN-06922</t>
  </si>
  <si>
    <t>TXN-06953</t>
  </si>
  <si>
    <t>TXN-06853</t>
  </si>
  <si>
    <t>TXN-06858</t>
  </si>
  <si>
    <t>TXN-06948</t>
  </si>
  <si>
    <t>TXN-06979</t>
  </si>
  <si>
    <t>TXN-06827</t>
  </si>
  <si>
    <t>TXN-06843</t>
  </si>
  <si>
    <t>TXN-06895</t>
  </si>
  <si>
    <t>TXN-06927</t>
  </si>
  <si>
    <t>TXN-06975</t>
  </si>
  <si>
    <t>TXN-06846</t>
  </si>
  <si>
    <t>TXN-06855</t>
  </si>
  <si>
    <t>TXN-06902</t>
  </si>
  <si>
    <t>TXN-06997</t>
  </si>
  <si>
    <t>TXN-07003</t>
  </si>
  <si>
    <t>TXN-07012</t>
  </si>
  <si>
    <t>TXN-06911</t>
  </si>
  <si>
    <t>TXN-08263</t>
  </si>
  <si>
    <t>TXN-06968</t>
  </si>
  <si>
    <t>TXN-06984</t>
  </si>
  <si>
    <t>TXN-06985</t>
  </si>
  <si>
    <t>TXN-06875</t>
  </si>
  <si>
    <t>TXN-06892</t>
  </si>
  <si>
    <t>TXN-06896</t>
  </si>
  <si>
    <t>TXN-06998</t>
  </si>
  <si>
    <t>TXN-07029</t>
  </si>
  <si>
    <t>TXN-08264</t>
  </si>
  <si>
    <t>TXN-07028</t>
  </si>
  <si>
    <t>TXN-06951</t>
  </si>
  <si>
    <t>TXN-06823</t>
  </si>
  <si>
    <t>TXN-06841</t>
  </si>
  <si>
    <t>TXN-06849</t>
  </si>
  <si>
    <t>TXN-07007</t>
  </si>
  <si>
    <t>TXN-07026</t>
  </si>
  <si>
    <t>TXN-06919</t>
  </si>
  <si>
    <t>TXN-06976</t>
  </si>
  <si>
    <t>TXN-06838</t>
  </si>
  <si>
    <t>TXN-06876</t>
  </si>
  <si>
    <t>TXN-06900</t>
  </si>
  <si>
    <t>TXN-06901</t>
  </si>
  <si>
    <t>TXN-06991</t>
  </si>
  <si>
    <t>TXN-07005</t>
  </si>
  <si>
    <t>TXN-07011</t>
  </si>
  <si>
    <t>TXN-06907</t>
  </si>
  <si>
    <t>TXN-06937</t>
  </si>
  <si>
    <t>TXN-06938</t>
  </si>
  <si>
    <t>TXN-06962</t>
  </si>
  <si>
    <t>TXN-06839</t>
  </si>
  <si>
    <t>TXN-06847</t>
  </si>
  <si>
    <t>TXN-06869</t>
  </si>
  <si>
    <t>TXN-07017</t>
  </si>
  <si>
    <t>TXN-06915</t>
  </si>
  <si>
    <t>TXN-06944</t>
  </si>
  <si>
    <t>TXN-06946</t>
  </si>
  <si>
    <t>TXN-06967</t>
  </si>
  <si>
    <t>TXN-06969</t>
  </si>
  <si>
    <t>TXN-06978</t>
  </si>
  <si>
    <t>TXN-06980</t>
  </si>
  <si>
    <t>TXN-06835</t>
  </si>
  <si>
    <t>TXN-07014</t>
  </si>
  <si>
    <t>TXN-06921</t>
  </si>
  <si>
    <t>TXN-06924</t>
  </si>
  <si>
    <t>TXN-06928</t>
  </si>
  <si>
    <t>TXN-06959</t>
  </si>
  <si>
    <t>TXN-06822</t>
  </si>
  <si>
    <t>TXN-06863</t>
  </si>
  <si>
    <t>TXN-06992</t>
  </si>
  <si>
    <t>TXN-07010</t>
  </si>
  <si>
    <t>TXN-07030</t>
  </si>
  <si>
    <t>TXN-06925</t>
  </si>
  <si>
    <t>TXN-06988</t>
  </si>
  <si>
    <t>TXN-06826</t>
  </si>
  <si>
    <t>TXN-06879</t>
  </si>
  <si>
    <t>TXN-06904</t>
  </si>
  <si>
    <t>TXN-06954</t>
  </si>
  <si>
    <t>TXN-06956</t>
  </si>
  <si>
    <t>TXN-06957</t>
  </si>
  <si>
    <t>TXN-06821</t>
  </si>
  <si>
    <t>TXN-06845</t>
  </si>
  <si>
    <t>TXN-06850</t>
  </si>
  <si>
    <t>TXN-06890</t>
  </si>
  <si>
    <t>TXN-06891</t>
  </si>
  <si>
    <t>TXN-07001</t>
  </si>
  <si>
    <t>TXN-06972</t>
  </si>
  <si>
    <t>TXN-06830</t>
  </si>
  <si>
    <t>TXN-06831</t>
  </si>
  <si>
    <t>TXN-06842</t>
  </si>
  <si>
    <t>TXN-06856</t>
  </si>
  <si>
    <t>TXN-06857</t>
  </si>
  <si>
    <t>TXN-06865</t>
  </si>
  <si>
    <t>TXN-06873</t>
  </si>
  <si>
    <t>TXN-06885</t>
  </si>
  <si>
    <t>TXN-07000</t>
  </si>
  <si>
    <t>TXN-07025</t>
  </si>
  <si>
    <t>TXN-06960</t>
  </si>
  <si>
    <t>TXN-06966</t>
  </si>
  <si>
    <t>TXN-06970</t>
  </si>
  <si>
    <t>TXN-06848</t>
  </si>
  <si>
    <t>TXN-06877</t>
  </si>
  <si>
    <t>TXN-07027</t>
  </si>
  <si>
    <t>TXN-06912</t>
  </si>
  <si>
    <t>TXN-06926</t>
  </si>
  <si>
    <t>TXN-08262</t>
  </si>
  <si>
    <t>TXN-06958</t>
  </si>
  <si>
    <t>TXN-06867</t>
  </si>
  <si>
    <t>TXN-06872</t>
  </si>
  <si>
    <t>TXN-06882</t>
  </si>
  <si>
    <t>TXN-06908</t>
  </si>
  <si>
    <t>TXN-06971</t>
  </si>
  <si>
    <t>TXN-06833</t>
  </si>
  <si>
    <t>TXN-06868</t>
  </si>
  <si>
    <t>TXN-06899</t>
  </si>
  <si>
    <t>TXN-07013</t>
  </si>
  <si>
    <t>TXN-07031</t>
  </si>
  <si>
    <t>TXN-06909</t>
  </si>
  <si>
    <t>TXN-06923</t>
  </si>
  <si>
    <t>TXN-06942</t>
  </si>
  <si>
    <t>TXN-06995</t>
  </si>
  <si>
    <t>TXN-06949</t>
  </si>
  <si>
    <t>TXN-06989</t>
  </si>
  <si>
    <t>TXN-06844</t>
  </si>
  <si>
    <t>TXN-06852</t>
  </si>
  <si>
    <t>TXN-06880</t>
  </si>
  <si>
    <t>TXN-07032</t>
  </si>
  <si>
    <t>TXN-06910</t>
  </si>
  <si>
    <t>TXN-06913</t>
  </si>
  <si>
    <t>TXN-06934</t>
  </si>
  <si>
    <t>TXN-06940</t>
  </si>
  <si>
    <t>TXN-06828</t>
  </si>
  <si>
    <t>TXN-07002</t>
  </si>
  <si>
    <t>TXN-07018</t>
  </si>
  <si>
    <t>TXN-06941</t>
  </si>
  <si>
    <t>TXN-06964</t>
  </si>
  <si>
    <t>TXN-06987</t>
  </si>
  <si>
    <t>TXN-06860</t>
  </si>
  <si>
    <t>TXN-06884</t>
  </si>
  <si>
    <t>TXN-06886</t>
  </si>
  <si>
    <t>TXN-06893</t>
  </si>
  <si>
    <t>TXN-06917</t>
  </si>
  <si>
    <t>TXN-06982</t>
  </si>
  <si>
    <t>TXN-06836</t>
  </si>
  <si>
    <t>TXN-06888</t>
  </si>
  <si>
    <t>TXN-06996</t>
  </si>
  <si>
    <t>TXN-07008</t>
  </si>
  <si>
    <t>TXN-06918</t>
  </si>
  <si>
    <t>TXN-06929</t>
  </si>
  <si>
    <t>TXN-06943</t>
  </si>
  <si>
    <t>TXN-06945</t>
  </si>
  <si>
    <t>TXN-06851</t>
  </si>
  <si>
    <t>TXN-06894</t>
  </si>
  <si>
    <t>TXN-07019</t>
  </si>
  <si>
    <t>TXN-06920</t>
  </si>
  <si>
    <t>TXN-06834</t>
  </si>
  <si>
    <t>TXN-06870</t>
  </si>
  <si>
    <t>TXN-06881</t>
  </si>
  <si>
    <t>TXN-07006</t>
  </si>
  <si>
    <t>TXN-07023</t>
  </si>
  <si>
    <t>TXN-06906</t>
  </si>
  <si>
    <t>TXN-06932</t>
  </si>
  <si>
    <t>TXN-06933</t>
  </si>
  <si>
    <t>TXN-06947</t>
  </si>
  <si>
    <t>TXN-06974</t>
  </si>
  <si>
    <t>TXN-06977</t>
  </si>
  <si>
    <t>TXN-06829</t>
  </si>
  <si>
    <t>TXN-06837</t>
  </si>
  <si>
    <t>TXN-06840</t>
  </si>
  <si>
    <t>TXN-06861</t>
  </si>
  <si>
    <t>TXN-06883</t>
  </si>
  <si>
    <t>TXN-07015</t>
  </si>
  <si>
    <t>TXN-06939</t>
  </si>
  <si>
    <t>TXN-06955</t>
  </si>
  <si>
    <t>TXN-06820</t>
  </si>
  <si>
    <t>TXN-06859</t>
  </si>
  <si>
    <t>TXN-06866</t>
  </si>
  <si>
    <t>TXN-06878</t>
  </si>
  <si>
    <t>TXN-06898</t>
  </si>
  <si>
    <t>TXN-06916</t>
  </si>
  <si>
    <t>TXN-06936</t>
  </si>
  <si>
    <t>TXN-06950</t>
  </si>
  <si>
    <t>TXN-06965</t>
  </si>
  <si>
    <t>TXN-06983</t>
  </si>
  <si>
    <t>TXN-06824</t>
  </si>
  <si>
    <t>TXN-06862</t>
  </si>
  <si>
    <t>TXN-07020</t>
  </si>
  <si>
    <t>TXN-06931</t>
  </si>
  <si>
    <t>TXN-06935</t>
  </si>
  <si>
    <t>TXN-06854</t>
  </si>
  <si>
    <t>TXN-06864</t>
  </si>
  <si>
    <t>TXN-06889</t>
  </si>
  <si>
    <t>TXN-06981</t>
  </si>
  <si>
    <t>TXN-06874</t>
  </si>
  <si>
    <t>TXN-06999</t>
  </si>
  <si>
    <t>TXN-07022</t>
  </si>
  <si>
    <t>TXN-06905</t>
  </si>
  <si>
    <t>TXN-06973</t>
  </si>
  <si>
    <t>TXN-06986</t>
  </si>
  <si>
    <t>TXN-06871</t>
  </si>
  <si>
    <t>TXN-07021</t>
  </si>
  <si>
    <t>TXN-07024</t>
  </si>
  <si>
    <t>TXN-07039</t>
  </si>
  <si>
    <t>TXN-07095</t>
  </si>
  <si>
    <t>TXN-07099</t>
  </si>
  <si>
    <t>TXN-07102</t>
  </si>
  <si>
    <t>TXN-07105</t>
  </si>
  <si>
    <t>TXN-07121</t>
  </si>
  <si>
    <t>TXN-07249</t>
  </si>
  <si>
    <t>TXN-07266</t>
  </si>
  <si>
    <t>TXN-07122</t>
  </si>
  <si>
    <t>TXN-07125</t>
  </si>
  <si>
    <t>TXN-08266</t>
  </si>
  <si>
    <t>TXN-07173</t>
  </si>
  <si>
    <t>TXN-07209</t>
  </si>
  <si>
    <t>TXN-07210</t>
  </si>
  <si>
    <t>TXN-07212</t>
  </si>
  <si>
    <t>TXN-07217</t>
  </si>
  <si>
    <t>TXN-07046</t>
  </si>
  <si>
    <t>TXN-07080</t>
  </si>
  <si>
    <t>TXN-07264</t>
  </si>
  <si>
    <t>TXN-07139</t>
  </si>
  <si>
    <t>TXN-07157</t>
  </si>
  <si>
    <t>TXN-07174</t>
  </si>
  <si>
    <t>TXN-07189</t>
  </si>
  <si>
    <t>TXN-07214</t>
  </si>
  <si>
    <t>TXN-07078</t>
  </si>
  <si>
    <t>TXN-07082</t>
  </si>
  <si>
    <t>TXN-07104</t>
  </si>
  <si>
    <t>TXN-07257</t>
  </si>
  <si>
    <t>TXN-07135</t>
  </si>
  <si>
    <t>TXN-07170</t>
  </si>
  <si>
    <t>TXN-07218</t>
  </si>
  <si>
    <t>TXN-07059</t>
  </si>
  <si>
    <t>TXN-07069</t>
  </si>
  <si>
    <t>TXN-07081</t>
  </si>
  <si>
    <t>TXN-07106</t>
  </si>
  <si>
    <t>TXN-07221</t>
  </si>
  <si>
    <t>TXN-07237</t>
  </si>
  <si>
    <t>TXN-07134</t>
  </si>
  <si>
    <t>TXN-07166</t>
  </si>
  <si>
    <t>TXN-08265</t>
  </si>
  <si>
    <t>TXN-07181</t>
  </si>
  <si>
    <t>TXN-07192</t>
  </si>
  <si>
    <t>TXN-07065</t>
  </si>
  <si>
    <t>TXN-07074</t>
  </si>
  <si>
    <t>TXN-07232</t>
  </si>
  <si>
    <t>TXN-07262</t>
  </si>
  <si>
    <t>TXN-07161</t>
  </si>
  <si>
    <t>TXN-07215</t>
  </si>
  <si>
    <t>TXN-07216</t>
  </si>
  <si>
    <t>TXN-07076</t>
  </si>
  <si>
    <t>TXN-07235</t>
  </si>
  <si>
    <t>TXN-07137</t>
  </si>
  <si>
    <t>TXN-07153</t>
  </si>
  <si>
    <t>TXN-07188</t>
  </si>
  <si>
    <t>TXN-07071</t>
  </si>
  <si>
    <t>TXN-07090</t>
  </si>
  <si>
    <t>TXN-07093</t>
  </si>
  <si>
    <t>TXN-07244</t>
  </si>
  <si>
    <t>TXN-07085</t>
  </si>
  <si>
    <t>TXN-07171</t>
  </si>
  <si>
    <t>TXN-07184</t>
  </si>
  <si>
    <t>TXN-07191</t>
  </si>
  <si>
    <t>TXN-07197</t>
  </si>
  <si>
    <t>TXN-07204</t>
  </si>
  <si>
    <t>TXN-07044</t>
  </si>
  <si>
    <t>TXN-07045</t>
  </si>
  <si>
    <t>TXN-07064</t>
  </si>
  <si>
    <t>TXN-07089</t>
  </si>
  <si>
    <t>TXN-07101</t>
  </si>
  <si>
    <t>TXN-07253</t>
  </si>
  <si>
    <t>TXN-07152</t>
  </si>
  <si>
    <t>TXN-07154</t>
  </si>
  <si>
    <t>TXN-07180</t>
  </si>
  <si>
    <t>TXN-07206</t>
  </si>
  <si>
    <t>TXN-07042</t>
  </si>
  <si>
    <t>TXN-07084</t>
  </si>
  <si>
    <t>TXN-07103</t>
  </si>
  <si>
    <t>TXN-07131</t>
  </si>
  <si>
    <t>TXN-07143</t>
  </si>
  <si>
    <t>TXN-07175</t>
  </si>
  <si>
    <t>TXN-07034</t>
  </si>
  <si>
    <t>TXN-07057</t>
  </si>
  <si>
    <t>TXN-07224</t>
  </si>
  <si>
    <t>TXN-07229</t>
  </si>
  <si>
    <t>TXN-07259</t>
  </si>
  <si>
    <t>TXN-07129</t>
  </si>
  <si>
    <t>TXN-07138</t>
  </si>
  <si>
    <t>TXN-07169</t>
  </si>
  <si>
    <t>TXN-07183</t>
  </si>
  <si>
    <t>TXN-07043</t>
  </si>
  <si>
    <t>TXN-07083</t>
  </si>
  <si>
    <t>TXN-07117</t>
  </si>
  <si>
    <t>TXN-07119</t>
  </si>
  <si>
    <t>TXN-07260</t>
  </si>
  <si>
    <t>TXN-07207</t>
  </si>
  <si>
    <t>TXN-07035</t>
  </si>
  <si>
    <t>TXN-07061</t>
  </si>
  <si>
    <t>TXN-07070</t>
  </si>
  <si>
    <t>TXN-07113</t>
  </si>
  <si>
    <t>TXN-07263</t>
  </si>
  <si>
    <t>TXN-07162</t>
  </si>
  <si>
    <t>TXN-07201</t>
  </si>
  <si>
    <t>TXN-07202</t>
  </si>
  <si>
    <t>TXN-07079</t>
  </si>
  <si>
    <t>TXN-07091</t>
  </si>
  <si>
    <t>TXN-07100</t>
  </si>
  <si>
    <t>TXN-07110</t>
  </si>
  <si>
    <t>TXN-07115</t>
  </si>
  <si>
    <t>TXN-07255</t>
  </si>
  <si>
    <t>TXN-07123</t>
  </si>
  <si>
    <t>TXN-07136</t>
  </si>
  <si>
    <t>TXN-07145</t>
  </si>
  <si>
    <t>TXN-07195</t>
  </si>
  <si>
    <t>TXN-07213</t>
  </si>
  <si>
    <t>TXN-07041</t>
  </si>
  <si>
    <t>TXN-07067</t>
  </si>
  <si>
    <t>TXN-07222</t>
  </si>
  <si>
    <t>TXN-07241</t>
  </si>
  <si>
    <t>TXN-07130</t>
  </si>
  <si>
    <t>TXN-07160</t>
  </si>
  <si>
    <t>TXN-07048</t>
  </si>
  <si>
    <t>TXN-07132</t>
  </si>
  <si>
    <t>TXN-07163</t>
  </si>
  <si>
    <t>TXN-07199</t>
  </si>
  <si>
    <t>TXN-07205</t>
  </si>
  <si>
    <t>TXN-07040</t>
  </si>
  <si>
    <t>TXN-07053</t>
  </si>
  <si>
    <t>TXN-07055</t>
  </si>
  <si>
    <t>TXN-07088</t>
  </si>
  <si>
    <t>TXN-07108</t>
  </si>
  <si>
    <t>TXN-07114</t>
  </si>
  <si>
    <t>TXN-07116</t>
  </si>
  <si>
    <t>TXN-07155</t>
  </si>
  <si>
    <t>TXN-07158</t>
  </si>
  <si>
    <t>TXN-07052</t>
  </si>
  <si>
    <t>TXN-07063</t>
  </si>
  <si>
    <t>TXN-07073</t>
  </si>
  <si>
    <t>TXN-07111</t>
  </si>
  <si>
    <t>TXN-07112</t>
  </si>
  <si>
    <t>TXN-07126</t>
  </si>
  <si>
    <t>TXN-07178</t>
  </si>
  <si>
    <t>TXN-07182</t>
  </si>
  <si>
    <t>TXN-07203</t>
  </si>
  <si>
    <t>TXN-07068</t>
  </si>
  <si>
    <t>TXN-07097</t>
  </si>
  <si>
    <t>TXN-07120</t>
  </si>
  <si>
    <t>TXN-07265</t>
  </si>
  <si>
    <t>TXN-07037</t>
  </si>
  <si>
    <t>TXN-07056</t>
  </si>
  <si>
    <t>TXN-07223</t>
  </si>
  <si>
    <t>TXN-07245</t>
  </si>
  <si>
    <t>TXN-07256</t>
  </si>
  <si>
    <t>TXN-07133</t>
  </si>
  <si>
    <t>TXN-07167</t>
  </si>
  <si>
    <t>TXN-07219</t>
  </si>
  <si>
    <t>TXN-07050</t>
  </si>
  <si>
    <t>TXN-07051</t>
  </si>
  <si>
    <t>TXN-07066</t>
  </si>
  <si>
    <t>TXN-07086</t>
  </si>
  <si>
    <t>TXN-07227</t>
  </si>
  <si>
    <t>TXN-07240</t>
  </si>
  <si>
    <t>TXN-07150</t>
  </si>
  <si>
    <t>TXN-07165</t>
  </si>
  <si>
    <t>TXN-07193</t>
  </si>
  <si>
    <t>TXN-07194</t>
  </si>
  <si>
    <t>TXN-07060</t>
  </si>
  <si>
    <t>TXN-07220</t>
  </si>
  <si>
    <t>TXN-07225</t>
  </si>
  <si>
    <t>TXN-07226</t>
  </si>
  <si>
    <t>TXN-07230</t>
  </si>
  <si>
    <t>TXN-07179</t>
  </si>
  <si>
    <t>TXN-07049</t>
  </si>
  <si>
    <t>TXN-07058</t>
  </si>
  <si>
    <t>TXN-07228</t>
  </si>
  <si>
    <t>TXN-07246</t>
  </si>
  <si>
    <t>TXN-07252</t>
  </si>
  <si>
    <t>TXN-07159</t>
  </si>
  <si>
    <t>TXN-07036</t>
  </si>
  <si>
    <t>TXN-07140</t>
  </si>
  <si>
    <t>TXN-07185</t>
  </si>
  <si>
    <t>TXN-07190</t>
  </si>
  <si>
    <t>TXN-07107</t>
  </si>
  <si>
    <t>TXN-07109</t>
  </si>
  <si>
    <t>TXN-07243</t>
  </si>
  <si>
    <t>TXN-07248</t>
  </si>
  <si>
    <t>TXN-07251</t>
  </si>
  <si>
    <t>TXN-07187</t>
  </si>
  <si>
    <t>TXN-07054</t>
  </si>
  <si>
    <t>TXN-07062</t>
  </si>
  <si>
    <t>TXN-07092</t>
  </si>
  <si>
    <t>TXN-07118</t>
  </si>
  <si>
    <t>TXN-07128</t>
  </si>
  <si>
    <t>TXN-07164</t>
  </si>
  <si>
    <t>TXN-08267</t>
  </si>
  <si>
    <t>TXN-07186</t>
  </si>
  <si>
    <t>TXN-07033</t>
  </si>
  <si>
    <t>TXN-07075</t>
  </si>
  <si>
    <t>TXN-07094</t>
  </si>
  <si>
    <t>TXN-07098</t>
  </si>
  <si>
    <t>TXN-07142</t>
  </si>
  <si>
    <t>TXN-07144</t>
  </si>
  <si>
    <t>TXN-07148</t>
  </si>
  <si>
    <t>TXN-07172</t>
  </si>
  <si>
    <t>TXN-07198</t>
  </si>
  <si>
    <t>TXN-07200</t>
  </si>
  <si>
    <t>TXN-07038</t>
  </si>
  <si>
    <t>TXN-07072</t>
  </si>
  <si>
    <t>TXN-07234</t>
  </si>
  <si>
    <t>TXN-07238</t>
  </si>
  <si>
    <t>TXN-07124</t>
  </si>
  <si>
    <t>TXN-07146</t>
  </si>
  <si>
    <t>TXN-07147</t>
  </si>
  <si>
    <t>TXN-07177</t>
  </si>
  <si>
    <t>TXN-07196</t>
  </si>
  <si>
    <t>TXN-07047</t>
  </si>
  <si>
    <t>TXN-07077</t>
  </si>
  <si>
    <t>TXN-07231</t>
  </si>
  <si>
    <t>TXN-07233</t>
  </si>
  <si>
    <t>TXN-07156</t>
  </si>
  <si>
    <t>TXN-07168</t>
  </si>
  <si>
    <t>TXN-07208</t>
  </si>
  <si>
    <t>TXN-07211</t>
  </si>
  <si>
    <t>TXN-07236</t>
  </si>
  <si>
    <t>TXN-07247</t>
  </si>
  <si>
    <t>TXN-07261</t>
  </si>
  <si>
    <t>TXN-07127</t>
  </si>
  <si>
    <t>TXN-07141</t>
  </si>
  <si>
    <t>TXN-07151</t>
  </si>
  <si>
    <t>TXN-07176</t>
  </si>
  <si>
    <t>TXN-07087</t>
  </si>
  <si>
    <t>TXN-07096</t>
  </si>
  <si>
    <t>TXN-07239</t>
  </si>
  <si>
    <t>TXN-07242</t>
  </si>
  <si>
    <t>TXN-07250</t>
  </si>
  <si>
    <t>TXN-07254</t>
  </si>
  <si>
    <t>TXN-07258</t>
  </si>
  <si>
    <t>TXN-07149</t>
  </si>
  <si>
    <t>TXN-07407</t>
  </si>
  <si>
    <t>TXN-07421</t>
  </si>
  <si>
    <t>TXN-07274</t>
  </si>
  <si>
    <t>TXN-07288</t>
  </si>
  <si>
    <t>TXN-07291</t>
  </si>
  <si>
    <t>TXN-07343</t>
  </si>
  <si>
    <t>TXN-07468</t>
  </si>
  <si>
    <t>TXN-07382</t>
  </si>
  <si>
    <t>TXN-07401</t>
  </si>
  <si>
    <t>TXN-07267</t>
  </si>
  <si>
    <t>TXN-07284</t>
  </si>
  <si>
    <t>TXN-07289</t>
  </si>
  <si>
    <t>TXN-07290</t>
  </si>
  <si>
    <t>TXN-07324</t>
  </si>
  <si>
    <t>TXN-07333</t>
  </si>
  <si>
    <t>TXN-07345</t>
  </si>
  <si>
    <t>TXN-07405</t>
  </si>
  <si>
    <t>TXN-07423</t>
  </si>
  <si>
    <t>TXN-07279</t>
  </si>
  <si>
    <t>TXN-07306</t>
  </si>
  <si>
    <t>TXN-07309</t>
  </si>
  <si>
    <t>TXN-07466</t>
  </si>
  <si>
    <t>TXN-07374</t>
  </si>
  <si>
    <t>TXN-07387</t>
  </si>
  <si>
    <t>TXN-07428</t>
  </si>
  <si>
    <t>TXN-07442</t>
  </si>
  <si>
    <t>TXN-07282</t>
  </si>
  <si>
    <t>TXN-07312</t>
  </si>
  <si>
    <t>TXN-07316</t>
  </si>
  <si>
    <t>TXN-07452</t>
  </si>
  <si>
    <t>TXN-07462</t>
  </si>
  <si>
    <t>TXN-07479</t>
  </si>
  <si>
    <t>TXN-07363</t>
  </si>
  <si>
    <t>TXN-07419</t>
  </si>
  <si>
    <t>TXN-07425</t>
  </si>
  <si>
    <t>TXN-07445</t>
  </si>
  <si>
    <t>TXN-07281</t>
  </si>
  <si>
    <t>TXN-07293</t>
  </si>
  <si>
    <t>TXN-07308</t>
  </si>
  <si>
    <t>TXN-07331</t>
  </si>
  <si>
    <t>TXN-07335</t>
  </si>
  <si>
    <t>TXN-07340</t>
  </si>
  <si>
    <t>TXN-07470</t>
  </si>
  <si>
    <t>TXN-07358</t>
  </si>
  <si>
    <t>TXN-07386</t>
  </si>
  <si>
    <t>TXN-07394</t>
  </si>
  <si>
    <t>TXN-07400</t>
  </si>
  <si>
    <t>TXN-07432</t>
  </si>
  <si>
    <t>TXN-07278</t>
  </si>
  <si>
    <t>TXN-07300</t>
  </si>
  <si>
    <t>TXN-07301</t>
  </si>
  <si>
    <t>TXN-07322</t>
  </si>
  <si>
    <t>TXN-07448</t>
  </si>
  <si>
    <t>TXN-07471</t>
  </si>
  <si>
    <t>TXN-07478</t>
  </si>
  <si>
    <t>TXN-07488</t>
  </si>
  <si>
    <t>TXN-07366</t>
  </si>
  <si>
    <t>TXN-07439</t>
  </si>
  <si>
    <t>TXN-07272</t>
  </si>
  <si>
    <t>TXN-07311</t>
  </si>
  <si>
    <t>TXN-07334</t>
  </si>
  <si>
    <t>TXN-07461</t>
  </si>
  <si>
    <t>TXN-07354</t>
  </si>
  <si>
    <t>TXN-07397</t>
  </si>
  <si>
    <t>TXN-07402</t>
  </si>
  <si>
    <t>TXN-07430</t>
  </si>
  <si>
    <t>TXN-07295</t>
  </si>
  <si>
    <t>TXN-07302</t>
  </si>
  <si>
    <t>TXN-07310</t>
  </si>
  <si>
    <t>TXN-07494</t>
  </si>
  <si>
    <t>TXN-07364</t>
  </si>
  <si>
    <t>TXN-07373</t>
  </si>
  <si>
    <t>TXN-07403</t>
  </si>
  <si>
    <t>TXN-07408</t>
  </si>
  <si>
    <t>TXN-07269</t>
  </si>
  <si>
    <t>TXN-07283</t>
  </si>
  <si>
    <t>TXN-07292</t>
  </si>
  <si>
    <t>TXN-07337</t>
  </si>
  <si>
    <t>TXN-07338</t>
  </si>
  <si>
    <t>TXN-07346</t>
  </si>
  <si>
    <t>TXN-07451</t>
  </si>
  <si>
    <t>TXN-07388</t>
  </si>
  <si>
    <t>TXN-08269</t>
  </si>
  <si>
    <t>TXN-07395</t>
  </si>
  <si>
    <t>TXN-07427</t>
  </si>
  <si>
    <t>TXN-07474</t>
  </si>
  <si>
    <t>TXN-07492</t>
  </si>
  <si>
    <t>TXN-07361</t>
  </si>
  <si>
    <t>TXN-07377</t>
  </si>
  <si>
    <t>TXN-07398</t>
  </si>
  <si>
    <t>TXN-07411</t>
  </si>
  <si>
    <t>TXN-07420</t>
  </si>
  <si>
    <t>TXN-07422</t>
  </si>
  <si>
    <t>TXN-07277</t>
  </si>
  <si>
    <t>TXN-07287</t>
  </si>
  <si>
    <t>TXN-07460</t>
  </si>
  <si>
    <t>TXN-07467</t>
  </si>
  <si>
    <t>TXN-08270</t>
  </si>
  <si>
    <t>TXN-07414</t>
  </si>
  <si>
    <t>TXN-07415</t>
  </si>
  <si>
    <t>TXN-07446</t>
  </si>
  <si>
    <t>TXN-07305</t>
  </si>
  <si>
    <t>TXN-07313</t>
  </si>
  <si>
    <t>TXN-07319</t>
  </si>
  <si>
    <t>TXN-07485</t>
  </si>
  <si>
    <t>TXN-07486</t>
  </si>
  <si>
    <t>TXN-07350</t>
  </si>
  <si>
    <t>TXN-07355</t>
  </si>
  <si>
    <t>TXN-07375</t>
  </si>
  <si>
    <t>TXN-07416</t>
  </si>
  <si>
    <t>TXN-07268</t>
  </si>
  <si>
    <t>TXN-07280</t>
  </si>
  <si>
    <t>TXN-07294</t>
  </si>
  <si>
    <t>TXN-07357</t>
  </si>
  <si>
    <t>TXN-07370</t>
  </si>
  <si>
    <t>TXN-07418</t>
  </si>
  <si>
    <t>TXN-07318</t>
  </si>
  <si>
    <t>TXN-07341</t>
  </si>
  <si>
    <t>TXN-07450</t>
  </si>
  <si>
    <t>TXN-07459</t>
  </si>
  <si>
    <t>TXN-07473</t>
  </si>
  <si>
    <t>TXN-07352</t>
  </si>
  <si>
    <t>TXN-07353</t>
  </si>
  <si>
    <t>TXN-07360</t>
  </si>
  <si>
    <t>TXN-07368</t>
  </si>
  <si>
    <t>TXN-07378</t>
  </si>
  <si>
    <t>TXN-07429</t>
  </si>
  <si>
    <t>TXN-07307</t>
  </si>
  <si>
    <t>TXN-07458</t>
  </si>
  <si>
    <t>TXN-07356</t>
  </si>
  <si>
    <t>TXN-07384</t>
  </si>
  <si>
    <t>TXN-07270</t>
  </si>
  <si>
    <t>TXN-07275</t>
  </si>
  <si>
    <t>TXN-07325</t>
  </si>
  <si>
    <t>TXN-07348</t>
  </si>
  <si>
    <t>TXN-07406</t>
  </si>
  <si>
    <t>TXN-07444</t>
  </si>
  <si>
    <t>TXN-07327</t>
  </si>
  <si>
    <t>TXN-07455</t>
  </si>
  <si>
    <t>TXN-07369</t>
  </si>
  <si>
    <t>TXN-07435</t>
  </si>
  <si>
    <t>TXN-07443</t>
  </si>
  <si>
    <t>TXN-07320</t>
  </si>
  <si>
    <t>TXN-07323</t>
  </si>
  <si>
    <t>TXN-07326</t>
  </si>
  <si>
    <t>TXN-07410</t>
  </si>
  <si>
    <t>TXN-07412</t>
  </si>
  <si>
    <t>TXN-07426</t>
  </si>
  <si>
    <t>TXN-07431</t>
  </si>
  <si>
    <t>TXN-07440</t>
  </si>
  <si>
    <t>TXN-07273</t>
  </si>
  <si>
    <t>TXN-07285</t>
  </si>
  <si>
    <t>TXN-07314</t>
  </si>
  <si>
    <t>TXN-07376</t>
  </si>
  <si>
    <t>TXN-07381</t>
  </si>
  <si>
    <t>TXN-07396</t>
  </si>
  <si>
    <t>TXN-07417</t>
  </si>
  <si>
    <t>TXN-07342</t>
  </si>
  <si>
    <t>TXN-07480</t>
  </si>
  <si>
    <t>TXN-07491</t>
  </si>
  <si>
    <t>TXN-07365</t>
  </si>
  <si>
    <t>TXN-07383</t>
  </si>
  <si>
    <t>TXN-07393</t>
  </si>
  <si>
    <t>TXN-07339</t>
  </si>
  <si>
    <t>TXN-07344</t>
  </si>
  <si>
    <t>TXN-07453</t>
  </si>
  <si>
    <t>TXN-07463</t>
  </si>
  <si>
    <t>TXN-07483</t>
  </si>
  <si>
    <t>TXN-07359</t>
  </si>
  <si>
    <t>TXN-07390</t>
  </si>
  <si>
    <t>TXN-07434</t>
  </si>
  <si>
    <t>TXN-07441</t>
  </si>
  <si>
    <t>TXN-07303</t>
  </si>
  <si>
    <t>TXN-07315</t>
  </si>
  <si>
    <t>TXN-07330</t>
  </si>
  <si>
    <t>TXN-07336</t>
  </si>
  <si>
    <t>TXN-07472</t>
  </si>
  <si>
    <t>TXN-07379</t>
  </si>
  <si>
    <t>TXN-07389</t>
  </si>
  <si>
    <t>TXN-07391</t>
  </si>
  <si>
    <t>TXN-07392</t>
  </si>
  <si>
    <t>TXN-07271</t>
  </si>
  <si>
    <t>TXN-07464</t>
  </si>
  <si>
    <t>TXN-07475</t>
  </si>
  <si>
    <t>TXN-07481</t>
  </si>
  <si>
    <t>TXN-07489</t>
  </si>
  <si>
    <t>TXN-07490</t>
  </si>
  <si>
    <t>TXN-07493</t>
  </si>
  <si>
    <t>TXN-07349</t>
  </si>
  <si>
    <t>TXN-07399</t>
  </si>
  <si>
    <t>TXN-07321</t>
  </si>
  <si>
    <t>TXN-07484</t>
  </si>
  <si>
    <t>TXN-07409</t>
  </si>
  <si>
    <t>TXN-07413</t>
  </si>
  <si>
    <t>TXN-07424</t>
  </si>
  <si>
    <t>TXN-07438</t>
  </si>
  <si>
    <t>TXN-07276</t>
  </si>
  <si>
    <t>TXN-07298</t>
  </si>
  <si>
    <t>TXN-07317</t>
  </si>
  <si>
    <t>TXN-07332</t>
  </si>
  <si>
    <t>TXN-07476</t>
  </si>
  <si>
    <t>TXN-07372</t>
  </si>
  <si>
    <t>TXN-07380</t>
  </si>
  <si>
    <t>TXN-07404</t>
  </si>
  <si>
    <t>TXN-07436</t>
  </si>
  <si>
    <t>TXN-07286</t>
  </si>
  <si>
    <t>TXN-07328</t>
  </si>
  <si>
    <t>TXN-07477</t>
  </si>
  <si>
    <t>TXN-07367</t>
  </si>
  <si>
    <t>TXN-07437</t>
  </si>
  <si>
    <t>TXN-07449</t>
  </si>
  <si>
    <t>TXN-07465</t>
  </si>
  <si>
    <t>TXN-07371</t>
  </si>
  <si>
    <t>TXN-08268</t>
  </si>
  <si>
    <t>TXN-07299</t>
  </si>
  <si>
    <t>TXN-07347</t>
  </si>
  <si>
    <t>TXN-07469</t>
  </si>
  <si>
    <t>TXN-07362</t>
  </si>
  <si>
    <t>TXN-07385</t>
  </si>
  <si>
    <t>TXN-07304</t>
  </si>
  <si>
    <t>TXN-07329</t>
  </si>
  <si>
    <t>TXN-07456</t>
  </si>
  <si>
    <t>TXN-07457</t>
  </si>
  <si>
    <t>TXN-07351</t>
  </si>
  <si>
    <t>TXN-07433</t>
  </si>
  <si>
    <t>TXN-07447</t>
  </si>
  <si>
    <t>TXN-07296</t>
  </si>
  <si>
    <t>TXN-07297</t>
  </si>
  <si>
    <t>TXN-07454</t>
  </si>
  <si>
    <t>TXN-07482</t>
  </si>
  <si>
    <t>TXN-07487</t>
  </si>
  <si>
    <t>TXN-07503</t>
  </si>
  <si>
    <t>TXN-07532</t>
  </si>
  <si>
    <t>TXN-07552</t>
  </si>
  <si>
    <t>TXN-07554</t>
  </si>
  <si>
    <t>TXN-07689</t>
  </si>
  <si>
    <t>TXN-07593</t>
  </si>
  <si>
    <t>TXN-07639</t>
  </si>
  <si>
    <t>TXN-07674</t>
  </si>
  <si>
    <t>TXN-07521</t>
  </si>
  <si>
    <t>TXN-07526</t>
  </si>
  <si>
    <t>TXN-07539</t>
  </si>
  <si>
    <t>TXN-07561</t>
  </si>
  <si>
    <t>TXN-07576</t>
  </si>
  <si>
    <t>TXN-07582</t>
  </si>
  <si>
    <t>TXN-07700</t>
  </si>
  <si>
    <t>TXN-07705</t>
  </si>
  <si>
    <t>TXN-07710</t>
  </si>
  <si>
    <t>TXN-07717</t>
  </si>
  <si>
    <t>TXN-07596</t>
  </si>
  <si>
    <t>TXN-07507</t>
  </si>
  <si>
    <t>TXN-07525</t>
  </si>
  <si>
    <t>TXN-07542</t>
  </si>
  <si>
    <t>TXN-07562</t>
  </si>
  <si>
    <t>TXN-07564</t>
  </si>
  <si>
    <t>TXN-07599</t>
  </si>
  <si>
    <t>TXN-07528</t>
  </si>
  <si>
    <t>TXN-07571</t>
  </si>
  <si>
    <t>TXN-07687</t>
  </si>
  <si>
    <t>TXN-07716</t>
  </si>
  <si>
    <t>TXN-07626</t>
  </si>
  <si>
    <t>TXN-07627</t>
  </si>
  <si>
    <t>TXN-07629</t>
  </si>
  <si>
    <t>TXN-07641</t>
  </si>
  <si>
    <t>TXN-07676</t>
  </si>
  <si>
    <t>TXN-07504</t>
  </si>
  <si>
    <t>TXN-07513</t>
  </si>
  <si>
    <t>TXN-07518</t>
  </si>
  <si>
    <t>TXN-07556</t>
  </si>
  <si>
    <t>TXN-07685</t>
  </si>
  <si>
    <t>TXN-07721</t>
  </si>
  <si>
    <t>TXN-07600</t>
  </si>
  <si>
    <t>TXN-07622</t>
  </si>
  <si>
    <t>TXN-07628</t>
  </si>
  <si>
    <t>TXN-07660</t>
  </si>
  <si>
    <t>TXN-07678</t>
  </si>
  <si>
    <t>TXN-07703</t>
  </si>
  <si>
    <t>TXN-07722</t>
  </si>
  <si>
    <t>TXN-07605</t>
  </si>
  <si>
    <t>TXN-07661</t>
  </si>
  <si>
    <t>TXN-07511</t>
  </si>
  <si>
    <t>TXN-07573</t>
  </si>
  <si>
    <t>TXN-07682</t>
  </si>
  <si>
    <t>TXN-07704</t>
  </si>
  <si>
    <t>TXN-07728</t>
  </si>
  <si>
    <t>TXN-07652</t>
  </si>
  <si>
    <t>TXN-07653</t>
  </si>
  <si>
    <t>TXN-07524</t>
  </si>
  <si>
    <t>TXN-07536</t>
  </si>
  <si>
    <t>TXN-07575</t>
  </si>
  <si>
    <t>TXN-07698</t>
  </si>
  <si>
    <t>TXN-07595</t>
  </si>
  <si>
    <t>TXN-07614</t>
  </si>
  <si>
    <t>TXN-07620</t>
  </si>
  <si>
    <t>TXN-07635</t>
  </si>
  <si>
    <t>TXN-07649</t>
  </si>
  <si>
    <t>TXN-07540</t>
  </si>
  <si>
    <t>TXN-07543</t>
  </si>
  <si>
    <t>TXN-07690</t>
  </si>
  <si>
    <t>TXN-07699</t>
  </si>
  <si>
    <t>TXN-07615</t>
  </si>
  <si>
    <t>TXN-07621</t>
  </si>
  <si>
    <t>TXN-07650</t>
  </si>
  <si>
    <t>TXN-07659</t>
  </si>
  <si>
    <t>TXN-07662</t>
  </si>
  <si>
    <t>TXN-07557</t>
  </si>
  <si>
    <t>TXN-07580</t>
  </si>
  <si>
    <t>TXN-07584</t>
  </si>
  <si>
    <t>TXN-07706</t>
  </si>
  <si>
    <t>TXN-07607</t>
  </si>
  <si>
    <t>TXN-07609</t>
  </si>
  <si>
    <t>TXN-07612</t>
  </si>
  <si>
    <t>TXN-07632</t>
  </si>
  <si>
    <t>TXN-07636</t>
  </si>
  <si>
    <t>TXN-07645</t>
  </si>
  <si>
    <t>TXN-07651</t>
  </si>
  <si>
    <t>TXN-07538</t>
  </si>
  <si>
    <t>TXN-07686</t>
  </si>
  <si>
    <t>TXN-07601</t>
  </si>
  <si>
    <t>TXN-07633</t>
  </si>
  <si>
    <t>TXN-07496</t>
  </si>
  <si>
    <t>TXN-07505</t>
  </si>
  <si>
    <t>TXN-07523</t>
  </si>
  <si>
    <t>TXN-07537</t>
  </si>
  <si>
    <t>TXN-07568</t>
  </si>
  <si>
    <t>TXN-07694</t>
  </si>
  <si>
    <t>TXN-07594</t>
  </si>
  <si>
    <t>TXN-07604</t>
  </si>
  <si>
    <t>TXN-07637</t>
  </si>
  <si>
    <t>TXN-07680</t>
  </si>
  <si>
    <t>TXN-07497</t>
  </si>
  <si>
    <t>TXN-07502</t>
  </si>
  <si>
    <t>TXN-07534</t>
  </si>
  <si>
    <t>TXN-07586</t>
  </si>
  <si>
    <t>TXN-07725</t>
  </si>
  <si>
    <t>TXN-07610</t>
  </si>
  <si>
    <t>TXN-07495</t>
  </si>
  <si>
    <t>TXN-07545</t>
  </si>
  <si>
    <t>TXN-07553</t>
  </si>
  <si>
    <t>TXN-07559</t>
  </si>
  <si>
    <t>TXN-07583</t>
  </si>
  <si>
    <t>TXN-07606</t>
  </si>
  <si>
    <t>TXN-07611</t>
  </si>
  <si>
    <t>TXN-07624</t>
  </si>
  <si>
    <t>TXN-07663</t>
  </si>
  <si>
    <t>TXN-07673</t>
  </si>
  <si>
    <t>TXN-07565</t>
  </si>
  <si>
    <t>TXN-07566</t>
  </si>
  <si>
    <t>TXN-07587</t>
  </si>
  <si>
    <t>TXN-07691</t>
  </si>
  <si>
    <t>TXN-07708</t>
  </si>
  <si>
    <t>TXN-07711</t>
  </si>
  <si>
    <t>TXN-07603</t>
  </si>
  <si>
    <t>TXN-07529</t>
  </si>
  <si>
    <t>TXN-07551</t>
  </si>
  <si>
    <t>TXN-07563</t>
  </si>
  <si>
    <t>TXN-07579</t>
  </si>
  <si>
    <t>TXN-07581</t>
  </si>
  <si>
    <t>TXN-07727</t>
  </si>
  <si>
    <t>TXN-07630</t>
  </si>
  <si>
    <t>TXN-07644</t>
  </si>
  <si>
    <t>TXN-07499</t>
  </si>
  <si>
    <t>TXN-07516</t>
  </si>
  <si>
    <t>TXN-07683</t>
  </si>
  <si>
    <t>TXN-07647</t>
  </si>
  <si>
    <t>TXN-07666</t>
  </si>
  <si>
    <t>TXN-07498</t>
  </si>
  <si>
    <t>TXN-07549</t>
  </si>
  <si>
    <t>TXN-07560</t>
  </si>
  <si>
    <t>TXN-07546</t>
  </si>
  <si>
    <t>TXN-07548</t>
  </si>
  <si>
    <t>TXN-07558</t>
  </si>
  <si>
    <t>TXN-07567</t>
  </si>
  <si>
    <t>TXN-07577</t>
  </si>
  <si>
    <t>TXN-07702</t>
  </si>
  <si>
    <t>TXN-07597</t>
  </si>
  <si>
    <t>TXN-07617</t>
  </si>
  <si>
    <t>TXN-07619</t>
  </si>
  <si>
    <t>TXN-07623</t>
  </si>
  <si>
    <t>TXN-07679</t>
  </si>
  <si>
    <t>TXN-07500</t>
  </si>
  <si>
    <t>TXN-07697</t>
  </si>
  <si>
    <t>TXN-07723</t>
  </si>
  <si>
    <t>TXN-07616</t>
  </si>
  <si>
    <t>TXN-07531</t>
  </si>
  <si>
    <t>TXN-07714</t>
  </si>
  <si>
    <t>TXN-07718</t>
  </si>
  <si>
    <t>TXN-07646</t>
  </si>
  <si>
    <t>TXN-07671</t>
  </si>
  <si>
    <t>TXN-07506</t>
  </si>
  <si>
    <t>TXN-07527</t>
  </si>
  <si>
    <t>TXN-07570</t>
  </si>
  <si>
    <t>TXN-07574</t>
  </si>
  <si>
    <t>TXN-07585</t>
  </si>
  <si>
    <t>TXN-07709</t>
  </si>
  <si>
    <t>TXN-07712</t>
  </si>
  <si>
    <t>TXN-07667</t>
  </si>
  <si>
    <t>TXN-07514</t>
  </si>
  <si>
    <t>TXN-07519</t>
  </si>
  <si>
    <t>TXN-07692</t>
  </si>
  <si>
    <t>TXN-07591</t>
  </si>
  <si>
    <t>TXN-07602</t>
  </si>
  <si>
    <t>TXN-08273</t>
  </si>
  <si>
    <t>TXN-07638</t>
  </si>
  <si>
    <t>TXN-07642</t>
  </si>
  <si>
    <t>TXN-07664</t>
  </si>
  <si>
    <t>TXN-07520</t>
  </si>
  <si>
    <t>TXN-07547</t>
  </si>
  <si>
    <t>TXN-07625</t>
  </si>
  <si>
    <t>TXN-07669</t>
  </si>
  <si>
    <t>TXN-07501</t>
  </si>
  <si>
    <t>TXN-07509</t>
  </si>
  <si>
    <t>TXN-07510</t>
  </si>
  <si>
    <t>TXN-07512</t>
  </si>
  <si>
    <t>TXN-07517</t>
  </si>
  <si>
    <t>TXN-07533</t>
  </si>
  <si>
    <t>TXN-07544</t>
  </si>
  <si>
    <t>TXN-07572</t>
  </si>
  <si>
    <t>TXN-07681</t>
  </si>
  <si>
    <t>TXN-07696</t>
  </si>
  <si>
    <t>TXN-07713</t>
  </si>
  <si>
    <t>TXN-07677</t>
  </si>
  <si>
    <t>TXN-07508</t>
  </si>
  <si>
    <t>TXN-07535</t>
  </si>
  <si>
    <t>TXN-07550</t>
  </si>
  <si>
    <t>TXN-07684</t>
  </si>
  <si>
    <t>TXN-07720</t>
  </si>
  <si>
    <t>TXN-07724</t>
  </si>
  <si>
    <t>TXN-07656</t>
  </si>
  <si>
    <t>TXN-07665</t>
  </si>
  <si>
    <t>TXN-07675</t>
  </si>
  <si>
    <t>TXN-07522</t>
  </si>
  <si>
    <t>TXN-07578</t>
  </si>
  <si>
    <t>TXN-07715</t>
  </si>
  <si>
    <t>TXN-07589</t>
  </si>
  <si>
    <t>TXN-07618</t>
  </si>
  <si>
    <t>TXN-07643</t>
  </si>
  <si>
    <t>TXN-07658</t>
  </si>
  <si>
    <t>TXN-07668</t>
  </si>
  <si>
    <t>TXN-07530</t>
  </si>
  <si>
    <t>TXN-07555</t>
  </si>
  <si>
    <t>TXN-07695</t>
  </si>
  <si>
    <t>TXN-07719</t>
  </si>
  <si>
    <t>TXN-07592</t>
  </si>
  <si>
    <t>TXN-07608</t>
  </si>
  <si>
    <t>TXN-07613</t>
  </si>
  <si>
    <t>TXN-07634</t>
  </si>
  <si>
    <t>TXN-08271</t>
  </si>
  <si>
    <t>TXN-07640</t>
  </si>
  <si>
    <t>TXN-07654</t>
  </si>
  <si>
    <t>TXN-07655</t>
  </si>
  <si>
    <t>TXN-07670</t>
  </si>
  <si>
    <t>TXN-07672</t>
  </si>
  <si>
    <t>TXN-07688</t>
  </si>
  <si>
    <t>TXN-07693</t>
  </si>
  <si>
    <t>TXN-07588</t>
  </si>
  <si>
    <t>TXN-07590</t>
  </si>
  <si>
    <t>TXN-07631</t>
  </si>
  <si>
    <t>TXN-07648</t>
  </si>
  <si>
    <t>TXN-07657</t>
  </si>
  <si>
    <t>TXN-07541</t>
  </si>
  <si>
    <t>TXN-07569</t>
  </si>
  <si>
    <t>TXN-07701</t>
  </si>
  <si>
    <t>TXN-07726</t>
  </si>
  <si>
    <t>TXN-08272</t>
  </si>
  <si>
    <t>TXN-07515</t>
  </si>
  <si>
    <t>TXN-07707</t>
  </si>
  <si>
    <t>TXN-07598</t>
  </si>
  <si>
    <t>TXN-07889</t>
  </si>
  <si>
    <t>TXN-07769</t>
  </si>
  <si>
    <t>TXN-07804</t>
  </si>
  <si>
    <t>TXN-07912</t>
  </si>
  <si>
    <t>TXN-07918</t>
  </si>
  <si>
    <t>TXN-07920</t>
  </si>
  <si>
    <t>TXN-07924</t>
  </si>
  <si>
    <t>TXN-07816</t>
  </si>
  <si>
    <t>TXN-07829</t>
  </si>
  <si>
    <t>TXN-07851</t>
  </si>
  <si>
    <t>TXN-07732</t>
  </si>
  <si>
    <t>TXN-07776</t>
  </si>
  <si>
    <t>TXN-07907</t>
  </si>
  <si>
    <t>TXN-07839</t>
  </si>
  <si>
    <t>TXN-07730</t>
  </si>
  <si>
    <t>TXN-07775</t>
  </si>
  <si>
    <t>TXN-07815</t>
  </si>
  <si>
    <t>TXN-07817</t>
  </si>
  <si>
    <t>TXN-07821</t>
  </si>
  <si>
    <t>TXN-07729</t>
  </si>
  <si>
    <t>TXN-07738</t>
  </si>
  <si>
    <t>TXN-07789</t>
  </si>
  <si>
    <t>TXN-07800</t>
  </si>
  <si>
    <t>TXN-07931</t>
  </si>
  <si>
    <t>TXN-07933</t>
  </si>
  <si>
    <t>TXN-07942</t>
  </si>
  <si>
    <t>TXN-07849</t>
  </si>
  <si>
    <t>TXN-07854</t>
  </si>
  <si>
    <t>TXN-07864</t>
  </si>
  <si>
    <t>TXN-07746</t>
  </si>
  <si>
    <t>TXN-07774</t>
  </si>
  <si>
    <t>TXN-07944</t>
  </si>
  <si>
    <t>TXN-07822</t>
  </si>
  <si>
    <t>TXN-07852</t>
  </si>
  <si>
    <t>TXN-07739</t>
  </si>
  <si>
    <t>TXN-07741</t>
  </si>
  <si>
    <t>TXN-07744</t>
  </si>
  <si>
    <t>TXN-07747</t>
  </si>
  <si>
    <t>TXN-07805</t>
  </si>
  <si>
    <t>TXN-07940</t>
  </si>
  <si>
    <t>TXN-07818</t>
  </si>
  <si>
    <t>TXN-07843</t>
  </si>
  <si>
    <t>TXN-07848</t>
  </si>
  <si>
    <t>TXN-07861</t>
  </si>
  <si>
    <t>TXN-07895</t>
  </si>
  <si>
    <t>TXN-07788</t>
  </si>
  <si>
    <t>TXN-07819</t>
  </si>
  <si>
    <t>TXN-07743</t>
  </si>
  <si>
    <t>TXN-07765</t>
  </si>
  <si>
    <t>TXN-07935</t>
  </si>
  <si>
    <t>TXN-07948</t>
  </si>
  <si>
    <t>TXN-07826</t>
  </si>
  <si>
    <t>TXN-07835</t>
  </si>
  <si>
    <t>TXN-07881</t>
  </si>
  <si>
    <t>TXN-07885</t>
  </si>
  <si>
    <t>TXN-07894</t>
  </si>
  <si>
    <t>TXN-07756</t>
  </si>
  <si>
    <t>TXN-07762</t>
  </si>
  <si>
    <t>TXN-07790</t>
  </si>
  <si>
    <t>TXN-07926</t>
  </si>
  <si>
    <t>TXN-08275</t>
  </si>
  <si>
    <t>TXN-07879</t>
  </si>
  <si>
    <t>TXN-07897</t>
  </si>
  <si>
    <t>TXN-07900</t>
  </si>
  <si>
    <t>TXN-07901</t>
  </si>
  <si>
    <t>TXN-07736</t>
  </si>
  <si>
    <t>TXN-07752</t>
  </si>
  <si>
    <t>TXN-07803</t>
  </si>
  <si>
    <t>TXN-07809</t>
  </si>
  <si>
    <t>TXN-07812</t>
  </si>
  <si>
    <t>TXN-07908</t>
  </si>
  <si>
    <t>TXN-07925</t>
  </si>
  <si>
    <t>TXN-07936</t>
  </si>
  <si>
    <t>TXN-07878</t>
  </si>
  <si>
    <t>TXN-07880</t>
  </si>
  <si>
    <t>TXN-07748</t>
  </si>
  <si>
    <t>TXN-07767</t>
  </si>
  <si>
    <t>TXN-07777</t>
  </si>
  <si>
    <t>TXN-07785</t>
  </si>
  <si>
    <t>TXN-07801</t>
  </si>
  <si>
    <t>TXN-07808</t>
  </si>
  <si>
    <t>TXN-07904</t>
  </si>
  <si>
    <t>TXN-07833</t>
  </si>
  <si>
    <t>TXN-07857</t>
  </si>
  <si>
    <t>TXN-07733</t>
  </si>
  <si>
    <t>TXN-07795</t>
  </si>
  <si>
    <t>TXN-07797</t>
  </si>
  <si>
    <t>TXN-07917</t>
  </si>
  <si>
    <t>TXN-07934</t>
  </si>
  <si>
    <t>TXN-07873</t>
  </si>
  <si>
    <t>TXN-07875</t>
  </si>
  <si>
    <t>TXN-07899</t>
  </si>
  <si>
    <t>TXN-07742</t>
  </si>
  <si>
    <t>TXN-07799</t>
  </si>
  <si>
    <t>TXN-07906</t>
  </si>
  <si>
    <t>TXN-07941</t>
  </si>
  <si>
    <t>TXN-07859</t>
  </si>
  <si>
    <t>TXN-07896</t>
  </si>
  <si>
    <t>TXN-07763</t>
  </si>
  <si>
    <t>TXN-07779</t>
  </si>
  <si>
    <t>TXN-07781</t>
  </si>
  <si>
    <t>TXN-07784</t>
  </si>
  <si>
    <t>TXN-07811</t>
  </si>
  <si>
    <t>TXN-07932</t>
  </si>
  <si>
    <t>TXN-07939</t>
  </si>
  <si>
    <t>TXN-07827</t>
  </si>
  <si>
    <t>TXN-07860</t>
  </si>
  <si>
    <t>TXN-07865</t>
  </si>
  <si>
    <t>TXN-07866</t>
  </si>
  <si>
    <t>TXN-07735</t>
  </si>
  <si>
    <t>TXN-07753</t>
  </si>
  <si>
    <t>TXN-07766</t>
  </si>
  <si>
    <t>TXN-07928</t>
  </si>
  <si>
    <t>TXN-07740</t>
  </si>
  <si>
    <t>TXN-07914</t>
  </si>
  <si>
    <t>TXN-07938</t>
  </si>
  <si>
    <t>TXN-07731</t>
  </si>
  <si>
    <t>TXN-07754</t>
  </si>
  <si>
    <t>TXN-07786</t>
  </si>
  <si>
    <t>TXN-07911</t>
  </si>
  <si>
    <t>TXN-07824</t>
  </si>
  <si>
    <t>TXN-07892</t>
  </si>
  <si>
    <t>TXN-07771</t>
  </si>
  <si>
    <t>TXN-07798</t>
  </si>
  <si>
    <t>TXN-07802</t>
  </si>
  <si>
    <t>TXN-07910</t>
  </si>
  <si>
    <t>TXN-07927</t>
  </si>
  <si>
    <t>TXN-07830</t>
  </si>
  <si>
    <t>TXN-07831</t>
  </si>
  <si>
    <t>TXN-07840</t>
  </si>
  <si>
    <t>TXN-07850</t>
  </si>
  <si>
    <t>TXN-07867</t>
  </si>
  <si>
    <t>TXN-07884</t>
  </si>
  <si>
    <t>TXN-07887</t>
  </si>
  <si>
    <t>TXN-07923</t>
  </si>
  <si>
    <t>TXN-07823</t>
  </si>
  <si>
    <t>TXN-07893</t>
  </si>
  <si>
    <t>TXN-07734</t>
  </si>
  <si>
    <t>TXN-07737</t>
  </si>
  <si>
    <t>TXN-07755</t>
  </si>
  <si>
    <t>TXN-07760</t>
  </si>
  <si>
    <t>TXN-07813</t>
  </si>
  <si>
    <t>TXN-07915</t>
  </si>
  <si>
    <t>TXN-07937</t>
  </si>
  <si>
    <t>TXN-07943</t>
  </si>
  <si>
    <t>TXN-07947</t>
  </si>
  <si>
    <t>TXN-07882</t>
  </si>
  <si>
    <t>TXN-07898</t>
  </si>
  <si>
    <t>TXN-07903</t>
  </si>
  <si>
    <t>TXN-07773</t>
  </si>
  <si>
    <t>TXN-07806</t>
  </si>
  <si>
    <t>TXN-07949</t>
  </si>
  <si>
    <t>TXN-07847</t>
  </si>
  <si>
    <t>TXN-07870</t>
  </si>
  <si>
    <t>TXN-07891</t>
  </si>
  <si>
    <t>TXN-07780</t>
  </si>
  <si>
    <t>TXN-07787</t>
  </si>
  <si>
    <t>TXN-07796</t>
  </si>
  <si>
    <t>TXN-07921</t>
  </si>
  <si>
    <t>TXN-07844</t>
  </si>
  <si>
    <t>TXN-07869</t>
  </si>
  <si>
    <t>TXN-07778</t>
  </si>
  <si>
    <t>TXN-07828</t>
  </si>
  <si>
    <t>TXN-07837</t>
  </si>
  <si>
    <t>TXN-07871</t>
  </si>
  <si>
    <t>TXN-07883</t>
  </si>
  <si>
    <t>TXN-07750</t>
  </si>
  <si>
    <t>TXN-07782</t>
  </si>
  <si>
    <t>TXN-07820</t>
  </si>
  <si>
    <t>TXN-07825</t>
  </si>
  <si>
    <t>TXN-07856</t>
  </si>
  <si>
    <t>TXN-08276</t>
  </si>
  <si>
    <t>TXN-07863</t>
  </si>
  <si>
    <t>TXN-07886</t>
  </si>
  <si>
    <t>TXN-07888</t>
  </si>
  <si>
    <t>TXN-07759</t>
  </si>
  <si>
    <t>TXN-07783</t>
  </si>
  <si>
    <t>TXN-07810</t>
  </si>
  <si>
    <t>TXN-07922</t>
  </si>
  <si>
    <t>TXN-07929</t>
  </si>
  <si>
    <t>TXN-07945</t>
  </si>
  <si>
    <t>TXN-08274</t>
  </si>
  <si>
    <t>TXN-07890</t>
  </si>
  <si>
    <t>TXN-07902</t>
  </si>
  <si>
    <t>TXN-07757</t>
  </si>
  <si>
    <t>TXN-07761</t>
  </si>
  <si>
    <t>TXN-07772</t>
  </si>
  <si>
    <t>TXN-07913</t>
  </si>
  <si>
    <t>TXN-07919</t>
  </si>
  <si>
    <t>TXN-07950</t>
  </si>
  <si>
    <t>TXN-07834</t>
  </si>
  <si>
    <t>TXN-07862</t>
  </si>
  <si>
    <t>TXN-07872</t>
  </si>
  <si>
    <t>TXN-07874</t>
  </si>
  <si>
    <t>TXN-07877</t>
  </si>
  <si>
    <t>TXN-07751</t>
  </si>
  <si>
    <t>TXN-07792</t>
  </si>
  <si>
    <t>TXN-07794</t>
  </si>
  <si>
    <t>TXN-07807</t>
  </si>
  <si>
    <t>TXN-07905</t>
  </si>
  <si>
    <t>TXN-07909</t>
  </si>
  <si>
    <t>TXN-07916</t>
  </si>
  <si>
    <t>TXN-07838</t>
  </si>
  <si>
    <t>TXN-07841</t>
  </si>
  <si>
    <t>TXN-07845</t>
  </si>
  <si>
    <t>TXN-07868</t>
  </si>
  <si>
    <t>TXN-07876</t>
  </si>
  <si>
    <t>TXN-07745</t>
  </si>
  <si>
    <t>TXN-07749</t>
  </si>
  <si>
    <t>TXN-07758</t>
  </si>
  <si>
    <t>TXN-07791</t>
  </si>
  <si>
    <t>TXN-07793</t>
  </si>
  <si>
    <t>TXN-07946</t>
  </si>
  <si>
    <t>TXN-07832</t>
  </si>
  <si>
    <t>TXN-07764</t>
  </si>
  <si>
    <t>TXN-07770</t>
  </si>
  <si>
    <t>TXN-07846</t>
  </si>
  <si>
    <t>TXN-07853</t>
  </si>
  <si>
    <t>TXN-07855</t>
  </si>
  <si>
    <t>TXN-07858</t>
  </si>
  <si>
    <t>TXN-07768</t>
  </si>
  <si>
    <t>TXN-07814</t>
  </si>
  <si>
    <t>TXN-07930</t>
  </si>
  <si>
    <t>TXN-07836</t>
  </si>
  <si>
    <t>TXN-07842</t>
  </si>
  <si>
    <t>TXN-08093</t>
  </si>
  <si>
    <t>TXN-08127</t>
  </si>
  <si>
    <t>TXN-07999</t>
  </si>
  <si>
    <t>TXN-08139</t>
  </si>
  <si>
    <t>TXN-08150</t>
  </si>
  <si>
    <t>TXN-08160</t>
  </si>
  <si>
    <t>TXN-08039</t>
  </si>
  <si>
    <t>TXN-08052</t>
  </si>
  <si>
    <t>TXN-08062</t>
  </si>
  <si>
    <t>TXN-08064</t>
  </si>
  <si>
    <t>TXN-08100</t>
  </si>
  <si>
    <t>TXN-08020</t>
  </si>
  <si>
    <t>TXN-08034</t>
  </si>
  <si>
    <t>TXN-08147</t>
  </si>
  <si>
    <t>TXN-08068</t>
  </si>
  <si>
    <t>TXN-08070</t>
  </si>
  <si>
    <t>TXN-08099</t>
  </si>
  <si>
    <t>TXN-07976</t>
  </si>
  <si>
    <t>TXN-08035</t>
  </si>
  <si>
    <t>TXN-08145</t>
  </si>
  <si>
    <t>TXN-08164</t>
  </si>
  <si>
    <t>TXN-08045</t>
  </si>
  <si>
    <t>TXN-08123</t>
  </si>
  <si>
    <t>TXN-07955</t>
  </si>
  <si>
    <t>TXN-08024</t>
  </si>
  <si>
    <t>TXN-08138</t>
  </si>
  <si>
    <t>TXN-08067</t>
  </si>
  <si>
    <t>TXN-08279</t>
  </si>
  <si>
    <t>TXN-08091</t>
  </si>
  <si>
    <t>TXN-08110</t>
  </si>
  <si>
    <t>TXN-07962</t>
  </si>
  <si>
    <t>TXN-08033</t>
  </si>
  <si>
    <t>TXN-08143</t>
  </si>
  <si>
    <t>TXN-08066</t>
  </si>
  <si>
    <t>TXN-08087</t>
  </si>
  <si>
    <t>TXN-08097</t>
  </si>
  <si>
    <t>TXN-08119</t>
  </si>
  <si>
    <t>TXN-07969</t>
  </si>
  <si>
    <t>TXN-08002</t>
  </si>
  <si>
    <t>TXN-08142</t>
  </si>
  <si>
    <t>TXN-08163</t>
  </si>
  <si>
    <t>TXN-08106</t>
  </si>
  <si>
    <t>TXN-07959</t>
  </si>
  <si>
    <t>TXN-07987</t>
  </si>
  <si>
    <t>TXN-07991</t>
  </si>
  <si>
    <t>TXN-07992</t>
  </si>
  <si>
    <t>TXN-08141</t>
  </si>
  <si>
    <t>TXN-08170</t>
  </si>
  <si>
    <t>TXN-08061</t>
  </si>
  <si>
    <t>TXN-08072</t>
  </si>
  <si>
    <t>TXN-08077</t>
  </si>
  <si>
    <t>TXN-08079</t>
  </si>
  <si>
    <t>TXN-08086</t>
  </si>
  <si>
    <t>TXN-07956</t>
  </si>
  <si>
    <t>TXN-07964</t>
  </si>
  <si>
    <t>TXN-07994</t>
  </si>
  <si>
    <t>TXN-08022</t>
  </si>
  <si>
    <t>TXN-08057</t>
  </si>
  <si>
    <t>TXN-08108</t>
  </si>
  <si>
    <t>TXN-08112</t>
  </si>
  <si>
    <t>TXN-07981</t>
  </si>
  <si>
    <t>TXN-08028</t>
  </si>
  <si>
    <t>TXN-08149</t>
  </si>
  <si>
    <t>TXN-08154</t>
  </si>
  <si>
    <t>TXN-08131</t>
  </si>
  <si>
    <t>TXN-07951</t>
  </si>
  <si>
    <t>TXN-07952</t>
  </si>
  <si>
    <t>TXN-07958</t>
  </si>
  <si>
    <t>TXN-07979</t>
  </si>
  <si>
    <t>TXN-08009</t>
  </si>
  <si>
    <t>TXN-08014</t>
  </si>
  <si>
    <t>TXN-08166</t>
  </si>
  <si>
    <t>TXN-08037</t>
  </si>
  <si>
    <t>TXN-08085</t>
  </si>
  <si>
    <t>TXN-08096</t>
  </si>
  <si>
    <t>TXN-08114</t>
  </si>
  <si>
    <t>TXN-07974</t>
  </si>
  <si>
    <t>TXN-07989</t>
  </si>
  <si>
    <t>TXN-08004</t>
  </si>
  <si>
    <t>TXN-08032</t>
  </si>
  <si>
    <t>TXN-08055</t>
  </si>
  <si>
    <t>TXN-08082</t>
  </si>
  <si>
    <t>TXN-08105</t>
  </si>
  <si>
    <t>TXN-07953</t>
  </si>
  <si>
    <t>TXN-07983</t>
  </si>
  <si>
    <t>TXN-07986</t>
  </si>
  <si>
    <t>TXN-08083</t>
  </si>
  <si>
    <t>TXN-08089</t>
  </si>
  <si>
    <t>TXN-08090</t>
  </si>
  <si>
    <t>TXN-08095</t>
  </si>
  <si>
    <t>TXN-07973</t>
  </si>
  <si>
    <t>TXN-08136</t>
  </si>
  <si>
    <t>TXN-08073</t>
  </si>
  <si>
    <t>TXN-08075</t>
  </si>
  <si>
    <t>TXN-08109</t>
  </si>
  <si>
    <t>TXN-07954</t>
  </si>
  <si>
    <t>TXN-07966</t>
  </si>
  <si>
    <t>TXN-08000</t>
  </si>
  <si>
    <t>TXN-08008</t>
  </si>
  <si>
    <t>TXN-08168</t>
  </si>
  <si>
    <t>TXN-08043</t>
  </si>
  <si>
    <t>TXN-08277</t>
  </si>
  <si>
    <t>TXN-08126</t>
  </si>
  <si>
    <t>TXN-07965</t>
  </si>
  <si>
    <t>TXN-07980</t>
  </si>
  <si>
    <t>TXN-07984</t>
  </si>
  <si>
    <t>TXN-08030</t>
  </si>
  <si>
    <t>TXN-08137</t>
  </si>
  <si>
    <t>TXN-08148</t>
  </si>
  <si>
    <t>TXN-08054</t>
  </si>
  <si>
    <t>TXN-08092</t>
  </si>
  <si>
    <t>TXN-08107</t>
  </si>
  <si>
    <t>TXN-08117</t>
  </si>
  <si>
    <t>TXN-07957</t>
  </si>
  <si>
    <t>TXN-08010</t>
  </si>
  <si>
    <t>TXN-08011</t>
  </si>
  <si>
    <t>TXN-08132</t>
  </si>
  <si>
    <t>TXN-08133</t>
  </si>
  <si>
    <t>TXN-08113</t>
  </si>
  <si>
    <t>TXN-08121</t>
  </si>
  <si>
    <t>TXN-07990</t>
  </si>
  <si>
    <t>TXN-08007</t>
  </si>
  <si>
    <t>TXN-08171</t>
  </si>
  <si>
    <t>TXN-08040</t>
  </si>
  <si>
    <t>TXN-08044</t>
  </si>
  <si>
    <t>TXN-08047</t>
  </si>
  <si>
    <t>TXN-08059</t>
  </si>
  <si>
    <t>TXN-08103</t>
  </si>
  <si>
    <t>TXN-08120</t>
  </si>
  <si>
    <t>TXN-08124</t>
  </si>
  <si>
    <t>TXN-07998</t>
  </si>
  <si>
    <t>TXN-08021</t>
  </si>
  <si>
    <t>TXN-08169</t>
  </si>
  <si>
    <t>TXN-08115</t>
  </si>
  <si>
    <t>TXN-08016</t>
  </si>
  <si>
    <t>TXN-08152</t>
  </si>
  <si>
    <t>TXN-08153</t>
  </si>
  <si>
    <t>TXN-08049</t>
  </si>
  <si>
    <t>TXN-08063</t>
  </si>
  <si>
    <t>TXN-08094</t>
  </si>
  <si>
    <t>TXN-07967</t>
  </si>
  <si>
    <t>TXN-07975</t>
  </si>
  <si>
    <t>TXN-08019</t>
  </si>
  <si>
    <t>TXN-08025</t>
  </si>
  <si>
    <t>TXN-08156</t>
  </si>
  <si>
    <t>TXN-08157</t>
  </si>
  <si>
    <t>TXN-08102</t>
  </si>
  <si>
    <t>TXN-08111</t>
  </si>
  <si>
    <t>TXN-08017</t>
  </si>
  <si>
    <t>TXN-08027</t>
  </si>
  <si>
    <t>TXN-08046</t>
  </si>
  <si>
    <t>TXN-08058</t>
  </si>
  <si>
    <t>TXN-08081</t>
  </si>
  <si>
    <t>TXN-07970</t>
  </si>
  <si>
    <t>TXN-07971</t>
  </si>
  <si>
    <t>TXN-08001</t>
  </si>
  <si>
    <t>TXN-08084</t>
  </si>
  <si>
    <t>TXN-08101</t>
  </si>
  <si>
    <t>TXN-08118</t>
  </si>
  <si>
    <t>TXN-07960</t>
  </si>
  <si>
    <t>TXN-07968</t>
  </si>
  <si>
    <t>TXN-07972</t>
  </si>
  <si>
    <t>TXN-08003</t>
  </si>
  <si>
    <t>TXN-08151</t>
  </si>
  <si>
    <t>TXN-07961</t>
  </si>
  <si>
    <t>TXN-08005</t>
  </si>
  <si>
    <t>TXN-08036</t>
  </si>
  <si>
    <t>TXN-08134</t>
  </si>
  <si>
    <t>TXN-08135</t>
  </si>
  <si>
    <t>TXN-08161</t>
  </si>
  <si>
    <t>TXN-08078</t>
  </si>
  <si>
    <t>TXN-08129</t>
  </si>
  <si>
    <t>TXN-08130</t>
  </si>
  <si>
    <t>TXN-07982</t>
  </si>
  <si>
    <t>TXN-08029</t>
  </si>
  <si>
    <t>TXN-08159</t>
  </si>
  <si>
    <t>TXN-08088</t>
  </si>
  <si>
    <t>TXN-08098</t>
  </si>
  <si>
    <t>TXN-08116</t>
  </si>
  <si>
    <t>TXN-07996</t>
  </si>
  <si>
    <t>TXN-07997</t>
  </si>
  <si>
    <t>TXN-08006</t>
  </si>
  <si>
    <t>TXN-08013</t>
  </si>
  <si>
    <t>TXN-08144</t>
  </si>
  <si>
    <t>TXN-08165</t>
  </si>
  <si>
    <t>TXN-08042</t>
  </si>
  <si>
    <t>TXN-08080</t>
  </si>
  <si>
    <t>TXN-08278</t>
  </si>
  <si>
    <t>TXN-08104</t>
  </si>
  <si>
    <t>TXN-07985</t>
  </si>
  <si>
    <t>TXN-08015</t>
  </si>
  <si>
    <t>TXN-08155</t>
  </si>
  <si>
    <t>TXN-08167</t>
  </si>
  <si>
    <t>TXN-08050</t>
  </si>
  <si>
    <t>TXN-08053</t>
  </si>
  <si>
    <t>TXN-08069</t>
  </si>
  <si>
    <t>TXN-08122</t>
  </si>
  <si>
    <t>TXN-08125</t>
  </si>
  <si>
    <t>TXN-07978</t>
  </si>
  <si>
    <t>TXN-07988</t>
  </si>
  <si>
    <t>TXN-07993</t>
  </si>
  <si>
    <t>TXN-08162</t>
  </si>
  <si>
    <t>TXN-08048</t>
  </si>
  <si>
    <t>TXN-08065</t>
  </si>
  <si>
    <t>TXN-08018</t>
  </si>
  <si>
    <t>TXN-08023</t>
  </si>
  <si>
    <t>TXN-08026</t>
  </si>
  <si>
    <t>TXN-08146</t>
  </si>
  <si>
    <t>TXN-08038</t>
  </si>
  <si>
    <t>TXN-08071</t>
  </si>
  <si>
    <t>TXN-07963</t>
  </si>
  <si>
    <t>TXN-07977</t>
  </si>
  <si>
    <t>TXN-07995</t>
  </si>
  <si>
    <t>TXN-08012</t>
  </si>
  <si>
    <t>TXN-08031</t>
  </si>
  <si>
    <t>TXN-08140</t>
  </si>
  <si>
    <t>TXN-08158</t>
  </si>
  <si>
    <t>TXN-08041</t>
  </si>
  <si>
    <t>TXN-08056</t>
  </si>
  <si>
    <t>TXN-08074</t>
  </si>
  <si>
    <t>TXN-08076</t>
  </si>
  <si>
    <t>TXN-08128</t>
  </si>
  <si>
    <t>TXN-08051</t>
  </si>
  <si>
    <t>TXN-08060</t>
  </si>
  <si>
    <t>check_it_over_budget</t>
  </si>
  <si>
    <t>check_hr_under_budget</t>
  </si>
  <si>
    <t>check_sales_revenue</t>
  </si>
  <si>
    <t>check_suspicious_anomaly_vendor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</si>
</sst>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8280"/>
  <sheetViews>
    <sheetView tabSelected="1" topLeftCell="E1" workbookViewId="0">
      <selection activeCell="Q8281" sqref="Q8281"/>
    </sheetView>
  </sheetViews>
  <sheetFormatPr defaultRowHeight="14.4"/>
  <cols>
    <col min="9" max="9" width="10" bestFit="1" customWidth="1"/>
    <col min="10" max="10" width="16.21875" bestFit="1" customWidth="1"/>
    <col min="11" max="11" width="17.109375" bestFit="1" customWidth="1"/>
    <col min="14" max="14" width="18.88671875" bestFit="1" customWidth="1"/>
    <col min="15" max="15" width="23.109375" bestFit="1" customWidth="1"/>
    <col min="16" max="16" width="20.6640625" bestFit="1" customWidth="1"/>
    <col min="17" max="17" width="32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2" t="s">
        <v>8386</v>
      </c>
      <c r="O1" s="2" t="s">
        <v>8387</v>
      </c>
      <c r="P1" t="s">
        <v>8388</v>
      </c>
      <c r="Q1" t="s">
        <v>8389</v>
      </c>
    </row>
    <row r="2" spans="1:17" hidden="1">
      <c r="A2" t="s">
        <v>12</v>
      </c>
      <c r="B2" s="1">
        <v>44927</v>
      </c>
      <c r="C2">
        <v>2023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>
        <v>3497.34</v>
      </c>
      <c r="J2">
        <v>3819.93</v>
      </c>
      <c r="K2" t="s">
        <v>17</v>
      </c>
      <c r="L2" t="b">
        <v>0</v>
      </c>
      <c r="N2" s="2" t="str">
        <f>IF(AND(E2="IT",K2="EXPENSE"),I2&gt;J2,"")</f>
        <v/>
      </c>
      <c r="P2" t="str">
        <f>IF(K2="REVENUE",E2="Sales","")</f>
        <v/>
      </c>
      <c r="Q2" t="str">
        <f>IF(L2=TRUE,OR(H2="Apex Solutions Inc",H2="Global Trade Partners",H2="NovaTech Services"),"")</f>
        <v/>
      </c>
    </row>
    <row r="3" spans="1:17" hidden="1">
      <c r="A3" t="s">
        <v>18</v>
      </c>
      <c r="B3" s="1">
        <v>44927</v>
      </c>
      <c r="C3">
        <v>2023</v>
      </c>
      <c r="D3">
        <v>1</v>
      </c>
      <c r="E3" t="s">
        <v>19</v>
      </c>
      <c r="F3" t="s">
        <v>14</v>
      </c>
      <c r="G3" t="s">
        <v>20</v>
      </c>
      <c r="H3" t="s">
        <v>21</v>
      </c>
      <c r="I3">
        <v>8004.23</v>
      </c>
      <c r="J3">
        <v>7348.35</v>
      </c>
      <c r="K3" t="s">
        <v>17</v>
      </c>
      <c r="L3" t="b">
        <v>0</v>
      </c>
      <c r="N3" s="2" t="str">
        <f t="shared" ref="N3:N66" si="0">IF(AND(E3="IT",K3="EXPENSE"),I3&gt;J3,"")</f>
        <v/>
      </c>
      <c r="Q3" t="str">
        <f t="shared" ref="Q3:Q66" si="1">IF(L3=TRUE,OR(H3="Apex Solutions Inc",H3="Global Trade Partners",H3="NovaTech Services"),"")</f>
        <v/>
      </c>
    </row>
    <row r="4" spans="1:17" hidden="1">
      <c r="A4" t="s">
        <v>22</v>
      </c>
      <c r="B4" s="1">
        <v>44927</v>
      </c>
      <c r="C4">
        <v>2023</v>
      </c>
      <c r="D4">
        <v>1</v>
      </c>
      <c r="E4" t="s">
        <v>23</v>
      </c>
      <c r="F4" t="s">
        <v>24</v>
      </c>
      <c r="G4" t="s">
        <v>25</v>
      </c>
      <c r="H4" t="s">
        <v>26</v>
      </c>
      <c r="I4">
        <v>5359.33</v>
      </c>
      <c r="J4">
        <v>5680.26</v>
      </c>
      <c r="K4" t="s">
        <v>17</v>
      </c>
      <c r="L4" t="b">
        <v>0</v>
      </c>
      <c r="N4" s="2" t="str">
        <f t="shared" si="0"/>
        <v/>
      </c>
      <c r="Q4" t="str">
        <f t="shared" si="1"/>
        <v/>
      </c>
    </row>
    <row r="5" spans="1:17" hidden="1">
      <c r="A5" t="s">
        <v>27</v>
      </c>
      <c r="B5" s="1">
        <v>44928</v>
      </c>
      <c r="C5">
        <v>2023</v>
      </c>
      <c r="D5">
        <v>1</v>
      </c>
      <c r="E5" t="s">
        <v>13</v>
      </c>
      <c r="F5" t="s">
        <v>28</v>
      </c>
      <c r="G5" t="s">
        <v>15</v>
      </c>
      <c r="H5" t="s">
        <v>16</v>
      </c>
      <c r="I5">
        <v>2791.23</v>
      </c>
      <c r="J5">
        <v>2758.59</v>
      </c>
      <c r="K5" t="s">
        <v>17</v>
      </c>
      <c r="L5" t="b">
        <v>0</v>
      </c>
      <c r="N5" s="2" t="str">
        <f t="shared" si="0"/>
        <v/>
      </c>
      <c r="Q5" t="str">
        <f t="shared" si="1"/>
        <v/>
      </c>
    </row>
    <row r="6" spans="1:17" hidden="1">
      <c r="A6" t="s">
        <v>29</v>
      </c>
      <c r="B6" s="1">
        <v>44928</v>
      </c>
      <c r="C6">
        <v>2023</v>
      </c>
      <c r="D6">
        <v>1</v>
      </c>
      <c r="E6" t="s">
        <v>23</v>
      </c>
      <c r="F6" t="s">
        <v>28</v>
      </c>
      <c r="G6" t="s">
        <v>30</v>
      </c>
      <c r="H6" t="s">
        <v>31</v>
      </c>
      <c r="I6">
        <v>8268.58</v>
      </c>
      <c r="J6">
        <v>8090.38</v>
      </c>
      <c r="K6" t="s">
        <v>17</v>
      </c>
      <c r="L6" t="b">
        <v>0</v>
      </c>
      <c r="N6" s="2" t="str">
        <f t="shared" si="0"/>
        <v/>
      </c>
      <c r="Q6" t="str">
        <f t="shared" si="1"/>
        <v/>
      </c>
    </row>
    <row r="7" spans="1:17" hidden="1">
      <c r="A7" t="s">
        <v>32</v>
      </c>
      <c r="B7" s="1">
        <v>44928</v>
      </c>
      <c r="C7">
        <v>2023</v>
      </c>
      <c r="D7">
        <v>1</v>
      </c>
      <c r="E7" t="s">
        <v>23</v>
      </c>
      <c r="F7" t="s">
        <v>24</v>
      </c>
      <c r="G7" t="s">
        <v>30</v>
      </c>
      <c r="H7" t="s">
        <v>33</v>
      </c>
      <c r="I7">
        <v>4608.25</v>
      </c>
      <c r="J7">
        <v>4310.57</v>
      </c>
      <c r="K7" t="s">
        <v>17</v>
      </c>
      <c r="L7" t="b">
        <v>0</v>
      </c>
      <c r="N7" s="2" t="str">
        <f t="shared" si="0"/>
        <v/>
      </c>
      <c r="Q7" t="str">
        <f t="shared" si="1"/>
        <v/>
      </c>
    </row>
    <row r="8" spans="1:17" hidden="1">
      <c r="A8" t="s">
        <v>34</v>
      </c>
      <c r="B8" s="1">
        <v>44928</v>
      </c>
      <c r="C8">
        <v>2023</v>
      </c>
      <c r="D8">
        <v>1</v>
      </c>
      <c r="E8" t="s">
        <v>23</v>
      </c>
      <c r="F8" t="s">
        <v>24</v>
      </c>
      <c r="G8" t="s">
        <v>25</v>
      </c>
      <c r="H8" t="s">
        <v>35</v>
      </c>
      <c r="I8">
        <v>5596.69</v>
      </c>
      <c r="J8">
        <v>6067.79</v>
      </c>
      <c r="K8" t="s">
        <v>17</v>
      </c>
      <c r="L8" t="b">
        <v>0</v>
      </c>
      <c r="N8" s="2" t="str">
        <f t="shared" si="0"/>
        <v/>
      </c>
      <c r="Q8" t="str">
        <f t="shared" si="1"/>
        <v/>
      </c>
    </row>
    <row r="9" spans="1:17" hidden="1">
      <c r="A9" t="s">
        <v>36</v>
      </c>
      <c r="B9" s="1">
        <v>44928</v>
      </c>
      <c r="C9">
        <v>2023</v>
      </c>
      <c r="D9">
        <v>1</v>
      </c>
      <c r="E9" t="s">
        <v>37</v>
      </c>
      <c r="F9" t="s">
        <v>14</v>
      </c>
      <c r="G9" t="s">
        <v>38</v>
      </c>
      <c r="H9" t="s">
        <v>39</v>
      </c>
      <c r="I9">
        <v>5009.13</v>
      </c>
      <c r="J9">
        <v>5211.47</v>
      </c>
      <c r="K9" t="s">
        <v>17</v>
      </c>
      <c r="L9" t="b">
        <v>0</v>
      </c>
      <c r="N9" s="2" t="str">
        <f t="shared" si="0"/>
        <v/>
      </c>
      <c r="Q9" t="str">
        <f t="shared" si="1"/>
        <v/>
      </c>
    </row>
    <row r="10" spans="1:17" hidden="1">
      <c r="A10" t="s">
        <v>40</v>
      </c>
      <c r="B10" s="1">
        <v>44928</v>
      </c>
      <c r="C10">
        <v>2023</v>
      </c>
      <c r="D10">
        <v>1</v>
      </c>
      <c r="E10" t="s">
        <v>37</v>
      </c>
      <c r="F10" t="s">
        <v>14</v>
      </c>
      <c r="G10" t="s">
        <v>41</v>
      </c>
      <c r="H10" t="s">
        <v>42</v>
      </c>
      <c r="I10">
        <v>5290.37</v>
      </c>
      <c r="J10">
        <v>5118.96</v>
      </c>
      <c r="K10" t="s">
        <v>17</v>
      </c>
      <c r="L10" t="b">
        <v>0</v>
      </c>
      <c r="N10" s="2" t="str">
        <f t="shared" si="0"/>
        <v/>
      </c>
      <c r="Q10" t="str">
        <f t="shared" si="1"/>
        <v/>
      </c>
    </row>
    <row r="11" spans="1:17" hidden="1">
      <c r="A11" t="s">
        <v>43</v>
      </c>
      <c r="B11" s="1">
        <v>44928</v>
      </c>
      <c r="C11">
        <v>2023</v>
      </c>
      <c r="D11">
        <v>1</v>
      </c>
      <c r="E11" t="s">
        <v>37</v>
      </c>
      <c r="F11" t="s">
        <v>28</v>
      </c>
      <c r="G11" t="s">
        <v>41</v>
      </c>
      <c r="H11" t="s">
        <v>42</v>
      </c>
      <c r="I11">
        <v>3923.19</v>
      </c>
      <c r="J11">
        <v>3542.17</v>
      </c>
      <c r="K11" t="s">
        <v>17</v>
      </c>
      <c r="L11" t="b">
        <v>0</v>
      </c>
      <c r="N11" s="2" t="str">
        <f t="shared" si="0"/>
        <v/>
      </c>
      <c r="Q11" t="str">
        <f t="shared" si="1"/>
        <v/>
      </c>
    </row>
    <row r="12" spans="1:17" hidden="1">
      <c r="A12" t="s">
        <v>44</v>
      </c>
      <c r="B12" s="1">
        <v>44929</v>
      </c>
      <c r="C12">
        <v>2023</v>
      </c>
      <c r="D12">
        <v>1</v>
      </c>
      <c r="E12" t="s">
        <v>13</v>
      </c>
      <c r="F12" t="s">
        <v>24</v>
      </c>
      <c r="G12" t="s">
        <v>15</v>
      </c>
      <c r="H12" t="s">
        <v>45</v>
      </c>
      <c r="I12">
        <v>3988.09</v>
      </c>
      <c r="J12">
        <v>4055.34</v>
      </c>
      <c r="K12" t="s">
        <v>17</v>
      </c>
      <c r="L12" t="b">
        <v>0</v>
      </c>
      <c r="N12" s="2" t="str">
        <f t="shared" si="0"/>
        <v/>
      </c>
      <c r="Q12" t="str">
        <f t="shared" si="1"/>
        <v/>
      </c>
    </row>
    <row r="13" spans="1:17" hidden="1">
      <c r="A13" t="s">
        <v>46</v>
      </c>
      <c r="B13" s="1">
        <v>44929</v>
      </c>
      <c r="C13">
        <v>2023</v>
      </c>
      <c r="D13">
        <v>1</v>
      </c>
      <c r="E13" t="s">
        <v>47</v>
      </c>
      <c r="F13" t="s">
        <v>14</v>
      </c>
      <c r="G13" t="s">
        <v>48</v>
      </c>
      <c r="H13" t="s">
        <v>49</v>
      </c>
      <c r="I13">
        <v>10965.14</v>
      </c>
      <c r="J13">
        <v>9239.77</v>
      </c>
      <c r="K13" t="s">
        <v>17</v>
      </c>
      <c r="L13" t="b">
        <v>0</v>
      </c>
      <c r="N13" s="2" t="b">
        <f t="shared" si="0"/>
        <v>1</v>
      </c>
      <c r="O13" t="b">
        <f>IF(AND(E2="HR",K2="EXPENSE"),I2&lt;J2,"")</f>
        <v>1</v>
      </c>
      <c r="Q13" t="str">
        <f t="shared" si="1"/>
        <v/>
      </c>
    </row>
    <row r="14" spans="1:17" hidden="1">
      <c r="A14" t="s">
        <v>50</v>
      </c>
      <c r="B14" s="1">
        <v>44929</v>
      </c>
      <c r="C14">
        <v>2023</v>
      </c>
      <c r="D14">
        <v>1</v>
      </c>
      <c r="E14" t="s">
        <v>47</v>
      </c>
      <c r="F14" t="s">
        <v>28</v>
      </c>
      <c r="G14" t="s">
        <v>51</v>
      </c>
      <c r="H14" t="s">
        <v>52</v>
      </c>
      <c r="I14">
        <v>13990.4</v>
      </c>
      <c r="J14">
        <v>12020.17</v>
      </c>
      <c r="K14" t="s">
        <v>17</v>
      </c>
      <c r="L14" t="b">
        <v>0</v>
      </c>
      <c r="N14" s="2" t="b">
        <f t="shared" si="0"/>
        <v>1</v>
      </c>
      <c r="O14" t="str">
        <f>IF(AND(E3="HR",K3="EXPENSE"),I3&lt;J3,"")</f>
        <v/>
      </c>
      <c r="Q14" t="str">
        <f t="shared" si="1"/>
        <v/>
      </c>
    </row>
    <row r="15" spans="1:17" hidden="1">
      <c r="A15" t="s">
        <v>53</v>
      </c>
      <c r="B15" s="1">
        <v>44929</v>
      </c>
      <c r="C15">
        <v>2023</v>
      </c>
      <c r="D15">
        <v>1</v>
      </c>
      <c r="E15" t="s">
        <v>19</v>
      </c>
      <c r="F15" t="s">
        <v>28</v>
      </c>
      <c r="G15" t="s">
        <v>54</v>
      </c>
      <c r="H15" t="s">
        <v>55</v>
      </c>
      <c r="I15">
        <v>4520.67</v>
      </c>
      <c r="J15">
        <v>4362.8100000000004</v>
      </c>
      <c r="K15" t="s">
        <v>17</v>
      </c>
      <c r="L15" t="b">
        <v>0</v>
      </c>
      <c r="N15" s="2" t="str">
        <f t="shared" si="0"/>
        <v/>
      </c>
      <c r="Q15" t="str">
        <f t="shared" si="1"/>
        <v/>
      </c>
    </row>
    <row r="16" spans="1:17" hidden="1">
      <c r="A16" t="s">
        <v>56</v>
      </c>
      <c r="B16" s="1">
        <v>44929</v>
      </c>
      <c r="C16">
        <v>2023</v>
      </c>
      <c r="D16">
        <v>1</v>
      </c>
      <c r="E16" t="s">
        <v>19</v>
      </c>
      <c r="F16" t="s">
        <v>28</v>
      </c>
      <c r="G16" t="s">
        <v>54</v>
      </c>
      <c r="H16" t="s">
        <v>57</v>
      </c>
      <c r="I16">
        <v>7080.44</v>
      </c>
      <c r="J16">
        <v>7574.97</v>
      </c>
      <c r="K16" t="s">
        <v>17</v>
      </c>
      <c r="L16" t="b">
        <v>0</v>
      </c>
      <c r="N16" s="2" t="str">
        <f t="shared" si="0"/>
        <v/>
      </c>
      <c r="Q16" t="str">
        <f t="shared" si="1"/>
        <v/>
      </c>
    </row>
    <row r="17" spans="1:17" hidden="1">
      <c r="A17" t="s">
        <v>58</v>
      </c>
      <c r="B17" s="1">
        <v>44929</v>
      </c>
      <c r="C17">
        <v>2023</v>
      </c>
      <c r="D17">
        <v>1</v>
      </c>
      <c r="E17" t="s">
        <v>23</v>
      </c>
      <c r="F17" t="s">
        <v>14</v>
      </c>
      <c r="G17" t="s">
        <v>59</v>
      </c>
      <c r="H17" t="s">
        <v>60</v>
      </c>
      <c r="I17">
        <v>8626.9699999999993</v>
      </c>
      <c r="J17">
        <v>8923</v>
      </c>
      <c r="K17" t="s">
        <v>17</v>
      </c>
      <c r="L17" t="b">
        <v>0</v>
      </c>
      <c r="N17" s="2" t="str">
        <f t="shared" si="0"/>
        <v/>
      </c>
      <c r="Q17" t="str">
        <f t="shared" si="1"/>
        <v/>
      </c>
    </row>
    <row r="18" spans="1:17" hidden="1">
      <c r="A18" t="s">
        <v>61</v>
      </c>
      <c r="B18" s="1">
        <v>44929</v>
      </c>
      <c r="C18">
        <v>2023</v>
      </c>
      <c r="D18">
        <v>1</v>
      </c>
      <c r="E18" t="s">
        <v>37</v>
      </c>
      <c r="F18" t="s">
        <v>14</v>
      </c>
      <c r="G18" t="s">
        <v>62</v>
      </c>
      <c r="H18" t="s">
        <v>63</v>
      </c>
      <c r="I18">
        <v>5220.2299999999996</v>
      </c>
      <c r="J18">
        <v>5090.33</v>
      </c>
      <c r="K18" t="s">
        <v>17</v>
      </c>
      <c r="L18" t="b">
        <v>0</v>
      </c>
      <c r="N18" s="2" t="str">
        <f t="shared" si="0"/>
        <v/>
      </c>
      <c r="Q18" t="str">
        <f t="shared" si="1"/>
        <v/>
      </c>
    </row>
    <row r="19" spans="1:17" hidden="1">
      <c r="A19" t="s">
        <v>64</v>
      </c>
      <c r="B19" s="1">
        <v>44929</v>
      </c>
      <c r="C19">
        <v>2023</v>
      </c>
      <c r="D19">
        <v>1</v>
      </c>
      <c r="E19" t="s">
        <v>37</v>
      </c>
      <c r="F19" t="s">
        <v>28</v>
      </c>
      <c r="G19" t="s">
        <v>38</v>
      </c>
      <c r="H19" t="s">
        <v>39</v>
      </c>
      <c r="I19">
        <v>4715.28</v>
      </c>
      <c r="J19">
        <v>4958.4399999999996</v>
      </c>
      <c r="K19" t="s">
        <v>17</v>
      </c>
      <c r="L19" t="b">
        <v>0</v>
      </c>
      <c r="N19" s="2" t="str">
        <f t="shared" si="0"/>
        <v/>
      </c>
      <c r="Q19" t="str">
        <f t="shared" si="1"/>
        <v/>
      </c>
    </row>
    <row r="20" spans="1:17" hidden="1">
      <c r="A20" t="s">
        <v>65</v>
      </c>
      <c r="B20" s="1">
        <v>44929</v>
      </c>
      <c r="C20">
        <v>2023</v>
      </c>
      <c r="D20">
        <v>1</v>
      </c>
      <c r="E20" t="s">
        <v>37</v>
      </c>
      <c r="F20" t="s">
        <v>24</v>
      </c>
      <c r="G20" t="s">
        <v>62</v>
      </c>
      <c r="H20" t="s">
        <v>66</v>
      </c>
      <c r="I20">
        <v>6085.75</v>
      </c>
      <c r="J20">
        <v>5962.22</v>
      </c>
      <c r="K20" t="s">
        <v>17</v>
      </c>
      <c r="L20" t="b">
        <v>0</v>
      </c>
      <c r="N20" s="2" t="str">
        <f t="shared" si="0"/>
        <v/>
      </c>
      <c r="Q20" t="str">
        <f t="shared" si="1"/>
        <v/>
      </c>
    </row>
    <row r="21" spans="1:17" hidden="1">
      <c r="A21" t="s">
        <v>67</v>
      </c>
      <c r="B21" s="1">
        <v>44930</v>
      </c>
      <c r="C21">
        <v>2023</v>
      </c>
      <c r="D21">
        <v>1</v>
      </c>
      <c r="E21" t="s">
        <v>13</v>
      </c>
      <c r="F21" t="s">
        <v>14</v>
      </c>
      <c r="G21" t="s">
        <v>68</v>
      </c>
      <c r="H21" t="s">
        <v>69</v>
      </c>
      <c r="I21">
        <v>2653.45</v>
      </c>
      <c r="J21">
        <v>2594.65</v>
      </c>
      <c r="K21" t="s">
        <v>17</v>
      </c>
      <c r="L21" t="b">
        <v>0</v>
      </c>
      <c r="N21" s="2" t="str">
        <f>IF(AND(E21="IT",K21="EXPENSE"),I21&gt;J21,"")</f>
        <v/>
      </c>
      <c r="Q21" t="str">
        <f t="shared" si="1"/>
        <v/>
      </c>
    </row>
    <row r="22" spans="1:17" hidden="1">
      <c r="A22" t="s">
        <v>70</v>
      </c>
      <c r="B22" s="1">
        <v>44930</v>
      </c>
      <c r="C22">
        <v>2023</v>
      </c>
      <c r="D22">
        <v>1</v>
      </c>
      <c r="E22" t="s">
        <v>13</v>
      </c>
      <c r="F22" t="s">
        <v>14</v>
      </c>
      <c r="G22" t="s">
        <v>68</v>
      </c>
      <c r="H22" t="s">
        <v>69</v>
      </c>
      <c r="I22">
        <v>2852.66</v>
      </c>
      <c r="J22">
        <v>3109.75</v>
      </c>
      <c r="K22" t="s">
        <v>17</v>
      </c>
      <c r="L22" t="b">
        <v>0</v>
      </c>
      <c r="N22" s="2" t="str">
        <f t="shared" si="0"/>
        <v/>
      </c>
      <c r="Q22" t="str">
        <f t="shared" si="1"/>
        <v/>
      </c>
    </row>
    <row r="23" spans="1:17" hidden="1">
      <c r="A23" t="s">
        <v>71</v>
      </c>
      <c r="B23" s="1">
        <v>44930</v>
      </c>
      <c r="C23">
        <v>2023</v>
      </c>
      <c r="D23">
        <v>1</v>
      </c>
      <c r="E23" t="s">
        <v>47</v>
      </c>
      <c r="F23" t="s">
        <v>14</v>
      </c>
      <c r="G23" t="s">
        <v>51</v>
      </c>
      <c r="H23" t="s">
        <v>72</v>
      </c>
      <c r="I23">
        <v>17005.060000000001</v>
      </c>
      <c r="J23">
        <v>13962.68</v>
      </c>
      <c r="K23" t="s">
        <v>17</v>
      </c>
      <c r="L23" t="b">
        <v>0</v>
      </c>
      <c r="N23" s="2" t="b">
        <f t="shared" si="0"/>
        <v>1</v>
      </c>
      <c r="O23" t="b">
        <f t="shared" ref="O23:O26" si="2">IF(AND(E12="HR",K12="EXPENSE"),I12&lt;J12,"")</f>
        <v>1</v>
      </c>
      <c r="Q23" t="str">
        <f t="shared" si="1"/>
        <v/>
      </c>
    </row>
    <row r="24" spans="1:17" hidden="1">
      <c r="A24" t="s">
        <v>73</v>
      </c>
      <c r="B24" s="1">
        <v>44930</v>
      </c>
      <c r="C24">
        <v>2023</v>
      </c>
      <c r="D24">
        <v>1</v>
      </c>
      <c r="E24" t="s">
        <v>47</v>
      </c>
      <c r="F24" t="s">
        <v>14</v>
      </c>
      <c r="G24" t="s">
        <v>51</v>
      </c>
      <c r="H24" t="s">
        <v>52</v>
      </c>
      <c r="I24">
        <v>11372.38</v>
      </c>
      <c r="J24">
        <v>9599.68</v>
      </c>
      <c r="K24" t="s">
        <v>17</v>
      </c>
      <c r="L24" t="b">
        <v>0</v>
      </c>
      <c r="N24" s="2" t="b">
        <f t="shared" si="0"/>
        <v>1</v>
      </c>
      <c r="O24" t="str">
        <f t="shared" si="2"/>
        <v/>
      </c>
      <c r="Q24" t="str">
        <f t="shared" si="1"/>
        <v/>
      </c>
    </row>
    <row r="25" spans="1:17" hidden="1">
      <c r="A25" t="s">
        <v>74</v>
      </c>
      <c r="B25" s="1">
        <v>44930</v>
      </c>
      <c r="C25">
        <v>2023</v>
      </c>
      <c r="D25">
        <v>1</v>
      </c>
      <c r="E25" t="s">
        <v>47</v>
      </c>
      <c r="F25" t="s">
        <v>14</v>
      </c>
      <c r="G25" t="s">
        <v>48</v>
      </c>
      <c r="H25" t="s">
        <v>75</v>
      </c>
      <c r="I25">
        <v>14958.94</v>
      </c>
      <c r="J25">
        <v>12608.63</v>
      </c>
      <c r="K25" t="s">
        <v>17</v>
      </c>
      <c r="L25" t="b">
        <v>0</v>
      </c>
      <c r="N25" s="2" t="b">
        <f t="shared" si="0"/>
        <v>1</v>
      </c>
      <c r="O25" t="str">
        <f t="shared" si="2"/>
        <v/>
      </c>
      <c r="Q25" t="str">
        <f t="shared" si="1"/>
        <v/>
      </c>
    </row>
    <row r="26" spans="1:17" hidden="1">
      <c r="A26" t="s">
        <v>76</v>
      </c>
      <c r="B26" s="1">
        <v>44930</v>
      </c>
      <c r="C26">
        <v>2023</v>
      </c>
      <c r="D26">
        <v>1</v>
      </c>
      <c r="E26" t="s">
        <v>47</v>
      </c>
      <c r="F26" t="s">
        <v>14</v>
      </c>
      <c r="G26" t="s">
        <v>77</v>
      </c>
      <c r="H26" t="s">
        <v>78</v>
      </c>
      <c r="I26">
        <v>12733.09</v>
      </c>
      <c r="J26">
        <v>10857.25</v>
      </c>
      <c r="K26" t="s">
        <v>17</v>
      </c>
      <c r="L26" t="b">
        <v>0</v>
      </c>
      <c r="N26" s="2" t="b">
        <f t="shared" si="0"/>
        <v>1</v>
      </c>
      <c r="O26" t="str">
        <f t="shared" si="2"/>
        <v/>
      </c>
      <c r="Q26" t="str">
        <f t="shared" si="1"/>
        <v/>
      </c>
    </row>
    <row r="27" spans="1:17" hidden="1">
      <c r="A27" t="s">
        <v>79</v>
      </c>
      <c r="B27" s="1">
        <v>44930</v>
      </c>
      <c r="C27">
        <v>2023</v>
      </c>
      <c r="D27">
        <v>1</v>
      </c>
      <c r="E27" t="s">
        <v>19</v>
      </c>
      <c r="F27" t="s">
        <v>14</v>
      </c>
      <c r="G27" t="s">
        <v>80</v>
      </c>
      <c r="H27" t="s">
        <v>81</v>
      </c>
      <c r="I27">
        <v>6858.63</v>
      </c>
      <c r="J27">
        <v>6361.4</v>
      </c>
      <c r="K27" t="s">
        <v>17</v>
      </c>
      <c r="L27" t="b">
        <v>0</v>
      </c>
      <c r="N27" s="2" t="str">
        <f t="shared" si="0"/>
        <v/>
      </c>
      <c r="Q27" t="str">
        <f t="shared" si="1"/>
        <v/>
      </c>
    </row>
    <row r="28" spans="1:17" hidden="1">
      <c r="A28" t="s">
        <v>82</v>
      </c>
      <c r="B28" s="1">
        <v>44930</v>
      </c>
      <c r="C28">
        <v>2023</v>
      </c>
      <c r="D28">
        <v>1</v>
      </c>
      <c r="E28" t="s">
        <v>37</v>
      </c>
      <c r="F28" t="s">
        <v>28</v>
      </c>
      <c r="G28" t="s">
        <v>83</v>
      </c>
      <c r="H28" t="s">
        <v>84</v>
      </c>
      <c r="I28">
        <v>133842.21</v>
      </c>
      <c r="J28">
        <v>127150.1</v>
      </c>
      <c r="K28" t="s">
        <v>85</v>
      </c>
      <c r="L28" t="b">
        <v>0</v>
      </c>
      <c r="N28" s="2" t="str">
        <f>IF(AND(E28="IT",K28="EXPENSE"),I28&gt;J28,"")</f>
        <v/>
      </c>
      <c r="Q28" t="str">
        <f t="shared" si="1"/>
        <v/>
      </c>
    </row>
    <row r="29" spans="1:17" hidden="1">
      <c r="A29" t="s">
        <v>86</v>
      </c>
      <c r="B29" s="1">
        <v>44931</v>
      </c>
      <c r="C29">
        <v>2023</v>
      </c>
      <c r="D29">
        <v>1</v>
      </c>
      <c r="E29" t="s">
        <v>13</v>
      </c>
      <c r="F29" t="s">
        <v>28</v>
      </c>
      <c r="G29" t="s">
        <v>68</v>
      </c>
      <c r="H29" t="s">
        <v>87</v>
      </c>
      <c r="I29">
        <v>1686.13</v>
      </c>
      <c r="J29">
        <v>1555.01</v>
      </c>
      <c r="K29" t="s">
        <v>17</v>
      </c>
      <c r="L29" t="b">
        <v>0</v>
      </c>
      <c r="N29" s="2" t="str">
        <f t="shared" si="0"/>
        <v/>
      </c>
      <c r="Q29" t="str">
        <f t="shared" si="1"/>
        <v/>
      </c>
    </row>
    <row r="30" spans="1:17" hidden="1">
      <c r="A30" t="s">
        <v>88</v>
      </c>
      <c r="B30" s="1">
        <v>44931</v>
      </c>
      <c r="C30">
        <v>2023</v>
      </c>
      <c r="D30">
        <v>1</v>
      </c>
      <c r="E30" t="s">
        <v>13</v>
      </c>
      <c r="F30" t="s">
        <v>24</v>
      </c>
      <c r="G30" t="s">
        <v>15</v>
      </c>
      <c r="H30" t="s">
        <v>89</v>
      </c>
      <c r="I30">
        <v>2013.47</v>
      </c>
      <c r="J30">
        <v>2093.27</v>
      </c>
      <c r="K30" t="s">
        <v>17</v>
      </c>
      <c r="L30" t="b">
        <v>0</v>
      </c>
      <c r="N30" s="2" t="str">
        <f t="shared" si="0"/>
        <v/>
      </c>
      <c r="Q30" t="str">
        <f t="shared" si="1"/>
        <v/>
      </c>
    </row>
    <row r="31" spans="1:17" hidden="1">
      <c r="A31" t="s">
        <v>90</v>
      </c>
      <c r="B31" s="1">
        <v>44931</v>
      </c>
      <c r="C31">
        <v>2023</v>
      </c>
      <c r="D31">
        <v>1</v>
      </c>
      <c r="E31" t="s">
        <v>47</v>
      </c>
      <c r="F31" t="s">
        <v>14</v>
      </c>
      <c r="G31" t="s">
        <v>91</v>
      </c>
      <c r="H31" t="s">
        <v>92</v>
      </c>
      <c r="I31">
        <v>10779.04</v>
      </c>
      <c r="J31">
        <v>9128.51</v>
      </c>
      <c r="K31" t="s">
        <v>17</v>
      </c>
      <c r="L31" t="b">
        <v>0</v>
      </c>
      <c r="N31" s="2" t="b">
        <f t="shared" si="0"/>
        <v>1</v>
      </c>
      <c r="O31" t="str">
        <f>IF(AND(E20="HR",K20="EXPENSE"),I20&lt;J20,"")</f>
        <v/>
      </c>
      <c r="Q31" t="str">
        <f t="shared" si="1"/>
        <v/>
      </c>
    </row>
    <row r="32" spans="1:17" hidden="1">
      <c r="A32" t="s">
        <v>93</v>
      </c>
      <c r="B32" s="1">
        <v>44931</v>
      </c>
      <c r="C32">
        <v>2023</v>
      </c>
      <c r="D32">
        <v>1</v>
      </c>
      <c r="E32" t="s">
        <v>23</v>
      </c>
      <c r="F32" t="s">
        <v>14</v>
      </c>
      <c r="G32" t="s">
        <v>25</v>
      </c>
      <c r="H32" t="s">
        <v>26</v>
      </c>
      <c r="I32">
        <v>6447.76</v>
      </c>
      <c r="J32">
        <v>7092.18</v>
      </c>
      <c r="K32" t="s">
        <v>17</v>
      </c>
      <c r="L32" t="b">
        <v>0</v>
      </c>
      <c r="N32" s="2" t="str">
        <f t="shared" si="0"/>
        <v/>
      </c>
      <c r="Q32" t="str">
        <f t="shared" si="1"/>
        <v/>
      </c>
    </row>
    <row r="33" spans="1:17" hidden="1">
      <c r="A33" t="s">
        <v>94</v>
      </c>
      <c r="B33" s="1">
        <v>44931</v>
      </c>
      <c r="C33">
        <v>2023</v>
      </c>
      <c r="D33">
        <v>1</v>
      </c>
      <c r="E33" t="s">
        <v>23</v>
      </c>
      <c r="F33" t="s">
        <v>14</v>
      </c>
      <c r="G33" t="s">
        <v>25</v>
      </c>
      <c r="H33" t="s">
        <v>95</v>
      </c>
      <c r="I33">
        <v>9906.99</v>
      </c>
      <c r="J33">
        <v>10653.29</v>
      </c>
      <c r="K33" t="s">
        <v>17</v>
      </c>
      <c r="L33" t="b">
        <v>0</v>
      </c>
      <c r="N33" s="2" t="str">
        <f t="shared" si="0"/>
        <v/>
      </c>
      <c r="Q33" t="str">
        <f t="shared" si="1"/>
        <v/>
      </c>
    </row>
    <row r="34" spans="1:17" hidden="1">
      <c r="A34" t="s">
        <v>96</v>
      </c>
      <c r="B34" s="1">
        <v>44931</v>
      </c>
      <c r="C34">
        <v>2023</v>
      </c>
      <c r="D34">
        <v>1</v>
      </c>
      <c r="E34" t="s">
        <v>23</v>
      </c>
      <c r="F34" t="s">
        <v>24</v>
      </c>
      <c r="G34" t="s">
        <v>25</v>
      </c>
      <c r="H34" t="s">
        <v>35</v>
      </c>
      <c r="I34">
        <v>5019.0200000000004</v>
      </c>
      <c r="J34">
        <v>5268.23</v>
      </c>
      <c r="K34" t="s">
        <v>17</v>
      </c>
      <c r="L34" t="b">
        <v>0</v>
      </c>
      <c r="N34" s="2" t="str">
        <f t="shared" si="0"/>
        <v/>
      </c>
      <c r="Q34" t="str">
        <f t="shared" si="1"/>
        <v/>
      </c>
    </row>
    <row r="35" spans="1:17" hidden="1">
      <c r="A35" t="s">
        <v>97</v>
      </c>
      <c r="B35" s="1">
        <v>44931</v>
      </c>
      <c r="C35">
        <v>2023</v>
      </c>
      <c r="D35">
        <v>1</v>
      </c>
      <c r="E35" t="s">
        <v>37</v>
      </c>
      <c r="F35" t="s">
        <v>24</v>
      </c>
      <c r="G35" t="s">
        <v>98</v>
      </c>
      <c r="H35" t="s">
        <v>99</v>
      </c>
      <c r="I35">
        <v>6341.42</v>
      </c>
      <c r="J35">
        <v>6793.55</v>
      </c>
      <c r="K35" t="s">
        <v>17</v>
      </c>
      <c r="L35" t="b">
        <v>0</v>
      </c>
      <c r="N35" s="2" t="str">
        <f t="shared" si="0"/>
        <v/>
      </c>
      <c r="Q35" t="str">
        <f t="shared" si="1"/>
        <v/>
      </c>
    </row>
    <row r="36" spans="1:17" hidden="1">
      <c r="A36" t="s">
        <v>100</v>
      </c>
      <c r="B36" s="1">
        <v>44932</v>
      </c>
      <c r="C36">
        <v>2023</v>
      </c>
      <c r="D36">
        <v>1</v>
      </c>
      <c r="E36" t="s">
        <v>13</v>
      </c>
      <c r="F36" t="s">
        <v>14</v>
      </c>
      <c r="G36" t="s">
        <v>15</v>
      </c>
      <c r="H36" t="s">
        <v>16</v>
      </c>
      <c r="I36">
        <v>3088.84</v>
      </c>
      <c r="J36">
        <v>3283.1</v>
      </c>
      <c r="K36" t="s">
        <v>17</v>
      </c>
      <c r="L36" t="b">
        <v>0</v>
      </c>
      <c r="N36" s="2" t="str">
        <f t="shared" si="0"/>
        <v/>
      </c>
      <c r="Q36" t="str">
        <f t="shared" si="1"/>
        <v/>
      </c>
    </row>
    <row r="37" spans="1:17" hidden="1">
      <c r="A37" t="s">
        <v>101</v>
      </c>
      <c r="B37" s="1">
        <v>44932</v>
      </c>
      <c r="C37">
        <v>2023</v>
      </c>
      <c r="D37">
        <v>1</v>
      </c>
      <c r="E37" t="s">
        <v>13</v>
      </c>
      <c r="F37" t="s">
        <v>24</v>
      </c>
      <c r="G37" t="s">
        <v>102</v>
      </c>
      <c r="H37" t="s">
        <v>103</v>
      </c>
      <c r="I37">
        <v>3517.33</v>
      </c>
      <c r="J37">
        <v>3457.41</v>
      </c>
      <c r="K37" t="s">
        <v>17</v>
      </c>
      <c r="L37" t="b">
        <v>0</v>
      </c>
      <c r="N37" s="2" t="str">
        <f t="shared" si="0"/>
        <v/>
      </c>
      <c r="Q37" t="str">
        <f t="shared" si="1"/>
        <v/>
      </c>
    </row>
    <row r="38" spans="1:17" hidden="1">
      <c r="A38" t="s">
        <v>104</v>
      </c>
      <c r="B38" s="1">
        <v>44932</v>
      </c>
      <c r="C38">
        <v>2023</v>
      </c>
      <c r="D38">
        <v>1</v>
      </c>
      <c r="E38" t="s">
        <v>19</v>
      </c>
      <c r="F38" t="s">
        <v>24</v>
      </c>
      <c r="G38" t="s">
        <v>80</v>
      </c>
      <c r="H38" t="s">
        <v>81</v>
      </c>
      <c r="I38">
        <v>6414.65</v>
      </c>
      <c r="J38">
        <v>6667.41</v>
      </c>
      <c r="K38" t="s">
        <v>17</v>
      </c>
      <c r="L38" t="b">
        <v>0</v>
      </c>
      <c r="N38" s="2" t="str">
        <f t="shared" si="0"/>
        <v/>
      </c>
      <c r="Q38" t="str">
        <f t="shared" si="1"/>
        <v/>
      </c>
    </row>
    <row r="39" spans="1:17" hidden="1">
      <c r="A39" t="s">
        <v>105</v>
      </c>
      <c r="B39" s="1">
        <v>44932</v>
      </c>
      <c r="C39">
        <v>2023</v>
      </c>
      <c r="D39">
        <v>1</v>
      </c>
      <c r="E39" t="s">
        <v>23</v>
      </c>
      <c r="F39" t="s">
        <v>28</v>
      </c>
      <c r="G39" t="s">
        <v>30</v>
      </c>
      <c r="H39" t="s">
        <v>106</v>
      </c>
      <c r="I39">
        <v>6392.78</v>
      </c>
      <c r="J39">
        <v>6060.55</v>
      </c>
      <c r="K39" t="s">
        <v>17</v>
      </c>
      <c r="L39" t="b">
        <v>0</v>
      </c>
      <c r="N39" s="2" t="str">
        <f t="shared" si="0"/>
        <v/>
      </c>
      <c r="Q39" t="str">
        <f t="shared" si="1"/>
        <v/>
      </c>
    </row>
    <row r="40" spans="1:17" hidden="1">
      <c r="A40" t="s">
        <v>107</v>
      </c>
      <c r="B40" s="1">
        <v>44933</v>
      </c>
      <c r="C40">
        <v>2023</v>
      </c>
      <c r="D40">
        <v>1</v>
      </c>
      <c r="E40" t="s">
        <v>13</v>
      </c>
      <c r="F40" t="s">
        <v>14</v>
      </c>
      <c r="G40" t="s">
        <v>108</v>
      </c>
      <c r="H40" t="s">
        <v>109</v>
      </c>
      <c r="I40">
        <v>1679.63</v>
      </c>
      <c r="J40">
        <v>1626.15</v>
      </c>
      <c r="K40" t="s">
        <v>17</v>
      </c>
      <c r="L40" t="b">
        <v>0</v>
      </c>
      <c r="N40" s="2" t="str">
        <f t="shared" si="0"/>
        <v/>
      </c>
      <c r="Q40" t="str">
        <f t="shared" si="1"/>
        <v/>
      </c>
    </row>
    <row r="41" spans="1:17" hidden="1">
      <c r="A41" t="s">
        <v>110</v>
      </c>
      <c r="B41" s="1">
        <v>44933</v>
      </c>
      <c r="C41">
        <v>2023</v>
      </c>
      <c r="D41">
        <v>1</v>
      </c>
      <c r="E41" t="s">
        <v>47</v>
      </c>
      <c r="F41" t="s">
        <v>14</v>
      </c>
      <c r="G41" t="s">
        <v>48</v>
      </c>
      <c r="H41" t="s">
        <v>111</v>
      </c>
      <c r="I41">
        <v>9255</v>
      </c>
      <c r="J41">
        <v>7872.27</v>
      </c>
      <c r="K41" t="s">
        <v>17</v>
      </c>
      <c r="L41" t="b">
        <v>0</v>
      </c>
      <c r="N41" s="2" t="b">
        <f t="shared" si="0"/>
        <v>1</v>
      </c>
      <c r="O41" t="b">
        <f>IF(AND(E30="HR",K30="EXPENSE"),I30&lt;J30,"")</f>
        <v>1</v>
      </c>
      <c r="Q41" t="str">
        <f t="shared" si="1"/>
        <v/>
      </c>
    </row>
    <row r="42" spans="1:17" hidden="1">
      <c r="A42" t="s">
        <v>112</v>
      </c>
      <c r="B42" s="1">
        <v>44933</v>
      </c>
      <c r="C42">
        <v>2023</v>
      </c>
      <c r="D42">
        <v>1</v>
      </c>
      <c r="E42" t="s">
        <v>19</v>
      </c>
      <c r="F42" t="s">
        <v>28</v>
      </c>
      <c r="G42" t="s">
        <v>80</v>
      </c>
      <c r="H42" t="s">
        <v>113</v>
      </c>
      <c r="I42">
        <v>5581.85</v>
      </c>
      <c r="J42">
        <v>5910.97</v>
      </c>
      <c r="K42" t="s">
        <v>17</v>
      </c>
      <c r="L42" t="b">
        <v>0</v>
      </c>
      <c r="N42" s="2" t="str">
        <f t="shared" si="0"/>
        <v/>
      </c>
      <c r="Q42" t="str">
        <f t="shared" si="1"/>
        <v/>
      </c>
    </row>
    <row r="43" spans="1:17" hidden="1">
      <c r="A43" t="s">
        <v>114</v>
      </c>
      <c r="B43" s="1">
        <v>44933</v>
      </c>
      <c r="C43">
        <v>2023</v>
      </c>
      <c r="D43">
        <v>1</v>
      </c>
      <c r="E43" t="s">
        <v>19</v>
      </c>
      <c r="F43" t="s">
        <v>24</v>
      </c>
      <c r="G43" t="s">
        <v>80</v>
      </c>
      <c r="H43" t="s">
        <v>113</v>
      </c>
      <c r="I43">
        <v>8007.59</v>
      </c>
      <c r="J43">
        <v>8393.18</v>
      </c>
      <c r="K43" t="s">
        <v>17</v>
      </c>
      <c r="L43" t="b">
        <v>0</v>
      </c>
      <c r="N43" s="2" t="str">
        <f t="shared" si="0"/>
        <v/>
      </c>
      <c r="Q43" t="str">
        <f t="shared" si="1"/>
        <v/>
      </c>
    </row>
    <row r="44" spans="1:17" hidden="1">
      <c r="A44" t="s">
        <v>115</v>
      </c>
      <c r="B44" s="1">
        <v>44933</v>
      </c>
      <c r="C44">
        <v>2023</v>
      </c>
      <c r="D44">
        <v>1</v>
      </c>
      <c r="E44" t="s">
        <v>23</v>
      </c>
      <c r="F44" t="s">
        <v>24</v>
      </c>
      <c r="G44" t="s">
        <v>25</v>
      </c>
      <c r="H44" t="s">
        <v>95</v>
      </c>
      <c r="I44">
        <v>5163.3100000000004</v>
      </c>
      <c r="J44">
        <v>5479.52</v>
      </c>
      <c r="K44" t="s">
        <v>17</v>
      </c>
      <c r="L44" t="b">
        <v>0</v>
      </c>
      <c r="N44" s="2" t="str">
        <f t="shared" si="0"/>
        <v/>
      </c>
      <c r="Q44" t="str">
        <f t="shared" si="1"/>
        <v/>
      </c>
    </row>
    <row r="45" spans="1:17" hidden="1">
      <c r="A45" t="s">
        <v>116</v>
      </c>
      <c r="B45" s="1">
        <v>44933</v>
      </c>
      <c r="C45">
        <v>2023</v>
      </c>
      <c r="D45">
        <v>1</v>
      </c>
      <c r="E45" t="s">
        <v>37</v>
      </c>
      <c r="F45" t="s">
        <v>14</v>
      </c>
      <c r="G45" t="s">
        <v>41</v>
      </c>
      <c r="H45" t="s">
        <v>42</v>
      </c>
      <c r="I45">
        <v>5380.56</v>
      </c>
      <c r="J45">
        <v>5825.25</v>
      </c>
      <c r="K45" t="s">
        <v>17</v>
      </c>
      <c r="L45" t="b">
        <v>0</v>
      </c>
      <c r="N45" s="2" t="str">
        <f t="shared" si="0"/>
        <v/>
      </c>
      <c r="Q45" t="str">
        <f t="shared" si="1"/>
        <v/>
      </c>
    </row>
    <row r="46" spans="1:17" hidden="1">
      <c r="A46" t="s">
        <v>117</v>
      </c>
      <c r="B46" s="1">
        <v>44933</v>
      </c>
      <c r="C46">
        <v>2023</v>
      </c>
      <c r="D46">
        <v>1</v>
      </c>
      <c r="E46" t="s">
        <v>37</v>
      </c>
      <c r="F46" t="s">
        <v>14</v>
      </c>
      <c r="G46" t="s">
        <v>38</v>
      </c>
      <c r="H46" t="s">
        <v>118</v>
      </c>
      <c r="I46">
        <v>5446.63</v>
      </c>
      <c r="J46">
        <v>4935.1899999999996</v>
      </c>
      <c r="K46" t="s">
        <v>17</v>
      </c>
      <c r="L46" t="b">
        <v>0</v>
      </c>
      <c r="N46" s="2" t="str">
        <f t="shared" si="0"/>
        <v/>
      </c>
      <c r="Q46" t="str">
        <f t="shared" si="1"/>
        <v/>
      </c>
    </row>
    <row r="47" spans="1:17" hidden="1">
      <c r="A47" t="s">
        <v>119</v>
      </c>
      <c r="B47" s="1">
        <v>44933</v>
      </c>
      <c r="C47">
        <v>2023</v>
      </c>
      <c r="D47">
        <v>1</v>
      </c>
      <c r="E47" t="s">
        <v>37</v>
      </c>
      <c r="F47" t="s">
        <v>28</v>
      </c>
      <c r="G47" t="s">
        <v>98</v>
      </c>
      <c r="H47" t="s">
        <v>99</v>
      </c>
      <c r="I47">
        <v>6313.41</v>
      </c>
      <c r="J47">
        <v>6454.48</v>
      </c>
      <c r="K47" t="s">
        <v>17</v>
      </c>
      <c r="L47" t="b">
        <v>0</v>
      </c>
      <c r="N47" s="2" t="str">
        <f t="shared" si="0"/>
        <v/>
      </c>
      <c r="Q47" t="str">
        <f t="shared" si="1"/>
        <v/>
      </c>
    </row>
    <row r="48" spans="1:17" hidden="1">
      <c r="A48" t="s">
        <v>120</v>
      </c>
      <c r="B48" s="1">
        <v>44933</v>
      </c>
      <c r="C48">
        <v>2023</v>
      </c>
      <c r="D48">
        <v>1</v>
      </c>
      <c r="E48" t="s">
        <v>37</v>
      </c>
      <c r="F48" t="s">
        <v>24</v>
      </c>
      <c r="G48" t="s">
        <v>62</v>
      </c>
      <c r="H48" t="s">
        <v>121</v>
      </c>
      <c r="I48">
        <v>5933.66</v>
      </c>
      <c r="J48">
        <v>6035.45</v>
      </c>
      <c r="K48" t="s">
        <v>17</v>
      </c>
      <c r="L48" t="b">
        <v>0</v>
      </c>
      <c r="N48" s="2" t="str">
        <f t="shared" si="0"/>
        <v/>
      </c>
      <c r="Q48" t="str">
        <f t="shared" si="1"/>
        <v/>
      </c>
    </row>
    <row r="49" spans="1:17" hidden="1">
      <c r="A49" t="s">
        <v>122</v>
      </c>
      <c r="B49" s="1">
        <v>44934</v>
      </c>
      <c r="C49">
        <v>2023</v>
      </c>
      <c r="D49">
        <v>1</v>
      </c>
      <c r="E49" t="s">
        <v>13</v>
      </c>
      <c r="F49" t="s">
        <v>14</v>
      </c>
      <c r="G49" t="s">
        <v>108</v>
      </c>
      <c r="H49" t="s">
        <v>123</v>
      </c>
      <c r="I49">
        <v>2779.24</v>
      </c>
      <c r="J49">
        <v>2909.9</v>
      </c>
      <c r="K49" t="s">
        <v>17</v>
      </c>
      <c r="L49" t="b">
        <v>0</v>
      </c>
      <c r="N49" s="2" t="str">
        <f t="shared" si="0"/>
        <v/>
      </c>
      <c r="Q49" t="str">
        <f t="shared" si="1"/>
        <v/>
      </c>
    </row>
    <row r="50" spans="1:17" hidden="1">
      <c r="A50" t="s">
        <v>124</v>
      </c>
      <c r="B50" s="1">
        <v>44934</v>
      </c>
      <c r="C50">
        <v>2023</v>
      </c>
      <c r="D50">
        <v>1</v>
      </c>
      <c r="E50" t="s">
        <v>13</v>
      </c>
      <c r="F50" t="s">
        <v>14</v>
      </c>
      <c r="G50" t="s">
        <v>68</v>
      </c>
      <c r="H50" t="s">
        <v>69</v>
      </c>
      <c r="I50">
        <v>3707.44</v>
      </c>
      <c r="J50">
        <v>4071.15</v>
      </c>
      <c r="K50" t="s">
        <v>17</v>
      </c>
      <c r="L50" t="b">
        <v>0</v>
      </c>
      <c r="N50" s="2" t="str">
        <f t="shared" si="0"/>
        <v/>
      </c>
      <c r="Q50" t="str">
        <f t="shared" si="1"/>
        <v/>
      </c>
    </row>
    <row r="51" spans="1:17" hidden="1">
      <c r="A51" t="s">
        <v>125</v>
      </c>
      <c r="B51" s="1">
        <v>44934</v>
      </c>
      <c r="C51">
        <v>2023</v>
      </c>
      <c r="D51">
        <v>1</v>
      </c>
      <c r="E51" t="s">
        <v>13</v>
      </c>
      <c r="F51" t="s">
        <v>24</v>
      </c>
      <c r="G51" t="s">
        <v>108</v>
      </c>
      <c r="H51" t="s">
        <v>126</v>
      </c>
      <c r="I51">
        <v>1904.76</v>
      </c>
      <c r="J51">
        <v>1975.14</v>
      </c>
      <c r="K51" t="s">
        <v>17</v>
      </c>
      <c r="L51" t="b">
        <v>0</v>
      </c>
      <c r="N51" s="2" t="str">
        <f t="shared" si="0"/>
        <v/>
      </c>
      <c r="Q51" t="str">
        <f t="shared" si="1"/>
        <v/>
      </c>
    </row>
    <row r="52" spans="1:17" hidden="1">
      <c r="A52" t="s">
        <v>127</v>
      </c>
      <c r="B52" s="1">
        <v>44934</v>
      </c>
      <c r="C52">
        <v>2023</v>
      </c>
      <c r="D52">
        <v>1</v>
      </c>
      <c r="E52" t="s">
        <v>47</v>
      </c>
      <c r="F52" t="s">
        <v>14</v>
      </c>
      <c r="G52" t="s">
        <v>91</v>
      </c>
      <c r="H52" t="s">
        <v>128</v>
      </c>
      <c r="I52">
        <v>11867.22</v>
      </c>
      <c r="J52">
        <v>10222.26</v>
      </c>
      <c r="K52" t="s">
        <v>17</v>
      </c>
      <c r="L52" t="b">
        <v>0</v>
      </c>
      <c r="N52" s="2" t="b">
        <f t="shared" si="0"/>
        <v>1</v>
      </c>
      <c r="O52" t="str">
        <f t="shared" ref="O52:O53" si="3">IF(AND(E41="HR",K41="EXPENSE"),I41&lt;J41,"")</f>
        <v/>
      </c>
      <c r="Q52" t="str">
        <f t="shared" si="1"/>
        <v/>
      </c>
    </row>
    <row r="53" spans="1:17" hidden="1">
      <c r="A53" t="s">
        <v>129</v>
      </c>
      <c r="B53" s="1">
        <v>44934</v>
      </c>
      <c r="C53">
        <v>2023</v>
      </c>
      <c r="D53">
        <v>1</v>
      </c>
      <c r="E53" t="s">
        <v>47</v>
      </c>
      <c r="F53" t="s">
        <v>24</v>
      </c>
      <c r="G53" t="s">
        <v>77</v>
      </c>
      <c r="H53" t="s">
        <v>130</v>
      </c>
      <c r="I53">
        <v>14020.13</v>
      </c>
      <c r="J53">
        <v>11945.92</v>
      </c>
      <c r="K53" t="s">
        <v>17</v>
      </c>
      <c r="L53" t="b">
        <v>0</v>
      </c>
      <c r="N53" s="2" t="b">
        <f t="shared" si="0"/>
        <v>1</v>
      </c>
      <c r="O53" t="str">
        <f t="shared" si="3"/>
        <v/>
      </c>
      <c r="Q53" t="str">
        <f t="shared" si="1"/>
        <v/>
      </c>
    </row>
    <row r="54" spans="1:17" hidden="1">
      <c r="A54" t="s">
        <v>131</v>
      </c>
      <c r="B54" s="1">
        <v>44934</v>
      </c>
      <c r="C54">
        <v>2023</v>
      </c>
      <c r="D54">
        <v>1</v>
      </c>
      <c r="E54" t="s">
        <v>19</v>
      </c>
      <c r="F54" t="s">
        <v>14</v>
      </c>
      <c r="G54" t="s">
        <v>132</v>
      </c>
      <c r="H54" t="s">
        <v>133</v>
      </c>
      <c r="I54">
        <v>5698.61</v>
      </c>
      <c r="J54">
        <v>5517.47</v>
      </c>
      <c r="K54" t="s">
        <v>17</v>
      </c>
      <c r="L54" t="b">
        <v>0</v>
      </c>
      <c r="N54" s="2" t="str">
        <f t="shared" si="0"/>
        <v/>
      </c>
      <c r="Q54" t="str">
        <f t="shared" si="1"/>
        <v/>
      </c>
    </row>
    <row r="55" spans="1:17" hidden="1">
      <c r="A55" t="s">
        <v>134</v>
      </c>
      <c r="B55" s="1">
        <v>44934</v>
      </c>
      <c r="C55">
        <v>2023</v>
      </c>
      <c r="D55">
        <v>1</v>
      </c>
      <c r="E55" t="s">
        <v>19</v>
      </c>
      <c r="F55" t="s">
        <v>28</v>
      </c>
      <c r="G55" t="s">
        <v>80</v>
      </c>
      <c r="H55" t="s">
        <v>81</v>
      </c>
      <c r="I55">
        <v>6273.4</v>
      </c>
      <c r="J55">
        <v>5657.6</v>
      </c>
      <c r="K55" t="s">
        <v>17</v>
      </c>
      <c r="L55" t="b">
        <v>0</v>
      </c>
      <c r="N55" s="2" t="str">
        <f t="shared" si="0"/>
        <v/>
      </c>
      <c r="Q55" t="str">
        <f t="shared" si="1"/>
        <v/>
      </c>
    </row>
    <row r="56" spans="1:17" hidden="1">
      <c r="A56" t="s">
        <v>135</v>
      </c>
      <c r="B56" s="1">
        <v>44934</v>
      </c>
      <c r="C56">
        <v>2023</v>
      </c>
      <c r="D56">
        <v>1</v>
      </c>
      <c r="E56" t="s">
        <v>19</v>
      </c>
      <c r="F56" t="s">
        <v>28</v>
      </c>
      <c r="G56" t="s">
        <v>20</v>
      </c>
      <c r="H56" t="s">
        <v>136</v>
      </c>
      <c r="I56">
        <v>4131.2299999999996</v>
      </c>
      <c r="J56">
        <v>4256.79</v>
      </c>
      <c r="K56" t="s">
        <v>17</v>
      </c>
      <c r="L56" t="b">
        <v>0</v>
      </c>
      <c r="N56" s="2" t="str">
        <f t="shared" si="0"/>
        <v/>
      </c>
      <c r="Q56" t="str">
        <f t="shared" si="1"/>
        <v/>
      </c>
    </row>
    <row r="57" spans="1:17" hidden="1">
      <c r="A57" t="s">
        <v>137</v>
      </c>
      <c r="B57" s="1">
        <v>44934</v>
      </c>
      <c r="C57">
        <v>2023</v>
      </c>
      <c r="D57">
        <v>1</v>
      </c>
      <c r="E57" t="s">
        <v>19</v>
      </c>
      <c r="F57" t="s">
        <v>24</v>
      </c>
      <c r="G57" t="s">
        <v>132</v>
      </c>
      <c r="H57" t="s">
        <v>138</v>
      </c>
      <c r="I57">
        <v>6136.79</v>
      </c>
      <c r="J57">
        <v>6709.54</v>
      </c>
      <c r="K57" t="s">
        <v>17</v>
      </c>
      <c r="L57" t="b">
        <v>0</v>
      </c>
      <c r="N57" s="2" t="str">
        <f t="shared" si="0"/>
        <v/>
      </c>
      <c r="Q57" t="str">
        <f t="shared" si="1"/>
        <v/>
      </c>
    </row>
    <row r="58" spans="1:17" hidden="1">
      <c r="A58" t="s">
        <v>139</v>
      </c>
      <c r="B58" s="1">
        <v>44934</v>
      </c>
      <c r="C58">
        <v>2023</v>
      </c>
      <c r="D58">
        <v>1</v>
      </c>
      <c r="E58" t="s">
        <v>23</v>
      </c>
      <c r="F58" t="s">
        <v>14</v>
      </c>
      <c r="G58" t="s">
        <v>30</v>
      </c>
      <c r="H58" t="s">
        <v>106</v>
      </c>
      <c r="I58">
        <v>4030.77</v>
      </c>
      <c r="J58">
        <v>3719.24</v>
      </c>
      <c r="K58" t="s">
        <v>17</v>
      </c>
      <c r="L58" t="b">
        <v>0</v>
      </c>
      <c r="N58" s="2" t="str">
        <f t="shared" si="0"/>
        <v/>
      </c>
      <c r="Q58" t="str">
        <f t="shared" si="1"/>
        <v/>
      </c>
    </row>
    <row r="59" spans="1:17" hidden="1">
      <c r="A59" t="s">
        <v>140</v>
      </c>
      <c r="B59" s="1">
        <v>44934</v>
      </c>
      <c r="C59">
        <v>2023</v>
      </c>
      <c r="D59">
        <v>1</v>
      </c>
      <c r="E59" t="s">
        <v>23</v>
      </c>
      <c r="F59" t="s">
        <v>28</v>
      </c>
      <c r="G59" t="s">
        <v>141</v>
      </c>
      <c r="H59" t="s">
        <v>142</v>
      </c>
      <c r="I59">
        <v>3754.09</v>
      </c>
      <c r="J59">
        <v>3723.4</v>
      </c>
      <c r="K59" t="s">
        <v>17</v>
      </c>
      <c r="L59" t="b">
        <v>0</v>
      </c>
      <c r="N59" s="2" t="str">
        <f t="shared" si="0"/>
        <v/>
      </c>
      <c r="Q59" t="str">
        <f t="shared" si="1"/>
        <v/>
      </c>
    </row>
    <row r="60" spans="1:17" hidden="1">
      <c r="A60" t="s">
        <v>143</v>
      </c>
      <c r="B60" s="1">
        <v>44934</v>
      </c>
      <c r="C60">
        <v>2023</v>
      </c>
      <c r="D60">
        <v>1</v>
      </c>
      <c r="E60" t="s">
        <v>23</v>
      </c>
      <c r="F60" t="s">
        <v>24</v>
      </c>
      <c r="G60" t="s">
        <v>25</v>
      </c>
      <c r="H60" t="s">
        <v>26</v>
      </c>
      <c r="I60">
        <v>4383.18</v>
      </c>
      <c r="J60">
        <v>4710.67</v>
      </c>
      <c r="K60" t="s">
        <v>17</v>
      </c>
      <c r="L60" t="b">
        <v>0</v>
      </c>
      <c r="N60" s="2" t="str">
        <f t="shared" si="0"/>
        <v/>
      </c>
      <c r="Q60" t="str">
        <f t="shared" si="1"/>
        <v/>
      </c>
    </row>
    <row r="61" spans="1:17" hidden="1">
      <c r="A61" t="s">
        <v>144</v>
      </c>
      <c r="B61" s="1">
        <v>44935</v>
      </c>
      <c r="C61">
        <v>2023</v>
      </c>
      <c r="D61">
        <v>1</v>
      </c>
      <c r="E61" t="s">
        <v>13</v>
      </c>
      <c r="F61" t="s">
        <v>14</v>
      </c>
      <c r="G61" t="s">
        <v>102</v>
      </c>
      <c r="H61" t="s">
        <v>145</v>
      </c>
      <c r="I61">
        <v>2124.48</v>
      </c>
      <c r="J61">
        <v>2276.77</v>
      </c>
      <c r="K61" t="s">
        <v>17</v>
      </c>
      <c r="L61" t="b">
        <v>0</v>
      </c>
      <c r="N61" s="2" t="str">
        <f t="shared" si="0"/>
        <v/>
      </c>
      <c r="Q61" t="str">
        <f t="shared" si="1"/>
        <v/>
      </c>
    </row>
    <row r="62" spans="1:17" hidden="1">
      <c r="A62" t="s">
        <v>146</v>
      </c>
      <c r="B62" s="1">
        <v>44935</v>
      </c>
      <c r="C62">
        <v>2023</v>
      </c>
      <c r="D62">
        <v>1</v>
      </c>
      <c r="E62" t="s">
        <v>47</v>
      </c>
      <c r="F62" t="s">
        <v>24</v>
      </c>
      <c r="G62" t="s">
        <v>77</v>
      </c>
      <c r="H62" t="s">
        <v>147</v>
      </c>
      <c r="I62">
        <v>12359.76</v>
      </c>
      <c r="J62">
        <v>10475.280000000001</v>
      </c>
      <c r="K62" t="s">
        <v>17</v>
      </c>
      <c r="L62" t="b">
        <v>0</v>
      </c>
      <c r="N62" s="2" t="b">
        <f t="shared" si="0"/>
        <v>1</v>
      </c>
      <c r="O62" t="b">
        <f t="shared" ref="O62:O63" si="4">IF(AND(E51="HR",K51="EXPENSE"),I51&lt;J51,"")</f>
        <v>1</v>
      </c>
      <c r="Q62" t="str">
        <f t="shared" si="1"/>
        <v/>
      </c>
    </row>
    <row r="63" spans="1:17" hidden="1">
      <c r="A63" t="s">
        <v>148</v>
      </c>
      <c r="B63" s="1">
        <v>44935</v>
      </c>
      <c r="C63">
        <v>2023</v>
      </c>
      <c r="D63">
        <v>1</v>
      </c>
      <c r="E63" t="s">
        <v>47</v>
      </c>
      <c r="F63" t="s">
        <v>24</v>
      </c>
      <c r="G63" t="s">
        <v>77</v>
      </c>
      <c r="H63" t="s">
        <v>78</v>
      </c>
      <c r="I63">
        <v>16854.32</v>
      </c>
      <c r="J63">
        <v>14443.13</v>
      </c>
      <c r="K63" t="s">
        <v>17</v>
      </c>
      <c r="L63" t="b">
        <v>0</v>
      </c>
      <c r="N63" s="2" t="b">
        <f t="shared" si="0"/>
        <v>1</v>
      </c>
      <c r="O63" t="str">
        <f t="shared" si="4"/>
        <v/>
      </c>
      <c r="Q63" t="str">
        <f t="shared" si="1"/>
        <v/>
      </c>
    </row>
    <row r="64" spans="1:17" hidden="1">
      <c r="A64" t="s">
        <v>149</v>
      </c>
      <c r="B64" s="1">
        <v>44935</v>
      </c>
      <c r="C64">
        <v>2023</v>
      </c>
      <c r="D64">
        <v>1</v>
      </c>
      <c r="E64" t="s">
        <v>19</v>
      </c>
      <c r="F64" t="s">
        <v>14</v>
      </c>
      <c r="G64" t="s">
        <v>80</v>
      </c>
      <c r="H64" t="s">
        <v>150</v>
      </c>
      <c r="I64">
        <v>3799.94</v>
      </c>
      <c r="J64">
        <v>3685.34</v>
      </c>
      <c r="K64" t="s">
        <v>17</v>
      </c>
      <c r="L64" t="b">
        <v>0</v>
      </c>
      <c r="N64" s="2" t="str">
        <f t="shared" si="0"/>
        <v/>
      </c>
      <c r="Q64" t="str">
        <f t="shared" si="1"/>
        <v/>
      </c>
    </row>
    <row r="65" spans="1:17" hidden="1">
      <c r="A65" t="s">
        <v>151</v>
      </c>
      <c r="B65" s="1">
        <v>44935</v>
      </c>
      <c r="C65">
        <v>2023</v>
      </c>
      <c r="D65">
        <v>1</v>
      </c>
      <c r="E65" t="s">
        <v>23</v>
      </c>
      <c r="F65" t="s">
        <v>14</v>
      </c>
      <c r="G65" t="s">
        <v>30</v>
      </c>
      <c r="H65" t="s">
        <v>31</v>
      </c>
      <c r="I65">
        <v>6735.1</v>
      </c>
      <c r="J65">
        <v>6369.58</v>
      </c>
      <c r="K65" t="s">
        <v>17</v>
      </c>
      <c r="L65" t="b">
        <v>0</v>
      </c>
      <c r="N65" s="2" t="str">
        <f t="shared" si="0"/>
        <v/>
      </c>
      <c r="Q65" t="str">
        <f t="shared" si="1"/>
        <v/>
      </c>
    </row>
    <row r="66" spans="1:17" hidden="1">
      <c r="A66" t="s">
        <v>152</v>
      </c>
      <c r="B66" s="1">
        <v>44935</v>
      </c>
      <c r="C66">
        <v>2023</v>
      </c>
      <c r="D66">
        <v>1</v>
      </c>
      <c r="E66" t="s">
        <v>23</v>
      </c>
      <c r="F66" t="s">
        <v>14</v>
      </c>
      <c r="G66" t="s">
        <v>141</v>
      </c>
      <c r="H66" t="s">
        <v>153</v>
      </c>
      <c r="I66">
        <v>7379.37</v>
      </c>
      <c r="J66">
        <v>7632.78</v>
      </c>
      <c r="K66" t="s">
        <v>17</v>
      </c>
      <c r="L66" t="b">
        <v>0</v>
      </c>
      <c r="N66" s="2" t="str">
        <f t="shared" si="0"/>
        <v/>
      </c>
      <c r="Q66" t="str">
        <f t="shared" si="1"/>
        <v/>
      </c>
    </row>
    <row r="67" spans="1:17" hidden="1">
      <c r="A67" t="s">
        <v>154</v>
      </c>
      <c r="B67" s="1">
        <v>44935</v>
      </c>
      <c r="C67">
        <v>2023</v>
      </c>
      <c r="D67">
        <v>1</v>
      </c>
      <c r="E67" t="s">
        <v>23</v>
      </c>
      <c r="F67" t="s">
        <v>14</v>
      </c>
      <c r="G67" t="s">
        <v>59</v>
      </c>
      <c r="H67" t="s">
        <v>155</v>
      </c>
      <c r="I67">
        <v>9074</v>
      </c>
      <c r="J67">
        <v>9110.59</v>
      </c>
      <c r="K67" t="s">
        <v>17</v>
      </c>
      <c r="L67" t="b">
        <v>0</v>
      </c>
      <c r="N67" s="2" t="str">
        <f t="shared" ref="N67:N130" si="5">IF(AND(E67="IT",K67="EXPENSE"),I67&gt;J67,"")</f>
        <v/>
      </c>
      <c r="Q67" t="str">
        <f t="shared" ref="Q67:Q130" si="6">IF(L67=TRUE,OR(H67="Apex Solutions Inc",H67="Global Trade Partners",H67="NovaTech Services"),"")</f>
        <v/>
      </c>
    </row>
    <row r="68" spans="1:17" hidden="1">
      <c r="A68" t="s">
        <v>156</v>
      </c>
      <c r="B68" s="1">
        <v>44935</v>
      </c>
      <c r="C68">
        <v>2023</v>
      </c>
      <c r="D68">
        <v>1</v>
      </c>
      <c r="E68" t="s">
        <v>23</v>
      </c>
      <c r="F68" t="s">
        <v>24</v>
      </c>
      <c r="G68" t="s">
        <v>59</v>
      </c>
      <c r="H68" t="s">
        <v>60</v>
      </c>
      <c r="I68">
        <v>3937.57</v>
      </c>
      <c r="J68">
        <v>3830.68</v>
      </c>
      <c r="K68" t="s">
        <v>17</v>
      </c>
      <c r="L68" t="b">
        <v>0</v>
      </c>
      <c r="N68" s="2" t="str">
        <f t="shared" si="5"/>
        <v/>
      </c>
      <c r="Q68" t="str">
        <f t="shared" si="6"/>
        <v/>
      </c>
    </row>
    <row r="69" spans="1:17" hidden="1">
      <c r="A69" t="s">
        <v>157</v>
      </c>
      <c r="B69" s="1">
        <v>44935</v>
      </c>
      <c r="C69">
        <v>2023</v>
      </c>
      <c r="D69">
        <v>1</v>
      </c>
      <c r="E69" t="s">
        <v>37</v>
      </c>
      <c r="F69" t="s">
        <v>14</v>
      </c>
      <c r="G69" t="s">
        <v>38</v>
      </c>
      <c r="H69" t="s">
        <v>39</v>
      </c>
      <c r="I69">
        <v>3883.6</v>
      </c>
      <c r="J69">
        <v>3900.88</v>
      </c>
      <c r="K69" t="s">
        <v>17</v>
      </c>
      <c r="L69" t="b">
        <v>0</v>
      </c>
      <c r="N69" s="2" t="str">
        <f t="shared" si="5"/>
        <v/>
      </c>
      <c r="Q69" t="str">
        <f t="shared" si="6"/>
        <v/>
      </c>
    </row>
    <row r="70" spans="1:17" hidden="1">
      <c r="A70" t="s">
        <v>158</v>
      </c>
      <c r="B70" s="1">
        <v>44935</v>
      </c>
      <c r="C70">
        <v>2023</v>
      </c>
      <c r="D70">
        <v>1</v>
      </c>
      <c r="E70" t="s">
        <v>37</v>
      </c>
      <c r="F70" t="s">
        <v>28</v>
      </c>
      <c r="G70" t="s">
        <v>62</v>
      </c>
      <c r="H70" t="s">
        <v>63</v>
      </c>
      <c r="I70">
        <v>8165.34</v>
      </c>
      <c r="J70">
        <v>7604.28</v>
      </c>
      <c r="K70" t="s">
        <v>17</v>
      </c>
      <c r="L70" t="b">
        <v>0</v>
      </c>
      <c r="N70" s="2" t="str">
        <f t="shared" si="5"/>
        <v/>
      </c>
      <c r="Q70" t="str">
        <f t="shared" si="6"/>
        <v/>
      </c>
    </row>
    <row r="71" spans="1:17" hidden="1">
      <c r="A71" t="s">
        <v>159</v>
      </c>
      <c r="B71" s="1">
        <v>44936</v>
      </c>
      <c r="C71">
        <v>2023</v>
      </c>
      <c r="D71">
        <v>1</v>
      </c>
      <c r="E71" t="s">
        <v>13</v>
      </c>
      <c r="F71" t="s">
        <v>28</v>
      </c>
      <c r="G71" t="s">
        <v>68</v>
      </c>
      <c r="H71" t="s">
        <v>87</v>
      </c>
      <c r="I71">
        <v>4435.43</v>
      </c>
      <c r="J71">
        <v>4866.5600000000004</v>
      </c>
      <c r="K71" t="s">
        <v>17</v>
      </c>
      <c r="L71" t="b">
        <v>0</v>
      </c>
      <c r="N71" s="2" t="str">
        <f t="shared" si="5"/>
        <v/>
      </c>
      <c r="Q71" t="str">
        <f t="shared" si="6"/>
        <v/>
      </c>
    </row>
    <row r="72" spans="1:17" hidden="1">
      <c r="A72" t="s">
        <v>160</v>
      </c>
      <c r="B72" s="1">
        <v>44936</v>
      </c>
      <c r="C72">
        <v>2023</v>
      </c>
      <c r="D72">
        <v>1</v>
      </c>
      <c r="E72" t="s">
        <v>13</v>
      </c>
      <c r="F72" t="s">
        <v>28</v>
      </c>
      <c r="G72" t="s">
        <v>108</v>
      </c>
      <c r="H72" t="s">
        <v>123</v>
      </c>
      <c r="I72">
        <v>3506.5</v>
      </c>
      <c r="J72">
        <v>3312.66</v>
      </c>
      <c r="K72" t="s">
        <v>17</v>
      </c>
      <c r="L72" t="b">
        <v>0</v>
      </c>
      <c r="N72" s="2" t="str">
        <f t="shared" si="5"/>
        <v/>
      </c>
      <c r="Q72" t="str">
        <f t="shared" si="6"/>
        <v/>
      </c>
    </row>
    <row r="73" spans="1:17" hidden="1">
      <c r="A73" t="s">
        <v>161</v>
      </c>
      <c r="B73" s="1">
        <v>44936</v>
      </c>
      <c r="C73">
        <v>2023</v>
      </c>
      <c r="D73">
        <v>1</v>
      </c>
      <c r="E73" t="s">
        <v>13</v>
      </c>
      <c r="F73" t="s">
        <v>24</v>
      </c>
      <c r="G73" t="s">
        <v>15</v>
      </c>
      <c r="H73" t="s">
        <v>45</v>
      </c>
      <c r="I73">
        <v>4444.34</v>
      </c>
      <c r="J73">
        <v>4866.01</v>
      </c>
      <c r="K73" t="s">
        <v>17</v>
      </c>
      <c r="L73" t="b">
        <v>0</v>
      </c>
      <c r="N73" s="2" t="str">
        <f t="shared" si="5"/>
        <v/>
      </c>
      <c r="Q73" t="str">
        <f t="shared" si="6"/>
        <v/>
      </c>
    </row>
    <row r="74" spans="1:17" hidden="1">
      <c r="A74" t="s">
        <v>162</v>
      </c>
      <c r="B74" s="1">
        <v>44936</v>
      </c>
      <c r="C74">
        <v>2023</v>
      </c>
      <c r="D74">
        <v>1</v>
      </c>
      <c r="E74" t="s">
        <v>19</v>
      </c>
      <c r="F74" t="s">
        <v>14</v>
      </c>
      <c r="G74" t="s">
        <v>54</v>
      </c>
      <c r="H74" t="s">
        <v>163</v>
      </c>
      <c r="I74">
        <v>8470.74</v>
      </c>
      <c r="J74">
        <v>7651.77</v>
      </c>
      <c r="K74" t="s">
        <v>17</v>
      </c>
      <c r="L74" t="b">
        <v>0</v>
      </c>
      <c r="N74" s="2" t="str">
        <f t="shared" si="5"/>
        <v/>
      </c>
      <c r="Q74" t="str">
        <f t="shared" si="6"/>
        <v/>
      </c>
    </row>
    <row r="75" spans="1:17" hidden="1">
      <c r="A75" t="s">
        <v>164</v>
      </c>
      <c r="B75" s="1">
        <v>44936</v>
      </c>
      <c r="C75">
        <v>2023</v>
      </c>
      <c r="D75">
        <v>1</v>
      </c>
      <c r="E75" t="s">
        <v>19</v>
      </c>
      <c r="F75" t="s">
        <v>28</v>
      </c>
      <c r="G75" t="s">
        <v>20</v>
      </c>
      <c r="H75" t="s">
        <v>136</v>
      </c>
      <c r="I75">
        <v>6854.31</v>
      </c>
      <c r="J75">
        <v>6284.22</v>
      </c>
      <c r="K75" t="s">
        <v>17</v>
      </c>
      <c r="L75" t="b">
        <v>0</v>
      </c>
      <c r="N75" s="2" t="str">
        <f t="shared" si="5"/>
        <v/>
      </c>
      <c r="Q75" t="str">
        <f t="shared" si="6"/>
        <v/>
      </c>
    </row>
    <row r="76" spans="1:17" hidden="1">
      <c r="A76" t="s">
        <v>165</v>
      </c>
      <c r="B76" s="1">
        <v>44936</v>
      </c>
      <c r="C76">
        <v>2023</v>
      </c>
      <c r="D76">
        <v>1</v>
      </c>
      <c r="E76" t="s">
        <v>19</v>
      </c>
      <c r="F76" t="s">
        <v>24</v>
      </c>
      <c r="G76" t="s">
        <v>132</v>
      </c>
      <c r="H76" t="s">
        <v>133</v>
      </c>
      <c r="I76">
        <v>8521.51</v>
      </c>
      <c r="J76">
        <v>9048.75</v>
      </c>
      <c r="K76" t="s">
        <v>17</v>
      </c>
      <c r="L76" t="b">
        <v>0</v>
      </c>
      <c r="N76" s="2" t="str">
        <f t="shared" si="5"/>
        <v/>
      </c>
      <c r="Q76" t="str">
        <f t="shared" si="6"/>
        <v/>
      </c>
    </row>
    <row r="77" spans="1:17" hidden="1">
      <c r="A77" t="s">
        <v>166</v>
      </c>
      <c r="B77" s="1">
        <v>44936</v>
      </c>
      <c r="C77">
        <v>2023</v>
      </c>
      <c r="D77">
        <v>1</v>
      </c>
      <c r="E77" t="s">
        <v>37</v>
      </c>
      <c r="F77" t="s">
        <v>28</v>
      </c>
      <c r="G77" t="s">
        <v>98</v>
      </c>
      <c r="H77" t="s">
        <v>99</v>
      </c>
      <c r="I77">
        <v>6406.84</v>
      </c>
      <c r="J77">
        <v>6785.08</v>
      </c>
      <c r="K77" t="s">
        <v>17</v>
      </c>
      <c r="L77" t="b">
        <v>0</v>
      </c>
      <c r="N77" s="2" t="str">
        <f t="shared" si="5"/>
        <v/>
      </c>
      <c r="Q77" t="str">
        <f t="shared" si="6"/>
        <v/>
      </c>
    </row>
    <row r="78" spans="1:17" hidden="1">
      <c r="A78" t="s">
        <v>167</v>
      </c>
      <c r="B78" s="1">
        <v>44936</v>
      </c>
      <c r="C78">
        <v>2023</v>
      </c>
      <c r="D78">
        <v>1</v>
      </c>
      <c r="E78" t="s">
        <v>37</v>
      </c>
      <c r="F78" t="s">
        <v>28</v>
      </c>
      <c r="G78" t="s">
        <v>98</v>
      </c>
      <c r="H78" t="s">
        <v>99</v>
      </c>
      <c r="I78">
        <v>3443.9</v>
      </c>
      <c r="J78">
        <v>3554.24</v>
      </c>
      <c r="K78" t="s">
        <v>17</v>
      </c>
      <c r="L78" t="b">
        <v>0</v>
      </c>
      <c r="N78" s="2" t="str">
        <f t="shared" si="5"/>
        <v/>
      </c>
      <c r="Q78" t="str">
        <f t="shared" si="6"/>
        <v/>
      </c>
    </row>
    <row r="79" spans="1:17" hidden="1">
      <c r="A79" t="s">
        <v>168</v>
      </c>
      <c r="B79" s="1">
        <v>44937</v>
      </c>
      <c r="C79">
        <v>2023</v>
      </c>
      <c r="D79">
        <v>1</v>
      </c>
      <c r="E79" t="s">
        <v>13</v>
      </c>
      <c r="F79" t="s">
        <v>28</v>
      </c>
      <c r="G79" t="s">
        <v>68</v>
      </c>
      <c r="H79" t="s">
        <v>87</v>
      </c>
      <c r="I79">
        <v>3775.17</v>
      </c>
      <c r="J79">
        <v>3461.71</v>
      </c>
      <c r="K79" t="s">
        <v>17</v>
      </c>
      <c r="L79" t="b">
        <v>0</v>
      </c>
      <c r="N79" s="2" t="str">
        <f t="shared" si="5"/>
        <v/>
      </c>
      <c r="Q79" t="str">
        <f t="shared" si="6"/>
        <v/>
      </c>
    </row>
    <row r="80" spans="1:17" hidden="1">
      <c r="A80" t="s">
        <v>169</v>
      </c>
      <c r="B80" s="1">
        <v>44937</v>
      </c>
      <c r="C80">
        <v>2023</v>
      </c>
      <c r="D80">
        <v>1</v>
      </c>
      <c r="E80" t="s">
        <v>47</v>
      </c>
      <c r="F80" t="s">
        <v>28</v>
      </c>
      <c r="G80" t="s">
        <v>51</v>
      </c>
      <c r="H80" t="s">
        <v>72</v>
      </c>
      <c r="I80">
        <v>15396.55</v>
      </c>
      <c r="J80">
        <v>12986.3</v>
      </c>
      <c r="K80" t="s">
        <v>17</v>
      </c>
      <c r="L80" t="b">
        <v>0</v>
      </c>
      <c r="N80" s="2" t="b">
        <f t="shared" si="5"/>
        <v>1</v>
      </c>
      <c r="O80" t="str">
        <f>IF(AND(E69="HR",K69="EXPENSE"),I69&lt;J69,"")</f>
        <v/>
      </c>
      <c r="Q80" t="str">
        <f t="shared" si="6"/>
        <v/>
      </c>
    </row>
    <row r="81" spans="1:17" hidden="1">
      <c r="A81" t="s">
        <v>170</v>
      </c>
      <c r="B81" s="1">
        <v>44937</v>
      </c>
      <c r="C81">
        <v>2023</v>
      </c>
      <c r="D81">
        <v>1</v>
      </c>
      <c r="E81" t="s">
        <v>19</v>
      </c>
      <c r="F81" t="s">
        <v>14</v>
      </c>
      <c r="G81" t="s">
        <v>132</v>
      </c>
      <c r="H81" t="s">
        <v>171</v>
      </c>
      <c r="I81">
        <v>7053.65</v>
      </c>
      <c r="J81">
        <v>6867.13</v>
      </c>
      <c r="K81" t="s">
        <v>17</v>
      </c>
      <c r="L81" t="b">
        <v>0</v>
      </c>
      <c r="N81" s="2" t="str">
        <f t="shared" si="5"/>
        <v/>
      </c>
      <c r="Q81" t="str">
        <f t="shared" si="6"/>
        <v/>
      </c>
    </row>
    <row r="82" spans="1:17" hidden="1">
      <c r="A82" t="s">
        <v>172</v>
      </c>
      <c r="B82" s="1">
        <v>44937</v>
      </c>
      <c r="C82">
        <v>2023</v>
      </c>
      <c r="D82">
        <v>1</v>
      </c>
      <c r="E82" t="s">
        <v>19</v>
      </c>
      <c r="F82" t="s">
        <v>14</v>
      </c>
      <c r="G82" t="s">
        <v>54</v>
      </c>
      <c r="H82" t="s">
        <v>163</v>
      </c>
      <c r="I82">
        <v>4122.3</v>
      </c>
      <c r="J82">
        <v>4279.72</v>
      </c>
      <c r="K82" t="s">
        <v>17</v>
      </c>
      <c r="L82" t="b">
        <v>0</v>
      </c>
      <c r="N82" s="2" t="str">
        <f t="shared" si="5"/>
        <v/>
      </c>
      <c r="Q82" t="str">
        <f t="shared" si="6"/>
        <v/>
      </c>
    </row>
    <row r="83" spans="1:17" hidden="1">
      <c r="A83" t="s">
        <v>173</v>
      </c>
      <c r="B83" s="1">
        <v>44937</v>
      </c>
      <c r="C83">
        <v>2023</v>
      </c>
      <c r="D83">
        <v>1</v>
      </c>
      <c r="E83" t="s">
        <v>19</v>
      </c>
      <c r="F83" t="s">
        <v>28</v>
      </c>
      <c r="G83" t="s">
        <v>20</v>
      </c>
      <c r="H83" t="s">
        <v>174</v>
      </c>
      <c r="I83">
        <v>7195.36</v>
      </c>
      <c r="J83">
        <v>6621.85</v>
      </c>
      <c r="K83" t="s">
        <v>17</v>
      </c>
      <c r="L83" t="b">
        <v>0</v>
      </c>
      <c r="N83" s="2" t="str">
        <f t="shared" si="5"/>
        <v/>
      </c>
      <c r="Q83" t="str">
        <f t="shared" si="6"/>
        <v/>
      </c>
    </row>
    <row r="84" spans="1:17" hidden="1">
      <c r="A84" t="s">
        <v>175</v>
      </c>
      <c r="B84" s="1">
        <v>44937</v>
      </c>
      <c r="C84">
        <v>2023</v>
      </c>
      <c r="D84">
        <v>1</v>
      </c>
      <c r="E84" t="s">
        <v>23</v>
      </c>
      <c r="F84" t="s">
        <v>28</v>
      </c>
      <c r="G84" t="s">
        <v>25</v>
      </c>
      <c r="H84" t="s">
        <v>26</v>
      </c>
      <c r="I84">
        <v>3158.99</v>
      </c>
      <c r="J84">
        <v>3243.27</v>
      </c>
      <c r="K84" t="s">
        <v>17</v>
      </c>
      <c r="L84" t="b">
        <v>0</v>
      </c>
      <c r="N84" s="2" t="str">
        <f t="shared" si="5"/>
        <v/>
      </c>
      <c r="Q84" t="str">
        <f t="shared" si="6"/>
        <v/>
      </c>
    </row>
    <row r="85" spans="1:17" hidden="1">
      <c r="A85" t="s">
        <v>176</v>
      </c>
      <c r="B85" s="1">
        <v>44937</v>
      </c>
      <c r="C85">
        <v>2023</v>
      </c>
      <c r="D85">
        <v>1</v>
      </c>
      <c r="E85" t="s">
        <v>23</v>
      </c>
      <c r="F85" t="s">
        <v>24</v>
      </c>
      <c r="G85" t="s">
        <v>59</v>
      </c>
      <c r="H85" t="s">
        <v>60</v>
      </c>
      <c r="I85">
        <v>4259.47</v>
      </c>
      <c r="J85">
        <v>3909.08</v>
      </c>
      <c r="K85" t="s">
        <v>17</v>
      </c>
      <c r="L85" t="b">
        <v>0</v>
      </c>
      <c r="N85" s="2" t="str">
        <f t="shared" si="5"/>
        <v/>
      </c>
      <c r="Q85" t="str">
        <f t="shared" si="6"/>
        <v/>
      </c>
    </row>
    <row r="86" spans="1:17" hidden="1">
      <c r="A86" t="s">
        <v>177</v>
      </c>
      <c r="B86" s="1">
        <v>44937</v>
      </c>
      <c r="C86">
        <v>2023</v>
      </c>
      <c r="D86">
        <v>1</v>
      </c>
      <c r="E86" t="s">
        <v>23</v>
      </c>
      <c r="F86" t="s">
        <v>24</v>
      </c>
      <c r="G86" t="s">
        <v>141</v>
      </c>
      <c r="H86" t="s">
        <v>142</v>
      </c>
      <c r="I86">
        <v>5170.3500000000004</v>
      </c>
      <c r="J86">
        <v>4866.68</v>
      </c>
      <c r="K86" t="s">
        <v>17</v>
      </c>
      <c r="L86" t="b">
        <v>0</v>
      </c>
      <c r="N86" s="2" t="str">
        <f t="shared" si="5"/>
        <v/>
      </c>
      <c r="Q86" t="str">
        <f t="shared" si="6"/>
        <v/>
      </c>
    </row>
    <row r="87" spans="1:17" hidden="1">
      <c r="A87" t="s">
        <v>178</v>
      </c>
      <c r="B87" s="1">
        <v>44937</v>
      </c>
      <c r="C87">
        <v>2023</v>
      </c>
      <c r="D87">
        <v>1</v>
      </c>
      <c r="E87" t="s">
        <v>37</v>
      </c>
      <c r="F87" t="s">
        <v>14</v>
      </c>
      <c r="G87" t="s">
        <v>38</v>
      </c>
      <c r="H87" t="s">
        <v>118</v>
      </c>
      <c r="I87">
        <v>5686.97</v>
      </c>
      <c r="J87">
        <v>5215.3500000000004</v>
      </c>
      <c r="K87" t="s">
        <v>17</v>
      </c>
      <c r="L87" t="b">
        <v>0</v>
      </c>
      <c r="N87" s="2" t="str">
        <f t="shared" si="5"/>
        <v/>
      </c>
      <c r="Q87" t="str">
        <f t="shared" si="6"/>
        <v/>
      </c>
    </row>
    <row r="88" spans="1:17" hidden="1">
      <c r="A88" t="s">
        <v>179</v>
      </c>
      <c r="B88" s="1">
        <v>44938</v>
      </c>
      <c r="C88">
        <v>2023</v>
      </c>
      <c r="D88">
        <v>1</v>
      </c>
      <c r="E88" t="s">
        <v>13</v>
      </c>
      <c r="F88" t="s">
        <v>14</v>
      </c>
      <c r="G88" t="s">
        <v>15</v>
      </c>
      <c r="H88" t="s">
        <v>16</v>
      </c>
      <c r="I88">
        <v>2491.4899999999998</v>
      </c>
      <c r="J88">
        <v>2616.37</v>
      </c>
      <c r="K88" t="s">
        <v>17</v>
      </c>
      <c r="L88" t="b">
        <v>0</v>
      </c>
      <c r="N88" s="2" t="str">
        <f t="shared" si="5"/>
        <v/>
      </c>
      <c r="Q88" t="str">
        <f t="shared" si="6"/>
        <v/>
      </c>
    </row>
    <row r="89" spans="1:17" hidden="1">
      <c r="A89" t="s">
        <v>180</v>
      </c>
      <c r="B89" s="1">
        <v>44938</v>
      </c>
      <c r="C89">
        <v>2023</v>
      </c>
      <c r="D89">
        <v>1</v>
      </c>
      <c r="E89" t="s">
        <v>13</v>
      </c>
      <c r="F89" t="s">
        <v>14</v>
      </c>
      <c r="G89" t="s">
        <v>108</v>
      </c>
      <c r="H89" t="s">
        <v>123</v>
      </c>
      <c r="I89">
        <v>4211.76</v>
      </c>
      <c r="J89">
        <v>3877.45</v>
      </c>
      <c r="K89" t="s">
        <v>17</v>
      </c>
      <c r="L89" t="b">
        <v>0</v>
      </c>
      <c r="N89" s="2" t="str">
        <f t="shared" si="5"/>
        <v/>
      </c>
      <c r="Q89" t="str">
        <f t="shared" si="6"/>
        <v/>
      </c>
    </row>
    <row r="90" spans="1:17" hidden="1">
      <c r="A90" t="s">
        <v>181</v>
      </c>
      <c r="B90" s="1">
        <v>44938</v>
      </c>
      <c r="C90">
        <v>2023</v>
      </c>
      <c r="D90">
        <v>1</v>
      </c>
      <c r="E90" t="s">
        <v>47</v>
      </c>
      <c r="F90" t="s">
        <v>28</v>
      </c>
      <c r="G90" t="s">
        <v>91</v>
      </c>
      <c r="H90" t="s">
        <v>128</v>
      </c>
      <c r="I90">
        <v>16332.68</v>
      </c>
      <c r="J90">
        <v>14147.59</v>
      </c>
      <c r="K90" t="s">
        <v>17</v>
      </c>
      <c r="L90" t="b">
        <v>0</v>
      </c>
      <c r="N90" s="2" t="b">
        <f t="shared" si="5"/>
        <v>1</v>
      </c>
      <c r="O90" t="b">
        <f>IF(AND(E79="HR",K79="EXPENSE"),I79&lt;J79,"")</f>
        <v>0</v>
      </c>
      <c r="Q90" t="str">
        <f t="shared" si="6"/>
        <v/>
      </c>
    </row>
    <row r="91" spans="1:17" hidden="1">
      <c r="A91" t="s">
        <v>182</v>
      </c>
      <c r="B91" s="1">
        <v>44938</v>
      </c>
      <c r="C91">
        <v>2023</v>
      </c>
      <c r="D91">
        <v>1</v>
      </c>
      <c r="E91" t="s">
        <v>19</v>
      </c>
      <c r="F91" t="s">
        <v>14</v>
      </c>
      <c r="G91" t="s">
        <v>20</v>
      </c>
      <c r="H91" t="s">
        <v>174</v>
      </c>
      <c r="I91">
        <v>7234.23</v>
      </c>
      <c r="J91">
        <v>7251.73</v>
      </c>
      <c r="K91" t="s">
        <v>17</v>
      </c>
      <c r="L91" t="b">
        <v>0</v>
      </c>
      <c r="N91" s="2" t="str">
        <f t="shared" si="5"/>
        <v/>
      </c>
      <c r="Q91" t="str">
        <f t="shared" si="6"/>
        <v/>
      </c>
    </row>
    <row r="92" spans="1:17" hidden="1">
      <c r="A92" t="s">
        <v>183</v>
      </c>
      <c r="B92" s="1">
        <v>44938</v>
      </c>
      <c r="C92">
        <v>2023</v>
      </c>
      <c r="D92">
        <v>1</v>
      </c>
      <c r="E92" t="s">
        <v>37</v>
      </c>
      <c r="F92" t="s">
        <v>24</v>
      </c>
      <c r="G92" t="s">
        <v>62</v>
      </c>
      <c r="H92" t="s">
        <v>121</v>
      </c>
      <c r="I92">
        <v>9918.75</v>
      </c>
      <c r="J92">
        <v>10233.549999999999</v>
      </c>
      <c r="K92" t="s">
        <v>17</v>
      </c>
      <c r="L92" t="b">
        <v>0</v>
      </c>
      <c r="N92" s="2" t="str">
        <f t="shared" si="5"/>
        <v/>
      </c>
      <c r="Q92" t="str">
        <f t="shared" si="6"/>
        <v/>
      </c>
    </row>
    <row r="93" spans="1:17" hidden="1">
      <c r="A93" t="s">
        <v>184</v>
      </c>
      <c r="B93" s="1">
        <v>44938</v>
      </c>
      <c r="C93">
        <v>2023</v>
      </c>
      <c r="D93">
        <v>1</v>
      </c>
      <c r="E93" t="s">
        <v>37</v>
      </c>
      <c r="F93" t="s">
        <v>24</v>
      </c>
      <c r="G93" t="s">
        <v>98</v>
      </c>
      <c r="H93" t="s">
        <v>185</v>
      </c>
      <c r="I93">
        <v>6345.15</v>
      </c>
      <c r="J93">
        <v>6903.82</v>
      </c>
      <c r="K93" t="s">
        <v>17</v>
      </c>
      <c r="L93" t="b">
        <v>0</v>
      </c>
      <c r="N93" s="2" t="str">
        <f t="shared" si="5"/>
        <v/>
      </c>
      <c r="Q93" t="str">
        <f t="shared" si="6"/>
        <v/>
      </c>
    </row>
    <row r="94" spans="1:17" hidden="1">
      <c r="A94" t="s">
        <v>186</v>
      </c>
      <c r="B94" s="1">
        <v>44939</v>
      </c>
      <c r="C94">
        <v>2023</v>
      </c>
      <c r="D94">
        <v>1</v>
      </c>
      <c r="E94" t="s">
        <v>13</v>
      </c>
      <c r="F94" t="s">
        <v>28</v>
      </c>
      <c r="G94" t="s">
        <v>102</v>
      </c>
      <c r="H94" t="s">
        <v>145</v>
      </c>
      <c r="I94">
        <v>3005.68</v>
      </c>
      <c r="J94">
        <v>2931.3</v>
      </c>
      <c r="K94" t="s">
        <v>17</v>
      </c>
      <c r="L94" t="b">
        <v>0</v>
      </c>
      <c r="N94" s="2" t="str">
        <f t="shared" si="5"/>
        <v/>
      </c>
      <c r="Q94" t="str">
        <f t="shared" si="6"/>
        <v/>
      </c>
    </row>
    <row r="95" spans="1:17" hidden="1">
      <c r="A95" t="s">
        <v>187</v>
      </c>
      <c r="B95" s="1">
        <v>44939</v>
      </c>
      <c r="C95">
        <v>2023</v>
      </c>
      <c r="D95">
        <v>1</v>
      </c>
      <c r="E95" t="s">
        <v>13</v>
      </c>
      <c r="F95" t="s">
        <v>24</v>
      </c>
      <c r="G95" t="s">
        <v>102</v>
      </c>
      <c r="H95" t="s">
        <v>145</v>
      </c>
      <c r="I95">
        <v>3582.52</v>
      </c>
      <c r="J95">
        <v>3931.66</v>
      </c>
      <c r="K95" t="s">
        <v>17</v>
      </c>
      <c r="L95" t="b">
        <v>0</v>
      </c>
      <c r="N95" s="2" t="str">
        <f t="shared" si="5"/>
        <v/>
      </c>
      <c r="Q95" t="str">
        <f t="shared" si="6"/>
        <v/>
      </c>
    </row>
    <row r="96" spans="1:17" hidden="1">
      <c r="A96" t="s">
        <v>188</v>
      </c>
      <c r="B96" s="1">
        <v>44939</v>
      </c>
      <c r="C96">
        <v>2023</v>
      </c>
      <c r="D96">
        <v>1</v>
      </c>
      <c r="E96" t="s">
        <v>47</v>
      </c>
      <c r="F96" t="s">
        <v>28</v>
      </c>
      <c r="G96" t="s">
        <v>51</v>
      </c>
      <c r="H96" t="s">
        <v>189</v>
      </c>
      <c r="I96">
        <v>19469.79</v>
      </c>
      <c r="J96">
        <v>16854.29</v>
      </c>
      <c r="K96" t="s">
        <v>17</v>
      </c>
      <c r="L96" t="b">
        <v>0</v>
      </c>
      <c r="N96" s="2" t="b">
        <f t="shared" si="5"/>
        <v>1</v>
      </c>
      <c r="O96" t="str">
        <f t="shared" ref="O96:O98" si="7">IF(AND(E85="HR",K85="EXPENSE"),I85&lt;J85,"")</f>
        <v/>
      </c>
      <c r="Q96" t="str">
        <f t="shared" si="6"/>
        <v/>
      </c>
    </row>
    <row r="97" spans="1:17" hidden="1">
      <c r="A97" t="s">
        <v>190</v>
      </c>
      <c r="B97" s="1">
        <v>44939</v>
      </c>
      <c r="C97">
        <v>2023</v>
      </c>
      <c r="D97">
        <v>1</v>
      </c>
      <c r="E97" t="s">
        <v>47</v>
      </c>
      <c r="F97" t="s">
        <v>28</v>
      </c>
      <c r="G97" t="s">
        <v>48</v>
      </c>
      <c r="H97" t="s">
        <v>191</v>
      </c>
      <c r="I97">
        <v>20530.64</v>
      </c>
      <c r="J97">
        <v>17769.47</v>
      </c>
      <c r="K97" t="s">
        <v>17</v>
      </c>
      <c r="L97" t="b">
        <v>0</v>
      </c>
      <c r="N97" s="2" t="b">
        <f t="shared" si="5"/>
        <v>1</v>
      </c>
      <c r="O97" t="str">
        <f t="shared" si="7"/>
        <v/>
      </c>
      <c r="Q97" t="str">
        <f t="shared" si="6"/>
        <v/>
      </c>
    </row>
    <row r="98" spans="1:17" hidden="1">
      <c r="A98" t="s">
        <v>192</v>
      </c>
      <c r="B98" s="1">
        <v>44939</v>
      </c>
      <c r="C98">
        <v>2023</v>
      </c>
      <c r="D98">
        <v>1</v>
      </c>
      <c r="E98" t="s">
        <v>47</v>
      </c>
      <c r="F98" t="s">
        <v>24</v>
      </c>
      <c r="G98" t="s">
        <v>48</v>
      </c>
      <c r="H98" t="s">
        <v>75</v>
      </c>
      <c r="I98">
        <v>14198.8</v>
      </c>
      <c r="J98">
        <v>11989.58</v>
      </c>
      <c r="K98" t="s">
        <v>17</v>
      </c>
      <c r="L98" t="b">
        <v>0</v>
      </c>
      <c r="N98" s="2" t="b">
        <f t="shared" si="5"/>
        <v>1</v>
      </c>
      <c r="O98" t="str">
        <f t="shared" si="7"/>
        <v/>
      </c>
      <c r="Q98" t="str">
        <f t="shared" si="6"/>
        <v/>
      </c>
    </row>
    <row r="99" spans="1:17" hidden="1">
      <c r="A99" t="s">
        <v>193</v>
      </c>
      <c r="B99" s="1">
        <v>44939</v>
      </c>
      <c r="C99">
        <v>2023</v>
      </c>
      <c r="D99">
        <v>1</v>
      </c>
      <c r="E99" t="s">
        <v>19</v>
      </c>
      <c r="F99" t="s">
        <v>24</v>
      </c>
      <c r="G99" t="s">
        <v>54</v>
      </c>
      <c r="H99" t="s">
        <v>55</v>
      </c>
      <c r="I99">
        <v>7880.54</v>
      </c>
      <c r="J99">
        <v>8109.81</v>
      </c>
      <c r="K99" t="s">
        <v>17</v>
      </c>
      <c r="L99" t="b">
        <v>0</v>
      </c>
      <c r="N99" s="2" t="str">
        <f t="shared" si="5"/>
        <v/>
      </c>
      <c r="Q99" t="str">
        <f t="shared" si="6"/>
        <v/>
      </c>
    </row>
    <row r="100" spans="1:17" hidden="1">
      <c r="A100" t="s">
        <v>194</v>
      </c>
      <c r="B100" s="1">
        <v>44939</v>
      </c>
      <c r="C100">
        <v>2023</v>
      </c>
      <c r="D100">
        <v>1</v>
      </c>
      <c r="E100" t="s">
        <v>19</v>
      </c>
      <c r="F100" t="s">
        <v>24</v>
      </c>
      <c r="G100" t="s">
        <v>80</v>
      </c>
      <c r="H100" t="s">
        <v>81</v>
      </c>
      <c r="I100">
        <v>4814.8999999999996</v>
      </c>
      <c r="J100">
        <v>4616.1400000000003</v>
      </c>
      <c r="K100" t="s">
        <v>17</v>
      </c>
      <c r="L100" t="b">
        <v>0</v>
      </c>
      <c r="N100" s="2" t="str">
        <f t="shared" si="5"/>
        <v/>
      </c>
      <c r="Q100" t="str">
        <f t="shared" si="6"/>
        <v/>
      </c>
    </row>
    <row r="101" spans="1:17" hidden="1">
      <c r="A101" t="s">
        <v>195</v>
      </c>
      <c r="B101" s="1">
        <v>44939</v>
      </c>
      <c r="C101">
        <v>2023</v>
      </c>
      <c r="D101">
        <v>1</v>
      </c>
      <c r="E101" t="s">
        <v>23</v>
      </c>
      <c r="F101" t="s">
        <v>28</v>
      </c>
      <c r="G101" t="s">
        <v>141</v>
      </c>
      <c r="H101" t="s">
        <v>142</v>
      </c>
      <c r="I101">
        <v>3663.6</v>
      </c>
      <c r="J101">
        <v>3617.79</v>
      </c>
      <c r="K101" t="s">
        <v>17</v>
      </c>
      <c r="L101" t="b">
        <v>0</v>
      </c>
      <c r="N101" s="2" t="str">
        <f t="shared" si="5"/>
        <v/>
      </c>
      <c r="Q101" t="str">
        <f t="shared" si="6"/>
        <v/>
      </c>
    </row>
    <row r="102" spans="1:17" hidden="1">
      <c r="A102" t="s">
        <v>196</v>
      </c>
      <c r="B102" s="1">
        <v>44939</v>
      </c>
      <c r="C102">
        <v>2023</v>
      </c>
      <c r="D102">
        <v>1</v>
      </c>
      <c r="E102" t="s">
        <v>23</v>
      </c>
      <c r="F102" t="s">
        <v>28</v>
      </c>
      <c r="G102" t="s">
        <v>25</v>
      </c>
      <c r="H102" t="s">
        <v>35</v>
      </c>
      <c r="I102">
        <v>6098.08</v>
      </c>
      <c r="J102">
        <v>6115.15</v>
      </c>
      <c r="K102" t="s">
        <v>17</v>
      </c>
      <c r="L102" t="b">
        <v>0</v>
      </c>
      <c r="N102" s="2" t="str">
        <f t="shared" si="5"/>
        <v/>
      </c>
      <c r="Q102" t="str">
        <f t="shared" si="6"/>
        <v/>
      </c>
    </row>
    <row r="103" spans="1:17" hidden="1">
      <c r="A103" t="s">
        <v>197</v>
      </c>
      <c r="B103" s="1">
        <v>44939</v>
      </c>
      <c r="C103">
        <v>2023</v>
      </c>
      <c r="D103">
        <v>1</v>
      </c>
      <c r="E103" t="s">
        <v>37</v>
      </c>
      <c r="F103" t="s">
        <v>14</v>
      </c>
      <c r="G103" t="s">
        <v>62</v>
      </c>
      <c r="H103" t="s">
        <v>63</v>
      </c>
      <c r="I103">
        <v>5206.28</v>
      </c>
      <c r="J103">
        <v>4723.08</v>
      </c>
      <c r="K103" t="s">
        <v>17</v>
      </c>
      <c r="L103" t="b">
        <v>0</v>
      </c>
      <c r="N103" s="2" t="str">
        <f t="shared" si="5"/>
        <v/>
      </c>
      <c r="Q103" t="str">
        <f t="shared" si="6"/>
        <v/>
      </c>
    </row>
    <row r="104" spans="1:17" hidden="1">
      <c r="A104" t="s">
        <v>198</v>
      </c>
      <c r="B104" s="1">
        <v>44940</v>
      </c>
      <c r="C104">
        <v>2023</v>
      </c>
      <c r="D104">
        <v>1</v>
      </c>
      <c r="E104" t="s">
        <v>13</v>
      </c>
      <c r="F104" t="s">
        <v>28</v>
      </c>
      <c r="G104" t="s">
        <v>15</v>
      </c>
      <c r="H104" t="s">
        <v>16</v>
      </c>
      <c r="I104">
        <v>3823.92</v>
      </c>
      <c r="J104">
        <v>3505.85</v>
      </c>
      <c r="K104" t="s">
        <v>17</v>
      </c>
      <c r="L104" t="b">
        <v>0</v>
      </c>
      <c r="N104" s="2" t="str">
        <f t="shared" si="5"/>
        <v/>
      </c>
      <c r="Q104" t="str">
        <f t="shared" si="6"/>
        <v/>
      </c>
    </row>
    <row r="105" spans="1:17" hidden="1">
      <c r="A105" t="s">
        <v>199</v>
      </c>
      <c r="B105" s="1">
        <v>44940</v>
      </c>
      <c r="C105">
        <v>2023</v>
      </c>
      <c r="D105">
        <v>1</v>
      </c>
      <c r="E105" t="s">
        <v>13</v>
      </c>
      <c r="F105" t="s">
        <v>24</v>
      </c>
      <c r="G105" t="s">
        <v>108</v>
      </c>
      <c r="H105" t="s">
        <v>123</v>
      </c>
      <c r="I105">
        <v>4252.26</v>
      </c>
      <c r="J105">
        <v>4620.2700000000004</v>
      </c>
      <c r="K105" t="s">
        <v>17</v>
      </c>
      <c r="L105" t="b">
        <v>0</v>
      </c>
      <c r="N105" s="2" t="str">
        <f t="shared" si="5"/>
        <v/>
      </c>
      <c r="Q105" t="str">
        <f t="shared" si="6"/>
        <v/>
      </c>
    </row>
    <row r="106" spans="1:17" hidden="1">
      <c r="A106" t="s">
        <v>200</v>
      </c>
      <c r="B106" s="1">
        <v>44940</v>
      </c>
      <c r="C106">
        <v>2023</v>
      </c>
      <c r="D106">
        <v>1</v>
      </c>
      <c r="E106" t="s">
        <v>47</v>
      </c>
      <c r="F106" t="s">
        <v>14</v>
      </c>
      <c r="G106" t="s">
        <v>48</v>
      </c>
      <c r="H106" t="s">
        <v>111</v>
      </c>
      <c r="I106">
        <v>15247.99</v>
      </c>
      <c r="J106">
        <v>13089.94</v>
      </c>
      <c r="K106" t="s">
        <v>17</v>
      </c>
      <c r="L106" t="b">
        <v>0</v>
      </c>
      <c r="N106" s="2" t="b">
        <f t="shared" si="5"/>
        <v>1</v>
      </c>
      <c r="O106" t="b">
        <f t="shared" ref="O106:O108" si="8">IF(AND(E95="HR",K95="EXPENSE"),I95&lt;J95,"")</f>
        <v>1</v>
      </c>
      <c r="Q106" t="str">
        <f t="shared" si="6"/>
        <v/>
      </c>
    </row>
    <row r="107" spans="1:17" hidden="1">
      <c r="A107" t="s">
        <v>201</v>
      </c>
      <c r="B107" s="1">
        <v>44940</v>
      </c>
      <c r="C107">
        <v>2023</v>
      </c>
      <c r="D107">
        <v>1</v>
      </c>
      <c r="E107" t="s">
        <v>47</v>
      </c>
      <c r="F107" t="s">
        <v>14</v>
      </c>
      <c r="G107" t="s">
        <v>51</v>
      </c>
      <c r="H107" t="s">
        <v>72</v>
      </c>
      <c r="I107">
        <v>8129.28</v>
      </c>
      <c r="J107">
        <v>6996.32</v>
      </c>
      <c r="K107" t="s">
        <v>17</v>
      </c>
      <c r="L107" t="b">
        <v>0</v>
      </c>
      <c r="N107" s="2" t="b">
        <f t="shared" si="5"/>
        <v>1</v>
      </c>
      <c r="O107" t="str">
        <f t="shared" si="8"/>
        <v/>
      </c>
      <c r="Q107" t="str">
        <f t="shared" si="6"/>
        <v/>
      </c>
    </row>
    <row r="108" spans="1:17" hidden="1">
      <c r="A108" t="s">
        <v>202</v>
      </c>
      <c r="B108" s="1">
        <v>44940</v>
      </c>
      <c r="C108">
        <v>2023</v>
      </c>
      <c r="D108">
        <v>1</v>
      </c>
      <c r="E108" t="s">
        <v>47</v>
      </c>
      <c r="F108" t="s">
        <v>24</v>
      </c>
      <c r="G108" t="s">
        <v>51</v>
      </c>
      <c r="H108" t="s">
        <v>72</v>
      </c>
      <c r="I108">
        <v>15232.68</v>
      </c>
      <c r="J108">
        <v>12852.55</v>
      </c>
      <c r="K108" t="s">
        <v>17</v>
      </c>
      <c r="L108" t="b">
        <v>0</v>
      </c>
      <c r="N108" s="2" t="b">
        <f t="shared" si="5"/>
        <v>1</v>
      </c>
      <c r="O108" t="str">
        <f t="shared" si="8"/>
        <v/>
      </c>
      <c r="Q108" t="str">
        <f t="shared" si="6"/>
        <v/>
      </c>
    </row>
    <row r="109" spans="1:17" hidden="1">
      <c r="A109" t="s">
        <v>203</v>
      </c>
      <c r="B109" s="1">
        <v>44940</v>
      </c>
      <c r="C109">
        <v>2023</v>
      </c>
      <c r="D109">
        <v>1</v>
      </c>
      <c r="E109" t="s">
        <v>19</v>
      </c>
      <c r="F109" t="s">
        <v>14</v>
      </c>
      <c r="G109" t="s">
        <v>54</v>
      </c>
      <c r="H109" t="s">
        <v>57</v>
      </c>
      <c r="I109">
        <v>8023.35</v>
      </c>
      <c r="J109">
        <v>8080.76</v>
      </c>
      <c r="K109" t="s">
        <v>17</v>
      </c>
      <c r="L109" t="b">
        <v>0</v>
      </c>
      <c r="N109" s="2" t="str">
        <f t="shared" si="5"/>
        <v/>
      </c>
      <c r="Q109" t="str">
        <f t="shared" si="6"/>
        <v/>
      </c>
    </row>
    <row r="110" spans="1:17" hidden="1">
      <c r="A110" t="s">
        <v>204</v>
      </c>
      <c r="B110" s="1">
        <v>44940</v>
      </c>
      <c r="C110">
        <v>2023</v>
      </c>
      <c r="D110">
        <v>1</v>
      </c>
      <c r="E110" t="s">
        <v>19</v>
      </c>
      <c r="F110" t="s">
        <v>24</v>
      </c>
      <c r="G110" t="s">
        <v>132</v>
      </c>
      <c r="H110" t="s">
        <v>133</v>
      </c>
      <c r="I110">
        <v>6481.8</v>
      </c>
      <c r="J110">
        <v>6086.72</v>
      </c>
      <c r="K110" t="s">
        <v>17</v>
      </c>
      <c r="L110" t="b">
        <v>0</v>
      </c>
      <c r="N110" s="2" t="str">
        <f t="shared" si="5"/>
        <v/>
      </c>
      <c r="Q110" t="str">
        <f t="shared" si="6"/>
        <v/>
      </c>
    </row>
    <row r="111" spans="1:17" hidden="1">
      <c r="A111" t="s">
        <v>205</v>
      </c>
      <c r="B111" s="1">
        <v>44940</v>
      </c>
      <c r="C111">
        <v>2023</v>
      </c>
      <c r="D111">
        <v>1</v>
      </c>
      <c r="E111" t="s">
        <v>19</v>
      </c>
      <c r="F111" t="s">
        <v>24</v>
      </c>
      <c r="G111" t="s">
        <v>80</v>
      </c>
      <c r="H111" t="s">
        <v>150</v>
      </c>
      <c r="I111">
        <v>5616.93</v>
      </c>
      <c r="J111">
        <v>5487.86</v>
      </c>
      <c r="K111" t="s">
        <v>17</v>
      </c>
      <c r="L111" t="b">
        <v>0</v>
      </c>
      <c r="N111" s="2" t="str">
        <f t="shared" si="5"/>
        <v/>
      </c>
      <c r="Q111" t="str">
        <f t="shared" si="6"/>
        <v/>
      </c>
    </row>
    <row r="112" spans="1:17">
      <c r="A112" t="s">
        <v>206</v>
      </c>
      <c r="B112" s="1">
        <v>44940</v>
      </c>
      <c r="C112">
        <v>2023</v>
      </c>
      <c r="D112">
        <v>1</v>
      </c>
      <c r="E112" t="s">
        <v>19</v>
      </c>
      <c r="F112" t="s">
        <v>24</v>
      </c>
      <c r="G112" t="s">
        <v>20</v>
      </c>
      <c r="H112" t="s">
        <v>207</v>
      </c>
      <c r="I112">
        <v>40492.269999999997</v>
      </c>
      <c r="J112">
        <v>9334.5300000000007</v>
      </c>
      <c r="K112" t="s">
        <v>17</v>
      </c>
      <c r="L112" t="b">
        <v>1</v>
      </c>
      <c r="N112" s="2" t="str">
        <f t="shared" si="5"/>
        <v/>
      </c>
      <c r="Q112" t="b">
        <f t="shared" si="6"/>
        <v>1</v>
      </c>
    </row>
    <row r="113" spans="1:17" hidden="1">
      <c r="A113" t="s">
        <v>208</v>
      </c>
      <c r="B113" s="1">
        <v>44940</v>
      </c>
      <c r="C113">
        <v>2023</v>
      </c>
      <c r="D113">
        <v>1</v>
      </c>
      <c r="E113" t="s">
        <v>23</v>
      </c>
      <c r="F113" t="s">
        <v>28</v>
      </c>
      <c r="G113" t="s">
        <v>141</v>
      </c>
      <c r="H113" t="s">
        <v>209</v>
      </c>
      <c r="I113">
        <v>7593.4</v>
      </c>
      <c r="J113">
        <v>7903.33</v>
      </c>
      <c r="K113" t="s">
        <v>17</v>
      </c>
      <c r="L113" t="b">
        <v>0</v>
      </c>
      <c r="N113" s="2" t="str">
        <f t="shared" si="5"/>
        <v/>
      </c>
      <c r="Q113" t="str">
        <f t="shared" si="6"/>
        <v/>
      </c>
    </row>
    <row r="114" spans="1:17" hidden="1">
      <c r="A114" t="s">
        <v>210</v>
      </c>
      <c r="B114" s="1">
        <v>44940</v>
      </c>
      <c r="C114">
        <v>2023</v>
      </c>
      <c r="D114">
        <v>1</v>
      </c>
      <c r="E114" t="s">
        <v>37</v>
      </c>
      <c r="F114" t="s">
        <v>14</v>
      </c>
      <c r="G114" t="s">
        <v>62</v>
      </c>
      <c r="H114" t="s">
        <v>66</v>
      </c>
      <c r="I114">
        <v>2764.38</v>
      </c>
      <c r="J114">
        <v>2814.6</v>
      </c>
      <c r="K114" t="s">
        <v>17</v>
      </c>
      <c r="L114" t="b">
        <v>0</v>
      </c>
      <c r="N114" s="2" t="str">
        <f t="shared" si="5"/>
        <v/>
      </c>
      <c r="Q114" t="str">
        <f t="shared" si="6"/>
        <v/>
      </c>
    </row>
    <row r="115" spans="1:17" hidden="1">
      <c r="A115" t="s">
        <v>211</v>
      </c>
      <c r="B115" s="1">
        <v>44940</v>
      </c>
      <c r="C115">
        <v>2023</v>
      </c>
      <c r="D115">
        <v>1</v>
      </c>
      <c r="E115" t="s">
        <v>37</v>
      </c>
      <c r="F115" t="s">
        <v>14</v>
      </c>
      <c r="G115" t="s">
        <v>83</v>
      </c>
      <c r="H115" t="s">
        <v>84</v>
      </c>
      <c r="I115">
        <v>209502.47</v>
      </c>
      <c r="J115">
        <v>199027.35</v>
      </c>
      <c r="K115" t="s">
        <v>85</v>
      </c>
      <c r="L115" t="b">
        <v>0</v>
      </c>
      <c r="N115" s="2" t="str">
        <f t="shared" si="5"/>
        <v/>
      </c>
      <c r="Q115" t="str">
        <f t="shared" si="6"/>
        <v/>
      </c>
    </row>
    <row r="116" spans="1:17" hidden="1">
      <c r="A116" t="s">
        <v>212</v>
      </c>
      <c r="B116" s="1">
        <v>44941</v>
      </c>
      <c r="C116">
        <v>2023</v>
      </c>
      <c r="D116">
        <v>1</v>
      </c>
      <c r="E116" t="s">
        <v>13</v>
      </c>
      <c r="F116" t="s">
        <v>28</v>
      </c>
      <c r="G116" t="s">
        <v>68</v>
      </c>
      <c r="H116" t="s">
        <v>213</v>
      </c>
      <c r="I116">
        <v>4214.8999999999996</v>
      </c>
      <c r="J116">
        <v>4610.51</v>
      </c>
      <c r="K116" t="s">
        <v>17</v>
      </c>
      <c r="L116" t="b">
        <v>0</v>
      </c>
      <c r="N116" s="2" t="str">
        <f t="shared" si="5"/>
        <v/>
      </c>
      <c r="Q116" t="str">
        <f t="shared" si="6"/>
        <v/>
      </c>
    </row>
    <row r="117" spans="1:17" hidden="1">
      <c r="A117" t="s">
        <v>214</v>
      </c>
      <c r="B117" s="1">
        <v>44941</v>
      </c>
      <c r="C117">
        <v>2023</v>
      </c>
      <c r="D117">
        <v>1</v>
      </c>
      <c r="E117" t="s">
        <v>47</v>
      </c>
      <c r="F117" t="s">
        <v>14</v>
      </c>
      <c r="G117" t="s">
        <v>77</v>
      </c>
      <c r="H117" t="s">
        <v>147</v>
      </c>
      <c r="I117">
        <v>13497.66</v>
      </c>
      <c r="J117">
        <v>11201.73</v>
      </c>
      <c r="K117" t="s">
        <v>17</v>
      </c>
      <c r="L117" t="b">
        <v>0</v>
      </c>
      <c r="N117" s="2" t="b">
        <f t="shared" si="5"/>
        <v>1</v>
      </c>
      <c r="O117" t="str">
        <f t="shared" ref="O117:O118" si="9">IF(AND(E106="HR",K106="EXPENSE"),I106&lt;J106,"")</f>
        <v/>
      </c>
      <c r="Q117" t="str">
        <f t="shared" si="6"/>
        <v/>
      </c>
    </row>
    <row r="118" spans="1:17" hidden="1">
      <c r="A118" t="s">
        <v>215</v>
      </c>
      <c r="B118" s="1">
        <v>44941</v>
      </c>
      <c r="C118">
        <v>2023</v>
      </c>
      <c r="D118">
        <v>1</v>
      </c>
      <c r="E118" t="s">
        <v>47</v>
      </c>
      <c r="F118" t="s">
        <v>28</v>
      </c>
      <c r="G118" t="s">
        <v>51</v>
      </c>
      <c r="H118" t="s">
        <v>189</v>
      </c>
      <c r="I118">
        <v>16878.150000000001</v>
      </c>
      <c r="J118">
        <v>14248.39</v>
      </c>
      <c r="K118" t="s">
        <v>17</v>
      </c>
      <c r="L118" t="b">
        <v>0</v>
      </c>
      <c r="N118" s="2" t="b">
        <f t="shared" si="5"/>
        <v>1</v>
      </c>
      <c r="O118" t="str">
        <f t="shared" si="9"/>
        <v/>
      </c>
      <c r="Q118" t="str">
        <f t="shared" si="6"/>
        <v/>
      </c>
    </row>
    <row r="119" spans="1:17" hidden="1">
      <c r="A119" t="s">
        <v>216</v>
      </c>
      <c r="B119" s="1">
        <v>44941</v>
      </c>
      <c r="C119">
        <v>2023</v>
      </c>
      <c r="D119">
        <v>1</v>
      </c>
      <c r="E119" t="s">
        <v>19</v>
      </c>
      <c r="F119" t="s">
        <v>28</v>
      </c>
      <c r="G119" t="s">
        <v>80</v>
      </c>
      <c r="H119" t="s">
        <v>217</v>
      </c>
      <c r="I119">
        <v>7744.09</v>
      </c>
      <c r="J119">
        <v>7220.01</v>
      </c>
      <c r="K119" t="s">
        <v>17</v>
      </c>
      <c r="L119" t="b">
        <v>0</v>
      </c>
      <c r="N119" s="2" t="str">
        <f t="shared" si="5"/>
        <v/>
      </c>
      <c r="Q119" t="str">
        <f t="shared" si="6"/>
        <v/>
      </c>
    </row>
    <row r="120" spans="1:17" hidden="1">
      <c r="A120" t="s">
        <v>218</v>
      </c>
      <c r="B120" s="1">
        <v>44941</v>
      </c>
      <c r="C120">
        <v>2023</v>
      </c>
      <c r="D120">
        <v>1</v>
      </c>
      <c r="E120" t="s">
        <v>19</v>
      </c>
      <c r="F120" t="s">
        <v>24</v>
      </c>
      <c r="G120" t="s">
        <v>20</v>
      </c>
      <c r="H120" t="s">
        <v>21</v>
      </c>
      <c r="I120">
        <v>7563.66</v>
      </c>
      <c r="J120">
        <v>8094.84</v>
      </c>
      <c r="K120" t="s">
        <v>17</v>
      </c>
      <c r="L120" t="b">
        <v>0</v>
      </c>
      <c r="N120" s="2" t="str">
        <f t="shared" si="5"/>
        <v/>
      </c>
      <c r="Q120" t="str">
        <f t="shared" si="6"/>
        <v/>
      </c>
    </row>
    <row r="121" spans="1:17" hidden="1">
      <c r="A121" t="s">
        <v>219</v>
      </c>
      <c r="B121" s="1">
        <v>44941</v>
      </c>
      <c r="C121">
        <v>2023</v>
      </c>
      <c r="D121">
        <v>1</v>
      </c>
      <c r="E121" t="s">
        <v>19</v>
      </c>
      <c r="F121" t="s">
        <v>24</v>
      </c>
      <c r="G121" t="s">
        <v>20</v>
      </c>
      <c r="H121" t="s">
        <v>174</v>
      </c>
      <c r="I121">
        <v>4867.09</v>
      </c>
      <c r="J121">
        <v>4922.38</v>
      </c>
      <c r="K121" t="s">
        <v>17</v>
      </c>
      <c r="L121" t="b">
        <v>0</v>
      </c>
      <c r="N121" s="2" t="str">
        <f t="shared" si="5"/>
        <v/>
      </c>
      <c r="Q121" t="str">
        <f t="shared" si="6"/>
        <v/>
      </c>
    </row>
    <row r="122" spans="1:17" hidden="1">
      <c r="A122" t="s">
        <v>220</v>
      </c>
      <c r="B122" s="1">
        <v>44941</v>
      </c>
      <c r="C122">
        <v>2023</v>
      </c>
      <c r="D122">
        <v>1</v>
      </c>
      <c r="E122" t="s">
        <v>23</v>
      </c>
      <c r="F122" t="s">
        <v>14</v>
      </c>
      <c r="G122" t="s">
        <v>30</v>
      </c>
      <c r="H122" t="s">
        <v>106</v>
      </c>
      <c r="I122">
        <v>5802.78</v>
      </c>
      <c r="J122">
        <v>5745.38</v>
      </c>
      <c r="K122" t="s">
        <v>17</v>
      </c>
      <c r="L122" t="b">
        <v>0</v>
      </c>
      <c r="N122" s="2" t="str">
        <f t="shared" si="5"/>
        <v/>
      </c>
      <c r="Q122" t="str">
        <f t="shared" si="6"/>
        <v/>
      </c>
    </row>
    <row r="123" spans="1:17" hidden="1">
      <c r="A123" t="s">
        <v>221</v>
      </c>
      <c r="B123" s="1">
        <v>44941</v>
      </c>
      <c r="C123">
        <v>2023</v>
      </c>
      <c r="D123">
        <v>1</v>
      </c>
      <c r="E123" t="s">
        <v>37</v>
      </c>
      <c r="F123" t="s">
        <v>14</v>
      </c>
      <c r="G123" t="s">
        <v>62</v>
      </c>
      <c r="H123" t="s">
        <v>66</v>
      </c>
      <c r="I123">
        <v>3411.41</v>
      </c>
      <c r="J123">
        <v>3105.53</v>
      </c>
      <c r="K123" t="s">
        <v>17</v>
      </c>
      <c r="L123" t="b">
        <v>0</v>
      </c>
      <c r="N123" s="2" t="str">
        <f t="shared" si="5"/>
        <v/>
      </c>
      <c r="Q123" t="str">
        <f t="shared" si="6"/>
        <v/>
      </c>
    </row>
    <row r="124" spans="1:17" hidden="1">
      <c r="A124" t="s">
        <v>222</v>
      </c>
      <c r="B124" s="1">
        <v>44942</v>
      </c>
      <c r="C124">
        <v>2023</v>
      </c>
      <c r="D124">
        <v>1</v>
      </c>
      <c r="E124" t="s">
        <v>13</v>
      </c>
      <c r="F124" t="s">
        <v>24</v>
      </c>
      <c r="G124" t="s">
        <v>15</v>
      </c>
      <c r="H124" t="s">
        <v>45</v>
      </c>
      <c r="I124">
        <v>5697.32</v>
      </c>
      <c r="J124">
        <v>5645.53</v>
      </c>
      <c r="K124" t="s">
        <v>17</v>
      </c>
      <c r="L124" t="b">
        <v>0</v>
      </c>
      <c r="N124" s="2" t="str">
        <f t="shared" si="5"/>
        <v/>
      </c>
      <c r="Q124" t="str">
        <f t="shared" si="6"/>
        <v/>
      </c>
    </row>
    <row r="125" spans="1:17" hidden="1">
      <c r="A125" t="s">
        <v>223</v>
      </c>
      <c r="B125" s="1">
        <v>44942</v>
      </c>
      <c r="C125">
        <v>2023</v>
      </c>
      <c r="D125">
        <v>1</v>
      </c>
      <c r="E125" t="s">
        <v>47</v>
      </c>
      <c r="F125" t="s">
        <v>24</v>
      </c>
      <c r="G125" t="s">
        <v>51</v>
      </c>
      <c r="H125" t="s">
        <v>72</v>
      </c>
      <c r="I125">
        <v>14637.62</v>
      </c>
      <c r="J125">
        <v>12206.04</v>
      </c>
      <c r="K125" t="s">
        <v>17</v>
      </c>
      <c r="L125" t="b">
        <v>0</v>
      </c>
      <c r="N125" s="2" t="b">
        <f t="shared" si="5"/>
        <v>1</v>
      </c>
      <c r="O125" t="str">
        <f>IF(AND(E114="HR",K114="EXPENSE"),I114&lt;J114,"")</f>
        <v/>
      </c>
      <c r="Q125" t="str">
        <f t="shared" si="6"/>
        <v/>
      </c>
    </row>
    <row r="126" spans="1:17" hidden="1">
      <c r="A126" t="s">
        <v>224</v>
      </c>
      <c r="B126" s="1">
        <v>44942</v>
      </c>
      <c r="C126">
        <v>2023</v>
      </c>
      <c r="D126">
        <v>1</v>
      </c>
      <c r="E126" t="s">
        <v>23</v>
      </c>
      <c r="F126" t="s">
        <v>28</v>
      </c>
      <c r="G126" t="s">
        <v>59</v>
      </c>
      <c r="H126" t="s">
        <v>60</v>
      </c>
      <c r="I126">
        <v>6447.66</v>
      </c>
      <c r="J126">
        <v>7066.68</v>
      </c>
      <c r="K126" t="s">
        <v>17</v>
      </c>
      <c r="L126" t="b">
        <v>0</v>
      </c>
      <c r="N126" s="2" t="str">
        <f t="shared" si="5"/>
        <v/>
      </c>
      <c r="Q126" t="str">
        <f t="shared" si="6"/>
        <v/>
      </c>
    </row>
    <row r="127" spans="1:17" hidden="1">
      <c r="A127" t="s">
        <v>225</v>
      </c>
      <c r="B127" s="1">
        <v>44942</v>
      </c>
      <c r="C127">
        <v>2023</v>
      </c>
      <c r="D127">
        <v>1</v>
      </c>
      <c r="E127" t="s">
        <v>23</v>
      </c>
      <c r="F127" t="s">
        <v>24</v>
      </c>
      <c r="G127" t="s">
        <v>141</v>
      </c>
      <c r="H127" t="s">
        <v>209</v>
      </c>
      <c r="I127">
        <v>4607.93</v>
      </c>
      <c r="J127">
        <v>4488.5600000000004</v>
      </c>
      <c r="K127" t="s">
        <v>17</v>
      </c>
      <c r="L127" t="b">
        <v>0</v>
      </c>
      <c r="N127" s="2" t="str">
        <f t="shared" si="5"/>
        <v/>
      </c>
      <c r="Q127" t="str">
        <f t="shared" si="6"/>
        <v/>
      </c>
    </row>
    <row r="128" spans="1:17" hidden="1">
      <c r="A128" t="s">
        <v>226</v>
      </c>
      <c r="B128" s="1">
        <v>44942</v>
      </c>
      <c r="C128">
        <v>2023</v>
      </c>
      <c r="D128">
        <v>1</v>
      </c>
      <c r="E128" t="s">
        <v>37</v>
      </c>
      <c r="F128" t="s">
        <v>28</v>
      </c>
      <c r="G128" t="s">
        <v>38</v>
      </c>
      <c r="H128" t="s">
        <v>227</v>
      </c>
      <c r="I128">
        <v>8150.99</v>
      </c>
      <c r="J128">
        <v>8019.92</v>
      </c>
      <c r="K128" t="s">
        <v>17</v>
      </c>
      <c r="L128" t="b">
        <v>0</v>
      </c>
      <c r="N128" s="2" t="str">
        <f t="shared" si="5"/>
        <v/>
      </c>
      <c r="Q128" t="str">
        <f t="shared" si="6"/>
        <v/>
      </c>
    </row>
    <row r="129" spans="1:17" hidden="1">
      <c r="A129" t="s">
        <v>228</v>
      </c>
      <c r="B129" s="1">
        <v>44943</v>
      </c>
      <c r="C129">
        <v>2023</v>
      </c>
      <c r="D129">
        <v>1</v>
      </c>
      <c r="E129" t="s">
        <v>13</v>
      </c>
      <c r="F129" t="s">
        <v>28</v>
      </c>
      <c r="G129" t="s">
        <v>102</v>
      </c>
      <c r="H129" t="s">
        <v>103</v>
      </c>
      <c r="I129">
        <v>3425.59</v>
      </c>
      <c r="J129">
        <v>3323.45</v>
      </c>
      <c r="K129" t="s">
        <v>17</v>
      </c>
      <c r="L129" t="b">
        <v>0</v>
      </c>
      <c r="N129" s="2" t="str">
        <f t="shared" si="5"/>
        <v/>
      </c>
      <c r="Q129" t="str">
        <f t="shared" si="6"/>
        <v/>
      </c>
    </row>
    <row r="130" spans="1:17" hidden="1">
      <c r="A130" t="s">
        <v>229</v>
      </c>
      <c r="B130" s="1">
        <v>44943</v>
      </c>
      <c r="C130">
        <v>2023</v>
      </c>
      <c r="D130">
        <v>1</v>
      </c>
      <c r="E130" t="s">
        <v>47</v>
      </c>
      <c r="F130" t="s">
        <v>14</v>
      </c>
      <c r="G130" t="s">
        <v>51</v>
      </c>
      <c r="H130" t="s">
        <v>189</v>
      </c>
      <c r="I130">
        <v>11041.61</v>
      </c>
      <c r="J130">
        <v>9434.16</v>
      </c>
      <c r="K130" t="s">
        <v>17</v>
      </c>
      <c r="L130" t="b">
        <v>0</v>
      </c>
      <c r="N130" s="2" t="b">
        <f t="shared" si="5"/>
        <v>1</v>
      </c>
      <c r="O130" t="str">
        <f>IF(AND(E119="HR",K119="EXPENSE"),I119&lt;J119,"")</f>
        <v/>
      </c>
      <c r="Q130" t="str">
        <f t="shared" si="6"/>
        <v/>
      </c>
    </row>
    <row r="131" spans="1:17" hidden="1">
      <c r="A131" t="s">
        <v>230</v>
      </c>
      <c r="B131" s="1">
        <v>44943</v>
      </c>
      <c r="C131">
        <v>2023</v>
      </c>
      <c r="D131">
        <v>1</v>
      </c>
      <c r="E131" t="s">
        <v>23</v>
      </c>
      <c r="F131" t="s">
        <v>14</v>
      </c>
      <c r="G131" t="s">
        <v>30</v>
      </c>
      <c r="H131" t="s">
        <v>106</v>
      </c>
      <c r="I131">
        <v>6547.03</v>
      </c>
      <c r="J131">
        <v>6899.25</v>
      </c>
      <c r="K131" t="s">
        <v>17</v>
      </c>
      <c r="L131" t="b">
        <v>0</v>
      </c>
      <c r="N131" s="2" t="str">
        <f t="shared" ref="N131:N194" si="10">IF(AND(E131="IT",K131="EXPENSE"),I131&gt;J131,"")</f>
        <v/>
      </c>
      <c r="Q131" t="str">
        <f t="shared" ref="Q131:Q194" si="11">IF(L131=TRUE,OR(H131="Apex Solutions Inc",H131="Global Trade Partners",H131="NovaTech Services"),"")</f>
        <v/>
      </c>
    </row>
    <row r="132" spans="1:17" hidden="1">
      <c r="A132" t="s">
        <v>231</v>
      </c>
      <c r="B132" s="1">
        <v>44944</v>
      </c>
      <c r="C132">
        <v>2023</v>
      </c>
      <c r="D132">
        <v>1</v>
      </c>
      <c r="E132" t="s">
        <v>13</v>
      </c>
      <c r="F132" t="s">
        <v>28</v>
      </c>
      <c r="G132" t="s">
        <v>68</v>
      </c>
      <c r="H132" t="s">
        <v>213</v>
      </c>
      <c r="I132">
        <v>3769.62</v>
      </c>
      <c r="J132">
        <v>3608.07</v>
      </c>
      <c r="K132" t="s">
        <v>17</v>
      </c>
      <c r="L132" t="b">
        <v>0</v>
      </c>
      <c r="N132" s="2" t="str">
        <f t="shared" si="10"/>
        <v/>
      </c>
      <c r="Q132" t="str">
        <f t="shared" si="11"/>
        <v/>
      </c>
    </row>
    <row r="133" spans="1:17" hidden="1">
      <c r="A133" t="s">
        <v>232</v>
      </c>
      <c r="B133" s="1">
        <v>44944</v>
      </c>
      <c r="C133">
        <v>2023</v>
      </c>
      <c r="D133">
        <v>1</v>
      </c>
      <c r="E133" t="s">
        <v>13</v>
      </c>
      <c r="F133" t="s">
        <v>24</v>
      </c>
      <c r="G133" t="s">
        <v>102</v>
      </c>
      <c r="H133" t="s">
        <v>103</v>
      </c>
      <c r="I133">
        <v>3559.01</v>
      </c>
      <c r="J133">
        <v>3781.73</v>
      </c>
      <c r="K133" t="s">
        <v>17</v>
      </c>
      <c r="L133" t="b">
        <v>0</v>
      </c>
      <c r="N133" s="2" t="str">
        <f t="shared" si="10"/>
        <v/>
      </c>
      <c r="Q133" t="str">
        <f t="shared" si="11"/>
        <v/>
      </c>
    </row>
    <row r="134" spans="1:17" hidden="1">
      <c r="A134" t="s">
        <v>233</v>
      </c>
      <c r="B134" s="1">
        <v>44944</v>
      </c>
      <c r="C134">
        <v>2023</v>
      </c>
      <c r="D134">
        <v>1</v>
      </c>
      <c r="E134" t="s">
        <v>47</v>
      </c>
      <c r="F134" t="s">
        <v>14</v>
      </c>
      <c r="G134" t="s">
        <v>77</v>
      </c>
      <c r="H134" t="s">
        <v>147</v>
      </c>
      <c r="I134">
        <v>8062.87</v>
      </c>
      <c r="J134">
        <v>6862.18</v>
      </c>
      <c r="K134" t="s">
        <v>17</v>
      </c>
      <c r="L134" t="b">
        <v>0</v>
      </c>
      <c r="N134" s="2" t="b">
        <f t="shared" si="10"/>
        <v>1</v>
      </c>
      <c r="O134" t="str">
        <f>IF(AND(E123="HR",K123="EXPENSE"),I123&lt;J123,"")</f>
        <v/>
      </c>
      <c r="Q134" t="str">
        <f t="shared" si="11"/>
        <v/>
      </c>
    </row>
    <row r="135" spans="1:17" hidden="1">
      <c r="A135" t="s">
        <v>234</v>
      </c>
      <c r="B135" s="1">
        <v>44944</v>
      </c>
      <c r="C135">
        <v>2023</v>
      </c>
      <c r="D135">
        <v>1</v>
      </c>
      <c r="E135" t="s">
        <v>19</v>
      </c>
      <c r="F135" t="s">
        <v>28</v>
      </c>
      <c r="G135" t="s">
        <v>54</v>
      </c>
      <c r="H135" t="s">
        <v>163</v>
      </c>
      <c r="I135">
        <v>6197.02</v>
      </c>
      <c r="J135">
        <v>6434.85</v>
      </c>
      <c r="K135" t="s">
        <v>17</v>
      </c>
      <c r="L135" t="b">
        <v>0</v>
      </c>
      <c r="N135" s="2" t="str">
        <f t="shared" si="10"/>
        <v/>
      </c>
      <c r="Q135" t="str">
        <f t="shared" si="11"/>
        <v/>
      </c>
    </row>
    <row r="136" spans="1:17" hidden="1">
      <c r="A136" t="s">
        <v>235</v>
      </c>
      <c r="B136" s="1">
        <v>44944</v>
      </c>
      <c r="C136">
        <v>2023</v>
      </c>
      <c r="D136">
        <v>1</v>
      </c>
      <c r="E136" t="s">
        <v>19</v>
      </c>
      <c r="F136" t="s">
        <v>28</v>
      </c>
      <c r="G136" t="s">
        <v>80</v>
      </c>
      <c r="H136" t="s">
        <v>150</v>
      </c>
      <c r="I136">
        <v>4649.6000000000004</v>
      </c>
      <c r="J136">
        <v>4526.58</v>
      </c>
      <c r="K136" t="s">
        <v>17</v>
      </c>
      <c r="L136" t="b">
        <v>0</v>
      </c>
      <c r="N136" s="2" t="str">
        <f t="shared" si="10"/>
        <v/>
      </c>
      <c r="Q136" t="str">
        <f t="shared" si="11"/>
        <v/>
      </c>
    </row>
    <row r="137" spans="1:17" hidden="1">
      <c r="A137" t="s">
        <v>236</v>
      </c>
      <c r="B137" s="1">
        <v>44944</v>
      </c>
      <c r="C137">
        <v>2023</v>
      </c>
      <c r="D137">
        <v>1</v>
      </c>
      <c r="E137" t="s">
        <v>19</v>
      </c>
      <c r="F137" t="s">
        <v>24</v>
      </c>
      <c r="G137" t="s">
        <v>20</v>
      </c>
      <c r="H137" t="s">
        <v>174</v>
      </c>
      <c r="I137">
        <v>7505.54</v>
      </c>
      <c r="J137">
        <v>8201.48</v>
      </c>
      <c r="K137" t="s">
        <v>17</v>
      </c>
      <c r="L137" t="b">
        <v>0</v>
      </c>
      <c r="N137" s="2" t="str">
        <f t="shared" si="10"/>
        <v/>
      </c>
      <c r="Q137" t="str">
        <f t="shared" si="11"/>
        <v/>
      </c>
    </row>
    <row r="138" spans="1:17" hidden="1">
      <c r="A138" t="s">
        <v>237</v>
      </c>
      <c r="B138" s="1">
        <v>44944</v>
      </c>
      <c r="C138">
        <v>2023</v>
      </c>
      <c r="D138">
        <v>1</v>
      </c>
      <c r="E138" t="s">
        <v>23</v>
      </c>
      <c r="F138" t="s">
        <v>28</v>
      </c>
      <c r="G138" t="s">
        <v>30</v>
      </c>
      <c r="H138" t="s">
        <v>31</v>
      </c>
      <c r="I138">
        <v>8775.65</v>
      </c>
      <c r="J138">
        <v>8271.86</v>
      </c>
      <c r="K138" t="s">
        <v>17</v>
      </c>
      <c r="L138" t="b">
        <v>0</v>
      </c>
      <c r="N138" s="2" t="str">
        <f t="shared" si="10"/>
        <v/>
      </c>
      <c r="Q138" t="str">
        <f t="shared" si="11"/>
        <v/>
      </c>
    </row>
    <row r="139" spans="1:17" hidden="1">
      <c r="A139" t="s">
        <v>238</v>
      </c>
      <c r="B139" s="1">
        <v>44944</v>
      </c>
      <c r="C139">
        <v>2023</v>
      </c>
      <c r="D139">
        <v>1</v>
      </c>
      <c r="E139" t="s">
        <v>23</v>
      </c>
      <c r="F139" t="s">
        <v>28</v>
      </c>
      <c r="G139" t="s">
        <v>30</v>
      </c>
      <c r="H139" t="s">
        <v>31</v>
      </c>
      <c r="I139">
        <v>4282.53</v>
      </c>
      <c r="J139">
        <v>4667.54</v>
      </c>
      <c r="K139" t="s">
        <v>17</v>
      </c>
      <c r="L139" t="b">
        <v>0</v>
      </c>
      <c r="N139" s="2" t="str">
        <f t="shared" si="10"/>
        <v/>
      </c>
      <c r="Q139" t="str">
        <f t="shared" si="11"/>
        <v/>
      </c>
    </row>
    <row r="140" spans="1:17" hidden="1">
      <c r="A140" t="s">
        <v>239</v>
      </c>
      <c r="B140" s="1">
        <v>44944</v>
      </c>
      <c r="C140">
        <v>2023</v>
      </c>
      <c r="D140">
        <v>1</v>
      </c>
      <c r="E140" t="s">
        <v>37</v>
      </c>
      <c r="F140" t="s">
        <v>14</v>
      </c>
      <c r="G140" t="s">
        <v>62</v>
      </c>
      <c r="H140" t="s">
        <v>66</v>
      </c>
      <c r="I140">
        <v>7986.29</v>
      </c>
      <c r="J140">
        <v>8205.81</v>
      </c>
      <c r="K140" t="s">
        <v>17</v>
      </c>
      <c r="L140" t="b">
        <v>0</v>
      </c>
      <c r="N140" s="2" t="str">
        <f t="shared" si="10"/>
        <v/>
      </c>
      <c r="Q140" t="str">
        <f t="shared" si="11"/>
        <v/>
      </c>
    </row>
    <row r="141" spans="1:17" hidden="1">
      <c r="A141" t="s">
        <v>240</v>
      </c>
      <c r="B141" s="1">
        <v>44944</v>
      </c>
      <c r="C141">
        <v>2023</v>
      </c>
      <c r="D141">
        <v>1</v>
      </c>
      <c r="E141" t="s">
        <v>37</v>
      </c>
      <c r="F141" t="s">
        <v>24</v>
      </c>
      <c r="G141" t="s">
        <v>41</v>
      </c>
      <c r="H141" t="s">
        <v>42</v>
      </c>
      <c r="I141">
        <v>4226.6499999999996</v>
      </c>
      <c r="J141">
        <v>4170.74</v>
      </c>
      <c r="K141" t="s">
        <v>17</v>
      </c>
      <c r="L141" t="b">
        <v>0</v>
      </c>
      <c r="N141" s="2" t="str">
        <f t="shared" si="10"/>
        <v/>
      </c>
      <c r="Q141" t="str">
        <f t="shared" si="11"/>
        <v/>
      </c>
    </row>
    <row r="142" spans="1:17" hidden="1">
      <c r="A142" t="s">
        <v>241</v>
      </c>
      <c r="B142" s="1">
        <v>44944</v>
      </c>
      <c r="C142">
        <v>2023</v>
      </c>
      <c r="D142">
        <v>1</v>
      </c>
      <c r="E142" t="s">
        <v>37</v>
      </c>
      <c r="F142" t="s">
        <v>24</v>
      </c>
      <c r="G142" t="s">
        <v>38</v>
      </c>
      <c r="H142" t="s">
        <v>227</v>
      </c>
      <c r="I142">
        <v>8317.6</v>
      </c>
      <c r="J142">
        <v>8109.02</v>
      </c>
      <c r="K142" t="s">
        <v>17</v>
      </c>
      <c r="L142" t="b">
        <v>0</v>
      </c>
      <c r="N142" s="2" t="str">
        <f t="shared" si="10"/>
        <v/>
      </c>
      <c r="Q142" t="str">
        <f t="shared" si="11"/>
        <v/>
      </c>
    </row>
    <row r="143" spans="1:17" hidden="1">
      <c r="A143" t="s">
        <v>242</v>
      </c>
      <c r="B143" s="1">
        <v>44945</v>
      </c>
      <c r="C143">
        <v>2023</v>
      </c>
      <c r="D143">
        <v>1</v>
      </c>
      <c r="E143" t="s">
        <v>13</v>
      </c>
      <c r="F143" t="s">
        <v>14</v>
      </c>
      <c r="G143" t="s">
        <v>68</v>
      </c>
      <c r="H143" t="s">
        <v>69</v>
      </c>
      <c r="I143">
        <v>3631.16</v>
      </c>
      <c r="J143">
        <v>3925.56</v>
      </c>
      <c r="K143" t="s">
        <v>17</v>
      </c>
      <c r="L143" t="b">
        <v>0</v>
      </c>
      <c r="N143" s="2" t="str">
        <f t="shared" si="10"/>
        <v/>
      </c>
      <c r="Q143" t="str">
        <f t="shared" si="11"/>
        <v/>
      </c>
    </row>
    <row r="144" spans="1:17" hidden="1">
      <c r="A144" t="s">
        <v>243</v>
      </c>
      <c r="B144" s="1">
        <v>44945</v>
      </c>
      <c r="C144">
        <v>2023</v>
      </c>
      <c r="D144">
        <v>1</v>
      </c>
      <c r="E144" t="s">
        <v>13</v>
      </c>
      <c r="F144" t="s">
        <v>28</v>
      </c>
      <c r="G144" t="s">
        <v>15</v>
      </c>
      <c r="H144" t="s">
        <v>45</v>
      </c>
      <c r="I144">
        <v>3356.45</v>
      </c>
      <c r="J144">
        <v>3521.61</v>
      </c>
      <c r="K144" t="s">
        <v>17</v>
      </c>
      <c r="L144" t="b">
        <v>0</v>
      </c>
      <c r="N144" s="2" t="str">
        <f t="shared" si="10"/>
        <v/>
      </c>
      <c r="Q144" t="str">
        <f t="shared" si="11"/>
        <v/>
      </c>
    </row>
    <row r="145" spans="1:17" hidden="1">
      <c r="A145" t="s">
        <v>244</v>
      </c>
      <c r="B145" s="1">
        <v>44945</v>
      </c>
      <c r="C145">
        <v>2023</v>
      </c>
      <c r="D145">
        <v>1</v>
      </c>
      <c r="E145" t="s">
        <v>23</v>
      </c>
      <c r="F145" t="s">
        <v>24</v>
      </c>
      <c r="G145" t="s">
        <v>25</v>
      </c>
      <c r="H145" t="s">
        <v>26</v>
      </c>
      <c r="I145">
        <v>4064.22</v>
      </c>
      <c r="J145">
        <v>3938.77</v>
      </c>
      <c r="K145" t="s">
        <v>17</v>
      </c>
      <c r="L145" t="b">
        <v>0</v>
      </c>
      <c r="N145" s="2" t="str">
        <f t="shared" si="10"/>
        <v/>
      </c>
      <c r="Q145" t="str">
        <f t="shared" si="11"/>
        <v/>
      </c>
    </row>
    <row r="146" spans="1:17" hidden="1">
      <c r="A146" t="s">
        <v>245</v>
      </c>
      <c r="B146" s="1">
        <v>44945</v>
      </c>
      <c r="C146">
        <v>2023</v>
      </c>
      <c r="D146">
        <v>1</v>
      </c>
      <c r="E146" t="s">
        <v>37</v>
      </c>
      <c r="F146" t="s">
        <v>14</v>
      </c>
      <c r="G146" t="s">
        <v>62</v>
      </c>
      <c r="H146" t="s">
        <v>63</v>
      </c>
      <c r="I146">
        <v>3930.09</v>
      </c>
      <c r="J146">
        <v>3903.05</v>
      </c>
      <c r="K146" t="s">
        <v>17</v>
      </c>
      <c r="L146" t="b">
        <v>0</v>
      </c>
      <c r="N146" s="2" t="str">
        <f t="shared" si="10"/>
        <v/>
      </c>
      <c r="Q146" t="str">
        <f t="shared" si="11"/>
        <v/>
      </c>
    </row>
    <row r="147" spans="1:17" ht="21" hidden="1" customHeight="1">
      <c r="A147" t="s">
        <v>246</v>
      </c>
      <c r="B147" s="1">
        <v>44946</v>
      </c>
      <c r="C147">
        <v>2023</v>
      </c>
      <c r="D147">
        <v>1</v>
      </c>
      <c r="E147" t="s">
        <v>13</v>
      </c>
      <c r="F147" t="s">
        <v>14</v>
      </c>
      <c r="G147" t="s">
        <v>68</v>
      </c>
      <c r="H147" t="s">
        <v>213</v>
      </c>
      <c r="I147">
        <v>1643.36</v>
      </c>
      <c r="J147">
        <v>1700.06</v>
      </c>
      <c r="K147" t="s">
        <v>17</v>
      </c>
      <c r="L147" t="b">
        <v>0</v>
      </c>
      <c r="N147" s="2" t="str">
        <f t="shared" si="10"/>
        <v/>
      </c>
      <c r="Q147" t="str">
        <f t="shared" si="11"/>
        <v/>
      </c>
    </row>
    <row r="148" spans="1:17" hidden="1">
      <c r="A148" t="s">
        <v>247</v>
      </c>
      <c r="B148" s="1">
        <v>44946</v>
      </c>
      <c r="C148">
        <v>2023</v>
      </c>
      <c r="D148">
        <v>1</v>
      </c>
      <c r="E148" t="s">
        <v>47</v>
      </c>
      <c r="F148" t="s">
        <v>14</v>
      </c>
      <c r="G148" t="s">
        <v>91</v>
      </c>
      <c r="H148" t="s">
        <v>92</v>
      </c>
      <c r="I148">
        <v>8741.61</v>
      </c>
      <c r="J148">
        <v>7516.82</v>
      </c>
      <c r="K148" t="s">
        <v>17</v>
      </c>
      <c r="L148" t="b">
        <v>0</v>
      </c>
      <c r="N148" s="2" t="b">
        <f t="shared" si="10"/>
        <v>1</v>
      </c>
      <c r="O148" t="str">
        <f t="shared" ref="O148:O149" si="12">IF(AND(E137="HR",K137="EXPENSE"),I137&lt;J137,"")</f>
        <v/>
      </c>
      <c r="Q148" t="str">
        <f t="shared" si="11"/>
        <v/>
      </c>
    </row>
    <row r="149" spans="1:17" hidden="1">
      <c r="A149" t="s">
        <v>248</v>
      </c>
      <c r="B149" s="1">
        <v>44946</v>
      </c>
      <c r="C149">
        <v>2023</v>
      </c>
      <c r="D149">
        <v>1</v>
      </c>
      <c r="E149" t="s">
        <v>47</v>
      </c>
      <c r="F149" t="s">
        <v>28</v>
      </c>
      <c r="G149" t="s">
        <v>91</v>
      </c>
      <c r="H149" t="s">
        <v>249</v>
      </c>
      <c r="I149">
        <v>18749.849999999999</v>
      </c>
      <c r="J149">
        <v>15848.67</v>
      </c>
      <c r="K149" t="s">
        <v>17</v>
      </c>
      <c r="L149" t="b">
        <v>0</v>
      </c>
      <c r="N149" s="2" t="b">
        <f t="shared" si="10"/>
        <v>1</v>
      </c>
      <c r="O149" t="str">
        <f t="shared" si="12"/>
        <v/>
      </c>
      <c r="Q149" t="str">
        <f t="shared" si="11"/>
        <v/>
      </c>
    </row>
    <row r="150" spans="1:17" hidden="1">
      <c r="A150" t="s">
        <v>250</v>
      </c>
      <c r="B150" s="1">
        <v>44946</v>
      </c>
      <c r="C150">
        <v>2023</v>
      </c>
      <c r="D150">
        <v>1</v>
      </c>
      <c r="E150" t="s">
        <v>23</v>
      </c>
      <c r="F150" t="s">
        <v>14</v>
      </c>
      <c r="G150" t="s">
        <v>59</v>
      </c>
      <c r="H150" t="s">
        <v>60</v>
      </c>
      <c r="I150">
        <v>6615.26</v>
      </c>
      <c r="J150">
        <v>7203.7</v>
      </c>
      <c r="K150" t="s">
        <v>17</v>
      </c>
      <c r="L150" t="b">
        <v>0</v>
      </c>
      <c r="N150" s="2" t="str">
        <f t="shared" si="10"/>
        <v/>
      </c>
      <c r="Q150" t="str">
        <f t="shared" si="11"/>
        <v/>
      </c>
    </row>
    <row r="151" spans="1:17" hidden="1">
      <c r="A151" t="s">
        <v>251</v>
      </c>
      <c r="B151" s="1">
        <v>44946</v>
      </c>
      <c r="C151">
        <v>2023</v>
      </c>
      <c r="D151">
        <v>1</v>
      </c>
      <c r="E151" t="s">
        <v>23</v>
      </c>
      <c r="F151" t="s">
        <v>28</v>
      </c>
      <c r="G151" t="s">
        <v>30</v>
      </c>
      <c r="H151" t="s">
        <v>33</v>
      </c>
      <c r="I151">
        <v>7137.71</v>
      </c>
      <c r="J151">
        <v>6683.58</v>
      </c>
      <c r="K151" t="s">
        <v>17</v>
      </c>
      <c r="L151" t="b">
        <v>0</v>
      </c>
      <c r="N151" s="2" t="str">
        <f t="shared" si="10"/>
        <v/>
      </c>
      <c r="Q151" t="str">
        <f t="shared" si="11"/>
        <v/>
      </c>
    </row>
    <row r="152" spans="1:17" hidden="1">
      <c r="A152" t="s">
        <v>252</v>
      </c>
      <c r="B152" s="1">
        <v>44947</v>
      </c>
      <c r="C152">
        <v>2023</v>
      </c>
      <c r="D152">
        <v>1</v>
      </c>
      <c r="E152" t="s">
        <v>13</v>
      </c>
      <c r="F152" t="s">
        <v>24</v>
      </c>
      <c r="G152" t="s">
        <v>15</v>
      </c>
      <c r="H152" t="s">
        <v>89</v>
      </c>
      <c r="I152">
        <v>3294.01</v>
      </c>
      <c r="J152">
        <v>3356.03</v>
      </c>
      <c r="K152" t="s">
        <v>17</v>
      </c>
      <c r="L152" t="b">
        <v>0</v>
      </c>
      <c r="N152" s="2" t="str">
        <f t="shared" si="10"/>
        <v/>
      </c>
      <c r="Q152" t="str">
        <f t="shared" si="11"/>
        <v/>
      </c>
    </row>
    <row r="153" spans="1:17" hidden="1">
      <c r="A153" t="s">
        <v>253</v>
      </c>
      <c r="B153" s="1">
        <v>44947</v>
      </c>
      <c r="C153">
        <v>2023</v>
      </c>
      <c r="D153">
        <v>1</v>
      </c>
      <c r="E153" t="s">
        <v>47</v>
      </c>
      <c r="F153" t="s">
        <v>28</v>
      </c>
      <c r="G153" t="s">
        <v>91</v>
      </c>
      <c r="H153" t="s">
        <v>254</v>
      </c>
      <c r="I153">
        <v>18625.86</v>
      </c>
      <c r="J153">
        <v>16082.97</v>
      </c>
      <c r="K153" t="s">
        <v>17</v>
      </c>
      <c r="L153" t="b">
        <v>0</v>
      </c>
      <c r="N153" s="2" t="b">
        <f t="shared" si="10"/>
        <v>1</v>
      </c>
      <c r="O153" t="str">
        <f t="shared" ref="O153:O155" si="13">IF(AND(E142="HR",K142="EXPENSE"),I142&lt;J142,"")</f>
        <v/>
      </c>
      <c r="Q153" t="str">
        <f t="shared" si="11"/>
        <v/>
      </c>
    </row>
    <row r="154" spans="1:17" hidden="1">
      <c r="A154" t="s">
        <v>255</v>
      </c>
      <c r="B154" s="1">
        <v>44947</v>
      </c>
      <c r="C154">
        <v>2023</v>
      </c>
      <c r="D154">
        <v>1</v>
      </c>
      <c r="E154" t="s">
        <v>47</v>
      </c>
      <c r="F154" t="s">
        <v>24</v>
      </c>
      <c r="G154" t="s">
        <v>91</v>
      </c>
      <c r="H154" t="s">
        <v>128</v>
      </c>
      <c r="I154">
        <v>19058.27</v>
      </c>
      <c r="J154">
        <v>16386.32</v>
      </c>
      <c r="K154" t="s">
        <v>17</v>
      </c>
      <c r="L154" t="b">
        <v>0</v>
      </c>
      <c r="N154" s="2" t="b">
        <f t="shared" si="10"/>
        <v>1</v>
      </c>
      <c r="O154" t="b">
        <f t="shared" si="13"/>
        <v>1</v>
      </c>
      <c r="Q154" t="str">
        <f t="shared" si="11"/>
        <v/>
      </c>
    </row>
    <row r="155" spans="1:17" hidden="1">
      <c r="A155" t="s">
        <v>256</v>
      </c>
      <c r="B155" s="1">
        <v>44947</v>
      </c>
      <c r="C155">
        <v>2023</v>
      </c>
      <c r="D155">
        <v>1</v>
      </c>
      <c r="E155" t="s">
        <v>47</v>
      </c>
      <c r="F155" t="s">
        <v>24</v>
      </c>
      <c r="G155" t="s">
        <v>48</v>
      </c>
      <c r="H155" t="s">
        <v>189</v>
      </c>
      <c r="I155">
        <v>7826.5</v>
      </c>
      <c r="J155">
        <v>6790.4</v>
      </c>
      <c r="K155" t="s">
        <v>17</v>
      </c>
      <c r="L155" t="b">
        <v>0</v>
      </c>
      <c r="N155" s="2" t="b">
        <f t="shared" si="10"/>
        <v>1</v>
      </c>
      <c r="O155" t="b">
        <f t="shared" si="13"/>
        <v>1</v>
      </c>
      <c r="Q155" t="str">
        <f t="shared" si="11"/>
        <v/>
      </c>
    </row>
    <row r="156" spans="1:17" hidden="1">
      <c r="A156" t="s">
        <v>257</v>
      </c>
      <c r="B156" s="1">
        <v>44947</v>
      </c>
      <c r="C156">
        <v>2023</v>
      </c>
      <c r="D156">
        <v>1</v>
      </c>
      <c r="E156" t="s">
        <v>19</v>
      </c>
      <c r="F156" t="s">
        <v>24</v>
      </c>
      <c r="G156" t="s">
        <v>54</v>
      </c>
      <c r="H156" t="s">
        <v>55</v>
      </c>
      <c r="I156">
        <v>5521.14</v>
      </c>
      <c r="J156">
        <v>6002.75</v>
      </c>
      <c r="K156" t="s">
        <v>17</v>
      </c>
      <c r="L156" t="b">
        <v>0</v>
      </c>
      <c r="N156" s="2" t="str">
        <f t="shared" si="10"/>
        <v/>
      </c>
      <c r="Q156" t="str">
        <f t="shared" si="11"/>
        <v/>
      </c>
    </row>
    <row r="157" spans="1:17" hidden="1">
      <c r="A157" t="s">
        <v>258</v>
      </c>
      <c r="B157" s="1">
        <v>44947</v>
      </c>
      <c r="C157">
        <v>2023</v>
      </c>
      <c r="D157">
        <v>1</v>
      </c>
      <c r="E157" t="s">
        <v>23</v>
      </c>
      <c r="F157" t="s">
        <v>24</v>
      </c>
      <c r="G157" t="s">
        <v>25</v>
      </c>
      <c r="H157" t="s">
        <v>95</v>
      </c>
      <c r="I157">
        <v>5229.25</v>
      </c>
      <c r="J157">
        <v>5404.49</v>
      </c>
      <c r="K157" t="s">
        <v>17</v>
      </c>
      <c r="L157" t="b">
        <v>0</v>
      </c>
      <c r="N157" s="2" t="str">
        <f t="shared" si="10"/>
        <v/>
      </c>
      <c r="Q157" t="str">
        <f t="shared" si="11"/>
        <v/>
      </c>
    </row>
    <row r="158" spans="1:17" hidden="1">
      <c r="A158" t="s">
        <v>259</v>
      </c>
      <c r="B158" s="1">
        <v>44947</v>
      </c>
      <c r="C158">
        <v>2023</v>
      </c>
      <c r="D158">
        <v>1</v>
      </c>
      <c r="E158" t="s">
        <v>37</v>
      </c>
      <c r="F158" t="s">
        <v>24</v>
      </c>
      <c r="G158" t="s">
        <v>38</v>
      </c>
      <c r="H158" t="s">
        <v>39</v>
      </c>
      <c r="I158">
        <v>5879.08</v>
      </c>
      <c r="J158">
        <v>5406.2</v>
      </c>
      <c r="K158" t="s">
        <v>17</v>
      </c>
      <c r="L158" t="b">
        <v>0</v>
      </c>
      <c r="N158" s="2" t="str">
        <f t="shared" si="10"/>
        <v/>
      </c>
      <c r="Q158" t="str">
        <f t="shared" si="11"/>
        <v/>
      </c>
    </row>
    <row r="159" spans="1:17" hidden="1">
      <c r="A159" t="s">
        <v>260</v>
      </c>
      <c r="B159" s="1">
        <v>44948</v>
      </c>
      <c r="C159">
        <v>2023</v>
      </c>
      <c r="D159">
        <v>1</v>
      </c>
      <c r="E159" t="s">
        <v>13</v>
      </c>
      <c r="F159" t="s">
        <v>28</v>
      </c>
      <c r="G159" t="s">
        <v>15</v>
      </c>
      <c r="H159" t="s">
        <v>16</v>
      </c>
      <c r="I159">
        <v>4698.17</v>
      </c>
      <c r="J159">
        <v>4239.03</v>
      </c>
      <c r="K159" t="s">
        <v>17</v>
      </c>
      <c r="L159" t="b">
        <v>0</v>
      </c>
      <c r="N159" s="2" t="str">
        <f t="shared" si="10"/>
        <v/>
      </c>
      <c r="Q159" t="str">
        <f t="shared" si="11"/>
        <v/>
      </c>
    </row>
    <row r="160" spans="1:17" hidden="1">
      <c r="A160" t="s">
        <v>261</v>
      </c>
      <c r="B160" s="1">
        <v>44948</v>
      </c>
      <c r="C160">
        <v>2023</v>
      </c>
      <c r="D160">
        <v>1</v>
      </c>
      <c r="E160" t="s">
        <v>13</v>
      </c>
      <c r="F160" t="s">
        <v>24</v>
      </c>
      <c r="G160" t="s">
        <v>68</v>
      </c>
      <c r="H160" t="s">
        <v>87</v>
      </c>
      <c r="I160">
        <v>3518.85</v>
      </c>
      <c r="J160">
        <v>3362.18</v>
      </c>
      <c r="K160" t="s">
        <v>17</v>
      </c>
      <c r="L160" t="b">
        <v>0</v>
      </c>
      <c r="N160" s="2" t="str">
        <f t="shared" si="10"/>
        <v/>
      </c>
      <c r="Q160" t="str">
        <f t="shared" si="11"/>
        <v/>
      </c>
    </row>
    <row r="161" spans="1:17" hidden="1">
      <c r="A161" t="s">
        <v>262</v>
      </c>
      <c r="B161" s="1">
        <v>44948</v>
      </c>
      <c r="C161">
        <v>2023</v>
      </c>
      <c r="D161">
        <v>1</v>
      </c>
      <c r="E161" t="s">
        <v>47</v>
      </c>
      <c r="F161" t="s">
        <v>28</v>
      </c>
      <c r="G161" t="s">
        <v>48</v>
      </c>
      <c r="H161" t="s">
        <v>49</v>
      </c>
      <c r="I161">
        <v>16056.2</v>
      </c>
      <c r="J161">
        <v>13170.73</v>
      </c>
      <c r="K161" t="s">
        <v>17</v>
      </c>
      <c r="L161" t="b">
        <v>0</v>
      </c>
      <c r="N161" s="2" t="b">
        <f t="shared" si="10"/>
        <v>1</v>
      </c>
      <c r="O161" t="str">
        <f t="shared" ref="O161:O163" si="14">IF(AND(E150="HR",K150="EXPENSE"),I150&lt;J150,"")</f>
        <v/>
      </c>
      <c r="Q161" t="str">
        <f t="shared" si="11"/>
        <v/>
      </c>
    </row>
    <row r="162" spans="1:17" hidden="1">
      <c r="A162" t="s">
        <v>263</v>
      </c>
      <c r="B162" s="1">
        <v>44948</v>
      </c>
      <c r="C162">
        <v>2023</v>
      </c>
      <c r="D162">
        <v>1</v>
      </c>
      <c r="E162" t="s">
        <v>47</v>
      </c>
      <c r="F162" t="s">
        <v>28</v>
      </c>
      <c r="G162" t="s">
        <v>91</v>
      </c>
      <c r="H162" t="s">
        <v>128</v>
      </c>
      <c r="I162">
        <v>18739.89</v>
      </c>
      <c r="J162">
        <v>15979.27</v>
      </c>
      <c r="K162" t="s">
        <v>17</v>
      </c>
      <c r="L162" t="b">
        <v>0</v>
      </c>
      <c r="N162" s="2" t="b">
        <f t="shared" si="10"/>
        <v>1</v>
      </c>
      <c r="O162" t="str">
        <f t="shared" si="14"/>
        <v/>
      </c>
      <c r="Q162" t="str">
        <f t="shared" si="11"/>
        <v/>
      </c>
    </row>
    <row r="163" spans="1:17" hidden="1">
      <c r="A163" t="s">
        <v>264</v>
      </c>
      <c r="B163" s="1">
        <v>44948</v>
      </c>
      <c r="C163">
        <v>2023</v>
      </c>
      <c r="D163">
        <v>1</v>
      </c>
      <c r="E163" t="s">
        <v>47</v>
      </c>
      <c r="F163" t="s">
        <v>24</v>
      </c>
      <c r="G163" t="s">
        <v>48</v>
      </c>
      <c r="H163" t="s">
        <v>49</v>
      </c>
      <c r="I163">
        <v>19285.060000000001</v>
      </c>
      <c r="J163">
        <v>16057.83</v>
      </c>
      <c r="K163" t="s">
        <v>17</v>
      </c>
      <c r="L163" t="b">
        <v>0</v>
      </c>
      <c r="N163" s="2" t="b">
        <f t="shared" si="10"/>
        <v>1</v>
      </c>
      <c r="O163" t="b">
        <f t="shared" si="14"/>
        <v>1</v>
      </c>
      <c r="Q163" t="str">
        <f t="shared" si="11"/>
        <v/>
      </c>
    </row>
    <row r="164" spans="1:17" hidden="1">
      <c r="A164" t="s">
        <v>265</v>
      </c>
      <c r="B164" s="1">
        <v>44948</v>
      </c>
      <c r="C164">
        <v>2023</v>
      </c>
      <c r="D164">
        <v>1</v>
      </c>
      <c r="E164" t="s">
        <v>19</v>
      </c>
      <c r="F164" t="s">
        <v>14</v>
      </c>
      <c r="G164" t="s">
        <v>20</v>
      </c>
      <c r="H164" t="s">
        <v>174</v>
      </c>
      <c r="I164">
        <v>9706.57</v>
      </c>
      <c r="J164">
        <v>8916.65</v>
      </c>
      <c r="K164" t="s">
        <v>17</v>
      </c>
      <c r="L164" t="b">
        <v>0</v>
      </c>
      <c r="N164" s="2" t="str">
        <f t="shared" si="10"/>
        <v/>
      </c>
      <c r="Q164" t="str">
        <f t="shared" si="11"/>
        <v/>
      </c>
    </row>
    <row r="165" spans="1:17" hidden="1">
      <c r="A165" t="s">
        <v>266</v>
      </c>
      <c r="B165" s="1">
        <v>44948</v>
      </c>
      <c r="C165">
        <v>2023</v>
      </c>
      <c r="D165">
        <v>1</v>
      </c>
      <c r="E165" t="s">
        <v>19</v>
      </c>
      <c r="F165" t="s">
        <v>28</v>
      </c>
      <c r="G165" t="s">
        <v>20</v>
      </c>
      <c r="H165" t="s">
        <v>21</v>
      </c>
      <c r="I165">
        <v>7820.27</v>
      </c>
      <c r="J165">
        <v>8066.78</v>
      </c>
      <c r="K165" t="s">
        <v>17</v>
      </c>
      <c r="L165" t="b">
        <v>0</v>
      </c>
      <c r="N165" s="2" t="str">
        <f t="shared" si="10"/>
        <v/>
      </c>
      <c r="Q165" t="str">
        <f t="shared" si="11"/>
        <v/>
      </c>
    </row>
    <row r="166" spans="1:17" hidden="1">
      <c r="A166" t="s">
        <v>267</v>
      </c>
      <c r="B166" s="1">
        <v>44948</v>
      </c>
      <c r="C166">
        <v>2023</v>
      </c>
      <c r="D166">
        <v>1</v>
      </c>
      <c r="E166" t="s">
        <v>19</v>
      </c>
      <c r="F166" t="s">
        <v>28</v>
      </c>
      <c r="G166" t="s">
        <v>54</v>
      </c>
      <c r="H166" t="s">
        <v>55</v>
      </c>
      <c r="I166">
        <v>9996.41</v>
      </c>
      <c r="J166">
        <v>9981.4500000000007</v>
      </c>
      <c r="K166" t="s">
        <v>17</v>
      </c>
      <c r="L166" t="b">
        <v>0</v>
      </c>
      <c r="N166" s="2" t="str">
        <f t="shared" si="10"/>
        <v/>
      </c>
      <c r="Q166" t="str">
        <f t="shared" si="11"/>
        <v/>
      </c>
    </row>
    <row r="167" spans="1:17" hidden="1">
      <c r="A167" t="s">
        <v>268</v>
      </c>
      <c r="B167" s="1">
        <v>44948</v>
      </c>
      <c r="C167">
        <v>2023</v>
      </c>
      <c r="D167">
        <v>1</v>
      </c>
      <c r="E167" t="s">
        <v>19</v>
      </c>
      <c r="F167" t="s">
        <v>24</v>
      </c>
      <c r="G167" t="s">
        <v>80</v>
      </c>
      <c r="H167" t="s">
        <v>81</v>
      </c>
      <c r="I167">
        <v>4808.5600000000004</v>
      </c>
      <c r="J167">
        <v>4351.09</v>
      </c>
      <c r="K167" t="s">
        <v>17</v>
      </c>
      <c r="L167" t="b">
        <v>0</v>
      </c>
      <c r="N167" s="2" t="str">
        <f t="shared" si="10"/>
        <v/>
      </c>
      <c r="Q167" t="str">
        <f t="shared" si="11"/>
        <v/>
      </c>
    </row>
    <row r="168" spans="1:17" hidden="1">
      <c r="A168" t="s">
        <v>269</v>
      </c>
      <c r="B168" s="1">
        <v>44948</v>
      </c>
      <c r="C168">
        <v>2023</v>
      </c>
      <c r="D168">
        <v>1</v>
      </c>
      <c r="E168" t="s">
        <v>37</v>
      </c>
      <c r="F168" t="s">
        <v>14</v>
      </c>
      <c r="G168" t="s">
        <v>41</v>
      </c>
      <c r="H168" t="s">
        <v>42</v>
      </c>
      <c r="I168">
        <v>4581.4799999999996</v>
      </c>
      <c r="J168">
        <v>4828.87</v>
      </c>
      <c r="K168" t="s">
        <v>17</v>
      </c>
      <c r="L168" t="b">
        <v>0</v>
      </c>
      <c r="N168" s="2" t="str">
        <f t="shared" si="10"/>
        <v/>
      </c>
      <c r="Q168" t="str">
        <f t="shared" si="11"/>
        <v/>
      </c>
    </row>
    <row r="169" spans="1:17" hidden="1">
      <c r="A169" t="s">
        <v>270</v>
      </c>
      <c r="B169" s="1">
        <v>44949</v>
      </c>
      <c r="C169">
        <v>2023</v>
      </c>
      <c r="D169">
        <v>1</v>
      </c>
      <c r="E169" t="s">
        <v>13</v>
      </c>
      <c r="F169" t="s">
        <v>24</v>
      </c>
      <c r="G169" t="s">
        <v>15</v>
      </c>
      <c r="H169" t="s">
        <v>45</v>
      </c>
      <c r="I169">
        <v>5009.1899999999996</v>
      </c>
      <c r="J169">
        <v>4553.57</v>
      </c>
      <c r="K169" t="s">
        <v>17</v>
      </c>
      <c r="L169" t="b">
        <v>0</v>
      </c>
      <c r="N169" s="2" t="str">
        <f t="shared" si="10"/>
        <v/>
      </c>
      <c r="Q169" t="str">
        <f t="shared" si="11"/>
        <v/>
      </c>
    </row>
    <row r="170" spans="1:17" hidden="1">
      <c r="A170" t="s">
        <v>271</v>
      </c>
      <c r="B170" s="1">
        <v>44949</v>
      </c>
      <c r="C170">
        <v>2023</v>
      </c>
      <c r="D170">
        <v>1</v>
      </c>
      <c r="E170" t="s">
        <v>47</v>
      </c>
      <c r="F170" t="s">
        <v>28</v>
      </c>
      <c r="G170" t="s">
        <v>91</v>
      </c>
      <c r="H170" t="s">
        <v>128</v>
      </c>
      <c r="I170">
        <v>12332.2</v>
      </c>
      <c r="J170">
        <v>10380.74</v>
      </c>
      <c r="K170" t="s">
        <v>17</v>
      </c>
      <c r="L170" t="b">
        <v>0</v>
      </c>
      <c r="N170" s="2" t="b">
        <f t="shared" si="10"/>
        <v>1</v>
      </c>
      <c r="O170" t="b">
        <f>IF(AND(E159="HR",K159="EXPENSE"),I159&lt;J159,"")</f>
        <v>0</v>
      </c>
      <c r="Q170" t="str">
        <f t="shared" si="11"/>
        <v/>
      </c>
    </row>
    <row r="171" spans="1:17" hidden="1">
      <c r="A171" t="s">
        <v>272</v>
      </c>
      <c r="B171" s="1">
        <v>44949</v>
      </c>
      <c r="C171">
        <v>2023</v>
      </c>
      <c r="D171">
        <v>1</v>
      </c>
      <c r="E171" t="s">
        <v>19</v>
      </c>
      <c r="F171" t="s">
        <v>28</v>
      </c>
      <c r="G171" t="s">
        <v>54</v>
      </c>
      <c r="H171" t="s">
        <v>55</v>
      </c>
      <c r="I171">
        <v>7027.78</v>
      </c>
      <c r="J171">
        <v>6658.46</v>
      </c>
      <c r="K171" t="s">
        <v>17</v>
      </c>
      <c r="L171" t="b">
        <v>0</v>
      </c>
      <c r="N171" s="2" t="str">
        <f t="shared" si="10"/>
        <v/>
      </c>
      <c r="Q171" t="str">
        <f t="shared" si="11"/>
        <v/>
      </c>
    </row>
    <row r="172" spans="1:17" hidden="1">
      <c r="A172" t="s">
        <v>273</v>
      </c>
      <c r="B172" s="1">
        <v>44949</v>
      </c>
      <c r="C172">
        <v>2023</v>
      </c>
      <c r="D172">
        <v>1</v>
      </c>
      <c r="E172" t="s">
        <v>23</v>
      </c>
      <c r="F172" t="s">
        <v>14</v>
      </c>
      <c r="G172" t="s">
        <v>141</v>
      </c>
      <c r="H172" t="s">
        <v>142</v>
      </c>
      <c r="I172">
        <v>9407.77</v>
      </c>
      <c r="J172">
        <v>9226.17</v>
      </c>
      <c r="K172" t="s">
        <v>17</v>
      </c>
      <c r="L172" t="b">
        <v>0</v>
      </c>
      <c r="N172" s="2" t="str">
        <f t="shared" si="10"/>
        <v/>
      </c>
      <c r="Q172" t="str">
        <f t="shared" si="11"/>
        <v/>
      </c>
    </row>
    <row r="173" spans="1:17" hidden="1">
      <c r="A173" t="s">
        <v>274</v>
      </c>
      <c r="B173" s="1">
        <v>44949</v>
      </c>
      <c r="C173">
        <v>2023</v>
      </c>
      <c r="D173">
        <v>1</v>
      </c>
      <c r="E173" t="s">
        <v>23</v>
      </c>
      <c r="F173" t="s">
        <v>24</v>
      </c>
      <c r="G173" t="s">
        <v>141</v>
      </c>
      <c r="H173" t="s">
        <v>142</v>
      </c>
      <c r="I173">
        <v>3300.14</v>
      </c>
      <c r="J173">
        <v>3275.41</v>
      </c>
      <c r="K173" t="s">
        <v>17</v>
      </c>
      <c r="L173" t="b">
        <v>0</v>
      </c>
      <c r="N173" s="2" t="str">
        <f t="shared" si="10"/>
        <v/>
      </c>
      <c r="Q173" t="str">
        <f t="shared" si="11"/>
        <v/>
      </c>
    </row>
    <row r="174" spans="1:17" hidden="1">
      <c r="A174" t="s">
        <v>275</v>
      </c>
      <c r="B174" s="1">
        <v>44949</v>
      </c>
      <c r="C174">
        <v>2023</v>
      </c>
      <c r="D174">
        <v>1</v>
      </c>
      <c r="E174" t="s">
        <v>37</v>
      </c>
      <c r="F174" t="s">
        <v>24</v>
      </c>
      <c r="G174" t="s">
        <v>83</v>
      </c>
      <c r="H174" t="s">
        <v>84</v>
      </c>
      <c r="I174">
        <v>91628.87</v>
      </c>
      <c r="J174">
        <v>87047.42</v>
      </c>
      <c r="K174" t="s">
        <v>85</v>
      </c>
      <c r="L174" t="b">
        <v>0</v>
      </c>
      <c r="N174" s="2" t="str">
        <f t="shared" si="10"/>
        <v/>
      </c>
      <c r="Q174" t="str">
        <f t="shared" si="11"/>
        <v/>
      </c>
    </row>
    <row r="175" spans="1:17" hidden="1">
      <c r="A175" t="s">
        <v>276</v>
      </c>
      <c r="B175" s="1">
        <v>44950</v>
      </c>
      <c r="C175">
        <v>2023</v>
      </c>
      <c r="D175">
        <v>1</v>
      </c>
      <c r="E175" t="s">
        <v>13</v>
      </c>
      <c r="F175" t="s">
        <v>14</v>
      </c>
      <c r="G175" t="s">
        <v>102</v>
      </c>
      <c r="H175" t="s">
        <v>145</v>
      </c>
      <c r="I175">
        <v>2548.4699999999998</v>
      </c>
      <c r="J175">
        <v>2615.67</v>
      </c>
      <c r="K175" t="s">
        <v>17</v>
      </c>
      <c r="L175" t="b">
        <v>0</v>
      </c>
      <c r="N175" s="2" t="str">
        <f t="shared" si="10"/>
        <v/>
      </c>
      <c r="Q175" t="str">
        <f t="shared" si="11"/>
        <v/>
      </c>
    </row>
    <row r="176" spans="1:17" hidden="1">
      <c r="A176" t="s">
        <v>277</v>
      </c>
      <c r="B176" s="1">
        <v>44950</v>
      </c>
      <c r="C176">
        <v>2023</v>
      </c>
      <c r="D176">
        <v>1</v>
      </c>
      <c r="E176" t="s">
        <v>13</v>
      </c>
      <c r="F176" t="s">
        <v>28</v>
      </c>
      <c r="G176" t="s">
        <v>102</v>
      </c>
      <c r="H176" t="s">
        <v>278</v>
      </c>
      <c r="I176">
        <v>2751.85</v>
      </c>
      <c r="J176">
        <v>2541.35</v>
      </c>
      <c r="K176" t="s">
        <v>17</v>
      </c>
      <c r="L176" t="b">
        <v>0</v>
      </c>
      <c r="N176" s="2" t="str">
        <f t="shared" si="10"/>
        <v/>
      </c>
      <c r="Q176" t="str">
        <f t="shared" si="11"/>
        <v/>
      </c>
    </row>
    <row r="177" spans="1:17" hidden="1">
      <c r="A177" t="s">
        <v>279</v>
      </c>
      <c r="B177" s="1">
        <v>44950</v>
      </c>
      <c r="C177">
        <v>2023</v>
      </c>
      <c r="D177">
        <v>1</v>
      </c>
      <c r="E177" t="s">
        <v>47</v>
      </c>
      <c r="F177" t="s">
        <v>14</v>
      </c>
      <c r="G177" t="s">
        <v>48</v>
      </c>
      <c r="H177" t="s">
        <v>49</v>
      </c>
      <c r="I177">
        <v>14298.44</v>
      </c>
      <c r="J177">
        <v>11996.28</v>
      </c>
      <c r="K177" t="s">
        <v>17</v>
      </c>
      <c r="L177" t="b">
        <v>0</v>
      </c>
      <c r="N177" s="2" t="b">
        <f t="shared" si="10"/>
        <v>1</v>
      </c>
      <c r="O177" t="str">
        <f t="shared" ref="O177:O180" si="15">IF(AND(E166="HR",K166="EXPENSE"),I166&lt;J166,"")</f>
        <v/>
      </c>
      <c r="Q177" t="str">
        <f t="shared" si="11"/>
        <v/>
      </c>
    </row>
    <row r="178" spans="1:17" hidden="1">
      <c r="A178" t="s">
        <v>280</v>
      </c>
      <c r="B178" s="1">
        <v>44950</v>
      </c>
      <c r="C178">
        <v>2023</v>
      </c>
      <c r="D178">
        <v>1</v>
      </c>
      <c r="E178" t="s">
        <v>47</v>
      </c>
      <c r="F178" t="s">
        <v>14</v>
      </c>
      <c r="G178" t="s">
        <v>91</v>
      </c>
      <c r="H178" t="s">
        <v>249</v>
      </c>
      <c r="I178">
        <v>14502.15</v>
      </c>
      <c r="J178">
        <v>12461.9</v>
      </c>
      <c r="K178" t="s">
        <v>17</v>
      </c>
      <c r="L178" t="b">
        <v>0</v>
      </c>
      <c r="N178" s="2" t="b">
        <f t="shared" si="10"/>
        <v>1</v>
      </c>
      <c r="O178" t="str">
        <f t="shared" si="15"/>
        <v/>
      </c>
      <c r="Q178" t="str">
        <f t="shared" si="11"/>
        <v/>
      </c>
    </row>
    <row r="179" spans="1:17" hidden="1">
      <c r="A179" t="s">
        <v>281</v>
      </c>
      <c r="B179" s="1">
        <v>44950</v>
      </c>
      <c r="C179">
        <v>2023</v>
      </c>
      <c r="D179">
        <v>1</v>
      </c>
      <c r="E179" t="s">
        <v>47</v>
      </c>
      <c r="F179" t="s">
        <v>28</v>
      </c>
      <c r="G179" t="s">
        <v>51</v>
      </c>
      <c r="H179" t="s">
        <v>72</v>
      </c>
      <c r="I179">
        <v>19943.09</v>
      </c>
      <c r="J179">
        <v>16620.25</v>
      </c>
      <c r="K179" t="s">
        <v>17</v>
      </c>
      <c r="L179" t="b">
        <v>0</v>
      </c>
      <c r="N179" s="2" t="b">
        <f t="shared" si="10"/>
        <v>1</v>
      </c>
      <c r="O179" t="str">
        <f t="shared" si="15"/>
        <v/>
      </c>
      <c r="Q179" t="str">
        <f t="shared" si="11"/>
        <v/>
      </c>
    </row>
    <row r="180" spans="1:17" hidden="1">
      <c r="A180" t="s">
        <v>282</v>
      </c>
      <c r="B180" s="1">
        <v>44950</v>
      </c>
      <c r="C180">
        <v>2023</v>
      </c>
      <c r="D180">
        <v>1</v>
      </c>
      <c r="E180" t="s">
        <v>47</v>
      </c>
      <c r="F180" t="s">
        <v>24</v>
      </c>
      <c r="G180" t="s">
        <v>51</v>
      </c>
      <c r="H180" t="s">
        <v>189</v>
      </c>
      <c r="I180">
        <v>14250.44</v>
      </c>
      <c r="J180">
        <v>11774.78</v>
      </c>
      <c r="K180" t="s">
        <v>17</v>
      </c>
      <c r="L180" t="b">
        <v>0</v>
      </c>
      <c r="N180" s="2" t="b">
        <f t="shared" si="10"/>
        <v>1</v>
      </c>
      <c r="O180" t="b">
        <f t="shared" si="15"/>
        <v>0</v>
      </c>
      <c r="Q180" t="str">
        <f t="shared" si="11"/>
        <v/>
      </c>
    </row>
    <row r="181" spans="1:17" hidden="1">
      <c r="A181" t="s">
        <v>283</v>
      </c>
      <c r="B181" s="1">
        <v>44950</v>
      </c>
      <c r="C181">
        <v>2023</v>
      </c>
      <c r="D181">
        <v>1</v>
      </c>
      <c r="E181" t="s">
        <v>19</v>
      </c>
      <c r="F181" t="s">
        <v>14</v>
      </c>
      <c r="G181" t="s">
        <v>54</v>
      </c>
      <c r="H181" t="s">
        <v>55</v>
      </c>
      <c r="I181">
        <v>6762.99</v>
      </c>
      <c r="J181">
        <v>7192.07</v>
      </c>
      <c r="K181" t="s">
        <v>17</v>
      </c>
      <c r="L181" t="b">
        <v>0</v>
      </c>
      <c r="N181" s="2" t="str">
        <f t="shared" si="10"/>
        <v/>
      </c>
      <c r="Q181" t="str">
        <f t="shared" si="11"/>
        <v/>
      </c>
    </row>
    <row r="182" spans="1:17" hidden="1">
      <c r="A182" t="s">
        <v>284</v>
      </c>
      <c r="B182" s="1">
        <v>44950</v>
      </c>
      <c r="C182">
        <v>2023</v>
      </c>
      <c r="D182">
        <v>1</v>
      </c>
      <c r="E182" t="s">
        <v>37</v>
      </c>
      <c r="F182" t="s">
        <v>14</v>
      </c>
      <c r="G182" t="s">
        <v>62</v>
      </c>
      <c r="H182" t="s">
        <v>66</v>
      </c>
      <c r="I182">
        <v>6796.7</v>
      </c>
      <c r="J182">
        <v>7000.55</v>
      </c>
      <c r="K182" t="s">
        <v>17</v>
      </c>
      <c r="L182" t="b">
        <v>0</v>
      </c>
      <c r="N182" s="2" t="str">
        <f t="shared" si="10"/>
        <v/>
      </c>
      <c r="Q182" t="str">
        <f t="shared" si="11"/>
        <v/>
      </c>
    </row>
    <row r="183" spans="1:17" hidden="1">
      <c r="A183" t="s">
        <v>285</v>
      </c>
      <c r="B183" s="1">
        <v>44950</v>
      </c>
      <c r="C183">
        <v>2023</v>
      </c>
      <c r="D183">
        <v>1</v>
      </c>
      <c r="E183" t="s">
        <v>37</v>
      </c>
      <c r="F183" t="s">
        <v>28</v>
      </c>
      <c r="G183" t="s">
        <v>62</v>
      </c>
      <c r="H183" t="s">
        <v>66</v>
      </c>
      <c r="I183">
        <v>6227.55</v>
      </c>
      <c r="J183">
        <v>6494.83</v>
      </c>
      <c r="K183" t="s">
        <v>17</v>
      </c>
      <c r="L183" t="b">
        <v>0</v>
      </c>
      <c r="N183" s="2" t="str">
        <f t="shared" si="10"/>
        <v/>
      </c>
      <c r="Q183" t="str">
        <f t="shared" si="11"/>
        <v/>
      </c>
    </row>
    <row r="184" spans="1:17" hidden="1">
      <c r="A184" t="s">
        <v>286</v>
      </c>
      <c r="B184" s="1">
        <v>44950</v>
      </c>
      <c r="C184">
        <v>2023</v>
      </c>
      <c r="D184">
        <v>1</v>
      </c>
      <c r="E184" t="s">
        <v>37</v>
      </c>
      <c r="F184" t="s">
        <v>24</v>
      </c>
      <c r="G184" t="s">
        <v>38</v>
      </c>
      <c r="H184" t="s">
        <v>39</v>
      </c>
      <c r="I184">
        <v>9175.01</v>
      </c>
      <c r="J184">
        <v>9159.6200000000008</v>
      </c>
      <c r="K184" t="s">
        <v>17</v>
      </c>
      <c r="L184" t="b">
        <v>0</v>
      </c>
      <c r="N184" s="2" t="str">
        <f t="shared" si="10"/>
        <v/>
      </c>
      <c r="Q184" t="str">
        <f t="shared" si="11"/>
        <v/>
      </c>
    </row>
    <row r="185" spans="1:17" hidden="1">
      <c r="A185" t="s">
        <v>287</v>
      </c>
      <c r="B185" s="1">
        <v>44951</v>
      </c>
      <c r="C185">
        <v>2023</v>
      </c>
      <c r="D185">
        <v>1</v>
      </c>
      <c r="E185" t="s">
        <v>13</v>
      </c>
      <c r="F185" t="s">
        <v>24</v>
      </c>
      <c r="G185" t="s">
        <v>108</v>
      </c>
      <c r="H185" t="s">
        <v>126</v>
      </c>
      <c r="I185">
        <v>3966.23</v>
      </c>
      <c r="J185">
        <v>4234.6099999999997</v>
      </c>
      <c r="K185" t="s">
        <v>17</v>
      </c>
      <c r="L185" t="b">
        <v>0</v>
      </c>
      <c r="N185" s="2" t="str">
        <f t="shared" si="10"/>
        <v/>
      </c>
      <c r="Q185" t="str">
        <f t="shared" si="11"/>
        <v/>
      </c>
    </row>
    <row r="186" spans="1:17" hidden="1">
      <c r="A186" t="s">
        <v>288</v>
      </c>
      <c r="B186" s="1">
        <v>44951</v>
      </c>
      <c r="C186">
        <v>2023</v>
      </c>
      <c r="D186">
        <v>1</v>
      </c>
      <c r="E186" t="s">
        <v>47</v>
      </c>
      <c r="F186" t="s">
        <v>14</v>
      </c>
      <c r="G186" t="s">
        <v>91</v>
      </c>
      <c r="H186" t="s">
        <v>249</v>
      </c>
      <c r="I186">
        <v>12828.53</v>
      </c>
      <c r="J186">
        <v>11123.79</v>
      </c>
      <c r="K186" t="s">
        <v>17</v>
      </c>
      <c r="L186" t="b">
        <v>0</v>
      </c>
      <c r="N186" s="2" t="b">
        <f t="shared" si="10"/>
        <v>1</v>
      </c>
      <c r="O186" t="b">
        <f>IF(AND(E175="HR",K175="EXPENSE"),I175&lt;J175,"")</f>
        <v>1</v>
      </c>
      <c r="Q186" t="str">
        <f t="shared" si="11"/>
        <v/>
      </c>
    </row>
    <row r="187" spans="1:17" hidden="1">
      <c r="A187" t="s">
        <v>289</v>
      </c>
      <c r="B187" s="1">
        <v>44951</v>
      </c>
      <c r="C187">
        <v>2023</v>
      </c>
      <c r="D187">
        <v>1</v>
      </c>
      <c r="E187" t="s">
        <v>19</v>
      </c>
      <c r="F187" t="s">
        <v>14</v>
      </c>
      <c r="G187" t="s">
        <v>132</v>
      </c>
      <c r="H187" t="s">
        <v>171</v>
      </c>
      <c r="I187">
        <v>5205.0600000000004</v>
      </c>
      <c r="J187">
        <v>4878.72</v>
      </c>
      <c r="K187" t="s">
        <v>17</v>
      </c>
      <c r="L187" t="b">
        <v>0</v>
      </c>
      <c r="N187" s="2" t="str">
        <f t="shared" si="10"/>
        <v/>
      </c>
      <c r="Q187" t="str">
        <f t="shared" si="11"/>
        <v/>
      </c>
    </row>
    <row r="188" spans="1:17" hidden="1">
      <c r="A188" t="s">
        <v>290</v>
      </c>
      <c r="B188" s="1">
        <v>44951</v>
      </c>
      <c r="C188">
        <v>2023</v>
      </c>
      <c r="D188">
        <v>1</v>
      </c>
      <c r="E188" t="s">
        <v>19</v>
      </c>
      <c r="F188" t="s">
        <v>14</v>
      </c>
      <c r="G188" t="s">
        <v>80</v>
      </c>
      <c r="H188" t="s">
        <v>81</v>
      </c>
      <c r="I188">
        <v>7962.02</v>
      </c>
      <c r="J188">
        <v>7550.94</v>
      </c>
      <c r="K188" t="s">
        <v>17</v>
      </c>
      <c r="L188" t="b">
        <v>0</v>
      </c>
      <c r="N188" s="2" t="str">
        <f t="shared" si="10"/>
        <v/>
      </c>
      <c r="Q188" t="str">
        <f t="shared" si="11"/>
        <v/>
      </c>
    </row>
    <row r="189" spans="1:17" hidden="1">
      <c r="A189" t="s">
        <v>291</v>
      </c>
      <c r="B189" s="1">
        <v>44951</v>
      </c>
      <c r="C189">
        <v>2023</v>
      </c>
      <c r="D189">
        <v>1</v>
      </c>
      <c r="E189" t="s">
        <v>23</v>
      </c>
      <c r="F189" t="s">
        <v>28</v>
      </c>
      <c r="G189" t="s">
        <v>59</v>
      </c>
      <c r="H189" t="s">
        <v>60</v>
      </c>
      <c r="I189">
        <v>9200.6200000000008</v>
      </c>
      <c r="J189">
        <v>9867.42</v>
      </c>
      <c r="K189" t="s">
        <v>17</v>
      </c>
      <c r="L189" t="b">
        <v>0</v>
      </c>
      <c r="N189" s="2" t="str">
        <f t="shared" si="10"/>
        <v/>
      </c>
      <c r="Q189" t="str">
        <f t="shared" si="11"/>
        <v/>
      </c>
    </row>
    <row r="190" spans="1:17" hidden="1">
      <c r="A190" t="s">
        <v>292</v>
      </c>
      <c r="B190" s="1">
        <v>44952</v>
      </c>
      <c r="C190">
        <v>2023</v>
      </c>
      <c r="D190">
        <v>1</v>
      </c>
      <c r="E190" t="s">
        <v>13</v>
      </c>
      <c r="F190" t="s">
        <v>14</v>
      </c>
      <c r="G190" t="s">
        <v>68</v>
      </c>
      <c r="H190" t="s">
        <v>213</v>
      </c>
      <c r="I190">
        <v>2613.9699999999998</v>
      </c>
      <c r="J190">
        <v>2794.27</v>
      </c>
      <c r="K190" t="s">
        <v>17</v>
      </c>
      <c r="L190" t="b">
        <v>0</v>
      </c>
      <c r="N190" s="2" t="str">
        <f t="shared" si="10"/>
        <v/>
      </c>
      <c r="Q190" t="str">
        <f t="shared" si="11"/>
        <v/>
      </c>
    </row>
    <row r="191" spans="1:17" hidden="1">
      <c r="A191" t="s">
        <v>293</v>
      </c>
      <c r="B191" s="1">
        <v>44952</v>
      </c>
      <c r="C191">
        <v>2023</v>
      </c>
      <c r="D191">
        <v>1</v>
      </c>
      <c r="E191" t="s">
        <v>13</v>
      </c>
      <c r="F191" t="s">
        <v>28</v>
      </c>
      <c r="G191" t="s">
        <v>15</v>
      </c>
      <c r="H191" t="s">
        <v>16</v>
      </c>
      <c r="I191">
        <v>3509</v>
      </c>
      <c r="J191">
        <v>3209.89</v>
      </c>
      <c r="K191" t="s">
        <v>17</v>
      </c>
      <c r="L191" t="b">
        <v>0</v>
      </c>
      <c r="N191" s="2" t="str">
        <f t="shared" si="10"/>
        <v/>
      </c>
      <c r="Q191" t="str">
        <f t="shared" si="11"/>
        <v/>
      </c>
    </row>
    <row r="192" spans="1:17" hidden="1">
      <c r="A192" t="s">
        <v>294</v>
      </c>
      <c r="B192" s="1">
        <v>44952</v>
      </c>
      <c r="C192">
        <v>2023</v>
      </c>
      <c r="D192">
        <v>1</v>
      </c>
      <c r="E192" t="s">
        <v>19</v>
      </c>
      <c r="F192" t="s">
        <v>28</v>
      </c>
      <c r="G192" t="s">
        <v>80</v>
      </c>
      <c r="H192" t="s">
        <v>150</v>
      </c>
      <c r="I192">
        <v>7241.78</v>
      </c>
      <c r="J192">
        <v>7431.72</v>
      </c>
      <c r="K192" t="s">
        <v>17</v>
      </c>
      <c r="L192" t="b">
        <v>0</v>
      </c>
      <c r="N192" s="2" t="str">
        <f t="shared" si="10"/>
        <v/>
      </c>
      <c r="Q192" t="str">
        <f t="shared" si="11"/>
        <v/>
      </c>
    </row>
    <row r="193" spans="1:17" hidden="1">
      <c r="A193" t="s">
        <v>295</v>
      </c>
      <c r="B193" s="1">
        <v>44952</v>
      </c>
      <c r="C193">
        <v>2023</v>
      </c>
      <c r="D193">
        <v>1</v>
      </c>
      <c r="E193" t="s">
        <v>37</v>
      </c>
      <c r="F193" t="s">
        <v>28</v>
      </c>
      <c r="G193" t="s">
        <v>38</v>
      </c>
      <c r="H193" t="s">
        <v>227</v>
      </c>
      <c r="I193">
        <v>3361.83</v>
      </c>
      <c r="J193">
        <v>3042.69</v>
      </c>
      <c r="K193" t="s">
        <v>17</v>
      </c>
      <c r="L193" t="b">
        <v>0</v>
      </c>
      <c r="N193" s="2" t="str">
        <f t="shared" si="10"/>
        <v/>
      </c>
      <c r="Q193" t="str">
        <f t="shared" si="11"/>
        <v/>
      </c>
    </row>
    <row r="194" spans="1:17" hidden="1">
      <c r="A194" t="s">
        <v>296</v>
      </c>
      <c r="B194" s="1">
        <v>44952</v>
      </c>
      <c r="C194">
        <v>2023</v>
      </c>
      <c r="D194">
        <v>1</v>
      </c>
      <c r="E194" t="s">
        <v>37</v>
      </c>
      <c r="F194" t="s">
        <v>24</v>
      </c>
      <c r="G194" t="s">
        <v>98</v>
      </c>
      <c r="H194" t="s">
        <v>185</v>
      </c>
      <c r="I194">
        <v>8250.84</v>
      </c>
      <c r="J194">
        <v>8181.96</v>
      </c>
      <c r="K194" t="s">
        <v>17</v>
      </c>
      <c r="L194" t="b">
        <v>0</v>
      </c>
      <c r="N194" s="2" t="str">
        <f t="shared" si="10"/>
        <v/>
      </c>
      <c r="Q194" t="str">
        <f t="shared" si="11"/>
        <v/>
      </c>
    </row>
    <row r="195" spans="1:17" hidden="1">
      <c r="A195" t="s">
        <v>297</v>
      </c>
      <c r="B195" s="1">
        <v>44953</v>
      </c>
      <c r="C195">
        <v>2023</v>
      </c>
      <c r="D195">
        <v>1</v>
      </c>
      <c r="E195" t="s">
        <v>13</v>
      </c>
      <c r="F195" t="s">
        <v>14</v>
      </c>
      <c r="G195" t="s">
        <v>102</v>
      </c>
      <c r="H195" t="s">
        <v>278</v>
      </c>
      <c r="I195">
        <v>2718.14</v>
      </c>
      <c r="J195">
        <v>2720.99</v>
      </c>
      <c r="K195" t="s">
        <v>17</v>
      </c>
      <c r="L195" t="b">
        <v>0</v>
      </c>
      <c r="N195" s="2" t="str">
        <f t="shared" ref="N195:N258" si="16">IF(AND(E195="IT",K195="EXPENSE"),I195&gt;J195,"")</f>
        <v/>
      </c>
      <c r="Q195" t="str">
        <f t="shared" ref="Q195:Q258" si="17">IF(L195=TRUE,OR(H195="Apex Solutions Inc",H195="Global Trade Partners",H195="NovaTech Services"),"")</f>
        <v/>
      </c>
    </row>
    <row r="196" spans="1:17" hidden="1">
      <c r="A196" t="s">
        <v>298</v>
      </c>
      <c r="B196" s="1">
        <v>44953</v>
      </c>
      <c r="C196">
        <v>2023</v>
      </c>
      <c r="D196">
        <v>1</v>
      </c>
      <c r="E196" t="s">
        <v>13</v>
      </c>
      <c r="F196" t="s">
        <v>24</v>
      </c>
      <c r="G196" t="s">
        <v>68</v>
      </c>
      <c r="H196" t="s">
        <v>69</v>
      </c>
      <c r="I196">
        <v>4416.6000000000004</v>
      </c>
      <c r="J196">
        <v>4384.53</v>
      </c>
      <c r="K196" t="s">
        <v>17</v>
      </c>
      <c r="L196" t="b">
        <v>0</v>
      </c>
      <c r="N196" s="2" t="str">
        <f t="shared" si="16"/>
        <v/>
      </c>
      <c r="Q196" t="str">
        <f t="shared" si="17"/>
        <v/>
      </c>
    </row>
    <row r="197" spans="1:17" hidden="1">
      <c r="A197" t="s">
        <v>299</v>
      </c>
      <c r="B197" s="1">
        <v>44953</v>
      </c>
      <c r="C197">
        <v>2023</v>
      </c>
      <c r="D197">
        <v>1</v>
      </c>
      <c r="E197" t="s">
        <v>47</v>
      </c>
      <c r="F197" t="s">
        <v>28</v>
      </c>
      <c r="G197" t="s">
        <v>48</v>
      </c>
      <c r="H197" t="s">
        <v>189</v>
      </c>
      <c r="I197">
        <v>14436.21</v>
      </c>
      <c r="J197">
        <v>12365.58</v>
      </c>
      <c r="K197" t="s">
        <v>17</v>
      </c>
      <c r="L197" t="b">
        <v>0</v>
      </c>
      <c r="N197" s="2" t="b">
        <f t="shared" si="16"/>
        <v>1</v>
      </c>
      <c r="O197" t="str">
        <f>IF(AND(E186="HR",K186="EXPENSE"),I186&lt;J186,"")</f>
        <v/>
      </c>
      <c r="Q197" t="str">
        <f t="shared" si="17"/>
        <v/>
      </c>
    </row>
    <row r="198" spans="1:17" hidden="1">
      <c r="A198" t="s">
        <v>300</v>
      </c>
      <c r="B198" s="1">
        <v>44953</v>
      </c>
      <c r="C198">
        <v>2023</v>
      </c>
      <c r="D198">
        <v>1</v>
      </c>
      <c r="E198" t="s">
        <v>23</v>
      </c>
      <c r="F198" t="s">
        <v>24</v>
      </c>
      <c r="G198" t="s">
        <v>30</v>
      </c>
      <c r="H198" t="s">
        <v>31</v>
      </c>
      <c r="I198">
        <v>7921.9</v>
      </c>
      <c r="J198">
        <v>7192</v>
      </c>
      <c r="K198" t="s">
        <v>17</v>
      </c>
      <c r="L198" t="b">
        <v>0</v>
      </c>
      <c r="N198" s="2" t="str">
        <f t="shared" si="16"/>
        <v/>
      </c>
      <c r="Q198" t="str">
        <f t="shared" si="17"/>
        <v/>
      </c>
    </row>
    <row r="199" spans="1:17" hidden="1">
      <c r="A199" t="s">
        <v>301</v>
      </c>
      <c r="B199" s="1">
        <v>44953</v>
      </c>
      <c r="C199">
        <v>2023</v>
      </c>
      <c r="D199">
        <v>1</v>
      </c>
      <c r="E199" t="s">
        <v>37</v>
      </c>
      <c r="F199" t="s">
        <v>28</v>
      </c>
      <c r="G199" t="s">
        <v>98</v>
      </c>
      <c r="H199" t="s">
        <v>99</v>
      </c>
      <c r="I199">
        <v>5128.13</v>
      </c>
      <c r="J199">
        <v>4695.78</v>
      </c>
      <c r="K199" t="s">
        <v>17</v>
      </c>
      <c r="L199" t="b">
        <v>0</v>
      </c>
      <c r="N199" s="2" t="str">
        <f t="shared" si="16"/>
        <v/>
      </c>
      <c r="Q199" t="str">
        <f t="shared" si="17"/>
        <v/>
      </c>
    </row>
    <row r="200" spans="1:17" hidden="1">
      <c r="A200" t="s">
        <v>302</v>
      </c>
      <c r="B200" s="1">
        <v>44953</v>
      </c>
      <c r="C200">
        <v>2023</v>
      </c>
      <c r="D200">
        <v>1</v>
      </c>
      <c r="E200" t="s">
        <v>37</v>
      </c>
      <c r="F200" t="s">
        <v>24</v>
      </c>
      <c r="G200" t="s">
        <v>98</v>
      </c>
      <c r="H200" t="s">
        <v>185</v>
      </c>
      <c r="I200">
        <v>8661.0400000000009</v>
      </c>
      <c r="J200">
        <v>7873.41</v>
      </c>
      <c r="K200" t="s">
        <v>17</v>
      </c>
      <c r="L200" t="b">
        <v>0</v>
      </c>
      <c r="N200" s="2" t="str">
        <f t="shared" si="16"/>
        <v/>
      </c>
      <c r="Q200" t="str">
        <f t="shared" si="17"/>
        <v/>
      </c>
    </row>
    <row r="201" spans="1:17" hidden="1">
      <c r="A201" t="s">
        <v>303</v>
      </c>
      <c r="B201" s="1">
        <v>44954</v>
      </c>
      <c r="C201">
        <v>2023</v>
      </c>
      <c r="D201">
        <v>1</v>
      </c>
      <c r="E201" t="s">
        <v>13</v>
      </c>
      <c r="F201" t="s">
        <v>14</v>
      </c>
      <c r="G201" t="s">
        <v>108</v>
      </c>
      <c r="H201" t="s">
        <v>123</v>
      </c>
      <c r="I201">
        <v>2555.4699999999998</v>
      </c>
      <c r="J201">
        <v>2621.38</v>
      </c>
      <c r="K201" t="s">
        <v>17</v>
      </c>
      <c r="L201" t="b">
        <v>0</v>
      </c>
      <c r="N201" s="2" t="str">
        <f t="shared" si="16"/>
        <v/>
      </c>
      <c r="Q201" t="str">
        <f t="shared" si="17"/>
        <v/>
      </c>
    </row>
    <row r="202" spans="1:17" hidden="1">
      <c r="A202" t="s">
        <v>304</v>
      </c>
      <c r="B202" s="1">
        <v>44954</v>
      </c>
      <c r="C202">
        <v>2023</v>
      </c>
      <c r="D202">
        <v>1</v>
      </c>
      <c r="E202" t="s">
        <v>13</v>
      </c>
      <c r="F202" t="s">
        <v>24</v>
      </c>
      <c r="G202" t="s">
        <v>102</v>
      </c>
      <c r="H202" t="s">
        <v>278</v>
      </c>
      <c r="I202">
        <v>3867.36</v>
      </c>
      <c r="J202">
        <v>4185.2</v>
      </c>
      <c r="K202" t="s">
        <v>17</v>
      </c>
      <c r="L202" t="b">
        <v>0</v>
      </c>
      <c r="N202" s="2" t="str">
        <f t="shared" si="16"/>
        <v/>
      </c>
      <c r="Q202" t="str">
        <f t="shared" si="17"/>
        <v/>
      </c>
    </row>
    <row r="203" spans="1:17" hidden="1">
      <c r="A203" t="s">
        <v>305</v>
      </c>
      <c r="B203" s="1">
        <v>44954</v>
      </c>
      <c r="C203">
        <v>2023</v>
      </c>
      <c r="D203">
        <v>1</v>
      </c>
      <c r="E203" t="s">
        <v>47</v>
      </c>
      <c r="F203" t="s">
        <v>24</v>
      </c>
      <c r="G203" t="s">
        <v>48</v>
      </c>
      <c r="H203" t="s">
        <v>49</v>
      </c>
      <c r="I203">
        <v>16639.580000000002</v>
      </c>
      <c r="J203">
        <v>13661.12</v>
      </c>
      <c r="K203" t="s">
        <v>17</v>
      </c>
      <c r="L203" t="b">
        <v>0</v>
      </c>
      <c r="N203" s="2" t="b">
        <f t="shared" si="16"/>
        <v>1</v>
      </c>
      <c r="O203" t="str">
        <f>IF(AND(E192="HR",K192="EXPENSE"),I192&lt;J192,"")</f>
        <v/>
      </c>
      <c r="Q203" t="str">
        <f t="shared" si="17"/>
        <v/>
      </c>
    </row>
    <row r="204" spans="1:17" hidden="1">
      <c r="A204" t="s">
        <v>306</v>
      </c>
      <c r="B204" s="1">
        <v>44954</v>
      </c>
      <c r="C204">
        <v>2023</v>
      </c>
      <c r="D204">
        <v>1</v>
      </c>
      <c r="E204" t="s">
        <v>23</v>
      </c>
      <c r="F204" t="s">
        <v>14</v>
      </c>
      <c r="G204" t="s">
        <v>141</v>
      </c>
      <c r="H204" t="s">
        <v>153</v>
      </c>
      <c r="I204">
        <v>7556.58</v>
      </c>
      <c r="J204">
        <v>6996.12</v>
      </c>
      <c r="K204" t="s">
        <v>17</v>
      </c>
      <c r="L204" t="b">
        <v>0</v>
      </c>
      <c r="N204" s="2" t="str">
        <f t="shared" si="16"/>
        <v/>
      </c>
      <c r="Q204" t="str">
        <f t="shared" si="17"/>
        <v/>
      </c>
    </row>
    <row r="205" spans="1:17" hidden="1">
      <c r="A205" t="s">
        <v>307</v>
      </c>
      <c r="B205" s="1">
        <v>44954</v>
      </c>
      <c r="C205">
        <v>2023</v>
      </c>
      <c r="D205">
        <v>1</v>
      </c>
      <c r="E205" t="s">
        <v>23</v>
      </c>
      <c r="F205" t="s">
        <v>24</v>
      </c>
      <c r="G205" t="s">
        <v>30</v>
      </c>
      <c r="H205" t="s">
        <v>33</v>
      </c>
      <c r="I205">
        <v>6581.05</v>
      </c>
      <c r="J205">
        <v>6149.75</v>
      </c>
      <c r="K205" t="s">
        <v>17</v>
      </c>
      <c r="L205" t="b">
        <v>0</v>
      </c>
      <c r="N205" s="2" t="str">
        <f t="shared" si="16"/>
        <v/>
      </c>
      <c r="Q205" t="str">
        <f t="shared" si="17"/>
        <v/>
      </c>
    </row>
    <row r="206" spans="1:17" hidden="1">
      <c r="A206" t="s">
        <v>308</v>
      </c>
      <c r="B206" s="1">
        <v>44955</v>
      </c>
      <c r="C206">
        <v>2023</v>
      </c>
      <c r="D206">
        <v>1</v>
      </c>
      <c r="E206" t="s">
        <v>13</v>
      </c>
      <c r="F206" t="s">
        <v>14</v>
      </c>
      <c r="G206" t="s">
        <v>108</v>
      </c>
      <c r="H206" t="s">
        <v>123</v>
      </c>
      <c r="I206">
        <v>2694.81</v>
      </c>
      <c r="J206">
        <v>2851.96</v>
      </c>
      <c r="K206" t="s">
        <v>17</v>
      </c>
      <c r="L206" t="b">
        <v>0</v>
      </c>
      <c r="N206" s="2" t="str">
        <f t="shared" si="16"/>
        <v/>
      </c>
      <c r="Q206" t="str">
        <f t="shared" si="17"/>
        <v/>
      </c>
    </row>
    <row r="207" spans="1:17" hidden="1">
      <c r="A207" t="s">
        <v>309</v>
      </c>
      <c r="B207" s="1">
        <v>44955</v>
      </c>
      <c r="C207">
        <v>2023</v>
      </c>
      <c r="D207">
        <v>1</v>
      </c>
      <c r="E207" t="s">
        <v>13</v>
      </c>
      <c r="F207" t="s">
        <v>28</v>
      </c>
      <c r="G207" t="s">
        <v>108</v>
      </c>
      <c r="H207" t="s">
        <v>109</v>
      </c>
      <c r="I207">
        <v>4200.13</v>
      </c>
      <c r="J207">
        <v>4094.51</v>
      </c>
      <c r="K207" t="s">
        <v>17</v>
      </c>
      <c r="L207" t="b">
        <v>0</v>
      </c>
      <c r="N207" s="2" t="str">
        <f t="shared" si="16"/>
        <v/>
      </c>
      <c r="Q207" t="str">
        <f t="shared" si="17"/>
        <v/>
      </c>
    </row>
    <row r="208" spans="1:17" hidden="1">
      <c r="A208" t="s">
        <v>310</v>
      </c>
      <c r="B208" s="1">
        <v>44955</v>
      </c>
      <c r="C208">
        <v>2023</v>
      </c>
      <c r="D208">
        <v>1</v>
      </c>
      <c r="E208" t="s">
        <v>47</v>
      </c>
      <c r="F208" t="s">
        <v>24</v>
      </c>
      <c r="G208" t="s">
        <v>77</v>
      </c>
      <c r="H208" t="s">
        <v>130</v>
      </c>
      <c r="I208">
        <v>16870.240000000002</v>
      </c>
      <c r="J208">
        <v>14203.48</v>
      </c>
      <c r="K208" t="s">
        <v>17</v>
      </c>
      <c r="L208" t="b">
        <v>0</v>
      </c>
      <c r="N208" s="2" t="b">
        <f t="shared" si="16"/>
        <v>1</v>
      </c>
      <c r="O208" t="str">
        <f t="shared" ref="O208:O209" si="18">IF(AND(E197="HR",K197="EXPENSE"),I197&lt;J197,"")</f>
        <v/>
      </c>
      <c r="Q208" t="str">
        <f t="shared" si="17"/>
        <v/>
      </c>
    </row>
    <row r="209" spans="1:17" hidden="1">
      <c r="A209" t="s">
        <v>311</v>
      </c>
      <c r="B209" s="1">
        <v>44955</v>
      </c>
      <c r="C209">
        <v>2023</v>
      </c>
      <c r="D209">
        <v>1</v>
      </c>
      <c r="E209" t="s">
        <v>47</v>
      </c>
      <c r="F209" t="s">
        <v>24</v>
      </c>
      <c r="G209" t="s">
        <v>91</v>
      </c>
      <c r="H209" t="s">
        <v>254</v>
      </c>
      <c r="I209">
        <v>15180.77</v>
      </c>
      <c r="J209">
        <v>13024.58</v>
      </c>
      <c r="K209" t="s">
        <v>17</v>
      </c>
      <c r="L209" t="b">
        <v>0</v>
      </c>
      <c r="N209" s="2" t="b">
        <f t="shared" si="16"/>
        <v>1</v>
      </c>
      <c r="O209" t="str">
        <f t="shared" si="18"/>
        <v/>
      </c>
      <c r="Q209" t="str">
        <f t="shared" si="17"/>
        <v/>
      </c>
    </row>
    <row r="210" spans="1:17" hidden="1">
      <c r="A210" t="s">
        <v>312</v>
      </c>
      <c r="B210" s="1">
        <v>44955</v>
      </c>
      <c r="C210">
        <v>2023</v>
      </c>
      <c r="D210">
        <v>1</v>
      </c>
      <c r="E210" t="s">
        <v>19</v>
      </c>
      <c r="F210" t="s">
        <v>14</v>
      </c>
      <c r="G210" t="s">
        <v>54</v>
      </c>
      <c r="H210" t="s">
        <v>55</v>
      </c>
      <c r="I210">
        <v>5407.96</v>
      </c>
      <c r="J210">
        <v>5580.99</v>
      </c>
      <c r="K210" t="s">
        <v>17</v>
      </c>
      <c r="L210" t="b">
        <v>0</v>
      </c>
      <c r="N210" s="2" t="str">
        <f t="shared" si="16"/>
        <v/>
      </c>
      <c r="Q210" t="str">
        <f t="shared" si="17"/>
        <v/>
      </c>
    </row>
    <row r="211" spans="1:17" hidden="1">
      <c r="A211" t="s">
        <v>313</v>
      </c>
      <c r="B211" s="1">
        <v>44955</v>
      </c>
      <c r="C211">
        <v>2023</v>
      </c>
      <c r="D211">
        <v>1</v>
      </c>
      <c r="E211" t="s">
        <v>23</v>
      </c>
      <c r="F211" t="s">
        <v>14</v>
      </c>
      <c r="G211" t="s">
        <v>59</v>
      </c>
      <c r="H211" t="s">
        <v>60</v>
      </c>
      <c r="I211">
        <v>6727.55</v>
      </c>
      <c r="J211">
        <v>7201.41</v>
      </c>
      <c r="K211" t="s">
        <v>17</v>
      </c>
      <c r="L211" t="b">
        <v>0</v>
      </c>
      <c r="N211" s="2" t="str">
        <f t="shared" si="16"/>
        <v/>
      </c>
      <c r="Q211" t="str">
        <f t="shared" si="17"/>
        <v/>
      </c>
    </row>
    <row r="212" spans="1:17" hidden="1">
      <c r="A212" t="s">
        <v>314</v>
      </c>
      <c r="B212" s="1">
        <v>44955</v>
      </c>
      <c r="C212">
        <v>2023</v>
      </c>
      <c r="D212">
        <v>1</v>
      </c>
      <c r="E212" t="s">
        <v>37</v>
      </c>
      <c r="F212" t="s">
        <v>28</v>
      </c>
      <c r="G212" t="s">
        <v>38</v>
      </c>
      <c r="H212" t="s">
        <v>39</v>
      </c>
      <c r="I212">
        <v>5791.07</v>
      </c>
      <c r="J212">
        <v>5586.02</v>
      </c>
      <c r="K212" t="s">
        <v>17</v>
      </c>
      <c r="L212" t="b">
        <v>0</v>
      </c>
      <c r="N212" s="2" t="str">
        <f t="shared" si="16"/>
        <v/>
      </c>
      <c r="Q212" t="str">
        <f t="shared" si="17"/>
        <v/>
      </c>
    </row>
    <row r="213" spans="1:17" hidden="1">
      <c r="A213" t="s">
        <v>315</v>
      </c>
      <c r="B213" s="1">
        <v>44956</v>
      </c>
      <c r="C213">
        <v>2023</v>
      </c>
      <c r="D213">
        <v>1</v>
      </c>
      <c r="E213" t="s">
        <v>13</v>
      </c>
      <c r="F213" t="s">
        <v>14</v>
      </c>
      <c r="G213" t="s">
        <v>15</v>
      </c>
      <c r="H213" t="s">
        <v>45</v>
      </c>
      <c r="I213">
        <v>3108.24</v>
      </c>
      <c r="J213">
        <v>2919.12</v>
      </c>
      <c r="K213" t="s">
        <v>17</v>
      </c>
      <c r="L213" t="b">
        <v>0</v>
      </c>
      <c r="N213" s="2" t="str">
        <f t="shared" si="16"/>
        <v/>
      </c>
      <c r="Q213" t="str">
        <f t="shared" si="17"/>
        <v/>
      </c>
    </row>
    <row r="214" spans="1:17" hidden="1">
      <c r="A214" t="s">
        <v>316</v>
      </c>
      <c r="B214" s="1">
        <v>44956</v>
      </c>
      <c r="C214">
        <v>2023</v>
      </c>
      <c r="D214">
        <v>1</v>
      </c>
      <c r="E214" t="s">
        <v>13</v>
      </c>
      <c r="F214" t="s">
        <v>28</v>
      </c>
      <c r="G214" t="s">
        <v>108</v>
      </c>
      <c r="H214" t="s">
        <v>109</v>
      </c>
      <c r="I214">
        <v>4561.09</v>
      </c>
      <c r="J214">
        <v>4171.3599999999997</v>
      </c>
      <c r="K214" t="s">
        <v>17</v>
      </c>
      <c r="L214" t="b">
        <v>0</v>
      </c>
      <c r="N214" s="2" t="str">
        <f t="shared" si="16"/>
        <v/>
      </c>
      <c r="Q214" t="str">
        <f t="shared" si="17"/>
        <v/>
      </c>
    </row>
    <row r="215" spans="1:17" hidden="1">
      <c r="A215" t="s">
        <v>317</v>
      </c>
      <c r="B215" s="1">
        <v>44956</v>
      </c>
      <c r="C215">
        <v>2023</v>
      </c>
      <c r="D215">
        <v>1</v>
      </c>
      <c r="E215" t="s">
        <v>47</v>
      </c>
      <c r="F215" t="s">
        <v>28</v>
      </c>
      <c r="G215" t="s">
        <v>77</v>
      </c>
      <c r="H215" t="s">
        <v>130</v>
      </c>
      <c r="I215">
        <v>21122.31</v>
      </c>
      <c r="J215">
        <v>17901.36</v>
      </c>
      <c r="K215" t="s">
        <v>17</v>
      </c>
      <c r="L215" t="b">
        <v>0</v>
      </c>
      <c r="N215" s="2" t="b">
        <f t="shared" si="16"/>
        <v>1</v>
      </c>
      <c r="O215" t="str">
        <f t="shared" ref="O215:O216" si="19">IF(AND(E204="HR",K204="EXPENSE"),I204&lt;J204,"")</f>
        <v/>
      </c>
      <c r="Q215" t="str">
        <f t="shared" si="17"/>
        <v/>
      </c>
    </row>
    <row r="216" spans="1:17" hidden="1">
      <c r="A216" t="s">
        <v>318</v>
      </c>
      <c r="B216" s="1">
        <v>44956</v>
      </c>
      <c r="C216">
        <v>2023</v>
      </c>
      <c r="D216">
        <v>1</v>
      </c>
      <c r="E216" t="s">
        <v>47</v>
      </c>
      <c r="F216" t="s">
        <v>24</v>
      </c>
      <c r="G216" t="s">
        <v>48</v>
      </c>
      <c r="H216" t="s">
        <v>189</v>
      </c>
      <c r="I216">
        <v>13096.95</v>
      </c>
      <c r="J216">
        <v>11277.98</v>
      </c>
      <c r="K216" t="s">
        <v>17</v>
      </c>
      <c r="L216" t="b">
        <v>0</v>
      </c>
      <c r="N216" s="2" t="b">
        <f t="shared" si="16"/>
        <v>1</v>
      </c>
      <c r="O216" t="str">
        <f t="shared" si="19"/>
        <v/>
      </c>
      <c r="Q216" t="str">
        <f t="shared" si="17"/>
        <v/>
      </c>
    </row>
    <row r="217" spans="1:17" hidden="1">
      <c r="A217" t="s">
        <v>319</v>
      </c>
      <c r="B217" s="1">
        <v>44956</v>
      </c>
      <c r="C217">
        <v>2023</v>
      </c>
      <c r="D217">
        <v>1</v>
      </c>
      <c r="E217" t="s">
        <v>19</v>
      </c>
      <c r="F217" t="s">
        <v>14</v>
      </c>
      <c r="G217" t="s">
        <v>20</v>
      </c>
      <c r="H217" t="s">
        <v>136</v>
      </c>
      <c r="I217">
        <v>7307.82</v>
      </c>
      <c r="J217">
        <v>6636.63</v>
      </c>
      <c r="K217" t="s">
        <v>17</v>
      </c>
      <c r="L217" t="b">
        <v>0</v>
      </c>
      <c r="N217" s="2" t="str">
        <f t="shared" si="16"/>
        <v/>
      </c>
      <c r="Q217" t="str">
        <f t="shared" si="17"/>
        <v/>
      </c>
    </row>
    <row r="218" spans="1:17" hidden="1">
      <c r="A218" t="s">
        <v>320</v>
      </c>
      <c r="B218" s="1">
        <v>44956</v>
      </c>
      <c r="C218">
        <v>2023</v>
      </c>
      <c r="D218">
        <v>1</v>
      </c>
      <c r="E218" t="s">
        <v>19</v>
      </c>
      <c r="F218" t="s">
        <v>28</v>
      </c>
      <c r="G218" t="s">
        <v>80</v>
      </c>
      <c r="H218" t="s">
        <v>150</v>
      </c>
      <c r="I218">
        <v>7704.99</v>
      </c>
      <c r="J218">
        <v>8053.18</v>
      </c>
      <c r="K218" t="s">
        <v>17</v>
      </c>
      <c r="L218" t="b">
        <v>0</v>
      </c>
      <c r="N218" s="2" t="str">
        <f t="shared" si="16"/>
        <v/>
      </c>
      <c r="Q218" t="str">
        <f t="shared" si="17"/>
        <v/>
      </c>
    </row>
    <row r="219" spans="1:17">
      <c r="A219" t="s">
        <v>321</v>
      </c>
      <c r="B219" s="1">
        <v>44956</v>
      </c>
      <c r="C219">
        <v>2023</v>
      </c>
      <c r="D219">
        <v>1</v>
      </c>
      <c r="E219" t="s">
        <v>19</v>
      </c>
      <c r="F219" t="s">
        <v>28</v>
      </c>
      <c r="G219" t="s">
        <v>20</v>
      </c>
      <c r="H219" t="s">
        <v>322</v>
      </c>
      <c r="I219">
        <v>25980.04</v>
      </c>
      <c r="J219">
        <v>5865.02</v>
      </c>
      <c r="K219" t="s">
        <v>17</v>
      </c>
      <c r="L219" t="b">
        <v>1</v>
      </c>
      <c r="N219" s="2" t="str">
        <f t="shared" si="16"/>
        <v/>
      </c>
      <c r="Q219" t="b">
        <f t="shared" si="17"/>
        <v>1</v>
      </c>
    </row>
    <row r="220" spans="1:17" hidden="1">
      <c r="A220" t="s">
        <v>323</v>
      </c>
      <c r="B220" s="1">
        <v>44956</v>
      </c>
      <c r="C220">
        <v>2023</v>
      </c>
      <c r="D220">
        <v>1</v>
      </c>
      <c r="E220" t="s">
        <v>19</v>
      </c>
      <c r="F220" t="s">
        <v>24</v>
      </c>
      <c r="G220" t="s">
        <v>54</v>
      </c>
      <c r="H220" t="s">
        <v>55</v>
      </c>
      <c r="I220">
        <v>7330.95</v>
      </c>
      <c r="J220">
        <v>6740.34</v>
      </c>
      <c r="K220" t="s">
        <v>17</v>
      </c>
      <c r="L220" t="b">
        <v>0</v>
      </c>
      <c r="N220" s="2" t="str">
        <f t="shared" si="16"/>
        <v/>
      </c>
      <c r="Q220" t="str">
        <f t="shared" si="17"/>
        <v/>
      </c>
    </row>
    <row r="221" spans="1:17" hidden="1">
      <c r="A221" t="s">
        <v>324</v>
      </c>
      <c r="B221" s="1">
        <v>44956</v>
      </c>
      <c r="C221">
        <v>2023</v>
      </c>
      <c r="D221">
        <v>1</v>
      </c>
      <c r="E221" t="s">
        <v>37</v>
      </c>
      <c r="F221" t="s">
        <v>28</v>
      </c>
      <c r="G221" t="s">
        <v>38</v>
      </c>
      <c r="H221" t="s">
        <v>39</v>
      </c>
      <c r="I221">
        <v>8428</v>
      </c>
      <c r="J221">
        <v>8809.1</v>
      </c>
      <c r="K221" t="s">
        <v>17</v>
      </c>
      <c r="L221" t="b">
        <v>0</v>
      </c>
      <c r="N221" s="2" t="str">
        <f t="shared" si="16"/>
        <v/>
      </c>
      <c r="Q221" t="str">
        <f t="shared" si="17"/>
        <v/>
      </c>
    </row>
    <row r="222" spans="1:17" hidden="1">
      <c r="A222" t="s">
        <v>325</v>
      </c>
      <c r="B222" s="1">
        <v>44956</v>
      </c>
      <c r="C222">
        <v>2023</v>
      </c>
      <c r="D222">
        <v>1</v>
      </c>
      <c r="E222" t="s">
        <v>37</v>
      </c>
      <c r="F222" t="s">
        <v>28</v>
      </c>
      <c r="G222" t="s">
        <v>62</v>
      </c>
      <c r="H222" t="s">
        <v>121</v>
      </c>
      <c r="I222">
        <v>4656.03</v>
      </c>
      <c r="J222">
        <v>4351.8</v>
      </c>
      <c r="K222" t="s">
        <v>17</v>
      </c>
      <c r="L222" t="b">
        <v>0</v>
      </c>
      <c r="N222" s="2" t="str">
        <f t="shared" si="16"/>
        <v/>
      </c>
      <c r="Q222" t="str">
        <f t="shared" si="17"/>
        <v/>
      </c>
    </row>
    <row r="223" spans="1:17" hidden="1">
      <c r="A223" t="s">
        <v>326</v>
      </c>
      <c r="B223" s="1">
        <v>44956</v>
      </c>
      <c r="C223">
        <v>2023</v>
      </c>
      <c r="D223">
        <v>1</v>
      </c>
      <c r="E223" t="s">
        <v>37</v>
      </c>
      <c r="F223" t="s">
        <v>24</v>
      </c>
      <c r="G223" t="s">
        <v>41</v>
      </c>
      <c r="H223" t="s">
        <v>42</v>
      </c>
      <c r="I223">
        <v>3285.35</v>
      </c>
      <c r="J223">
        <v>3379.5</v>
      </c>
      <c r="K223" t="s">
        <v>17</v>
      </c>
      <c r="L223" t="b">
        <v>0</v>
      </c>
      <c r="N223" s="2" t="str">
        <f t="shared" si="16"/>
        <v/>
      </c>
      <c r="Q223" t="str">
        <f t="shared" si="17"/>
        <v/>
      </c>
    </row>
    <row r="224" spans="1:17" hidden="1">
      <c r="A224" t="s">
        <v>327</v>
      </c>
      <c r="B224" s="1">
        <v>44957</v>
      </c>
      <c r="C224">
        <v>2023</v>
      </c>
      <c r="D224">
        <v>1</v>
      </c>
      <c r="E224" t="s">
        <v>19</v>
      </c>
      <c r="F224" t="s">
        <v>14</v>
      </c>
      <c r="G224" t="s">
        <v>20</v>
      </c>
      <c r="H224" t="s">
        <v>136</v>
      </c>
      <c r="I224">
        <v>6900.99</v>
      </c>
      <c r="J224">
        <v>6451.55</v>
      </c>
      <c r="K224" t="s">
        <v>17</v>
      </c>
      <c r="L224" t="b">
        <v>0</v>
      </c>
      <c r="N224" s="2" t="str">
        <f t="shared" si="16"/>
        <v/>
      </c>
      <c r="Q224" t="str">
        <f t="shared" si="17"/>
        <v/>
      </c>
    </row>
    <row r="225" spans="1:17" hidden="1">
      <c r="A225" t="s">
        <v>328</v>
      </c>
      <c r="B225" s="1">
        <v>44957</v>
      </c>
      <c r="C225">
        <v>2023</v>
      </c>
      <c r="D225">
        <v>1</v>
      </c>
      <c r="E225" t="s">
        <v>23</v>
      </c>
      <c r="F225" t="s">
        <v>28</v>
      </c>
      <c r="G225" t="s">
        <v>30</v>
      </c>
      <c r="H225" t="s">
        <v>33</v>
      </c>
      <c r="I225">
        <v>7711.37</v>
      </c>
      <c r="J225">
        <v>8148.84</v>
      </c>
      <c r="K225" t="s">
        <v>17</v>
      </c>
      <c r="L225" t="b">
        <v>0</v>
      </c>
      <c r="N225" s="2" t="str">
        <f t="shared" si="16"/>
        <v/>
      </c>
      <c r="Q225" t="str">
        <f t="shared" si="17"/>
        <v/>
      </c>
    </row>
    <row r="226" spans="1:17" hidden="1">
      <c r="A226" t="s">
        <v>329</v>
      </c>
      <c r="B226" s="1">
        <v>44957</v>
      </c>
      <c r="C226">
        <v>2023</v>
      </c>
      <c r="D226">
        <v>1</v>
      </c>
      <c r="E226" t="s">
        <v>23</v>
      </c>
      <c r="F226" t="s">
        <v>24</v>
      </c>
      <c r="G226" t="s">
        <v>25</v>
      </c>
      <c r="H226" t="s">
        <v>35</v>
      </c>
      <c r="I226">
        <v>4547.74</v>
      </c>
      <c r="J226">
        <v>4533.66</v>
      </c>
      <c r="K226" t="s">
        <v>17</v>
      </c>
      <c r="L226" t="b">
        <v>0</v>
      </c>
      <c r="N226" s="2" t="str">
        <f t="shared" si="16"/>
        <v/>
      </c>
      <c r="Q226" t="str">
        <f t="shared" si="17"/>
        <v/>
      </c>
    </row>
    <row r="227" spans="1:17" hidden="1">
      <c r="A227" t="s">
        <v>330</v>
      </c>
      <c r="B227" s="1">
        <v>44957</v>
      </c>
      <c r="C227">
        <v>2023</v>
      </c>
      <c r="D227">
        <v>1</v>
      </c>
      <c r="E227" t="s">
        <v>37</v>
      </c>
      <c r="F227" t="s">
        <v>14</v>
      </c>
      <c r="G227" t="s">
        <v>38</v>
      </c>
      <c r="H227" t="s">
        <v>39</v>
      </c>
      <c r="I227">
        <v>5321.51</v>
      </c>
      <c r="J227">
        <v>5333.58</v>
      </c>
      <c r="K227" t="s">
        <v>17</v>
      </c>
      <c r="L227" t="b">
        <v>0</v>
      </c>
      <c r="N227" s="2" t="str">
        <f t="shared" si="16"/>
        <v/>
      </c>
      <c r="Q227" t="str">
        <f t="shared" si="17"/>
        <v/>
      </c>
    </row>
    <row r="228" spans="1:17" hidden="1">
      <c r="A228" t="s">
        <v>331</v>
      </c>
      <c r="B228" s="1">
        <v>44958</v>
      </c>
      <c r="C228">
        <v>2023</v>
      </c>
      <c r="D228">
        <v>2</v>
      </c>
      <c r="E228" t="s">
        <v>13</v>
      </c>
      <c r="F228" t="s">
        <v>28</v>
      </c>
      <c r="G228" t="s">
        <v>102</v>
      </c>
      <c r="H228" t="s">
        <v>145</v>
      </c>
      <c r="I228">
        <v>3885.48</v>
      </c>
      <c r="J228">
        <v>3677.97</v>
      </c>
      <c r="K228" t="s">
        <v>17</v>
      </c>
      <c r="L228" t="b">
        <v>0</v>
      </c>
      <c r="N228" s="2" t="str">
        <f t="shared" si="16"/>
        <v/>
      </c>
      <c r="Q228" t="str">
        <f t="shared" si="17"/>
        <v/>
      </c>
    </row>
    <row r="229" spans="1:17" hidden="1">
      <c r="A229" t="s">
        <v>332</v>
      </c>
      <c r="B229" s="1">
        <v>44958</v>
      </c>
      <c r="C229">
        <v>2023</v>
      </c>
      <c r="D229">
        <v>2</v>
      </c>
      <c r="E229" t="s">
        <v>13</v>
      </c>
      <c r="F229" t="s">
        <v>24</v>
      </c>
      <c r="G229" t="s">
        <v>108</v>
      </c>
      <c r="H229" t="s">
        <v>123</v>
      </c>
      <c r="I229">
        <v>2209.9899999999998</v>
      </c>
      <c r="J229">
        <v>2349.59</v>
      </c>
      <c r="K229" t="s">
        <v>17</v>
      </c>
      <c r="L229" t="b">
        <v>0</v>
      </c>
      <c r="N229" s="2" t="str">
        <f t="shared" si="16"/>
        <v/>
      </c>
      <c r="Q229" t="str">
        <f t="shared" si="17"/>
        <v/>
      </c>
    </row>
    <row r="230" spans="1:17" hidden="1">
      <c r="A230" t="s">
        <v>333</v>
      </c>
      <c r="B230" s="1">
        <v>44958</v>
      </c>
      <c r="C230">
        <v>2023</v>
      </c>
      <c r="D230">
        <v>2</v>
      </c>
      <c r="E230" t="s">
        <v>13</v>
      </c>
      <c r="F230" t="s">
        <v>24</v>
      </c>
      <c r="G230" t="s">
        <v>15</v>
      </c>
      <c r="H230" t="s">
        <v>16</v>
      </c>
      <c r="I230">
        <v>3616.23</v>
      </c>
      <c r="J230">
        <v>3317.52</v>
      </c>
      <c r="K230" t="s">
        <v>17</v>
      </c>
      <c r="L230" t="b">
        <v>0</v>
      </c>
      <c r="N230" s="2" t="str">
        <f t="shared" si="16"/>
        <v/>
      </c>
      <c r="Q230" t="str">
        <f t="shared" si="17"/>
        <v/>
      </c>
    </row>
    <row r="231" spans="1:17" hidden="1">
      <c r="A231" t="s">
        <v>334</v>
      </c>
      <c r="B231" s="1">
        <v>44958</v>
      </c>
      <c r="C231">
        <v>2023</v>
      </c>
      <c r="D231">
        <v>2</v>
      </c>
      <c r="E231" t="s">
        <v>47</v>
      </c>
      <c r="F231" t="s">
        <v>14</v>
      </c>
      <c r="G231" t="s">
        <v>48</v>
      </c>
      <c r="H231" t="s">
        <v>111</v>
      </c>
      <c r="I231">
        <v>11494.5</v>
      </c>
      <c r="J231">
        <v>9930.44</v>
      </c>
      <c r="K231" t="s">
        <v>17</v>
      </c>
      <c r="L231" t="b">
        <v>0</v>
      </c>
      <c r="N231" s="2" t="b">
        <f t="shared" si="16"/>
        <v>1</v>
      </c>
      <c r="O231" t="str">
        <f t="shared" ref="O231:O232" si="20">IF(AND(E220="HR",K220="EXPENSE"),I220&lt;J220,"")</f>
        <v/>
      </c>
      <c r="Q231" t="str">
        <f t="shared" si="17"/>
        <v/>
      </c>
    </row>
    <row r="232" spans="1:17" hidden="1">
      <c r="A232" t="s">
        <v>335</v>
      </c>
      <c r="B232" s="1">
        <v>44958</v>
      </c>
      <c r="C232">
        <v>2023</v>
      </c>
      <c r="D232">
        <v>2</v>
      </c>
      <c r="E232" t="s">
        <v>47</v>
      </c>
      <c r="F232" t="s">
        <v>28</v>
      </c>
      <c r="G232" t="s">
        <v>77</v>
      </c>
      <c r="H232" t="s">
        <v>130</v>
      </c>
      <c r="I232">
        <v>14983.03</v>
      </c>
      <c r="J232">
        <v>12938.28</v>
      </c>
      <c r="K232" t="s">
        <v>17</v>
      </c>
      <c r="L232" t="b">
        <v>0</v>
      </c>
      <c r="N232" s="2" t="b">
        <f t="shared" si="16"/>
        <v>1</v>
      </c>
      <c r="O232" t="str">
        <f t="shared" si="20"/>
        <v/>
      </c>
      <c r="Q232" t="str">
        <f t="shared" si="17"/>
        <v/>
      </c>
    </row>
    <row r="233" spans="1:17" hidden="1">
      <c r="A233" t="s">
        <v>336</v>
      </c>
      <c r="B233" s="1">
        <v>44958</v>
      </c>
      <c r="C233">
        <v>2023</v>
      </c>
      <c r="D233">
        <v>2</v>
      </c>
      <c r="E233" t="s">
        <v>19</v>
      </c>
      <c r="F233" t="s">
        <v>28</v>
      </c>
      <c r="G233" t="s">
        <v>54</v>
      </c>
      <c r="H233" t="s">
        <v>55</v>
      </c>
      <c r="I233">
        <v>8026.96</v>
      </c>
      <c r="J233">
        <v>8173.49</v>
      </c>
      <c r="K233" t="s">
        <v>17</v>
      </c>
      <c r="L233" t="b">
        <v>0</v>
      </c>
      <c r="N233" s="2" t="str">
        <f t="shared" si="16"/>
        <v/>
      </c>
      <c r="Q233" t="str">
        <f t="shared" si="17"/>
        <v/>
      </c>
    </row>
    <row r="234" spans="1:17" hidden="1">
      <c r="A234" t="s">
        <v>337</v>
      </c>
      <c r="B234" s="1">
        <v>44958</v>
      </c>
      <c r="C234">
        <v>2023</v>
      </c>
      <c r="D234">
        <v>2</v>
      </c>
      <c r="E234" t="s">
        <v>23</v>
      </c>
      <c r="F234" t="s">
        <v>28</v>
      </c>
      <c r="G234" t="s">
        <v>141</v>
      </c>
      <c r="H234" t="s">
        <v>153</v>
      </c>
      <c r="I234">
        <v>3883.45</v>
      </c>
      <c r="J234">
        <v>3574.72</v>
      </c>
      <c r="K234" t="s">
        <v>17</v>
      </c>
      <c r="L234" t="b">
        <v>0</v>
      </c>
      <c r="N234" s="2" t="str">
        <f t="shared" si="16"/>
        <v/>
      </c>
      <c r="Q234" t="str">
        <f t="shared" si="17"/>
        <v/>
      </c>
    </row>
    <row r="235" spans="1:17" hidden="1">
      <c r="A235" t="s">
        <v>338</v>
      </c>
      <c r="B235" s="1">
        <v>44958</v>
      </c>
      <c r="C235">
        <v>2023</v>
      </c>
      <c r="D235">
        <v>2</v>
      </c>
      <c r="E235" t="s">
        <v>23</v>
      </c>
      <c r="F235" t="s">
        <v>28</v>
      </c>
      <c r="G235" t="s">
        <v>25</v>
      </c>
      <c r="H235" t="s">
        <v>95</v>
      </c>
      <c r="I235">
        <v>5520.51</v>
      </c>
      <c r="J235">
        <v>5611.24</v>
      </c>
      <c r="K235" t="s">
        <v>17</v>
      </c>
      <c r="L235" t="b">
        <v>0</v>
      </c>
      <c r="N235" s="2" t="str">
        <f t="shared" si="16"/>
        <v/>
      </c>
      <c r="Q235" t="str">
        <f t="shared" si="17"/>
        <v/>
      </c>
    </row>
    <row r="236" spans="1:17" hidden="1">
      <c r="A236" t="s">
        <v>339</v>
      </c>
      <c r="B236" s="1">
        <v>44958</v>
      </c>
      <c r="C236">
        <v>2023</v>
      </c>
      <c r="D236">
        <v>2</v>
      </c>
      <c r="E236" t="s">
        <v>37</v>
      </c>
      <c r="F236" t="s">
        <v>14</v>
      </c>
      <c r="G236" t="s">
        <v>41</v>
      </c>
      <c r="H236" t="s">
        <v>42</v>
      </c>
      <c r="I236">
        <v>4548.79</v>
      </c>
      <c r="J236">
        <v>4701.71</v>
      </c>
      <c r="K236" t="s">
        <v>17</v>
      </c>
      <c r="L236" t="b">
        <v>0</v>
      </c>
      <c r="N236" s="2" t="str">
        <f t="shared" si="16"/>
        <v/>
      </c>
      <c r="Q236" t="str">
        <f t="shared" si="17"/>
        <v/>
      </c>
    </row>
    <row r="237" spans="1:17" hidden="1">
      <c r="A237" t="s">
        <v>340</v>
      </c>
      <c r="B237" s="1">
        <v>44959</v>
      </c>
      <c r="C237">
        <v>2023</v>
      </c>
      <c r="D237">
        <v>2</v>
      </c>
      <c r="E237" t="s">
        <v>13</v>
      </c>
      <c r="F237" t="s">
        <v>14</v>
      </c>
      <c r="G237" t="s">
        <v>68</v>
      </c>
      <c r="H237" t="s">
        <v>69</v>
      </c>
      <c r="I237">
        <v>3586</v>
      </c>
      <c r="J237">
        <v>3583.4</v>
      </c>
      <c r="K237" t="s">
        <v>17</v>
      </c>
      <c r="L237" t="b">
        <v>0</v>
      </c>
      <c r="N237" s="2" t="str">
        <f t="shared" si="16"/>
        <v/>
      </c>
      <c r="Q237" t="str">
        <f t="shared" si="17"/>
        <v/>
      </c>
    </row>
    <row r="238" spans="1:17" hidden="1">
      <c r="A238" t="s">
        <v>341</v>
      </c>
      <c r="B238" s="1">
        <v>44959</v>
      </c>
      <c r="C238">
        <v>2023</v>
      </c>
      <c r="D238">
        <v>2</v>
      </c>
      <c r="E238" t="s">
        <v>47</v>
      </c>
      <c r="F238" t="s">
        <v>24</v>
      </c>
      <c r="G238" t="s">
        <v>91</v>
      </c>
      <c r="H238" t="s">
        <v>249</v>
      </c>
      <c r="I238">
        <v>11674.37</v>
      </c>
      <c r="J238">
        <v>10083.719999999999</v>
      </c>
      <c r="K238" t="s">
        <v>17</v>
      </c>
      <c r="L238" t="b">
        <v>0</v>
      </c>
      <c r="N238" s="2" t="b">
        <f t="shared" si="16"/>
        <v>1</v>
      </c>
      <c r="O238" t="str">
        <f>IF(AND(E227="HR",K227="EXPENSE"),I227&lt;J227,"")</f>
        <v/>
      </c>
      <c r="Q238" t="str">
        <f t="shared" si="17"/>
        <v/>
      </c>
    </row>
    <row r="239" spans="1:17" hidden="1">
      <c r="A239" t="s">
        <v>342</v>
      </c>
      <c r="B239" s="1">
        <v>44959</v>
      </c>
      <c r="C239">
        <v>2023</v>
      </c>
      <c r="D239">
        <v>2</v>
      </c>
      <c r="E239" t="s">
        <v>19</v>
      </c>
      <c r="F239" t="s">
        <v>14</v>
      </c>
      <c r="G239" t="s">
        <v>132</v>
      </c>
      <c r="H239" t="s">
        <v>138</v>
      </c>
      <c r="I239">
        <v>4568.66</v>
      </c>
      <c r="J239">
        <v>4697.63</v>
      </c>
      <c r="K239" t="s">
        <v>17</v>
      </c>
      <c r="L239" t="b">
        <v>0</v>
      </c>
      <c r="N239" s="2" t="str">
        <f t="shared" si="16"/>
        <v/>
      </c>
      <c r="Q239" t="str">
        <f t="shared" si="17"/>
        <v/>
      </c>
    </row>
    <row r="240" spans="1:17" hidden="1">
      <c r="A240" t="s">
        <v>343</v>
      </c>
      <c r="B240" s="1">
        <v>44959</v>
      </c>
      <c r="C240">
        <v>2023</v>
      </c>
      <c r="D240">
        <v>2</v>
      </c>
      <c r="E240" t="s">
        <v>19</v>
      </c>
      <c r="F240" t="s">
        <v>28</v>
      </c>
      <c r="G240" t="s">
        <v>80</v>
      </c>
      <c r="H240" t="s">
        <v>217</v>
      </c>
      <c r="I240">
        <v>7603.94</v>
      </c>
      <c r="J240">
        <v>8064.52</v>
      </c>
      <c r="K240" t="s">
        <v>17</v>
      </c>
      <c r="L240" t="b">
        <v>0</v>
      </c>
      <c r="N240" s="2" t="str">
        <f t="shared" si="16"/>
        <v/>
      </c>
      <c r="Q240" t="str">
        <f t="shared" si="17"/>
        <v/>
      </c>
    </row>
    <row r="241" spans="1:17" hidden="1">
      <c r="A241" t="s">
        <v>344</v>
      </c>
      <c r="B241" s="1">
        <v>44959</v>
      </c>
      <c r="C241">
        <v>2023</v>
      </c>
      <c r="D241">
        <v>2</v>
      </c>
      <c r="E241" t="s">
        <v>19</v>
      </c>
      <c r="F241" t="s">
        <v>24</v>
      </c>
      <c r="G241" t="s">
        <v>20</v>
      </c>
      <c r="H241" t="s">
        <v>174</v>
      </c>
      <c r="I241">
        <v>4235.74</v>
      </c>
      <c r="J241">
        <v>3961.59</v>
      </c>
      <c r="K241" t="s">
        <v>17</v>
      </c>
      <c r="L241" t="b">
        <v>0</v>
      </c>
      <c r="N241" s="2" t="str">
        <f t="shared" si="16"/>
        <v/>
      </c>
      <c r="Q241" t="str">
        <f t="shared" si="17"/>
        <v/>
      </c>
    </row>
    <row r="242" spans="1:17" hidden="1">
      <c r="A242" t="s">
        <v>345</v>
      </c>
      <c r="B242" s="1">
        <v>44959</v>
      </c>
      <c r="C242">
        <v>2023</v>
      </c>
      <c r="D242">
        <v>2</v>
      </c>
      <c r="E242" t="s">
        <v>19</v>
      </c>
      <c r="F242" t="s">
        <v>24</v>
      </c>
      <c r="G242" t="s">
        <v>132</v>
      </c>
      <c r="H242" t="s">
        <v>171</v>
      </c>
      <c r="I242">
        <v>6540.82</v>
      </c>
      <c r="J242">
        <v>6136.19</v>
      </c>
      <c r="K242" t="s">
        <v>17</v>
      </c>
      <c r="L242" t="b">
        <v>0</v>
      </c>
      <c r="N242" s="2" t="str">
        <f t="shared" si="16"/>
        <v/>
      </c>
      <c r="Q242" t="str">
        <f t="shared" si="17"/>
        <v/>
      </c>
    </row>
    <row r="243" spans="1:17" hidden="1">
      <c r="A243" t="s">
        <v>346</v>
      </c>
      <c r="B243" s="1">
        <v>44959</v>
      </c>
      <c r="C243">
        <v>2023</v>
      </c>
      <c r="D243">
        <v>2</v>
      </c>
      <c r="E243" t="s">
        <v>23</v>
      </c>
      <c r="F243" t="s">
        <v>14</v>
      </c>
      <c r="G243" t="s">
        <v>30</v>
      </c>
      <c r="H243" t="s">
        <v>31</v>
      </c>
      <c r="I243">
        <v>6260.65</v>
      </c>
      <c r="J243">
        <v>6577.09</v>
      </c>
      <c r="K243" t="s">
        <v>17</v>
      </c>
      <c r="L243" t="b">
        <v>0</v>
      </c>
      <c r="N243" s="2" t="str">
        <f t="shared" si="16"/>
        <v/>
      </c>
      <c r="Q243" t="str">
        <f t="shared" si="17"/>
        <v/>
      </c>
    </row>
    <row r="244" spans="1:17" hidden="1">
      <c r="A244" t="s">
        <v>347</v>
      </c>
      <c r="B244" s="1">
        <v>44959</v>
      </c>
      <c r="C244">
        <v>2023</v>
      </c>
      <c r="D244">
        <v>2</v>
      </c>
      <c r="E244" t="s">
        <v>23</v>
      </c>
      <c r="F244" t="s">
        <v>14</v>
      </c>
      <c r="G244" t="s">
        <v>59</v>
      </c>
      <c r="H244" t="s">
        <v>60</v>
      </c>
      <c r="I244">
        <v>5522.82</v>
      </c>
      <c r="J244">
        <v>5531.06</v>
      </c>
      <c r="K244" t="s">
        <v>17</v>
      </c>
      <c r="L244" t="b">
        <v>0</v>
      </c>
      <c r="N244" s="2" t="str">
        <f t="shared" si="16"/>
        <v/>
      </c>
      <c r="Q244" t="str">
        <f t="shared" si="17"/>
        <v/>
      </c>
    </row>
    <row r="245" spans="1:17" hidden="1">
      <c r="A245" t="s">
        <v>348</v>
      </c>
      <c r="B245" s="1">
        <v>44959</v>
      </c>
      <c r="C245">
        <v>2023</v>
      </c>
      <c r="D245">
        <v>2</v>
      </c>
      <c r="E245" t="s">
        <v>23</v>
      </c>
      <c r="F245" t="s">
        <v>24</v>
      </c>
      <c r="G245" t="s">
        <v>141</v>
      </c>
      <c r="H245" t="s">
        <v>153</v>
      </c>
      <c r="I245">
        <v>2609.4499999999998</v>
      </c>
      <c r="J245">
        <v>2705.11</v>
      </c>
      <c r="K245" t="s">
        <v>17</v>
      </c>
      <c r="L245" t="b">
        <v>0</v>
      </c>
      <c r="N245" s="2" t="str">
        <f t="shared" si="16"/>
        <v/>
      </c>
      <c r="Q245" t="str">
        <f t="shared" si="17"/>
        <v/>
      </c>
    </row>
    <row r="246" spans="1:17" hidden="1">
      <c r="A246" t="s">
        <v>349</v>
      </c>
      <c r="B246" s="1">
        <v>44959</v>
      </c>
      <c r="C246">
        <v>2023</v>
      </c>
      <c r="D246">
        <v>2</v>
      </c>
      <c r="E246" t="s">
        <v>37</v>
      </c>
      <c r="F246" t="s">
        <v>14</v>
      </c>
      <c r="G246" t="s">
        <v>41</v>
      </c>
      <c r="H246" t="s">
        <v>42</v>
      </c>
      <c r="I246">
        <v>3588.69</v>
      </c>
      <c r="J246">
        <v>3304.54</v>
      </c>
      <c r="K246" t="s">
        <v>17</v>
      </c>
      <c r="L246" t="b">
        <v>0</v>
      </c>
      <c r="N246" s="2" t="str">
        <f t="shared" si="16"/>
        <v/>
      </c>
      <c r="Q246" t="str">
        <f t="shared" si="17"/>
        <v/>
      </c>
    </row>
    <row r="247" spans="1:17" hidden="1">
      <c r="A247" t="s">
        <v>350</v>
      </c>
      <c r="B247" s="1">
        <v>44959</v>
      </c>
      <c r="C247">
        <v>2023</v>
      </c>
      <c r="D247">
        <v>2</v>
      </c>
      <c r="E247" t="s">
        <v>37</v>
      </c>
      <c r="F247" t="s">
        <v>24</v>
      </c>
      <c r="G247" t="s">
        <v>98</v>
      </c>
      <c r="H247" t="s">
        <v>99</v>
      </c>
      <c r="I247">
        <v>5213.58</v>
      </c>
      <c r="J247">
        <v>5718.68</v>
      </c>
      <c r="K247" t="s">
        <v>17</v>
      </c>
      <c r="L247" t="b">
        <v>0</v>
      </c>
      <c r="N247" s="2" t="str">
        <f t="shared" si="16"/>
        <v/>
      </c>
      <c r="Q247" t="str">
        <f t="shared" si="17"/>
        <v/>
      </c>
    </row>
    <row r="248" spans="1:17" hidden="1">
      <c r="A248" t="s">
        <v>351</v>
      </c>
      <c r="B248" s="1">
        <v>44959</v>
      </c>
      <c r="C248">
        <v>2023</v>
      </c>
      <c r="D248">
        <v>2</v>
      </c>
      <c r="E248" t="s">
        <v>37</v>
      </c>
      <c r="F248" t="s">
        <v>24</v>
      </c>
      <c r="G248" t="s">
        <v>98</v>
      </c>
      <c r="H248" t="s">
        <v>99</v>
      </c>
      <c r="I248">
        <v>4027.12</v>
      </c>
      <c r="J248">
        <v>4360.8100000000004</v>
      </c>
      <c r="K248" t="s">
        <v>17</v>
      </c>
      <c r="L248" t="b">
        <v>0</v>
      </c>
      <c r="N248" s="2" t="str">
        <f t="shared" si="16"/>
        <v/>
      </c>
      <c r="Q248" t="str">
        <f t="shared" si="17"/>
        <v/>
      </c>
    </row>
    <row r="249" spans="1:17" hidden="1">
      <c r="A249" t="s">
        <v>352</v>
      </c>
      <c r="B249" s="1">
        <v>44959</v>
      </c>
      <c r="C249">
        <v>2023</v>
      </c>
      <c r="D249">
        <v>2</v>
      </c>
      <c r="E249" t="s">
        <v>37</v>
      </c>
      <c r="F249" t="s">
        <v>24</v>
      </c>
      <c r="G249" t="s">
        <v>83</v>
      </c>
      <c r="H249" t="s">
        <v>84</v>
      </c>
      <c r="I249">
        <v>91827.32</v>
      </c>
      <c r="J249">
        <v>87235.96</v>
      </c>
      <c r="K249" t="s">
        <v>85</v>
      </c>
      <c r="L249" t="b">
        <v>0</v>
      </c>
      <c r="N249" s="2" t="str">
        <f t="shared" si="16"/>
        <v/>
      </c>
      <c r="Q249" t="str">
        <f t="shared" si="17"/>
        <v/>
      </c>
    </row>
    <row r="250" spans="1:17" hidden="1">
      <c r="A250" t="s">
        <v>353</v>
      </c>
      <c r="B250" s="1">
        <v>44960</v>
      </c>
      <c r="C250">
        <v>2023</v>
      </c>
      <c r="D250">
        <v>2</v>
      </c>
      <c r="E250" t="s">
        <v>19</v>
      </c>
      <c r="F250" t="s">
        <v>28</v>
      </c>
      <c r="G250" t="s">
        <v>132</v>
      </c>
      <c r="H250" t="s">
        <v>171</v>
      </c>
      <c r="I250">
        <v>5958.07</v>
      </c>
      <c r="J250">
        <v>6535.82</v>
      </c>
      <c r="K250" t="s">
        <v>17</v>
      </c>
      <c r="L250" t="b">
        <v>0</v>
      </c>
      <c r="N250" s="2" t="str">
        <f t="shared" si="16"/>
        <v/>
      </c>
      <c r="Q250" t="str">
        <f t="shared" si="17"/>
        <v/>
      </c>
    </row>
    <row r="251" spans="1:17" hidden="1">
      <c r="A251" t="s">
        <v>354</v>
      </c>
      <c r="B251" s="1">
        <v>44960</v>
      </c>
      <c r="C251">
        <v>2023</v>
      </c>
      <c r="D251">
        <v>2</v>
      </c>
      <c r="E251" t="s">
        <v>19</v>
      </c>
      <c r="F251" t="s">
        <v>24</v>
      </c>
      <c r="G251" t="s">
        <v>80</v>
      </c>
      <c r="H251" t="s">
        <v>113</v>
      </c>
      <c r="I251">
        <v>6329.56</v>
      </c>
      <c r="J251">
        <v>5804.65</v>
      </c>
      <c r="K251" t="s">
        <v>17</v>
      </c>
      <c r="L251" t="b">
        <v>0</v>
      </c>
      <c r="N251" s="2" t="str">
        <f t="shared" si="16"/>
        <v/>
      </c>
      <c r="Q251" t="str">
        <f t="shared" si="17"/>
        <v/>
      </c>
    </row>
    <row r="252" spans="1:17" hidden="1">
      <c r="A252" t="s">
        <v>355</v>
      </c>
      <c r="B252" s="1">
        <v>44960</v>
      </c>
      <c r="C252">
        <v>2023</v>
      </c>
      <c r="D252">
        <v>2</v>
      </c>
      <c r="E252" t="s">
        <v>19</v>
      </c>
      <c r="F252" t="s">
        <v>24</v>
      </c>
      <c r="G252" t="s">
        <v>80</v>
      </c>
      <c r="H252" t="s">
        <v>113</v>
      </c>
      <c r="I252">
        <v>6353.16</v>
      </c>
      <c r="J252">
        <v>6384.15</v>
      </c>
      <c r="K252" t="s">
        <v>17</v>
      </c>
      <c r="L252" t="b">
        <v>0</v>
      </c>
      <c r="N252" s="2" t="str">
        <f t="shared" si="16"/>
        <v/>
      </c>
      <c r="Q252" t="str">
        <f t="shared" si="17"/>
        <v/>
      </c>
    </row>
    <row r="253" spans="1:17" hidden="1">
      <c r="A253" t="s">
        <v>356</v>
      </c>
      <c r="B253" s="1">
        <v>44960</v>
      </c>
      <c r="C253">
        <v>2023</v>
      </c>
      <c r="D253">
        <v>2</v>
      </c>
      <c r="E253" t="s">
        <v>23</v>
      </c>
      <c r="F253" t="s">
        <v>14</v>
      </c>
      <c r="G253" t="s">
        <v>25</v>
      </c>
      <c r="H253" t="s">
        <v>26</v>
      </c>
      <c r="I253">
        <v>6022.19</v>
      </c>
      <c r="J253">
        <v>6601.75</v>
      </c>
      <c r="K253" t="s">
        <v>17</v>
      </c>
      <c r="L253" t="b">
        <v>0</v>
      </c>
      <c r="N253" s="2" t="str">
        <f t="shared" si="16"/>
        <v/>
      </c>
      <c r="Q253" t="str">
        <f t="shared" si="17"/>
        <v/>
      </c>
    </row>
    <row r="254" spans="1:17" hidden="1">
      <c r="A254" t="s">
        <v>357</v>
      </c>
      <c r="B254" s="1">
        <v>44960</v>
      </c>
      <c r="C254">
        <v>2023</v>
      </c>
      <c r="D254">
        <v>2</v>
      </c>
      <c r="E254" t="s">
        <v>23</v>
      </c>
      <c r="F254" t="s">
        <v>24</v>
      </c>
      <c r="G254" t="s">
        <v>30</v>
      </c>
      <c r="H254" t="s">
        <v>33</v>
      </c>
      <c r="I254">
        <v>6802.46</v>
      </c>
      <c r="J254">
        <v>6493.98</v>
      </c>
      <c r="K254" t="s">
        <v>17</v>
      </c>
      <c r="L254" t="b">
        <v>0</v>
      </c>
      <c r="N254" s="2" t="str">
        <f t="shared" si="16"/>
        <v/>
      </c>
      <c r="Q254" t="str">
        <f t="shared" si="17"/>
        <v/>
      </c>
    </row>
    <row r="255" spans="1:17" hidden="1">
      <c r="A255" t="s">
        <v>358</v>
      </c>
      <c r="B255" s="1">
        <v>44960</v>
      </c>
      <c r="C255">
        <v>2023</v>
      </c>
      <c r="D255">
        <v>2</v>
      </c>
      <c r="E255" t="s">
        <v>23</v>
      </c>
      <c r="F255" t="s">
        <v>24</v>
      </c>
      <c r="G255" t="s">
        <v>59</v>
      </c>
      <c r="H255" t="s">
        <v>155</v>
      </c>
      <c r="I255">
        <v>7053.07</v>
      </c>
      <c r="J255">
        <v>7689.06</v>
      </c>
      <c r="K255" t="s">
        <v>17</v>
      </c>
      <c r="L255" t="b">
        <v>0</v>
      </c>
      <c r="N255" s="2" t="str">
        <f t="shared" si="16"/>
        <v/>
      </c>
      <c r="Q255" t="str">
        <f t="shared" si="17"/>
        <v/>
      </c>
    </row>
    <row r="256" spans="1:17" hidden="1">
      <c r="A256" t="s">
        <v>359</v>
      </c>
      <c r="B256" s="1">
        <v>44960</v>
      </c>
      <c r="C256">
        <v>2023</v>
      </c>
      <c r="D256">
        <v>2</v>
      </c>
      <c r="E256" t="s">
        <v>37</v>
      </c>
      <c r="F256" t="s">
        <v>28</v>
      </c>
      <c r="G256" t="s">
        <v>62</v>
      </c>
      <c r="H256" t="s">
        <v>360</v>
      </c>
      <c r="I256">
        <v>5382.54</v>
      </c>
      <c r="J256">
        <v>4858.28</v>
      </c>
      <c r="K256" t="s">
        <v>17</v>
      </c>
      <c r="L256" t="b">
        <v>0</v>
      </c>
      <c r="N256" s="2" t="str">
        <f t="shared" si="16"/>
        <v/>
      </c>
      <c r="Q256" t="str">
        <f t="shared" si="17"/>
        <v/>
      </c>
    </row>
    <row r="257" spans="1:17" hidden="1">
      <c r="A257" t="s">
        <v>361</v>
      </c>
      <c r="B257" s="1">
        <v>44961</v>
      </c>
      <c r="C257">
        <v>2023</v>
      </c>
      <c r="D257">
        <v>2</v>
      </c>
      <c r="E257" t="s">
        <v>13</v>
      </c>
      <c r="F257" t="s">
        <v>14</v>
      </c>
      <c r="G257" t="s">
        <v>108</v>
      </c>
      <c r="H257" t="s">
        <v>123</v>
      </c>
      <c r="I257">
        <v>3628.4</v>
      </c>
      <c r="J257">
        <v>3747.17</v>
      </c>
      <c r="K257" t="s">
        <v>17</v>
      </c>
      <c r="L257" t="b">
        <v>0</v>
      </c>
      <c r="N257" s="2" t="str">
        <f t="shared" si="16"/>
        <v/>
      </c>
      <c r="Q257" t="str">
        <f t="shared" si="17"/>
        <v/>
      </c>
    </row>
    <row r="258" spans="1:17" hidden="1">
      <c r="A258" t="s">
        <v>362</v>
      </c>
      <c r="B258" s="1">
        <v>44961</v>
      </c>
      <c r="C258">
        <v>2023</v>
      </c>
      <c r="D258">
        <v>2</v>
      </c>
      <c r="E258" t="s">
        <v>13</v>
      </c>
      <c r="F258" t="s">
        <v>28</v>
      </c>
      <c r="G258" t="s">
        <v>102</v>
      </c>
      <c r="H258" t="s">
        <v>145</v>
      </c>
      <c r="I258">
        <v>2025.86</v>
      </c>
      <c r="J258">
        <v>1854.45</v>
      </c>
      <c r="K258" t="s">
        <v>17</v>
      </c>
      <c r="L258" t="b">
        <v>0</v>
      </c>
      <c r="N258" s="2" t="str">
        <f t="shared" si="16"/>
        <v/>
      </c>
      <c r="Q258" t="str">
        <f t="shared" si="17"/>
        <v/>
      </c>
    </row>
    <row r="259" spans="1:17" hidden="1">
      <c r="A259" t="s">
        <v>363</v>
      </c>
      <c r="B259" s="1">
        <v>44961</v>
      </c>
      <c r="C259">
        <v>2023</v>
      </c>
      <c r="D259">
        <v>2</v>
      </c>
      <c r="E259" t="s">
        <v>13</v>
      </c>
      <c r="F259" t="s">
        <v>28</v>
      </c>
      <c r="G259" t="s">
        <v>15</v>
      </c>
      <c r="H259" t="s">
        <v>45</v>
      </c>
      <c r="I259">
        <v>1860.35</v>
      </c>
      <c r="J259">
        <v>1763.15</v>
      </c>
      <c r="K259" t="s">
        <v>17</v>
      </c>
      <c r="L259" t="b">
        <v>0</v>
      </c>
      <c r="N259" s="2" t="str">
        <f t="shared" ref="N259:N322" si="21">IF(AND(E259="IT",K259="EXPENSE"),I259&gt;J259,"")</f>
        <v/>
      </c>
      <c r="Q259" t="str">
        <f t="shared" ref="Q259:Q322" si="22">IF(L259=TRUE,OR(H259="Apex Solutions Inc",H259="Global Trade Partners",H259="NovaTech Services"),"")</f>
        <v/>
      </c>
    </row>
    <row r="260" spans="1:17" hidden="1">
      <c r="A260" t="s">
        <v>364</v>
      </c>
      <c r="B260" s="1">
        <v>44961</v>
      </c>
      <c r="C260">
        <v>2023</v>
      </c>
      <c r="D260">
        <v>2</v>
      </c>
      <c r="E260" t="s">
        <v>13</v>
      </c>
      <c r="F260" t="s">
        <v>24</v>
      </c>
      <c r="G260" t="s">
        <v>68</v>
      </c>
      <c r="H260" t="s">
        <v>87</v>
      </c>
      <c r="I260">
        <v>2620.75</v>
      </c>
      <c r="J260">
        <v>2669.46</v>
      </c>
      <c r="K260" t="s">
        <v>17</v>
      </c>
      <c r="L260" t="b">
        <v>0</v>
      </c>
      <c r="N260" s="2" t="str">
        <f t="shared" si="21"/>
        <v/>
      </c>
      <c r="Q260" t="str">
        <f t="shared" si="22"/>
        <v/>
      </c>
    </row>
    <row r="261" spans="1:17" hidden="1">
      <c r="A261" t="s">
        <v>365</v>
      </c>
      <c r="B261" s="1">
        <v>44961</v>
      </c>
      <c r="C261">
        <v>2023</v>
      </c>
      <c r="D261">
        <v>2</v>
      </c>
      <c r="E261" t="s">
        <v>47</v>
      </c>
      <c r="F261" t="s">
        <v>14</v>
      </c>
      <c r="G261" t="s">
        <v>77</v>
      </c>
      <c r="H261" t="s">
        <v>130</v>
      </c>
      <c r="I261">
        <v>8174.64</v>
      </c>
      <c r="J261">
        <v>6855.6</v>
      </c>
      <c r="K261" t="s">
        <v>17</v>
      </c>
      <c r="L261" t="b">
        <v>0</v>
      </c>
      <c r="N261" s="2" t="b">
        <f t="shared" si="21"/>
        <v>1</v>
      </c>
      <c r="O261" t="str">
        <f t="shared" ref="O261:O263" si="23">IF(AND(E250="HR",K250="EXPENSE"),I250&lt;J250,"")</f>
        <v/>
      </c>
      <c r="Q261" t="str">
        <f t="shared" si="22"/>
        <v/>
      </c>
    </row>
    <row r="262" spans="1:17" hidden="1">
      <c r="A262" t="s">
        <v>366</v>
      </c>
      <c r="B262" s="1">
        <v>44961</v>
      </c>
      <c r="C262">
        <v>2023</v>
      </c>
      <c r="D262">
        <v>2</v>
      </c>
      <c r="E262" t="s">
        <v>47</v>
      </c>
      <c r="F262" t="s">
        <v>24</v>
      </c>
      <c r="G262" t="s">
        <v>91</v>
      </c>
      <c r="H262" t="s">
        <v>128</v>
      </c>
      <c r="I262">
        <v>7769.34</v>
      </c>
      <c r="J262">
        <v>6601.68</v>
      </c>
      <c r="K262" t="s">
        <v>17</v>
      </c>
      <c r="L262" t="b">
        <v>0</v>
      </c>
      <c r="N262" s="2" t="b">
        <f t="shared" si="21"/>
        <v>1</v>
      </c>
      <c r="O262" t="str">
        <f t="shared" si="23"/>
        <v/>
      </c>
      <c r="Q262" t="str">
        <f t="shared" si="22"/>
        <v/>
      </c>
    </row>
    <row r="263" spans="1:17" hidden="1">
      <c r="A263" t="s">
        <v>367</v>
      </c>
      <c r="B263" s="1">
        <v>44961</v>
      </c>
      <c r="C263">
        <v>2023</v>
      </c>
      <c r="D263">
        <v>2</v>
      </c>
      <c r="E263" t="s">
        <v>47</v>
      </c>
      <c r="F263" t="s">
        <v>24</v>
      </c>
      <c r="G263" t="s">
        <v>51</v>
      </c>
      <c r="H263" t="s">
        <v>52</v>
      </c>
      <c r="I263">
        <v>12629.82</v>
      </c>
      <c r="J263">
        <v>10408.17</v>
      </c>
      <c r="K263" t="s">
        <v>17</v>
      </c>
      <c r="L263" t="b">
        <v>0</v>
      </c>
      <c r="N263" s="2" t="b">
        <f t="shared" si="21"/>
        <v>1</v>
      </c>
      <c r="O263" t="str">
        <f t="shared" si="23"/>
        <v/>
      </c>
      <c r="Q263" t="str">
        <f t="shared" si="22"/>
        <v/>
      </c>
    </row>
    <row r="264" spans="1:17" hidden="1">
      <c r="A264" t="s">
        <v>368</v>
      </c>
      <c r="B264" s="1">
        <v>44961</v>
      </c>
      <c r="C264">
        <v>2023</v>
      </c>
      <c r="D264">
        <v>2</v>
      </c>
      <c r="E264" t="s">
        <v>19</v>
      </c>
      <c r="F264" t="s">
        <v>14</v>
      </c>
      <c r="G264" t="s">
        <v>132</v>
      </c>
      <c r="H264" t="s">
        <v>133</v>
      </c>
      <c r="I264">
        <v>6551.19</v>
      </c>
      <c r="J264">
        <v>6225.99</v>
      </c>
      <c r="K264" t="s">
        <v>17</v>
      </c>
      <c r="L264" t="b">
        <v>0</v>
      </c>
      <c r="N264" s="2" t="str">
        <f t="shared" si="21"/>
        <v/>
      </c>
      <c r="Q264" t="str">
        <f t="shared" si="22"/>
        <v/>
      </c>
    </row>
    <row r="265" spans="1:17" hidden="1">
      <c r="A265" t="s">
        <v>369</v>
      </c>
      <c r="B265" s="1">
        <v>44961</v>
      </c>
      <c r="C265">
        <v>2023</v>
      </c>
      <c r="D265">
        <v>2</v>
      </c>
      <c r="E265" t="s">
        <v>19</v>
      </c>
      <c r="F265" t="s">
        <v>28</v>
      </c>
      <c r="G265" t="s">
        <v>20</v>
      </c>
      <c r="H265" t="s">
        <v>21</v>
      </c>
      <c r="I265">
        <v>5353.49</v>
      </c>
      <c r="J265">
        <v>5302.33</v>
      </c>
      <c r="K265" t="s">
        <v>17</v>
      </c>
      <c r="L265" t="b">
        <v>0</v>
      </c>
      <c r="N265" s="2" t="str">
        <f t="shared" si="21"/>
        <v/>
      </c>
      <c r="Q265" t="str">
        <f t="shared" si="22"/>
        <v/>
      </c>
    </row>
    <row r="266" spans="1:17" hidden="1">
      <c r="A266" t="s">
        <v>370</v>
      </c>
      <c r="B266" s="1">
        <v>44961</v>
      </c>
      <c r="C266">
        <v>2023</v>
      </c>
      <c r="D266">
        <v>2</v>
      </c>
      <c r="E266" t="s">
        <v>19</v>
      </c>
      <c r="F266" t="s">
        <v>24</v>
      </c>
      <c r="G266" t="s">
        <v>132</v>
      </c>
      <c r="H266" t="s">
        <v>133</v>
      </c>
      <c r="I266">
        <v>6693.61</v>
      </c>
      <c r="J266">
        <v>6509.39</v>
      </c>
      <c r="K266" t="s">
        <v>17</v>
      </c>
      <c r="L266" t="b">
        <v>0</v>
      </c>
      <c r="N266" s="2" t="str">
        <f t="shared" si="21"/>
        <v/>
      </c>
      <c r="Q266" t="str">
        <f t="shared" si="22"/>
        <v/>
      </c>
    </row>
    <row r="267" spans="1:17" hidden="1">
      <c r="A267" t="s">
        <v>371</v>
      </c>
      <c r="B267" s="1">
        <v>44961</v>
      </c>
      <c r="C267">
        <v>2023</v>
      </c>
      <c r="D267">
        <v>2</v>
      </c>
      <c r="E267" t="s">
        <v>23</v>
      </c>
      <c r="F267" t="s">
        <v>14</v>
      </c>
      <c r="G267" t="s">
        <v>30</v>
      </c>
      <c r="H267" t="s">
        <v>33</v>
      </c>
      <c r="I267">
        <v>6654.84</v>
      </c>
      <c r="J267">
        <v>6742.33</v>
      </c>
      <c r="K267" t="s">
        <v>17</v>
      </c>
      <c r="L267" t="b">
        <v>0</v>
      </c>
      <c r="N267" s="2" t="str">
        <f t="shared" si="21"/>
        <v/>
      </c>
      <c r="Q267" t="str">
        <f t="shared" si="22"/>
        <v/>
      </c>
    </row>
    <row r="268" spans="1:17" hidden="1">
      <c r="A268" t="s">
        <v>372</v>
      </c>
      <c r="B268" s="1">
        <v>44961</v>
      </c>
      <c r="C268">
        <v>2023</v>
      </c>
      <c r="D268">
        <v>2</v>
      </c>
      <c r="E268" t="s">
        <v>23</v>
      </c>
      <c r="F268" t="s">
        <v>28</v>
      </c>
      <c r="G268" t="s">
        <v>59</v>
      </c>
      <c r="H268" t="s">
        <v>155</v>
      </c>
      <c r="I268">
        <v>6691.49</v>
      </c>
      <c r="J268">
        <v>6425.12</v>
      </c>
      <c r="K268" t="s">
        <v>17</v>
      </c>
      <c r="L268" t="b">
        <v>0</v>
      </c>
      <c r="N268" s="2" t="str">
        <f t="shared" si="21"/>
        <v/>
      </c>
      <c r="Q268" t="str">
        <f t="shared" si="22"/>
        <v/>
      </c>
    </row>
    <row r="269" spans="1:17" hidden="1">
      <c r="A269" t="s">
        <v>373</v>
      </c>
      <c r="B269" s="1">
        <v>44961</v>
      </c>
      <c r="C269">
        <v>2023</v>
      </c>
      <c r="D269">
        <v>2</v>
      </c>
      <c r="E269" t="s">
        <v>23</v>
      </c>
      <c r="F269" t="s">
        <v>28</v>
      </c>
      <c r="G269" t="s">
        <v>30</v>
      </c>
      <c r="H269" t="s">
        <v>106</v>
      </c>
      <c r="I269">
        <v>6628.64</v>
      </c>
      <c r="J269">
        <v>5998.37</v>
      </c>
      <c r="K269" t="s">
        <v>17</v>
      </c>
      <c r="L269" t="b">
        <v>0</v>
      </c>
      <c r="N269" s="2" t="str">
        <f t="shared" si="21"/>
        <v/>
      </c>
      <c r="Q269" t="str">
        <f t="shared" si="22"/>
        <v/>
      </c>
    </row>
    <row r="270" spans="1:17" hidden="1">
      <c r="A270" t="s">
        <v>374</v>
      </c>
      <c r="B270" s="1">
        <v>44961</v>
      </c>
      <c r="C270">
        <v>2023</v>
      </c>
      <c r="D270">
        <v>2</v>
      </c>
      <c r="E270" t="s">
        <v>37</v>
      </c>
      <c r="F270" t="s">
        <v>14</v>
      </c>
      <c r="G270" t="s">
        <v>38</v>
      </c>
      <c r="H270" t="s">
        <v>227</v>
      </c>
      <c r="I270">
        <v>6557.61</v>
      </c>
      <c r="J270">
        <v>6105.45</v>
      </c>
      <c r="K270" t="s">
        <v>17</v>
      </c>
      <c r="L270" t="b">
        <v>0</v>
      </c>
      <c r="N270" s="2" t="str">
        <f t="shared" si="21"/>
        <v/>
      </c>
      <c r="Q270" t="str">
        <f t="shared" si="22"/>
        <v/>
      </c>
    </row>
    <row r="271" spans="1:17" hidden="1">
      <c r="A271" t="s">
        <v>375</v>
      </c>
      <c r="B271" s="1">
        <v>44961</v>
      </c>
      <c r="C271">
        <v>2023</v>
      </c>
      <c r="D271">
        <v>2</v>
      </c>
      <c r="E271" t="s">
        <v>37</v>
      </c>
      <c r="F271" t="s">
        <v>24</v>
      </c>
      <c r="G271" t="s">
        <v>62</v>
      </c>
      <c r="H271" t="s">
        <v>360</v>
      </c>
      <c r="I271">
        <v>3777.03</v>
      </c>
      <c r="J271">
        <v>3817.96</v>
      </c>
      <c r="K271" t="s">
        <v>17</v>
      </c>
      <c r="L271" t="b">
        <v>0</v>
      </c>
      <c r="N271" s="2" t="str">
        <f t="shared" si="21"/>
        <v/>
      </c>
      <c r="Q271" t="str">
        <f t="shared" si="22"/>
        <v/>
      </c>
    </row>
    <row r="272" spans="1:17" hidden="1">
      <c r="A272" t="s">
        <v>376</v>
      </c>
      <c r="B272" s="1">
        <v>44962</v>
      </c>
      <c r="C272">
        <v>2023</v>
      </c>
      <c r="D272">
        <v>2</v>
      </c>
      <c r="E272" t="s">
        <v>13</v>
      </c>
      <c r="F272" t="s">
        <v>28</v>
      </c>
      <c r="G272" t="s">
        <v>68</v>
      </c>
      <c r="H272" t="s">
        <v>87</v>
      </c>
      <c r="I272">
        <v>2291.7399999999998</v>
      </c>
      <c r="J272">
        <v>2515.29</v>
      </c>
      <c r="K272" t="s">
        <v>17</v>
      </c>
      <c r="L272" t="b">
        <v>0</v>
      </c>
      <c r="N272" s="2" t="str">
        <f t="shared" si="21"/>
        <v/>
      </c>
      <c r="Q272" t="str">
        <f t="shared" si="22"/>
        <v/>
      </c>
    </row>
    <row r="273" spans="1:17" hidden="1">
      <c r="A273" t="s">
        <v>377</v>
      </c>
      <c r="B273" s="1">
        <v>44962</v>
      </c>
      <c r="C273">
        <v>2023</v>
      </c>
      <c r="D273">
        <v>2</v>
      </c>
      <c r="E273" t="s">
        <v>47</v>
      </c>
      <c r="F273" t="s">
        <v>14</v>
      </c>
      <c r="G273" t="s">
        <v>77</v>
      </c>
      <c r="H273" t="s">
        <v>78</v>
      </c>
      <c r="I273">
        <v>13220.39</v>
      </c>
      <c r="J273">
        <v>11366.91</v>
      </c>
      <c r="K273" t="s">
        <v>17</v>
      </c>
      <c r="L273" t="b">
        <v>0</v>
      </c>
      <c r="N273" s="2" t="b">
        <f t="shared" si="21"/>
        <v>1</v>
      </c>
      <c r="O273" t="str">
        <f t="shared" ref="O273:O274" si="24">IF(AND(E262="HR",K262="EXPENSE"),I262&lt;J262,"")</f>
        <v/>
      </c>
      <c r="Q273" t="str">
        <f t="shared" si="22"/>
        <v/>
      </c>
    </row>
    <row r="274" spans="1:17" hidden="1">
      <c r="A274" t="s">
        <v>378</v>
      </c>
      <c r="B274" s="1">
        <v>44962</v>
      </c>
      <c r="C274">
        <v>2023</v>
      </c>
      <c r="D274">
        <v>2</v>
      </c>
      <c r="E274" t="s">
        <v>47</v>
      </c>
      <c r="F274" t="s">
        <v>24</v>
      </c>
      <c r="G274" t="s">
        <v>48</v>
      </c>
      <c r="H274" t="s">
        <v>111</v>
      </c>
      <c r="I274">
        <v>10025.540000000001</v>
      </c>
      <c r="J274">
        <v>8331.2000000000007</v>
      </c>
      <c r="K274" t="s">
        <v>17</v>
      </c>
      <c r="L274" t="b">
        <v>0</v>
      </c>
      <c r="N274" s="2" t="b">
        <f t="shared" si="21"/>
        <v>1</v>
      </c>
      <c r="O274" t="str">
        <f t="shared" si="24"/>
        <v/>
      </c>
      <c r="Q274" t="str">
        <f t="shared" si="22"/>
        <v/>
      </c>
    </row>
    <row r="275" spans="1:17" hidden="1">
      <c r="A275" t="s">
        <v>379</v>
      </c>
      <c r="B275" s="1">
        <v>44962</v>
      </c>
      <c r="C275">
        <v>2023</v>
      </c>
      <c r="D275">
        <v>2</v>
      </c>
      <c r="E275" t="s">
        <v>19</v>
      </c>
      <c r="F275" t="s">
        <v>14</v>
      </c>
      <c r="G275" t="s">
        <v>132</v>
      </c>
      <c r="H275" t="s">
        <v>171</v>
      </c>
      <c r="I275">
        <v>7168.25</v>
      </c>
      <c r="J275">
        <v>7664.94</v>
      </c>
      <c r="K275" t="s">
        <v>17</v>
      </c>
      <c r="L275" t="b">
        <v>0</v>
      </c>
      <c r="N275" s="2" t="str">
        <f t="shared" si="21"/>
        <v/>
      </c>
      <c r="Q275" t="str">
        <f t="shared" si="22"/>
        <v/>
      </c>
    </row>
    <row r="276" spans="1:17" hidden="1">
      <c r="A276" t="s">
        <v>380</v>
      </c>
      <c r="B276" s="1">
        <v>44962</v>
      </c>
      <c r="C276">
        <v>2023</v>
      </c>
      <c r="D276">
        <v>2</v>
      </c>
      <c r="E276" t="s">
        <v>19</v>
      </c>
      <c r="F276" t="s">
        <v>14</v>
      </c>
      <c r="G276" t="s">
        <v>54</v>
      </c>
      <c r="H276" t="s">
        <v>55</v>
      </c>
      <c r="I276">
        <v>8158.19</v>
      </c>
      <c r="J276">
        <v>8888</v>
      </c>
      <c r="K276" t="s">
        <v>17</v>
      </c>
      <c r="L276" t="b">
        <v>0</v>
      </c>
      <c r="N276" s="2" t="str">
        <f t="shared" si="21"/>
        <v/>
      </c>
      <c r="Q276" t="str">
        <f t="shared" si="22"/>
        <v/>
      </c>
    </row>
    <row r="277" spans="1:17" hidden="1">
      <c r="A277" t="s">
        <v>381</v>
      </c>
      <c r="B277" s="1">
        <v>44962</v>
      </c>
      <c r="C277">
        <v>2023</v>
      </c>
      <c r="D277">
        <v>2</v>
      </c>
      <c r="E277" t="s">
        <v>19</v>
      </c>
      <c r="F277" t="s">
        <v>28</v>
      </c>
      <c r="G277" t="s">
        <v>20</v>
      </c>
      <c r="H277" t="s">
        <v>136</v>
      </c>
      <c r="I277">
        <v>7402.89</v>
      </c>
      <c r="J277">
        <v>6871.15</v>
      </c>
      <c r="K277" t="s">
        <v>17</v>
      </c>
      <c r="L277" t="b">
        <v>0</v>
      </c>
      <c r="N277" s="2" t="str">
        <f t="shared" si="21"/>
        <v/>
      </c>
      <c r="Q277" t="str">
        <f t="shared" si="22"/>
        <v/>
      </c>
    </row>
    <row r="278" spans="1:17" hidden="1">
      <c r="A278" t="s">
        <v>382</v>
      </c>
      <c r="B278" s="1">
        <v>44962</v>
      </c>
      <c r="C278">
        <v>2023</v>
      </c>
      <c r="D278">
        <v>2</v>
      </c>
      <c r="E278" t="s">
        <v>23</v>
      </c>
      <c r="F278" t="s">
        <v>14</v>
      </c>
      <c r="G278" t="s">
        <v>30</v>
      </c>
      <c r="H278" t="s">
        <v>33</v>
      </c>
      <c r="I278">
        <v>648.99</v>
      </c>
      <c r="J278">
        <v>660.98</v>
      </c>
      <c r="K278" t="s">
        <v>17</v>
      </c>
      <c r="L278" t="b">
        <v>0</v>
      </c>
      <c r="N278" s="2" t="str">
        <f t="shared" si="21"/>
        <v/>
      </c>
      <c r="Q278" t="str">
        <f t="shared" si="22"/>
        <v/>
      </c>
    </row>
    <row r="279" spans="1:17" hidden="1">
      <c r="A279" t="s">
        <v>383</v>
      </c>
      <c r="B279" s="1">
        <v>44962</v>
      </c>
      <c r="C279">
        <v>2023</v>
      </c>
      <c r="D279">
        <v>2</v>
      </c>
      <c r="E279" t="s">
        <v>23</v>
      </c>
      <c r="F279" t="s">
        <v>14</v>
      </c>
      <c r="G279" t="s">
        <v>141</v>
      </c>
      <c r="H279" t="s">
        <v>153</v>
      </c>
      <c r="I279">
        <v>3585.23</v>
      </c>
      <c r="J279">
        <v>3418.18</v>
      </c>
      <c r="K279" t="s">
        <v>17</v>
      </c>
      <c r="L279" t="b">
        <v>0</v>
      </c>
      <c r="N279" s="2" t="str">
        <f t="shared" si="21"/>
        <v/>
      </c>
      <c r="Q279" t="str">
        <f t="shared" si="22"/>
        <v/>
      </c>
    </row>
    <row r="280" spans="1:17" hidden="1">
      <c r="A280" t="s">
        <v>384</v>
      </c>
      <c r="B280" s="1">
        <v>44962</v>
      </c>
      <c r="C280">
        <v>2023</v>
      </c>
      <c r="D280">
        <v>2</v>
      </c>
      <c r="E280" t="s">
        <v>23</v>
      </c>
      <c r="F280" t="s">
        <v>28</v>
      </c>
      <c r="G280" t="s">
        <v>59</v>
      </c>
      <c r="H280" t="s">
        <v>155</v>
      </c>
      <c r="I280">
        <v>6337.88</v>
      </c>
      <c r="J280">
        <v>5790.08</v>
      </c>
      <c r="K280" t="s">
        <v>17</v>
      </c>
      <c r="L280" t="b">
        <v>0</v>
      </c>
      <c r="N280" s="2" t="str">
        <f t="shared" si="21"/>
        <v/>
      </c>
      <c r="Q280" t="str">
        <f t="shared" si="22"/>
        <v/>
      </c>
    </row>
    <row r="281" spans="1:17" hidden="1">
      <c r="A281" t="s">
        <v>385</v>
      </c>
      <c r="B281" s="1">
        <v>44962</v>
      </c>
      <c r="C281">
        <v>2023</v>
      </c>
      <c r="D281">
        <v>2</v>
      </c>
      <c r="E281" t="s">
        <v>23</v>
      </c>
      <c r="F281" t="s">
        <v>28</v>
      </c>
      <c r="G281" t="s">
        <v>59</v>
      </c>
      <c r="H281" t="s">
        <v>155</v>
      </c>
      <c r="I281">
        <v>6265.41</v>
      </c>
      <c r="J281">
        <v>6858.74</v>
      </c>
      <c r="K281" t="s">
        <v>17</v>
      </c>
      <c r="L281" t="b">
        <v>0</v>
      </c>
      <c r="N281" s="2" t="str">
        <f t="shared" si="21"/>
        <v/>
      </c>
      <c r="Q281" t="str">
        <f t="shared" si="22"/>
        <v/>
      </c>
    </row>
    <row r="282" spans="1:17" hidden="1">
      <c r="A282" t="s">
        <v>386</v>
      </c>
      <c r="B282" s="1">
        <v>44963</v>
      </c>
      <c r="C282">
        <v>2023</v>
      </c>
      <c r="D282">
        <v>2</v>
      </c>
      <c r="E282" t="s">
        <v>13</v>
      </c>
      <c r="F282" t="s">
        <v>14</v>
      </c>
      <c r="G282" t="s">
        <v>108</v>
      </c>
      <c r="H282" t="s">
        <v>123</v>
      </c>
      <c r="I282">
        <v>1818.56</v>
      </c>
      <c r="J282">
        <v>1903.15</v>
      </c>
      <c r="K282" t="s">
        <v>17</v>
      </c>
      <c r="L282" t="b">
        <v>0</v>
      </c>
      <c r="N282" s="2" t="str">
        <f t="shared" si="21"/>
        <v/>
      </c>
      <c r="Q282" t="str">
        <f t="shared" si="22"/>
        <v/>
      </c>
    </row>
    <row r="283" spans="1:17" hidden="1">
      <c r="A283" t="s">
        <v>387</v>
      </c>
      <c r="B283" s="1">
        <v>44963</v>
      </c>
      <c r="C283">
        <v>2023</v>
      </c>
      <c r="D283">
        <v>2</v>
      </c>
      <c r="E283" t="s">
        <v>13</v>
      </c>
      <c r="F283" t="s">
        <v>14</v>
      </c>
      <c r="G283" t="s">
        <v>15</v>
      </c>
      <c r="H283" t="s">
        <v>89</v>
      </c>
      <c r="I283">
        <v>2883.26</v>
      </c>
      <c r="J283">
        <v>2751.86</v>
      </c>
      <c r="K283" t="s">
        <v>17</v>
      </c>
      <c r="L283" t="b">
        <v>0</v>
      </c>
      <c r="N283" s="2" t="str">
        <f t="shared" si="21"/>
        <v/>
      </c>
      <c r="Q283" t="str">
        <f t="shared" si="22"/>
        <v/>
      </c>
    </row>
    <row r="284" spans="1:17" hidden="1">
      <c r="A284" t="s">
        <v>388</v>
      </c>
      <c r="B284" s="1">
        <v>44963</v>
      </c>
      <c r="C284">
        <v>2023</v>
      </c>
      <c r="D284">
        <v>2</v>
      </c>
      <c r="E284" t="s">
        <v>47</v>
      </c>
      <c r="F284" t="s">
        <v>28</v>
      </c>
      <c r="G284" t="s">
        <v>77</v>
      </c>
      <c r="H284" t="s">
        <v>130</v>
      </c>
      <c r="I284">
        <v>4505.1499999999996</v>
      </c>
      <c r="J284">
        <v>3849.89</v>
      </c>
      <c r="K284" t="s">
        <v>17</v>
      </c>
      <c r="L284" t="b">
        <v>0</v>
      </c>
      <c r="N284" s="2" t="b">
        <f t="shared" si="21"/>
        <v>1</v>
      </c>
      <c r="O284" t="str">
        <f>IF(AND(E273="HR",K273="EXPENSE"),I273&lt;J273,"")</f>
        <v/>
      </c>
      <c r="Q284" t="str">
        <f t="shared" si="22"/>
        <v/>
      </c>
    </row>
    <row r="285" spans="1:17" hidden="1">
      <c r="A285" t="s">
        <v>389</v>
      </c>
      <c r="B285" s="1">
        <v>44963</v>
      </c>
      <c r="C285">
        <v>2023</v>
      </c>
      <c r="D285">
        <v>2</v>
      </c>
      <c r="E285" t="s">
        <v>19</v>
      </c>
      <c r="F285" t="s">
        <v>28</v>
      </c>
      <c r="G285" t="s">
        <v>20</v>
      </c>
      <c r="H285" t="s">
        <v>174</v>
      </c>
      <c r="I285">
        <v>7667.71</v>
      </c>
      <c r="J285">
        <v>8187.43</v>
      </c>
      <c r="K285" t="s">
        <v>17</v>
      </c>
      <c r="L285" t="b">
        <v>0</v>
      </c>
      <c r="N285" s="2" t="str">
        <f t="shared" si="21"/>
        <v/>
      </c>
      <c r="Q285" t="str">
        <f t="shared" si="22"/>
        <v/>
      </c>
    </row>
    <row r="286" spans="1:17" hidden="1">
      <c r="A286" t="s">
        <v>390</v>
      </c>
      <c r="B286" s="1">
        <v>44963</v>
      </c>
      <c r="C286">
        <v>2023</v>
      </c>
      <c r="D286">
        <v>2</v>
      </c>
      <c r="E286" t="s">
        <v>19</v>
      </c>
      <c r="F286" t="s">
        <v>24</v>
      </c>
      <c r="G286" t="s">
        <v>80</v>
      </c>
      <c r="H286" t="s">
        <v>217</v>
      </c>
      <c r="I286">
        <v>5863.83</v>
      </c>
      <c r="J286">
        <v>5354.51</v>
      </c>
      <c r="K286" t="s">
        <v>17</v>
      </c>
      <c r="L286" t="b">
        <v>0</v>
      </c>
      <c r="N286" s="2" t="str">
        <f t="shared" si="21"/>
        <v/>
      </c>
      <c r="Q286" t="str">
        <f t="shared" si="22"/>
        <v/>
      </c>
    </row>
    <row r="287" spans="1:17" hidden="1">
      <c r="A287" t="s">
        <v>391</v>
      </c>
      <c r="B287" s="1">
        <v>44963</v>
      </c>
      <c r="C287">
        <v>2023</v>
      </c>
      <c r="D287">
        <v>2</v>
      </c>
      <c r="E287" t="s">
        <v>23</v>
      </c>
      <c r="F287" t="s">
        <v>28</v>
      </c>
      <c r="G287" t="s">
        <v>59</v>
      </c>
      <c r="H287" t="s">
        <v>155</v>
      </c>
      <c r="I287">
        <v>5342.66</v>
      </c>
      <c r="J287">
        <v>5739.66</v>
      </c>
      <c r="K287" t="s">
        <v>17</v>
      </c>
      <c r="L287" t="b">
        <v>0</v>
      </c>
      <c r="N287" s="2" t="str">
        <f t="shared" si="21"/>
        <v/>
      </c>
      <c r="Q287" t="str">
        <f t="shared" si="22"/>
        <v/>
      </c>
    </row>
    <row r="288" spans="1:17" hidden="1">
      <c r="A288" t="s">
        <v>392</v>
      </c>
      <c r="B288" s="1">
        <v>44964</v>
      </c>
      <c r="C288">
        <v>2023</v>
      </c>
      <c r="D288">
        <v>2</v>
      </c>
      <c r="E288" t="s">
        <v>13</v>
      </c>
      <c r="F288" t="s">
        <v>28</v>
      </c>
      <c r="G288" t="s">
        <v>102</v>
      </c>
      <c r="H288" t="s">
        <v>145</v>
      </c>
      <c r="I288">
        <v>3158.11</v>
      </c>
      <c r="J288">
        <v>2865.68</v>
      </c>
      <c r="K288" t="s">
        <v>17</v>
      </c>
      <c r="L288" t="b">
        <v>0</v>
      </c>
      <c r="N288" s="2" t="str">
        <f t="shared" si="21"/>
        <v/>
      </c>
      <c r="Q288" t="str">
        <f t="shared" si="22"/>
        <v/>
      </c>
    </row>
    <row r="289" spans="1:17" hidden="1">
      <c r="A289" t="s">
        <v>393</v>
      </c>
      <c r="B289" s="1">
        <v>44964</v>
      </c>
      <c r="C289">
        <v>2023</v>
      </c>
      <c r="D289">
        <v>2</v>
      </c>
      <c r="E289" t="s">
        <v>13</v>
      </c>
      <c r="F289" t="s">
        <v>24</v>
      </c>
      <c r="G289" t="s">
        <v>102</v>
      </c>
      <c r="H289" t="s">
        <v>103</v>
      </c>
      <c r="I289">
        <v>2262.0100000000002</v>
      </c>
      <c r="J289">
        <v>2391.5500000000002</v>
      </c>
      <c r="K289" t="s">
        <v>17</v>
      </c>
      <c r="L289" t="b">
        <v>0</v>
      </c>
      <c r="N289" s="2" t="str">
        <f t="shared" si="21"/>
        <v/>
      </c>
      <c r="Q289" t="str">
        <f t="shared" si="22"/>
        <v/>
      </c>
    </row>
    <row r="290" spans="1:17" hidden="1">
      <c r="A290" t="s">
        <v>394</v>
      </c>
      <c r="B290" s="1">
        <v>44964</v>
      </c>
      <c r="C290">
        <v>2023</v>
      </c>
      <c r="D290">
        <v>2</v>
      </c>
      <c r="E290" t="s">
        <v>47</v>
      </c>
      <c r="F290" t="s">
        <v>24</v>
      </c>
      <c r="G290" t="s">
        <v>51</v>
      </c>
      <c r="H290" t="s">
        <v>189</v>
      </c>
      <c r="I290">
        <v>10025.48</v>
      </c>
      <c r="J290">
        <v>8396.98</v>
      </c>
      <c r="K290" t="s">
        <v>17</v>
      </c>
      <c r="L290" t="b">
        <v>0</v>
      </c>
      <c r="N290" s="2" t="b">
        <f t="shared" si="21"/>
        <v>1</v>
      </c>
      <c r="O290" t="str">
        <f>IF(AND(E279="HR",K279="EXPENSE"),I279&lt;J279,"")</f>
        <v/>
      </c>
      <c r="Q290" t="str">
        <f t="shared" si="22"/>
        <v/>
      </c>
    </row>
    <row r="291" spans="1:17" hidden="1">
      <c r="A291" t="s">
        <v>395</v>
      </c>
      <c r="B291" s="1">
        <v>44964</v>
      </c>
      <c r="C291">
        <v>2023</v>
      </c>
      <c r="D291">
        <v>2</v>
      </c>
      <c r="E291" t="s">
        <v>19</v>
      </c>
      <c r="F291" t="s">
        <v>28</v>
      </c>
      <c r="G291" t="s">
        <v>20</v>
      </c>
      <c r="H291" t="s">
        <v>136</v>
      </c>
      <c r="I291">
        <v>6904.89</v>
      </c>
      <c r="J291">
        <v>7492.59</v>
      </c>
      <c r="K291" t="s">
        <v>17</v>
      </c>
      <c r="L291" t="b">
        <v>0</v>
      </c>
      <c r="N291" s="2" t="str">
        <f t="shared" si="21"/>
        <v/>
      </c>
      <c r="Q291" t="str">
        <f t="shared" si="22"/>
        <v/>
      </c>
    </row>
    <row r="292" spans="1:17" hidden="1">
      <c r="A292" t="s">
        <v>396</v>
      </c>
      <c r="B292" s="1">
        <v>44964</v>
      </c>
      <c r="C292">
        <v>2023</v>
      </c>
      <c r="D292">
        <v>2</v>
      </c>
      <c r="E292" t="s">
        <v>23</v>
      </c>
      <c r="F292" t="s">
        <v>14</v>
      </c>
      <c r="G292" t="s">
        <v>30</v>
      </c>
      <c r="H292" t="s">
        <v>31</v>
      </c>
      <c r="I292">
        <v>5500.52</v>
      </c>
      <c r="J292">
        <v>4957.49</v>
      </c>
      <c r="K292" t="s">
        <v>17</v>
      </c>
      <c r="L292" t="b">
        <v>0</v>
      </c>
      <c r="N292" s="2" t="str">
        <f t="shared" si="21"/>
        <v/>
      </c>
      <c r="Q292" t="str">
        <f t="shared" si="22"/>
        <v/>
      </c>
    </row>
    <row r="293" spans="1:17" hidden="1">
      <c r="A293" t="s">
        <v>397</v>
      </c>
      <c r="B293" s="1">
        <v>44964</v>
      </c>
      <c r="C293">
        <v>2023</v>
      </c>
      <c r="D293">
        <v>2</v>
      </c>
      <c r="E293" t="s">
        <v>23</v>
      </c>
      <c r="F293" t="s">
        <v>28</v>
      </c>
      <c r="G293" t="s">
        <v>141</v>
      </c>
      <c r="H293" t="s">
        <v>153</v>
      </c>
      <c r="I293">
        <v>5462.19</v>
      </c>
      <c r="J293">
        <v>5967.98</v>
      </c>
      <c r="K293" t="s">
        <v>17</v>
      </c>
      <c r="L293" t="b">
        <v>0</v>
      </c>
      <c r="N293" s="2" t="str">
        <f t="shared" si="21"/>
        <v/>
      </c>
      <c r="Q293" t="str">
        <f t="shared" si="22"/>
        <v/>
      </c>
    </row>
    <row r="294" spans="1:17" hidden="1">
      <c r="A294" t="s">
        <v>398</v>
      </c>
      <c r="B294" s="1">
        <v>44964</v>
      </c>
      <c r="C294">
        <v>2023</v>
      </c>
      <c r="D294">
        <v>2</v>
      </c>
      <c r="E294" t="s">
        <v>37</v>
      </c>
      <c r="F294" t="s">
        <v>28</v>
      </c>
      <c r="G294" t="s">
        <v>83</v>
      </c>
      <c r="H294" t="s">
        <v>84</v>
      </c>
      <c r="I294">
        <v>135447.48000000001</v>
      </c>
      <c r="J294">
        <v>128675.11</v>
      </c>
      <c r="K294" t="s">
        <v>85</v>
      </c>
      <c r="L294" t="b">
        <v>0</v>
      </c>
      <c r="N294" s="2" t="str">
        <f t="shared" si="21"/>
        <v/>
      </c>
      <c r="Q294" t="str">
        <f t="shared" si="22"/>
        <v/>
      </c>
    </row>
    <row r="295" spans="1:17" hidden="1">
      <c r="A295" t="s">
        <v>399</v>
      </c>
      <c r="B295" s="1">
        <v>44965</v>
      </c>
      <c r="C295">
        <v>2023</v>
      </c>
      <c r="D295">
        <v>2</v>
      </c>
      <c r="E295" t="s">
        <v>13</v>
      </c>
      <c r="F295" t="s">
        <v>24</v>
      </c>
      <c r="G295" t="s">
        <v>68</v>
      </c>
      <c r="H295" t="s">
        <v>87</v>
      </c>
      <c r="I295">
        <v>4020.56</v>
      </c>
      <c r="J295">
        <v>3918.19</v>
      </c>
      <c r="K295" t="s">
        <v>17</v>
      </c>
      <c r="L295" t="b">
        <v>0</v>
      </c>
      <c r="N295" s="2" t="str">
        <f t="shared" si="21"/>
        <v/>
      </c>
      <c r="Q295" t="str">
        <f t="shared" si="22"/>
        <v/>
      </c>
    </row>
    <row r="296" spans="1:17" hidden="1">
      <c r="A296" t="s">
        <v>400</v>
      </c>
      <c r="B296" s="1">
        <v>44965</v>
      </c>
      <c r="C296">
        <v>2023</v>
      </c>
      <c r="D296">
        <v>2</v>
      </c>
      <c r="E296" t="s">
        <v>47</v>
      </c>
      <c r="F296" t="s">
        <v>28</v>
      </c>
      <c r="G296" t="s">
        <v>51</v>
      </c>
      <c r="H296" t="s">
        <v>189</v>
      </c>
      <c r="I296">
        <v>17018.3</v>
      </c>
      <c r="J296">
        <v>14385.59</v>
      </c>
      <c r="K296" t="s">
        <v>17</v>
      </c>
      <c r="L296" t="b">
        <v>0</v>
      </c>
      <c r="N296" s="2" t="b">
        <f t="shared" si="21"/>
        <v>1</v>
      </c>
      <c r="O296" t="str">
        <f t="shared" ref="O296:O297" si="25">IF(AND(E285="HR",K285="EXPENSE"),I285&lt;J285,"")</f>
        <v/>
      </c>
      <c r="Q296" t="str">
        <f t="shared" si="22"/>
        <v/>
      </c>
    </row>
    <row r="297" spans="1:17" hidden="1">
      <c r="A297" t="s">
        <v>401</v>
      </c>
      <c r="B297" s="1">
        <v>44965</v>
      </c>
      <c r="C297">
        <v>2023</v>
      </c>
      <c r="D297">
        <v>2</v>
      </c>
      <c r="E297" t="s">
        <v>47</v>
      </c>
      <c r="F297" t="s">
        <v>24</v>
      </c>
      <c r="G297" t="s">
        <v>51</v>
      </c>
      <c r="H297" t="s">
        <v>52</v>
      </c>
      <c r="I297">
        <v>16740.23</v>
      </c>
      <c r="J297">
        <v>14423.56</v>
      </c>
      <c r="K297" t="s">
        <v>17</v>
      </c>
      <c r="L297" t="b">
        <v>0</v>
      </c>
      <c r="N297" s="2" t="b">
        <f t="shared" si="21"/>
        <v>1</v>
      </c>
      <c r="O297" t="str">
        <f t="shared" si="25"/>
        <v/>
      </c>
      <c r="Q297" t="str">
        <f t="shared" si="22"/>
        <v/>
      </c>
    </row>
    <row r="298" spans="1:17" hidden="1">
      <c r="A298" t="s">
        <v>402</v>
      </c>
      <c r="B298" s="1">
        <v>44965</v>
      </c>
      <c r="C298">
        <v>2023</v>
      </c>
      <c r="D298">
        <v>2</v>
      </c>
      <c r="E298" t="s">
        <v>19</v>
      </c>
      <c r="F298" t="s">
        <v>14</v>
      </c>
      <c r="G298" t="s">
        <v>132</v>
      </c>
      <c r="H298" t="s">
        <v>138</v>
      </c>
      <c r="I298">
        <v>6353.08</v>
      </c>
      <c r="J298">
        <v>6360.56</v>
      </c>
      <c r="K298" t="s">
        <v>17</v>
      </c>
      <c r="L298" t="b">
        <v>0</v>
      </c>
      <c r="N298" s="2" t="str">
        <f t="shared" si="21"/>
        <v/>
      </c>
      <c r="Q298" t="str">
        <f t="shared" si="22"/>
        <v/>
      </c>
    </row>
    <row r="299" spans="1:17" hidden="1">
      <c r="A299" t="s">
        <v>403</v>
      </c>
      <c r="B299" s="1">
        <v>44965</v>
      </c>
      <c r="C299">
        <v>2023</v>
      </c>
      <c r="D299">
        <v>2</v>
      </c>
      <c r="E299" t="s">
        <v>19</v>
      </c>
      <c r="F299" t="s">
        <v>24</v>
      </c>
      <c r="G299" t="s">
        <v>54</v>
      </c>
      <c r="H299" t="s">
        <v>55</v>
      </c>
      <c r="I299">
        <v>6886.17</v>
      </c>
      <c r="J299">
        <v>7230.43</v>
      </c>
      <c r="K299" t="s">
        <v>17</v>
      </c>
      <c r="L299" t="b">
        <v>0</v>
      </c>
      <c r="N299" s="2" t="str">
        <f t="shared" si="21"/>
        <v/>
      </c>
      <c r="Q299" t="str">
        <f t="shared" si="22"/>
        <v/>
      </c>
    </row>
    <row r="300" spans="1:17" hidden="1">
      <c r="A300" t="s">
        <v>404</v>
      </c>
      <c r="B300" s="1">
        <v>44965</v>
      </c>
      <c r="C300">
        <v>2023</v>
      </c>
      <c r="D300">
        <v>2</v>
      </c>
      <c r="E300" t="s">
        <v>37</v>
      </c>
      <c r="F300" t="s">
        <v>28</v>
      </c>
      <c r="G300" t="s">
        <v>41</v>
      </c>
      <c r="H300" t="s">
        <v>42</v>
      </c>
      <c r="I300">
        <v>5916.81</v>
      </c>
      <c r="J300">
        <v>5774.44</v>
      </c>
      <c r="K300" t="s">
        <v>17</v>
      </c>
      <c r="L300" t="b">
        <v>0</v>
      </c>
      <c r="N300" s="2" t="str">
        <f t="shared" si="21"/>
        <v/>
      </c>
      <c r="Q300" t="str">
        <f t="shared" si="22"/>
        <v/>
      </c>
    </row>
    <row r="301" spans="1:17" hidden="1">
      <c r="A301" t="s">
        <v>405</v>
      </c>
      <c r="B301" s="1">
        <v>44966</v>
      </c>
      <c r="C301">
        <v>2023</v>
      </c>
      <c r="D301">
        <v>2</v>
      </c>
      <c r="E301" t="s">
        <v>13</v>
      </c>
      <c r="F301" t="s">
        <v>14</v>
      </c>
      <c r="G301" t="s">
        <v>68</v>
      </c>
      <c r="H301" t="s">
        <v>213</v>
      </c>
      <c r="I301">
        <v>4263.07</v>
      </c>
      <c r="J301">
        <v>4049.63</v>
      </c>
      <c r="K301" t="s">
        <v>17</v>
      </c>
      <c r="L301" t="b">
        <v>0</v>
      </c>
      <c r="N301" s="2" t="str">
        <f t="shared" si="21"/>
        <v/>
      </c>
      <c r="Q301" t="str">
        <f t="shared" si="22"/>
        <v/>
      </c>
    </row>
    <row r="302" spans="1:17" hidden="1">
      <c r="A302" t="s">
        <v>406</v>
      </c>
      <c r="B302" s="1">
        <v>44966</v>
      </c>
      <c r="C302">
        <v>2023</v>
      </c>
      <c r="D302">
        <v>2</v>
      </c>
      <c r="E302" t="s">
        <v>13</v>
      </c>
      <c r="F302" t="s">
        <v>28</v>
      </c>
      <c r="G302" t="s">
        <v>102</v>
      </c>
      <c r="H302" t="s">
        <v>278</v>
      </c>
      <c r="I302">
        <v>4135.46</v>
      </c>
      <c r="J302">
        <v>3985.84</v>
      </c>
      <c r="K302" t="s">
        <v>17</v>
      </c>
      <c r="L302" t="b">
        <v>0</v>
      </c>
      <c r="N302" s="2" t="str">
        <f t="shared" si="21"/>
        <v/>
      </c>
      <c r="Q302" t="str">
        <f t="shared" si="22"/>
        <v/>
      </c>
    </row>
    <row r="303" spans="1:17" hidden="1">
      <c r="A303" t="s">
        <v>407</v>
      </c>
      <c r="B303" s="1">
        <v>44966</v>
      </c>
      <c r="C303">
        <v>2023</v>
      </c>
      <c r="D303">
        <v>2</v>
      </c>
      <c r="E303" t="s">
        <v>13</v>
      </c>
      <c r="F303" t="s">
        <v>28</v>
      </c>
      <c r="G303" t="s">
        <v>15</v>
      </c>
      <c r="H303" t="s">
        <v>45</v>
      </c>
      <c r="I303">
        <v>1229.29</v>
      </c>
      <c r="J303">
        <v>1295.24</v>
      </c>
      <c r="K303" t="s">
        <v>17</v>
      </c>
      <c r="L303" t="b">
        <v>0</v>
      </c>
      <c r="N303" s="2" t="str">
        <f t="shared" si="21"/>
        <v/>
      </c>
      <c r="Q303" t="str">
        <f t="shared" si="22"/>
        <v/>
      </c>
    </row>
    <row r="304" spans="1:17" hidden="1">
      <c r="A304" t="s">
        <v>408</v>
      </c>
      <c r="B304" s="1">
        <v>44966</v>
      </c>
      <c r="C304">
        <v>2023</v>
      </c>
      <c r="D304">
        <v>2</v>
      </c>
      <c r="E304" t="s">
        <v>13</v>
      </c>
      <c r="F304" t="s">
        <v>24</v>
      </c>
      <c r="G304" t="s">
        <v>68</v>
      </c>
      <c r="H304" t="s">
        <v>69</v>
      </c>
      <c r="I304">
        <v>2517.21</v>
      </c>
      <c r="J304">
        <v>2574.3000000000002</v>
      </c>
      <c r="K304" t="s">
        <v>17</v>
      </c>
      <c r="L304" t="b">
        <v>0</v>
      </c>
      <c r="N304" s="2" t="str">
        <f t="shared" si="21"/>
        <v/>
      </c>
      <c r="Q304" t="str">
        <f t="shared" si="22"/>
        <v/>
      </c>
    </row>
    <row r="305" spans="1:17" hidden="1">
      <c r="A305" t="s">
        <v>409</v>
      </c>
      <c r="B305" s="1">
        <v>44966</v>
      </c>
      <c r="C305">
        <v>2023</v>
      </c>
      <c r="D305">
        <v>2</v>
      </c>
      <c r="E305" t="s">
        <v>47</v>
      </c>
      <c r="F305" t="s">
        <v>28</v>
      </c>
      <c r="G305" t="s">
        <v>51</v>
      </c>
      <c r="H305" t="s">
        <v>189</v>
      </c>
      <c r="I305">
        <v>15343.92</v>
      </c>
      <c r="J305">
        <v>12628.15</v>
      </c>
      <c r="K305" t="s">
        <v>17</v>
      </c>
      <c r="L305" t="b">
        <v>0</v>
      </c>
      <c r="N305" s="2" t="b">
        <f t="shared" si="21"/>
        <v>1</v>
      </c>
      <c r="O305" t="str">
        <f t="shared" ref="O305:O306" si="26">IF(AND(E294="HR",K294="EXPENSE"),I294&lt;J294,"")</f>
        <v/>
      </c>
      <c r="Q305" t="str">
        <f t="shared" si="22"/>
        <v/>
      </c>
    </row>
    <row r="306" spans="1:17" hidden="1">
      <c r="A306" t="s">
        <v>410</v>
      </c>
      <c r="B306" s="1">
        <v>44966</v>
      </c>
      <c r="C306">
        <v>2023</v>
      </c>
      <c r="D306">
        <v>2</v>
      </c>
      <c r="E306" t="s">
        <v>47</v>
      </c>
      <c r="F306" t="s">
        <v>28</v>
      </c>
      <c r="G306" t="s">
        <v>91</v>
      </c>
      <c r="H306" t="s">
        <v>92</v>
      </c>
      <c r="I306">
        <v>14770.16</v>
      </c>
      <c r="J306">
        <v>12585.75</v>
      </c>
      <c r="K306" t="s">
        <v>17</v>
      </c>
      <c r="L306" t="b">
        <v>0</v>
      </c>
      <c r="N306" s="2" t="b">
        <f t="shared" si="21"/>
        <v>1</v>
      </c>
      <c r="O306" t="b">
        <f t="shared" si="26"/>
        <v>0</v>
      </c>
      <c r="Q306" t="str">
        <f t="shared" si="22"/>
        <v/>
      </c>
    </row>
    <row r="307" spans="1:17" hidden="1">
      <c r="A307" t="s">
        <v>411</v>
      </c>
      <c r="B307" s="1">
        <v>44966</v>
      </c>
      <c r="C307">
        <v>2023</v>
      </c>
      <c r="D307">
        <v>2</v>
      </c>
      <c r="E307" t="s">
        <v>19</v>
      </c>
      <c r="F307" t="s">
        <v>24</v>
      </c>
      <c r="G307" t="s">
        <v>132</v>
      </c>
      <c r="H307" t="s">
        <v>171</v>
      </c>
      <c r="I307">
        <v>11151.24</v>
      </c>
      <c r="J307">
        <v>10185.709999999999</v>
      </c>
      <c r="K307" t="s">
        <v>17</v>
      </c>
      <c r="L307" t="b">
        <v>0</v>
      </c>
      <c r="N307" s="2" t="str">
        <f t="shared" si="21"/>
        <v/>
      </c>
      <c r="Q307" t="str">
        <f t="shared" si="22"/>
        <v/>
      </c>
    </row>
    <row r="308" spans="1:17" hidden="1">
      <c r="A308" t="s">
        <v>412</v>
      </c>
      <c r="B308" s="1">
        <v>44966</v>
      </c>
      <c r="C308">
        <v>2023</v>
      </c>
      <c r="D308">
        <v>2</v>
      </c>
      <c r="E308" t="s">
        <v>37</v>
      </c>
      <c r="F308" t="s">
        <v>14</v>
      </c>
      <c r="G308" t="s">
        <v>62</v>
      </c>
      <c r="H308" t="s">
        <v>121</v>
      </c>
      <c r="I308">
        <v>6169.6</v>
      </c>
      <c r="J308">
        <v>5586.07</v>
      </c>
      <c r="K308" t="s">
        <v>17</v>
      </c>
      <c r="L308" t="b">
        <v>0</v>
      </c>
      <c r="N308" s="2" t="str">
        <f t="shared" si="21"/>
        <v/>
      </c>
      <c r="Q308" t="str">
        <f t="shared" si="22"/>
        <v/>
      </c>
    </row>
    <row r="309" spans="1:17" hidden="1">
      <c r="A309" t="s">
        <v>413</v>
      </c>
      <c r="B309" s="1">
        <v>44966</v>
      </c>
      <c r="C309">
        <v>2023</v>
      </c>
      <c r="D309">
        <v>2</v>
      </c>
      <c r="E309" t="s">
        <v>37</v>
      </c>
      <c r="F309" t="s">
        <v>14</v>
      </c>
      <c r="G309" t="s">
        <v>62</v>
      </c>
      <c r="H309" t="s">
        <v>63</v>
      </c>
      <c r="I309">
        <v>4699.59</v>
      </c>
      <c r="J309">
        <v>4908.51</v>
      </c>
      <c r="K309" t="s">
        <v>17</v>
      </c>
      <c r="L309" t="b">
        <v>0</v>
      </c>
      <c r="N309" s="2" t="str">
        <f t="shared" si="21"/>
        <v/>
      </c>
      <c r="Q309" t="str">
        <f t="shared" si="22"/>
        <v/>
      </c>
    </row>
    <row r="310" spans="1:17" hidden="1">
      <c r="A310" t="s">
        <v>414</v>
      </c>
      <c r="B310" s="1">
        <v>44967</v>
      </c>
      <c r="C310">
        <v>2023</v>
      </c>
      <c r="D310">
        <v>2</v>
      </c>
      <c r="E310" t="s">
        <v>13</v>
      </c>
      <c r="F310" t="s">
        <v>14</v>
      </c>
      <c r="G310" t="s">
        <v>68</v>
      </c>
      <c r="H310" t="s">
        <v>69</v>
      </c>
      <c r="I310">
        <v>1978.54</v>
      </c>
      <c r="J310">
        <v>1912.95</v>
      </c>
      <c r="K310" t="s">
        <v>17</v>
      </c>
      <c r="L310" t="b">
        <v>0</v>
      </c>
      <c r="N310" s="2" t="str">
        <f t="shared" si="21"/>
        <v/>
      </c>
      <c r="Q310" t="str">
        <f t="shared" si="22"/>
        <v/>
      </c>
    </row>
    <row r="311" spans="1:17" hidden="1">
      <c r="A311" t="s">
        <v>415</v>
      </c>
      <c r="B311" s="1">
        <v>44967</v>
      </c>
      <c r="C311">
        <v>2023</v>
      </c>
      <c r="D311">
        <v>2</v>
      </c>
      <c r="E311" t="s">
        <v>13</v>
      </c>
      <c r="F311" t="s">
        <v>14</v>
      </c>
      <c r="G311" t="s">
        <v>108</v>
      </c>
      <c r="H311" t="s">
        <v>123</v>
      </c>
      <c r="I311">
        <v>4018.1</v>
      </c>
      <c r="J311">
        <v>3794.06</v>
      </c>
      <c r="K311" t="s">
        <v>17</v>
      </c>
      <c r="L311" t="b">
        <v>0</v>
      </c>
      <c r="N311" s="2" t="str">
        <f t="shared" si="21"/>
        <v/>
      </c>
      <c r="Q311" t="str">
        <f t="shared" si="22"/>
        <v/>
      </c>
    </row>
    <row r="312" spans="1:17" hidden="1">
      <c r="A312" t="s">
        <v>416</v>
      </c>
      <c r="B312" s="1">
        <v>44967</v>
      </c>
      <c r="C312">
        <v>2023</v>
      </c>
      <c r="D312">
        <v>2</v>
      </c>
      <c r="E312" t="s">
        <v>13</v>
      </c>
      <c r="F312" t="s">
        <v>14</v>
      </c>
      <c r="G312" t="s">
        <v>68</v>
      </c>
      <c r="H312" t="s">
        <v>87</v>
      </c>
      <c r="I312">
        <v>3253.19</v>
      </c>
      <c r="J312">
        <v>3529.32</v>
      </c>
      <c r="K312" t="s">
        <v>17</v>
      </c>
      <c r="L312" t="b">
        <v>0</v>
      </c>
      <c r="N312" s="2" t="str">
        <f t="shared" si="21"/>
        <v/>
      </c>
      <c r="Q312" t="str">
        <f t="shared" si="22"/>
        <v/>
      </c>
    </row>
    <row r="313" spans="1:17" hidden="1">
      <c r="A313" t="s">
        <v>417</v>
      </c>
      <c r="B313" s="1">
        <v>44967</v>
      </c>
      <c r="C313">
        <v>2023</v>
      </c>
      <c r="D313">
        <v>2</v>
      </c>
      <c r="E313" t="s">
        <v>13</v>
      </c>
      <c r="F313" t="s">
        <v>28</v>
      </c>
      <c r="G313" t="s">
        <v>68</v>
      </c>
      <c r="H313" t="s">
        <v>87</v>
      </c>
      <c r="I313">
        <v>2944.81</v>
      </c>
      <c r="J313">
        <v>2968.07</v>
      </c>
      <c r="K313" t="s">
        <v>17</v>
      </c>
      <c r="L313" t="b">
        <v>0</v>
      </c>
      <c r="N313" s="2" t="str">
        <f t="shared" si="21"/>
        <v/>
      </c>
      <c r="Q313" t="str">
        <f t="shared" si="22"/>
        <v/>
      </c>
    </row>
    <row r="314" spans="1:17" hidden="1">
      <c r="A314" t="s">
        <v>418</v>
      </c>
      <c r="B314" s="1">
        <v>44967</v>
      </c>
      <c r="C314">
        <v>2023</v>
      </c>
      <c r="D314">
        <v>2</v>
      </c>
      <c r="E314" t="s">
        <v>13</v>
      </c>
      <c r="F314" t="s">
        <v>24</v>
      </c>
      <c r="G314" t="s">
        <v>102</v>
      </c>
      <c r="H314" t="s">
        <v>278</v>
      </c>
      <c r="I314">
        <v>2391.4</v>
      </c>
      <c r="J314">
        <v>2479.0500000000002</v>
      </c>
      <c r="K314" t="s">
        <v>17</v>
      </c>
      <c r="L314" t="b">
        <v>0</v>
      </c>
      <c r="N314" s="2" t="str">
        <f t="shared" si="21"/>
        <v/>
      </c>
      <c r="Q314" t="str">
        <f t="shared" si="22"/>
        <v/>
      </c>
    </row>
    <row r="315" spans="1:17" hidden="1">
      <c r="A315" t="s">
        <v>419</v>
      </c>
      <c r="B315" s="1">
        <v>44967</v>
      </c>
      <c r="C315">
        <v>2023</v>
      </c>
      <c r="D315">
        <v>2</v>
      </c>
      <c r="E315" t="s">
        <v>47</v>
      </c>
      <c r="F315" t="s">
        <v>14</v>
      </c>
      <c r="G315" t="s">
        <v>48</v>
      </c>
      <c r="H315" t="s">
        <v>189</v>
      </c>
      <c r="I315">
        <v>18910.04</v>
      </c>
      <c r="J315">
        <v>15946.84</v>
      </c>
      <c r="K315" t="s">
        <v>17</v>
      </c>
      <c r="L315" t="b">
        <v>0</v>
      </c>
      <c r="N315" s="2" t="b">
        <f t="shared" si="21"/>
        <v>1</v>
      </c>
      <c r="O315" t="b">
        <f t="shared" ref="O315:O318" si="27">IF(AND(E304="HR",K304="EXPENSE"),I304&lt;J304,"")</f>
        <v>1</v>
      </c>
      <c r="Q315" t="str">
        <f t="shared" si="22"/>
        <v/>
      </c>
    </row>
    <row r="316" spans="1:17" hidden="1">
      <c r="A316" t="s">
        <v>420</v>
      </c>
      <c r="B316" s="1">
        <v>44967</v>
      </c>
      <c r="C316">
        <v>2023</v>
      </c>
      <c r="D316">
        <v>2</v>
      </c>
      <c r="E316" t="s">
        <v>47</v>
      </c>
      <c r="F316" t="s">
        <v>24</v>
      </c>
      <c r="G316" t="s">
        <v>48</v>
      </c>
      <c r="H316" t="s">
        <v>49</v>
      </c>
      <c r="I316">
        <v>13010.17</v>
      </c>
      <c r="J316">
        <v>10930.96</v>
      </c>
      <c r="K316" t="s">
        <v>17</v>
      </c>
      <c r="L316" t="b">
        <v>0</v>
      </c>
      <c r="N316" s="2" t="b">
        <f t="shared" si="21"/>
        <v>1</v>
      </c>
      <c r="O316" t="str">
        <f t="shared" si="27"/>
        <v/>
      </c>
      <c r="Q316" t="str">
        <f t="shared" si="22"/>
        <v/>
      </c>
    </row>
    <row r="317" spans="1:17" hidden="1">
      <c r="A317" t="s">
        <v>421</v>
      </c>
      <c r="B317" s="1">
        <v>44967</v>
      </c>
      <c r="C317">
        <v>2023</v>
      </c>
      <c r="D317">
        <v>2</v>
      </c>
      <c r="E317" t="s">
        <v>47</v>
      </c>
      <c r="F317" t="s">
        <v>24</v>
      </c>
      <c r="G317" t="s">
        <v>77</v>
      </c>
      <c r="H317" t="s">
        <v>130</v>
      </c>
      <c r="I317">
        <v>16433.060000000001</v>
      </c>
      <c r="J317">
        <v>13667.65</v>
      </c>
      <c r="K317" t="s">
        <v>17</v>
      </c>
      <c r="L317" t="b">
        <v>0</v>
      </c>
      <c r="N317" s="2" t="b">
        <f t="shared" si="21"/>
        <v>1</v>
      </c>
      <c r="O317" t="str">
        <f t="shared" si="27"/>
        <v/>
      </c>
      <c r="Q317" t="str">
        <f t="shared" si="22"/>
        <v/>
      </c>
    </row>
    <row r="318" spans="1:17" hidden="1">
      <c r="A318" t="s">
        <v>422</v>
      </c>
      <c r="B318" s="1">
        <v>44967</v>
      </c>
      <c r="C318">
        <v>2023</v>
      </c>
      <c r="D318">
        <v>2</v>
      </c>
      <c r="E318" t="s">
        <v>47</v>
      </c>
      <c r="F318" t="s">
        <v>24</v>
      </c>
      <c r="G318" t="s">
        <v>91</v>
      </c>
      <c r="H318" t="s">
        <v>128</v>
      </c>
      <c r="I318">
        <v>9255.1</v>
      </c>
      <c r="J318">
        <v>8031.52</v>
      </c>
      <c r="K318" t="s">
        <v>17</v>
      </c>
      <c r="L318" t="b">
        <v>0</v>
      </c>
      <c r="N318" s="2" t="b">
        <f t="shared" si="21"/>
        <v>1</v>
      </c>
      <c r="O318" t="str">
        <f t="shared" si="27"/>
        <v/>
      </c>
      <c r="Q318" t="str">
        <f t="shared" si="22"/>
        <v/>
      </c>
    </row>
    <row r="319" spans="1:17" hidden="1">
      <c r="A319" t="s">
        <v>423</v>
      </c>
      <c r="B319" s="1">
        <v>44967</v>
      </c>
      <c r="C319">
        <v>2023</v>
      </c>
      <c r="D319">
        <v>2</v>
      </c>
      <c r="E319" t="s">
        <v>19</v>
      </c>
      <c r="F319" t="s">
        <v>14</v>
      </c>
      <c r="G319" t="s">
        <v>54</v>
      </c>
      <c r="H319" t="s">
        <v>163</v>
      </c>
      <c r="I319">
        <v>4484.6499999999996</v>
      </c>
      <c r="J319">
        <v>4170.6499999999996</v>
      </c>
      <c r="K319" t="s">
        <v>17</v>
      </c>
      <c r="L319" t="b">
        <v>0</v>
      </c>
      <c r="N319" s="2" t="str">
        <f t="shared" si="21"/>
        <v/>
      </c>
      <c r="Q319" t="str">
        <f t="shared" si="22"/>
        <v/>
      </c>
    </row>
    <row r="320" spans="1:17" hidden="1">
      <c r="A320" t="s">
        <v>424</v>
      </c>
      <c r="B320" s="1">
        <v>44967</v>
      </c>
      <c r="C320">
        <v>2023</v>
      </c>
      <c r="D320">
        <v>2</v>
      </c>
      <c r="E320" t="s">
        <v>23</v>
      </c>
      <c r="F320" t="s">
        <v>14</v>
      </c>
      <c r="G320" t="s">
        <v>25</v>
      </c>
      <c r="H320" t="s">
        <v>95</v>
      </c>
      <c r="I320">
        <v>3912.22</v>
      </c>
      <c r="J320">
        <v>4166.2700000000004</v>
      </c>
      <c r="K320" t="s">
        <v>17</v>
      </c>
      <c r="L320" t="b">
        <v>0</v>
      </c>
      <c r="N320" s="2" t="str">
        <f t="shared" si="21"/>
        <v/>
      </c>
      <c r="Q320" t="str">
        <f t="shared" si="22"/>
        <v/>
      </c>
    </row>
    <row r="321" spans="1:17" hidden="1">
      <c r="A321" t="s">
        <v>425</v>
      </c>
      <c r="B321" s="1">
        <v>44967</v>
      </c>
      <c r="C321">
        <v>2023</v>
      </c>
      <c r="D321">
        <v>2</v>
      </c>
      <c r="E321" t="s">
        <v>37</v>
      </c>
      <c r="F321" t="s">
        <v>14</v>
      </c>
      <c r="G321" t="s">
        <v>98</v>
      </c>
      <c r="H321" t="s">
        <v>185</v>
      </c>
      <c r="I321">
        <v>6449.16</v>
      </c>
      <c r="J321">
        <v>6068.64</v>
      </c>
      <c r="K321" t="s">
        <v>17</v>
      </c>
      <c r="L321" t="b">
        <v>0</v>
      </c>
      <c r="N321" s="2" t="str">
        <f t="shared" si="21"/>
        <v/>
      </c>
      <c r="Q321" t="str">
        <f t="shared" si="22"/>
        <v/>
      </c>
    </row>
    <row r="322" spans="1:17" hidden="1">
      <c r="A322" t="s">
        <v>426</v>
      </c>
      <c r="B322" s="1">
        <v>44967</v>
      </c>
      <c r="C322">
        <v>2023</v>
      </c>
      <c r="D322">
        <v>2</v>
      </c>
      <c r="E322" t="s">
        <v>37</v>
      </c>
      <c r="F322" t="s">
        <v>28</v>
      </c>
      <c r="G322" t="s">
        <v>38</v>
      </c>
      <c r="H322" t="s">
        <v>39</v>
      </c>
      <c r="I322">
        <v>4048.92</v>
      </c>
      <c r="J322">
        <v>4347.3</v>
      </c>
      <c r="K322" t="s">
        <v>17</v>
      </c>
      <c r="L322" t="b">
        <v>0</v>
      </c>
      <c r="N322" s="2" t="str">
        <f t="shared" si="21"/>
        <v/>
      </c>
      <c r="Q322" t="str">
        <f t="shared" si="22"/>
        <v/>
      </c>
    </row>
    <row r="323" spans="1:17" hidden="1">
      <c r="A323" t="s">
        <v>427</v>
      </c>
      <c r="B323" s="1">
        <v>44968</v>
      </c>
      <c r="C323">
        <v>2023</v>
      </c>
      <c r="D323">
        <v>2</v>
      </c>
      <c r="E323" t="s">
        <v>13</v>
      </c>
      <c r="F323" t="s">
        <v>28</v>
      </c>
      <c r="G323" t="s">
        <v>108</v>
      </c>
      <c r="H323" t="s">
        <v>123</v>
      </c>
      <c r="I323">
        <v>1654</v>
      </c>
      <c r="J323">
        <v>1560.8</v>
      </c>
      <c r="K323" t="s">
        <v>17</v>
      </c>
      <c r="L323" t="b">
        <v>0</v>
      </c>
      <c r="N323" s="2" t="str">
        <f t="shared" ref="N323:N386" si="28">IF(AND(E323="IT",K323="EXPENSE"),I323&gt;J323,"")</f>
        <v/>
      </c>
      <c r="Q323" t="str">
        <f t="shared" ref="Q323:Q386" si="29">IF(L323=TRUE,OR(H323="Apex Solutions Inc",H323="Global Trade Partners",H323="NovaTech Services"),"")</f>
        <v/>
      </c>
    </row>
    <row r="324" spans="1:17" hidden="1">
      <c r="A324" t="s">
        <v>428</v>
      </c>
      <c r="B324" s="1">
        <v>44968</v>
      </c>
      <c r="C324">
        <v>2023</v>
      </c>
      <c r="D324">
        <v>2</v>
      </c>
      <c r="E324" t="s">
        <v>23</v>
      </c>
      <c r="F324" t="s">
        <v>24</v>
      </c>
      <c r="G324" t="s">
        <v>141</v>
      </c>
      <c r="H324" t="s">
        <v>142</v>
      </c>
      <c r="I324">
        <v>5411.06</v>
      </c>
      <c r="J324">
        <v>5268.77</v>
      </c>
      <c r="K324" t="s">
        <v>17</v>
      </c>
      <c r="L324" t="b">
        <v>0</v>
      </c>
      <c r="N324" s="2" t="str">
        <f t="shared" si="28"/>
        <v/>
      </c>
      <c r="Q324" t="str">
        <f t="shared" si="29"/>
        <v/>
      </c>
    </row>
    <row r="325" spans="1:17" hidden="1">
      <c r="A325" t="s">
        <v>429</v>
      </c>
      <c r="B325" s="1">
        <v>44968</v>
      </c>
      <c r="C325">
        <v>2023</v>
      </c>
      <c r="D325">
        <v>2</v>
      </c>
      <c r="E325" t="s">
        <v>37</v>
      </c>
      <c r="F325" t="s">
        <v>14</v>
      </c>
      <c r="G325" t="s">
        <v>38</v>
      </c>
      <c r="H325" t="s">
        <v>118</v>
      </c>
      <c r="I325">
        <v>6879.99</v>
      </c>
      <c r="J325">
        <v>6798.48</v>
      </c>
      <c r="K325" t="s">
        <v>17</v>
      </c>
      <c r="L325" t="b">
        <v>0</v>
      </c>
      <c r="N325" s="2" t="str">
        <f t="shared" si="28"/>
        <v/>
      </c>
      <c r="Q325" t="str">
        <f t="shared" si="29"/>
        <v/>
      </c>
    </row>
    <row r="326" spans="1:17" hidden="1">
      <c r="A326" t="s">
        <v>430</v>
      </c>
      <c r="B326" s="1">
        <v>44968</v>
      </c>
      <c r="C326">
        <v>2023</v>
      </c>
      <c r="D326">
        <v>2</v>
      </c>
      <c r="E326" t="s">
        <v>37</v>
      </c>
      <c r="F326" t="s">
        <v>28</v>
      </c>
      <c r="G326" t="s">
        <v>41</v>
      </c>
      <c r="H326" t="s">
        <v>42</v>
      </c>
      <c r="I326">
        <v>4863.63</v>
      </c>
      <c r="J326">
        <v>4399.13</v>
      </c>
      <c r="K326" t="s">
        <v>17</v>
      </c>
      <c r="L326" t="b">
        <v>0</v>
      </c>
      <c r="N326" s="2" t="str">
        <f t="shared" si="28"/>
        <v/>
      </c>
      <c r="Q326" t="str">
        <f t="shared" si="29"/>
        <v/>
      </c>
    </row>
    <row r="327" spans="1:17" hidden="1">
      <c r="A327" t="s">
        <v>431</v>
      </c>
      <c r="B327" s="1">
        <v>44968</v>
      </c>
      <c r="C327">
        <v>2023</v>
      </c>
      <c r="D327">
        <v>2</v>
      </c>
      <c r="E327" t="s">
        <v>37</v>
      </c>
      <c r="F327" t="s">
        <v>28</v>
      </c>
      <c r="G327" t="s">
        <v>41</v>
      </c>
      <c r="H327" t="s">
        <v>42</v>
      </c>
      <c r="I327">
        <v>5048.21</v>
      </c>
      <c r="J327">
        <v>5182.97</v>
      </c>
      <c r="K327" t="s">
        <v>17</v>
      </c>
      <c r="L327" t="b">
        <v>0</v>
      </c>
      <c r="N327" s="2" t="str">
        <f t="shared" si="28"/>
        <v/>
      </c>
      <c r="Q327" t="str">
        <f t="shared" si="29"/>
        <v/>
      </c>
    </row>
    <row r="328" spans="1:17" hidden="1">
      <c r="A328" t="s">
        <v>432</v>
      </c>
      <c r="B328" s="1">
        <v>44969</v>
      </c>
      <c r="C328">
        <v>2023</v>
      </c>
      <c r="D328">
        <v>2</v>
      </c>
      <c r="E328" t="s">
        <v>13</v>
      </c>
      <c r="F328" t="s">
        <v>24</v>
      </c>
      <c r="G328" t="s">
        <v>15</v>
      </c>
      <c r="H328" t="s">
        <v>45</v>
      </c>
      <c r="I328">
        <v>3096.17</v>
      </c>
      <c r="J328">
        <v>3371.57</v>
      </c>
      <c r="K328" t="s">
        <v>17</v>
      </c>
      <c r="L328" t="b">
        <v>0</v>
      </c>
      <c r="N328" s="2" t="str">
        <f t="shared" si="28"/>
        <v/>
      </c>
      <c r="Q328" t="str">
        <f t="shared" si="29"/>
        <v/>
      </c>
    </row>
    <row r="329" spans="1:17" hidden="1">
      <c r="A329" t="s">
        <v>433</v>
      </c>
      <c r="B329" s="1">
        <v>44969</v>
      </c>
      <c r="C329">
        <v>2023</v>
      </c>
      <c r="D329">
        <v>2</v>
      </c>
      <c r="E329" t="s">
        <v>13</v>
      </c>
      <c r="F329" t="s">
        <v>24</v>
      </c>
      <c r="G329" t="s">
        <v>102</v>
      </c>
      <c r="H329" t="s">
        <v>278</v>
      </c>
      <c r="I329">
        <v>2913</v>
      </c>
      <c r="J329">
        <v>3027.2</v>
      </c>
      <c r="K329" t="s">
        <v>17</v>
      </c>
      <c r="L329" t="b">
        <v>0</v>
      </c>
      <c r="N329" s="2" t="str">
        <f t="shared" si="28"/>
        <v/>
      </c>
      <c r="Q329" t="str">
        <f t="shared" si="29"/>
        <v/>
      </c>
    </row>
    <row r="330" spans="1:17" hidden="1">
      <c r="A330" t="s">
        <v>434</v>
      </c>
      <c r="B330" s="1">
        <v>44969</v>
      </c>
      <c r="C330">
        <v>2023</v>
      </c>
      <c r="D330">
        <v>2</v>
      </c>
      <c r="E330" t="s">
        <v>47</v>
      </c>
      <c r="F330" t="s">
        <v>14</v>
      </c>
      <c r="G330" t="s">
        <v>77</v>
      </c>
      <c r="H330" t="s">
        <v>78</v>
      </c>
      <c r="I330">
        <v>17764.21</v>
      </c>
      <c r="J330">
        <v>14914.39</v>
      </c>
      <c r="K330" t="s">
        <v>17</v>
      </c>
      <c r="L330" t="b">
        <v>0</v>
      </c>
      <c r="N330" s="2" t="b">
        <f t="shared" si="28"/>
        <v>1</v>
      </c>
      <c r="O330" t="str">
        <f t="shared" ref="O330:O331" si="30">IF(AND(E319="HR",K319="EXPENSE"),I319&lt;J319,"")</f>
        <v/>
      </c>
      <c r="Q330" t="str">
        <f t="shared" si="29"/>
        <v/>
      </c>
    </row>
    <row r="331" spans="1:17" hidden="1">
      <c r="A331" t="s">
        <v>435</v>
      </c>
      <c r="B331" s="1">
        <v>44969</v>
      </c>
      <c r="C331">
        <v>2023</v>
      </c>
      <c r="D331">
        <v>2</v>
      </c>
      <c r="E331" t="s">
        <v>47</v>
      </c>
      <c r="F331" t="s">
        <v>28</v>
      </c>
      <c r="G331" t="s">
        <v>77</v>
      </c>
      <c r="H331" t="s">
        <v>147</v>
      </c>
      <c r="I331">
        <v>10159.02</v>
      </c>
      <c r="J331">
        <v>8556.5400000000009</v>
      </c>
      <c r="K331" t="s">
        <v>17</v>
      </c>
      <c r="L331" t="b">
        <v>0</v>
      </c>
      <c r="N331" s="2" t="b">
        <f t="shared" si="28"/>
        <v>1</v>
      </c>
      <c r="O331" t="str">
        <f t="shared" si="30"/>
        <v/>
      </c>
      <c r="Q331" t="str">
        <f t="shared" si="29"/>
        <v/>
      </c>
    </row>
    <row r="332" spans="1:17" hidden="1">
      <c r="A332" t="s">
        <v>436</v>
      </c>
      <c r="B332" s="1">
        <v>44969</v>
      </c>
      <c r="C332">
        <v>2023</v>
      </c>
      <c r="D332">
        <v>2</v>
      </c>
      <c r="E332" t="s">
        <v>23</v>
      </c>
      <c r="F332" t="s">
        <v>14</v>
      </c>
      <c r="G332" t="s">
        <v>30</v>
      </c>
      <c r="H332" t="s">
        <v>31</v>
      </c>
      <c r="I332">
        <v>5300.03</v>
      </c>
      <c r="J332">
        <v>5467.99</v>
      </c>
      <c r="K332" t="s">
        <v>17</v>
      </c>
      <c r="L332" t="b">
        <v>0</v>
      </c>
      <c r="N332" s="2" t="str">
        <f t="shared" si="28"/>
        <v/>
      </c>
      <c r="Q332" t="str">
        <f t="shared" si="29"/>
        <v/>
      </c>
    </row>
    <row r="333" spans="1:17" hidden="1">
      <c r="A333" t="s">
        <v>437</v>
      </c>
      <c r="B333" s="1">
        <v>44970</v>
      </c>
      <c r="C333">
        <v>2023</v>
      </c>
      <c r="D333">
        <v>2</v>
      </c>
      <c r="E333" t="s">
        <v>13</v>
      </c>
      <c r="F333" t="s">
        <v>24</v>
      </c>
      <c r="G333" t="s">
        <v>68</v>
      </c>
      <c r="H333" t="s">
        <v>87</v>
      </c>
      <c r="I333">
        <v>2841.01</v>
      </c>
      <c r="J333">
        <v>3061.9</v>
      </c>
      <c r="K333" t="s">
        <v>17</v>
      </c>
      <c r="L333" t="b">
        <v>0</v>
      </c>
      <c r="N333" s="2" t="str">
        <f t="shared" si="28"/>
        <v/>
      </c>
      <c r="Q333" t="str">
        <f t="shared" si="29"/>
        <v/>
      </c>
    </row>
    <row r="334" spans="1:17" hidden="1">
      <c r="A334" t="s">
        <v>438</v>
      </c>
      <c r="B334" s="1">
        <v>44970</v>
      </c>
      <c r="C334">
        <v>2023</v>
      </c>
      <c r="D334">
        <v>2</v>
      </c>
      <c r="E334" t="s">
        <v>47</v>
      </c>
      <c r="F334" t="s">
        <v>14</v>
      </c>
      <c r="G334" t="s">
        <v>91</v>
      </c>
      <c r="H334" t="s">
        <v>254</v>
      </c>
      <c r="I334">
        <v>20719.64</v>
      </c>
      <c r="J334">
        <v>17726.560000000001</v>
      </c>
      <c r="K334" t="s">
        <v>17</v>
      </c>
      <c r="L334" t="b">
        <v>0</v>
      </c>
      <c r="N334" s="2" t="b">
        <f t="shared" si="28"/>
        <v>1</v>
      </c>
      <c r="O334" t="b">
        <f>IF(AND(E323="HR",K323="EXPENSE"),I323&lt;J323,"")</f>
        <v>0</v>
      </c>
      <c r="Q334" t="str">
        <f t="shared" si="29"/>
        <v/>
      </c>
    </row>
    <row r="335" spans="1:17" hidden="1">
      <c r="A335" t="s">
        <v>439</v>
      </c>
      <c r="B335" s="1">
        <v>44970</v>
      </c>
      <c r="C335">
        <v>2023</v>
      </c>
      <c r="D335">
        <v>2</v>
      </c>
      <c r="E335" t="s">
        <v>37</v>
      </c>
      <c r="F335" t="s">
        <v>28</v>
      </c>
      <c r="G335" t="s">
        <v>41</v>
      </c>
      <c r="H335" t="s">
        <v>42</v>
      </c>
      <c r="I335">
        <v>2863.33</v>
      </c>
      <c r="J335">
        <v>2934.42</v>
      </c>
      <c r="K335" t="s">
        <v>17</v>
      </c>
      <c r="L335" t="b">
        <v>0</v>
      </c>
      <c r="N335" s="2" t="str">
        <f t="shared" si="28"/>
        <v/>
      </c>
      <c r="Q335" t="str">
        <f t="shared" si="29"/>
        <v/>
      </c>
    </row>
    <row r="336" spans="1:17" hidden="1">
      <c r="A336" t="s">
        <v>440</v>
      </c>
      <c r="B336" s="1">
        <v>44970</v>
      </c>
      <c r="C336">
        <v>2023</v>
      </c>
      <c r="D336">
        <v>2</v>
      </c>
      <c r="E336" t="s">
        <v>37</v>
      </c>
      <c r="F336" t="s">
        <v>14</v>
      </c>
      <c r="G336" t="s">
        <v>83</v>
      </c>
      <c r="H336" t="s">
        <v>84</v>
      </c>
      <c r="I336">
        <v>233702.42</v>
      </c>
      <c r="J336">
        <v>222017.29</v>
      </c>
      <c r="K336" t="s">
        <v>85</v>
      </c>
      <c r="L336" t="b">
        <v>0</v>
      </c>
      <c r="N336" s="2" t="str">
        <f t="shared" si="28"/>
        <v/>
      </c>
      <c r="Q336" t="str">
        <f t="shared" si="29"/>
        <v/>
      </c>
    </row>
    <row r="337" spans="1:17" hidden="1">
      <c r="A337" t="s">
        <v>441</v>
      </c>
      <c r="B337" s="1">
        <v>44971</v>
      </c>
      <c r="C337">
        <v>2023</v>
      </c>
      <c r="D337">
        <v>2</v>
      </c>
      <c r="E337" t="s">
        <v>13</v>
      </c>
      <c r="F337" t="s">
        <v>14</v>
      </c>
      <c r="G337" t="s">
        <v>68</v>
      </c>
      <c r="H337" t="s">
        <v>213</v>
      </c>
      <c r="I337">
        <v>2842.1</v>
      </c>
      <c r="J337">
        <v>2971.81</v>
      </c>
      <c r="K337" t="s">
        <v>17</v>
      </c>
      <c r="L337" t="b">
        <v>0</v>
      </c>
      <c r="N337" s="2" t="str">
        <f t="shared" si="28"/>
        <v/>
      </c>
      <c r="Q337" t="str">
        <f t="shared" si="29"/>
        <v/>
      </c>
    </row>
    <row r="338" spans="1:17" hidden="1">
      <c r="A338" t="s">
        <v>442</v>
      </c>
      <c r="B338" s="1">
        <v>44971</v>
      </c>
      <c r="C338">
        <v>2023</v>
      </c>
      <c r="D338">
        <v>2</v>
      </c>
      <c r="E338" t="s">
        <v>19</v>
      </c>
      <c r="F338" t="s">
        <v>14</v>
      </c>
      <c r="G338" t="s">
        <v>132</v>
      </c>
      <c r="H338" t="s">
        <v>171</v>
      </c>
      <c r="I338">
        <v>4764.1400000000003</v>
      </c>
      <c r="J338">
        <v>4836.83</v>
      </c>
      <c r="K338" t="s">
        <v>17</v>
      </c>
      <c r="L338" t="b">
        <v>0</v>
      </c>
      <c r="N338" s="2" t="str">
        <f t="shared" si="28"/>
        <v/>
      </c>
      <c r="Q338" t="str">
        <f t="shared" si="29"/>
        <v/>
      </c>
    </row>
    <row r="339" spans="1:17" hidden="1">
      <c r="A339" t="s">
        <v>443</v>
      </c>
      <c r="B339" s="1">
        <v>44971</v>
      </c>
      <c r="C339">
        <v>2023</v>
      </c>
      <c r="D339">
        <v>2</v>
      </c>
      <c r="E339" t="s">
        <v>23</v>
      </c>
      <c r="F339" t="s">
        <v>24</v>
      </c>
      <c r="G339" t="s">
        <v>30</v>
      </c>
      <c r="H339" t="s">
        <v>31</v>
      </c>
      <c r="I339">
        <v>5007.82</v>
      </c>
      <c r="J339">
        <v>5372.75</v>
      </c>
      <c r="K339" t="s">
        <v>17</v>
      </c>
      <c r="L339" t="b">
        <v>0</v>
      </c>
      <c r="N339" s="2" t="str">
        <f t="shared" si="28"/>
        <v/>
      </c>
      <c r="Q339" t="str">
        <f t="shared" si="29"/>
        <v/>
      </c>
    </row>
    <row r="340" spans="1:17" hidden="1">
      <c r="A340" t="s">
        <v>444</v>
      </c>
      <c r="B340" s="1">
        <v>44971</v>
      </c>
      <c r="C340">
        <v>2023</v>
      </c>
      <c r="D340">
        <v>2</v>
      </c>
      <c r="E340" t="s">
        <v>23</v>
      </c>
      <c r="F340" t="s">
        <v>24</v>
      </c>
      <c r="G340" t="s">
        <v>25</v>
      </c>
      <c r="H340" t="s">
        <v>26</v>
      </c>
      <c r="I340">
        <v>5983.87</v>
      </c>
      <c r="J340">
        <v>5607.51</v>
      </c>
      <c r="K340" t="s">
        <v>17</v>
      </c>
      <c r="L340" t="b">
        <v>0</v>
      </c>
      <c r="N340" s="2" t="str">
        <f t="shared" si="28"/>
        <v/>
      </c>
      <c r="Q340" t="str">
        <f t="shared" si="29"/>
        <v/>
      </c>
    </row>
    <row r="341" spans="1:17" hidden="1">
      <c r="A341" t="s">
        <v>445</v>
      </c>
      <c r="B341" s="1">
        <v>44971</v>
      </c>
      <c r="C341">
        <v>2023</v>
      </c>
      <c r="D341">
        <v>2</v>
      </c>
      <c r="E341" t="s">
        <v>37</v>
      </c>
      <c r="F341" t="s">
        <v>14</v>
      </c>
      <c r="G341" t="s">
        <v>98</v>
      </c>
      <c r="H341" t="s">
        <v>99</v>
      </c>
      <c r="I341">
        <v>2408.2600000000002</v>
      </c>
      <c r="J341">
        <v>2255.06</v>
      </c>
      <c r="K341" t="s">
        <v>17</v>
      </c>
      <c r="L341" t="b">
        <v>0</v>
      </c>
      <c r="N341" s="2" t="str">
        <f t="shared" si="28"/>
        <v/>
      </c>
      <c r="Q341" t="str">
        <f t="shared" si="29"/>
        <v/>
      </c>
    </row>
    <row r="342" spans="1:17" hidden="1">
      <c r="A342" t="s">
        <v>446</v>
      </c>
      <c r="B342" s="1">
        <v>44972</v>
      </c>
      <c r="C342">
        <v>2023</v>
      </c>
      <c r="D342">
        <v>2</v>
      </c>
      <c r="E342" t="s">
        <v>13</v>
      </c>
      <c r="F342" t="s">
        <v>14</v>
      </c>
      <c r="G342" t="s">
        <v>15</v>
      </c>
      <c r="H342" t="s">
        <v>89</v>
      </c>
      <c r="I342">
        <v>3027.74</v>
      </c>
      <c r="J342">
        <v>3213.37</v>
      </c>
      <c r="K342" t="s">
        <v>17</v>
      </c>
      <c r="L342" t="b">
        <v>0</v>
      </c>
      <c r="N342" s="2" t="str">
        <f t="shared" si="28"/>
        <v/>
      </c>
      <c r="Q342" t="str">
        <f t="shared" si="29"/>
        <v/>
      </c>
    </row>
    <row r="343" spans="1:17" hidden="1">
      <c r="A343" t="s">
        <v>447</v>
      </c>
      <c r="B343" s="1">
        <v>44972</v>
      </c>
      <c r="C343">
        <v>2023</v>
      </c>
      <c r="D343">
        <v>2</v>
      </c>
      <c r="E343" t="s">
        <v>13</v>
      </c>
      <c r="F343" t="s">
        <v>14</v>
      </c>
      <c r="G343" t="s">
        <v>15</v>
      </c>
      <c r="H343" t="s">
        <v>89</v>
      </c>
      <c r="I343">
        <v>3747.18</v>
      </c>
      <c r="J343">
        <v>3895.14</v>
      </c>
      <c r="K343" t="s">
        <v>17</v>
      </c>
      <c r="L343" t="b">
        <v>0</v>
      </c>
      <c r="N343" s="2" t="str">
        <f t="shared" si="28"/>
        <v/>
      </c>
      <c r="Q343" t="str">
        <f t="shared" si="29"/>
        <v/>
      </c>
    </row>
    <row r="344" spans="1:17" hidden="1">
      <c r="A344" t="s">
        <v>448</v>
      </c>
      <c r="B344" s="1">
        <v>44972</v>
      </c>
      <c r="C344">
        <v>2023</v>
      </c>
      <c r="D344">
        <v>2</v>
      </c>
      <c r="E344" t="s">
        <v>13</v>
      </c>
      <c r="F344" t="s">
        <v>24</v>
      </c>
      <c r="G344" t="s">
        <v>68</v>
      </c>
      <c r="H344" t="s">
        <v>69</v>
      </c>
      <c r="I344">
        <v>4399.6499999999996</v>
      </c>
      <c r="J344">
        <v>4153.6899999999996</v>
      </c>
      <c r="K344" t="s">
        <v>17</v>
      </c>
      <c r="L344" t="b">
        <v>0</v>
      </c>
      <c r="N344" s="2" t="str">
        <f t="shared" si="28"/>
        <v/>
      </c>
      <c r="Q344" t="str">
        <f t="shared" si="29"/>
        <v/>
      </c>
    </row>
    <row r="345" spans="1:17" hidden="1">
      <c r="A345" t="s">
        <v>449</v>
      </c>
      <c r="B345" s="1">
        <v>44972</v>
      </c>
      <c r="C345">
        <v>2023</v>
      </c>
      <c r="D345">
        <v>2</v>
      </c>
      <c r="E345" t="s">
        <v>47</v>
      </c>
      <c r="F345" t="s">
        <v>28</v>
      </c>
      <c r="G345" t="s">
        <v>91</v>
      </c>
      <c r="H345" t="s">
        <v>254</v>
      </c>
      <c r="I345">
        <v>5474.36</v>
      </c>
      <c r="J345">
        <v>4728.07</v>
      </c>
      <c r="K345" t="s">
        <v>17</v>
      </c>
      <c r="L345" t="b">
        <v>0</v>
      </c>
      <c r="N345" s="2" t="b">
        <f t="shared" si="28"/>
        <v>1</v>
      </c>
      <c r="O345" t="str">
        <f>IF(AND(E334="HR",K334="EXPENSE"),I334&lt;J334,"")</f>
        <v/>
      </c>
      <c r="Q345" t="str">
        <f t="shared" si="29"/>
        <v/>
      </c>
    </row>
    <row r="346" spans="1:17" hidden="1">
      <c r="A346" t="s">
        <v>450</v>
      </c>
      <c r="B346" s="1">
        <v>44972</v>
      </c>
      <c r="C346">
        <v>2023</v>
      </c>
      <c r="D346">
        <v>2</v>
      </c>
      <c r="E346" t="s">
        <v>19</v>
      </c>
      <c r="F346" t="s">
        <v>14</v>
      </c>
      <c r="G346" t="s">
        <v>80</v>
      </c>
      <c r="H346" t="s">
        <v>113</v>
      </c>
      <c r="I346">
        <v>7061.15</v>
      </c>
      <c r="J346">
        <v>7371.9</v>
      </c>
      <c r="K346" t="s">
        <v>17</v>
      </c>
      <c r="L346" t="b">
        <v>0</v>
      </c>
      <c r="N346" s="2" t="str">
        <f t="shared" si="28"/>
        <v/>
      </c>
      <c r="Q346" t="str">
        <f t="shared" si="29"/>
        <v/>
      </c>
    </row>
    <row r="347" spans="1:17" hidden="1">
      <c r="A347" t="s">
        <v>451</v>
      </c>
      <c r="B347" s="1">
        <v>44972</v>
      </c>
      <c r="C347">
        <v>2023</v>
      </c>
      <c r="D347">
        <v>2</v>
      </c>
      <c r="E347" t="s">
        <v>19</v>
      </c>
      <c r="F347" t="s">
        <v>14</v>
      </c>
      <c r="G347" t="s">
        <v>80</v>
      </c>
      <c r="H347" t="s">
        <v>113</v>
      </c>
      <c r="I347">
        <v>7014.81</v>
      </c>
      <c r="J347">
        <v>7607.56</v>
      </c>
      <c r="K347" t="s">
        <v>17</v>
      </c>
      <c r="L347" t="b">
        <v>0</v>
      </c>
      <c r="N347" s="2" t="str">
        <f t="shared" si="28"/>
        <v/>
      </c>
      <c r="Q347" t="str">
        <f t="shared" si="29"/>
        <v/>
      </c>
    </row>
    <row r="348" spans="1:17" hidden="1">
      <c r="A348" t="s">
        <v>452</v>
      </c>
      <c r="B348" s="1">
        <v>44972</v>
      </c>
      <c r="C348">
        <v>2023</v>
      </c>
      <c r="D348">
        <v>2</v>
      </c>
      <c r="E348" t="s">
        <v>23</v>
      </c>
      <c r="F348" t="s">
        <v>14</v>
      </c>
      <c r="G348" t="s">
        <v>59</v>
      </c>
      <c r="H348" t="s">
        <v>155</v>
      </c>
      <c r="I348">
        <v>6914.61</v>
      </c>
      <c r="J348">
        <v>6442.49</v>
      </c>
      <c r="K348" t="s">
        <v>17</v>
      </c>
      <c r="L348" t="b">
        <v>0</v>
      </c>
      <c r="N348" s="2" t="str">
        <f t="shared" si="28"/>
        <v/>
      </c>
      <c r="Q348" t="str">
        <f t="shared" si="29"/>
        <v/>
      </c>
    </row>
    <row r="349" spans="1:17" hidden="1">
      <c r="A349" t="s">
        <v>453</v>
      </c>
      <c r="B349" s="1">
        <v>44972</v>
      </c>
      <c r="C349">
        <v>2023</v>
      </c>
      <c r="D349">
        <v>2</v>
      </c>
      <c r="E349" t="s">
        <v>23</v>
      </c>
      <c r="F349" t="s">
        <v>28</v>
      </c>
      <c r="G349" t="s">
        <v>25</v>
      </c>
      <c r="H349" t="s">
        <v>26</v>
      </c>
      <c r="I349">
        <v>5273.33</v>
      </c>
      <c r="J349">
        <v>4769.33</v>
      </c>
      <c r="K349" t="s">
        <v>17</v>
      </c>
      <c r="L349" t="b">
        <v>0</v>
      </c>
      <c r="N349" s="2" t="str">
        <f t="shared" si="28"/>
        <v/>
      </c>
      <c r="Q349" t="str">
        <f t="shared" si="29"/>
        <v/>
      </c>
    </row>
    <row r="350" spans="1:17" hidden="1">
      <c r="A350" t="s">
        <v>454</v>
      </c>
      <c r="B350" s="1">
        <v>44972</v>
      </c>
      <c r="C350">
        <v>2023</v>
      </c>
      <c r="D350">
        <v>2</v>
      </c>
      <c r="E350" t="s">
        <v>23</v>
      </c>
      <c r="F350" t="s">
        <v>28</v>
      </c>
      <c r="G350" t="s">
        <v>59</v>
      </c>
      <c r="H350" t="s">
        <v>155</v>
      </c>
      <c r="I350">
        <v>5872.53</v>
      </c>
      <c r="J350">
        <v>6190.13</v>
      </c>
      <c r="K350" t="s">
        <v>17</v>
      </c>
      <c r="L350" t="b">
        <v>0</v>
      </c>
      <c r="N350" s="2" t="str">
        <f t="shared" si="28"/>
        <v/>
      </c>
      <c r="Q350" t="str">
        <f t="shared" si="29"/>
        <v/>
      </c>
    </row>
    <row r="351" spans="1:17" hidden="1">
      <c r="A351" t="s">
        <v>455</v>
      </c>
      <c r="B351" s="1">
        <v>44972</v>
      </c>
      <c r="C351">
        <v>2023</v>
      </c>
      <c r="D351">
        <v>2</v>
      </c>
      <c r="E351" t="s">
        <v>23</v>
      </c>
      <c r="F351" t="s">
        <v>24</v>
      </c>
      <c r="G351" t="s">
        <v>141</v>
      </c>
      <c r="H351" t="s">
        <v>142</v>
      </c>
      <c r="I351">
        <v>5038.1499999999996</v>
      </c>
      <c r="J351">
        <v>4749.07</v>
      </c>
      <c r="K351" t="s">
        <v>17</v>
      </c>
      <c r="L351" t="b">
        <v>0</v>
      </c>
      <c r="N351" s="2" t="str">
        <f t="shared" si="28"/>
        <v/>
      </c>
      <c r="Q351" t="str">
        <f t="shared" si="29"/>
        <v/>
      </c>
    </row>
    <row r="352" spans="1:17" hidden="1">
      <c r="A352" t="s">
        <v>456</v>
      </c>
      <c r="B352" s="1">
        <v>44972</v>
      </c>
      <c r="C352">
        <v>2023</v>
      </c>
      <c r="D352">
        <v>2</v>
      </c>
      <c r="E352" t="s">
        <v>37</v>
      </c>
      <c r="F352" t="s">
        <v>14</v>
      </c>
      <c r="G352" t="s">
        <v>41</v>
      </c>
      <c r="H352" t="s">
        <v>42</v>
      </c>
      <c r="I352">
        <v>4027.73</v>
      </c>
      <c r="J352">
        <v>3954.21</v>
      </c>
      <c r="K352" t="s">
        <v>17</v>
      </c>
      <c r="L352" t="b">
        <v>0</v>
      </c>
      <c r="N352" s="2" t="str">
        <f t="shared" si="28"/>
        <v/>
      </c>
      <c r="Q352" t="str">
        <f t="shared" si="29"/>
        <v/>
      </c>
    </row>
    <row r="353" spans="1:17" hidden="1">
      <c r="A353" t="s">
        <v>457</v>
      </c>
      <c r="B353" s="1">
        <v>44972</v>
      </c>
      <c r="C353">
        <v>2023</v>
      </c>
      <c r="D353">
        <v>2</v>
      </c>
      <c r="E353" t="s">
        <v>37</v>
      </c>
      <c r="F353" t="s">
        <v>14</v>
      </c>
      <c r="G353" t="s">
        <v>98</v>
      </c>
      <c r="H353" t="s">
        <v>99</v>
      </c>
      <c r="I353">
        <v>4531.47</v>
      </c>
      <c r="J353">
        <v>4853.84</v>
      </c>
      <c r="K353" t="s">
        <v>17</v>
      </c>
      <c r="L353" t="b">
        <v>0</v>
      </c>
      <c r="N353" s="2" t="str">
        <f t="shared" si="28"/>
        <v/>
      </c>
      <c r="Q353" t="str">
        <f t="shared" si="29"/>
        <v/>
      </c>
    </row>
    <row r="354" spans="1:17" hidden="1">
      <c r="A354" t="s">
        <v>458</v>
      </c>
      <c r="B354" s="1">
        <v>44972</v>
      </c>
      <c r="C354">
        <v>2023</v>
      </c>
      <c r="D354">
        <v>2</v>
      </c>
      <c r="E354" t="s">
        <v>37</v>
      </c>
      <c r="F354" t="s">
        <v>28</v>
      </c>
      <c r="G354" t="s">
        <v>98</v>
      </c>
      <c r="H354" t="s">
        <v>185</v>
      </c>
      <c r="I354">
        <v>4324.75</v>
      </c>
      <c r="J354">
        <v>3966.24</v>
      </c>
      <c r="K354" t="s">
        <v>17</v>
      </c>
      <c r="L354" t="b">
        <v>0</v>
      </c>
      <c r="N354" s="2" t="str">
        <f t="shared" si="28"/>
        <v/>
      </c>
      <c r="Q354" t="str">
        <f t="shared" si="29"/>
        <v/>
      </c>
    </row>
    <row r="355" spans="1:17" hidden="1">
      <c r="A355" t="s">
        <v>459</v>
      </c>
      <c r="B355" s="1">
        <v>44972</v>
      </c>
      <c r="C355">
        <v>2023</v>
      </c>
      <c r="D355">
        <v>2</v>
      </c>
      <c r="E355" t="s">
        <v>37</v>
      </c>
      <c r="F355" t="s">
        <v>28</v>
      </c>
      <c r="G355" t="s">
        <v>41</v>
      </c>
      <c r="H355" t="s">
        <v>42</v>
      </c>
      <c r="I355">
        <v>4821.3599999999997</v>
      </c>
      <c r="J355">
        <v>4749.25</v>
      </c>
      <c r="K355" t="s">
        <v>17</v>
      </c>
      <c r="L355" t="b">
        <v>0</v>
      </c>
      <c r="N355" s="2" t="str">
        <f t="shared" si="28"/>
        <v/>
      </c>
      <c r="Q355" t="str">
        <f t="shared" si="29"/>
        <v/>
      </c>
    </row>
    <row r="356" spans="1:17" hidden="1">
      <c r="A356" t="s">
        <v>460</v>
      </c>
      <c r="B356" s="1">
        <v>44973</v>
      </c>
      <c r="C356">
        <v>2023</v>
      </c>
      <c r="D356">
        <v>2</v>
      </c>
      <c r="E356" t="s">
        <v>47</v>
      </c>
      <c r="F356" t="s">
        <v>28</v>
      </c>
      <c r="G356" t="s">
        <v>51</v>
      </c>
      <c r="H356" t="s">
        <v>72</v>
      </c>
      <c r="I356">
        <v>10838.78</v>
      </c>
      <c r="J356">
        <v>9354.26</v>
      </c>
      <c r="K356" t="s">
        <v>17</v>
      </c>
      <c r="L356" t="b">
        <v>0</v>
      </c>
      <c r="N356" s="2" t="b">
        <f t="shared" si="28"/>
        <v>1</v>
      </c>
      <c r="O356" t="str">
        <f>IF(AND(E345="HR",K345="EXPENSE"),I345&lt;J345,"")</f>
        <v/>
      </c>
      <c r="Q356" t="str">
        <f t="shared" si="29"/>
        <v/>
      </c>
    </row>
    <row r="357" spans="1:17" hidden="1">
      <c r="A357" t="s">
        <v>461</v>
      </c>
      <c r="B357" s="1">
        <v>44973</v>
      </c>
      <c r="C357">
        <v>2023</v>
      </c>
      <c r="D357">
        <v>2</v>
      </c>
      <c r="E357" t="s">
        <v>19</v>
      </c>
      <c r="F357" t="s">
        <v>14</v>
      </c>
      <c r="G357" t="s">
        <v>54</v>
      </c>
      <c r="H357" t="s">
        <v>57</v>
      </c>
      <c r="I357">
        <v>8723.3700000000008</v>
      </c>
      <c r="J357">
        <v>8454.16</v>
      </c>
      <c r="K357" t="s">
        <v>17</v>
      </c>
      <c r="L357" t="b">
        <v>0</v>
      </c>
      <c r="N357" s="2" t="str">
        <f t="shared" si="28"/>
        <v/>
      </c>
      <c r="Q357" t="str">
        <f t="shared" si="29"/>
        <v/>
      </c>
    </row>
    <row r="358" spans="1:17" hidden="1">
      <c r="A358" t="s">
        <v>462</v>
      </c>
      <c r="B358" s="1">
        <v>44973</v>
      </c>
      <c r="C358">
        <v>2023</v>
      </c>
      <c r="D358">
        <v>2</v>
      </c>
      <c r="E358" t="s">
        <v>23</v>
      </c>
      <c r="F358" t="s">
        <v>24</v>
      </c>
      <c r="G358" t="s">
        <v>25</v>
      </c>
      <c r="H358" t="s">
        <v>95</v>
      </c>
      <c r="I358">
        <v>4772.63</v>
      </c>
      <c r="J358">
        <v>4702.16</v>
      </c>
      <c r="K358" t="s">
        <v>17</v>
      </c>
      <c r="L358" t="b">
        <v>0</v>
      </c>
      <c r="N358" s="2" t="str">
        <f t="shared" si="28"/>
        <v/>
      </c>
      <c r="Q358" t="str">
        <f t="shared" si="29"/>
        <v/>
      </c>
    </row>
    <row r="359" spans="1:17" hidden="1">
      <c r="A359" t="s">
        <v>463</v>
      </c>
      <c r="B359" s="1">
        <v>44973</v>
      </c>
      <c r="C359">
        <v>2023</v>
      </c>
      <c r="D359">
        <v>2</v>
      </c>
      <c r="E359" t="s">
        <v>37</v>
      </c>
      <c r="F359" t="s">
        <v>28</v>
      </c>
      <c r="G359" t="s">
        <v>62</v>
      </c>
      <c r="H359" t="s">
        <v>63</v>
      </c>
      <c r="I359">
        <v>5069.6899999999996</v>
      </c>
      <c r="J359">
        <v>4990.0200000000004</v>
      </c>
      <c r="K359" t="s">
        <v>17</v>
      </c>
      <c r="L359" t="b">
        <v>0</v>
      </c>
      <c r="N359" s="2" t="str">
        <f t="shared" si="28"/>
        <v/>
      </c>
      <c r="Q359" t="str">
        <f t="shared" si="29"/>
        <v/>
      </c>
    </row>
    <row r="360" spans="1:17" hidden="1">
      <c r="A360" t="s">
        <v>464</v>
      </c>
      <c r="B360" s="1">
        <v>44973</v>
      </c>
      <c r="C360">
        <v>2023</v>
      </c>
      <c r="D360">
        <v>2</v>
      </c>
      <c r="E360" t="s">
        <v>37</v>
      </c>
      <c r="F360" t="s">
        <v>24</v>
      </c>
      <c r="G360" t="s">
        <v>38</v>
      </c>
      <c r="H360" t="s">
        <v>227</v>
      </c>
      <c r="I360">
        <v>4770.0200000000004</v>
      </c>
      <c r="J360">
        <v>4794.53</v>
      </c>
      <c r="K360" t="s">
        <v>17</v>
      </c>
      <c r="L360" t="b">
        <v>0</v>
      </c>
      <c r="N360" s="2" t="str">
        <f t="shared" si="28"/>
        <v/>
      </c>
      <c r="Q360" t="str">
        <f t="shared" si="29"/>
        <v/>
      </c>
    </row>
    <row r="361" spans="1:17" hidden="1">
      <c r="A361" t="s">
        <v>465</v>
      </c>
      <c r="B361" s="1">
        <v>44973</v>
      </c>
      <c r="C361">
        <v>2023</v>
      </c>
      <c r="D361">
        <v>2</v>
      </c>
      <c r="E361" t="s">
        <v>37</v>
      </c>
      <c r="F361" t="s">
        <v>24</v>
      </c>
      <c r="G361" t="s">
        <v>98</v>
      </c>
      <c r="H361" t="s">
        <v>185</v>
      </c>
      <c r="I361">
        <v>5320.04</v>
      </c>
      <c r="J361">
        <v>5426.99</v>
      </c>
      <c r="K361" t="s">
        <v>17</v>
      </c>
      <c r="L361" t="b">
        <v>0</v>
      </c>
      <c r="N361" s="2" t="str">
        <f t="shared" si="28"/>
        <v/>
      </c>
      <c r="Q361" t="str">
        <f t="shared" si="29"/>
        <v/>
      </c>
    </row>
    <row r="362" spans="1:17" hidden="1">
      <c r="A362" t="s">
        <v>466</v>
      </c>
      <c r="B362" s="1">
        <v>44974</v>
      </c>
      <c r="C362">
        <v>2023</v>
      </c>
      <c r="D362">
        <v>2</v>
      </c>
      <c r="E362" t="s">
        <v>13</v>
      </c>
      <c r="F362" t="s">
        <v>14</v>
      </c>
      <c r="G362" t="s">
        <v>15</v>
      </c>
      <c r="H362" t="s">
        <v>89</v>
      </c>
      <c r="I362">
        <v>3368.39</v>
      </c>
      <c r="J362">
        <v>3495.31</v>
      </c>
      <c r="K362" t="s">
        <v>17</v>
      </c>
      <c r="L362" t="b">
        <v>0</v>
      </c>
      <c r="N362" s="2" t="str">
        <f t="shared" si="28"/>
        <v/>
      </c>
      <c r="Q362" t="str">
        <f t="shared" si="29"/>
        <v/>
      </c>
    </row>
    <row r="363" spans="1:17" hidden="1">
      <c r="A363" t="s">
        <v>467</v>
      </c>
      <c r="B363" s="1">
        <v>44974</v>
      </c>
      <c r="C363">
        <v>2023</v>
      </c>
      <c r="D363">
        <v>2</v>
      </c>
      <c r="E363" t="s">
        <v>47</v>
      </c>
      <c r="F363" t="s">
        <v>28</v>
      </c>
      <c r="G363" t="s">
        <v>51</v>
      </c>
      <c r="H363" t="s">
        <v>72</v>
      </c>
      <c r="I363">
        <v>11842.33</v>
      </c>
      <c r="J363">
        <v>10190.14</v>
      </c>
      <c r="K363" t="s">
        <v>17</v>
      </c>
      <c r="L363" t="b">
        <v>0</v>
      </c>
      <c r="N363" s="2" t="b">
        <f t="shared" si="28"/>
        <v>1</v>
      </c>
      <c r="O363" t="str">
        <f t="shared" ref="O363:O364" si="31">IF(AND(E352="HR",K352="EXPENSE"),I352&lt;J352,"")</f>
        <v/>
      </c>
      <c r="Q363" t="str">
        <f t="shared" si="29"/>
        <v/>
      </c>
    </row>
    <row r="364" spans="1:17" hidden="1">
      <c r="A364" t="s">
        <v>468</v>
      </c>
      <c r="B364" s="1">
        <v>44974</v>
      </c>
      <c r="C364">
        <v>2023</v>
      </c>
      <c r="D364">
        <v>2</v>
      </c>
      <c r="E364" t="s">
        <v>47</v>
      </c>
      <c r="F364" t="s">
        <v>28</v>
      </c>
      <c r="G364" t="s">
        <v>91</v>
      </c>
      <c r="H364" t="s">
        <v>249</v>
      </c>
      <c r="I364">
        <v>12209.52</v>
      </c>
      <c r="J364">
        <v>10147.4</v>
      </c>
      <c r="K364" t="s">
        <v>17</v>
      </c>
      <c r="L364" t="b">
        <v>0</v>
      </c>
      <c r="N364" s="2" t="b">
        <f t="shared" si="28"/>
        <v>1</v>
      </c>
      <c r="O364" t="str">
        <f t="shared" si="31"/>
        <v/>
      </c>
      <c r="Q364" t="str">
        <f t="shared" si="29"/>
        <v/>
      </c>
    </row>
    <row r="365" spans="1:17" hidden="1">
      <c r="A365" t="s">
        <v>469</v>
      </c>
      <c r="B365" s="1">
        <v>44974</v>
      </c>
      <c r="C365">
        <v>2023</v>
      </c>
      <c r="D365">
        <v>2</v>
      </c>
      <c r="E365" t="s">
        <v>19</v>
      </c>
      <c r="F365" t="s">
        <v>24</v>
      </c>
      <c r="G365" t="s">
        <v>80</v>
      </c>
      <c r="H365" t="s">
        <v>217</v>
      </c>
      <c r="I365">
        <v>8696.85</v>
      </c>
      <c r="J365">
        <v>8981.2999999999993</v>
      </c>
      <c r="K365" t="s">
        <v>17</v>
      </c>
      <c r="L365" t="b">
        <v>0</v>
      </c>
      <c r="N365" s="2" t="str">
        <f t="shared" si="28"/>
        <v/>
      </c>
      <c r="Q365" t="str">
        <f t="shared" si="29"/>
        <v/>
      </c>
    </row>
    <row r="366" spans="1:17" hidden="1">
      <c r="A366" t="s">
        <v>470</v>
      </c>
      <c r="B366" s="1">
        <v>44974</v>
      </c>
      <c r="C366">
        <v>2023</v>
      </c>
      <c r="D366">
        <v>2</v>
      </c>
      <c r="E366" t="s">
        <v>19</v>
      </c>
      <c r="F366" t="s">
        <v>24</v>
      </c>
      <c r="G366" t="s">
        <v>20</v>
      </c>
      <c r="H366" t="s">
        <v>21</v>
      </c>
      <c r="I366">
        <v>6730.15</v>
      </c>
      <c r="J366">
        <v>6817.43</v>
      </c>
      <c r="K366" t="s">
        <v>17</v>
      </c>
      <c r="L366" t="b">
        <v>0</v>
      </c>
      <c r="N366" s="2" t="str">
        <f t="shared" si="28"/>
        <v/>
      </c>
      <c r="Q366" t="str">
        <f t="shared" si="29"/>
        <v/>
      </c>
    </row>
    <row r="367" spans="1:17" hidden="1">
      <c r="A367" t="s">
        <v>471</v>
      </c>
      <c r="B367" s="1">
        <v>44974</v>
      </c>
      <c r="C367">
        <v>2023</v>
      </c>
      <c r="D367">
        <v>2</v>
      </c>
      <c r="E367" t="s">
        <v>23</v>
      </c>
      <c r="F367" t="s">
        <v>24</v>
      </c>
      <c r="G367" t="s">
        <v>59</v>
      </c>
      <c r="H367" t="s">
        <v>60</v>
      </c>
      <c r="I367">
        <v>3682.55</v>
      </c>
      <c r="J367">
        <v>3516.25</v>
      </c>
      <c r="K367" t="s">
        <v>17</v>
      </c>
      <c r="L367" t="b">
        <v>0</v>
      </c>
      <c r="N367" s="2" t="str">
        <f t="shared" si="28"/>
        <v/>
      </c>
      <c r="Q367" t="str">
        <f t="shared" si="29"/>
        <v/>
      </c>
    </row>
    <row r="368" spans="1:17" hidden="1">
      <c r="A368" t="s">
        <v>472</v>
      </c>
      <c r="B368" s="1">
        <v>44975</v>
      </c>
      <c r="C368">
        <v>2023</v>
      </c>
      <c r="D368">
        <v>2</v>
      </c>
      <c r="E368" t="s">
        <v>47</v>
      </c>
      <c r="F368" t="s">
        <v>14</v>
      </c>
      <c r="G368" t="s">
        <v>48</v>
      </c>
      <c r="H368" t="s">
        <v>191</v>
      </c>
      <c r="I368">
        <v>19253.62</v>
      </c>
      <c r="J368">
        <v>16654.169999999998</v>
      </c>
      <c r="K368" t="s">
        <v>17</v>
      </c>
      <c r="L368" t="b">
        <v>0</v>
      </c>
      <c r="N368" s="2" t="b">
        <f t="shared" si="28"/>
        <v>1</v>
      </c>
      <c r="O368" t="str">
        <f t="shared" ref="O368:O370" si="32">IF(AND(E357="HR",K357="EXPENSE"),I357&lt;J357,"")</f>
        <v/>
      </c>
      <c r="Q368" t="str">
        <f t="shared" si="29"/>
        <v/>
      </c>
    </row>
    <row r="369" spans="1:17" hidden="1">
      <c r="A369" t="s">
        <v>473</v>
      </c>
      <c r="B369" s="1">
        <v>44975</v>
      </c>
      <c r="C369">
        <v>2023</v>
      </c>
      <c r="D369">
        <v>2</v>
      </c>
      <c r="E369" t="s">
        <v>47</v>
      </c>
      <c r="F369" t="s">
        <v>28</v>
      </c>
      <c r="G369" t="s">
        <v>77</v>
      </c>
      <c r="H369" t="s">
        <v>130</v>
      </c>
      <c r="I369">
        <v>8127.91</v>
      </c>
      <c r="J369">
        <v>6727.61</v>
      </c>
      <c r="K369" t="s">
        <v>17</v>
      </c>
      <c r="L369" t="b">
        <v>0</v>
      </c>
      <c r="N369" s="2" t="b">
        <f t="shared" si="28"/>
        <v>1</v>
      </c>
      <c r="O369" t="str">
        <f t="shared" si="32"/>
        <v/>
      </c>
      <c r="Q369" t="str">
        <f t="shared" si="29"/>
        <v/>
      </c>
    </row>
    <row r="370" spans="1:17" hidden="1">
      <c r="A370" t="s">
        <v>474</v>
      </c>
      <c r="B370" s="1">
        <v>44975</v>
      </c>
      <c r="C370">
        <v>2023</v>
      </c>
      <c r="D370">
        <v>2</v>
      </c>
      <c r="E370" t="s">
        <v>47</v>
      </c>
      <c r="F370" t="s">
        <v>24</v>
      </c>
      <c r="G370" t="s">
        <v>91</v>
      </c>
      <c r="H370" t="s">
        <v>254</v>
      </c>
      <c r="I370">
        <v>14271.26</v>
      </c>
      <c r="J370">
        <v>12144.53</v>
      </c>
      <c r="K370" t="s">
        <v>17</v>
      </c>
      <c r="L370" t="b">
        <v>0</v>
      </c>
      <c r="N370" s="2" t="b">
        <f t="shared" si="28"/>
        <v>1</v>
      </c>
      <c r="O370" t="str">
        <f t="shared" si="32"/>
        <v/>
      </c>
      <c r="Q370" t="str">
        <f t="shared" si="29"/>
        <v/>
      </c>
    </row>
    <row r="371" spans="1:17" hidden="1">
      <c r="A371" t="s">
        <v>475</v>
      </c>
      <c r="B371" s="1">
        <v>44976</v>
      </c>
      <c r="C371">
        <v>2023</v>
      </c>
      <c r="D371">
        <v>2</v>
      </c>
      <c r="E371" t="s">
        <v>13</v>
      </c>
      <c r="F371" t="s">
        <v>14</v>
      </c>
      <c r="G371" t="s">
        <v>15</v>
      </c>
      <c r="H371" t="s">
        <v>16</v>
      </c>
      <c r="I371">
        <v>2132.7199999999998</v>
      </c>
      <c r="J371">
        <v>2291.8000000000002</v>
      </c>
      <c r="K371" t="s">
        <v>17</v>
      </c>
      <c r="L371" t="b">
        <v>0</v>
      </c>
      <c r="N371" s="2" t="str">
        <f t="shared" si="28"/>
        <v/>
      </c>
      <c r="Q371" t="str">
        <f t="shared" si="29"/>
        <v/>
      </c>
    </row>
    <row r="372" spans="1:17" hidden="1">
      <c r="A372" t="s">
        <v>476</v>
      </c>
      <c r="B372" s="1">
        <v>44976</v>
      </c>
      <c r="C372">
        <v>2023</v>
      </c>
      <c r="D372">
        <v>2</v>
      </c>
      <c r="E372" t="s">
        <v>13</v>
      </c>
      <c r="F372" t="s">
        <v>28</v>
      </c>
      <c r="G372" t="s">
        <v>15</v>
      </c>
      <c r="H372" t="s">
        <v>16</v>
      </c>
      <c r="I372">
        <v>3605.53</v>
      </c>
      <c r="J372">
        <v>3490.07</v>
      </c>
      <c r="K372" t="s">
        <v>17</v>
      </c>
      <c r="L372" t="b">
        <v>0</v>
      </c>
      <c r="N372" s="2" t="str">
        <f t="shared" si="28"/>
        <v/>
      </c>
      <c r="Q372" t="str">
        <f t="shared" si="29"/>
        <v/>
      </c>
    </row>
    <row r="373" spans="1:17" hidden="1">
      <c r="A373" t="s">
        <v>477</v>
      </c>
      <c r="B373" s="1">
        <v>44976</v>
      </c>
      <c r="C373">
        <v>2023</v>
      </c>
      <c r="D373">
        <v>2</v>
      </c>
      <c r="E373" t="s">
        <v>13</v>
      </c>
      <c r="F373" t="s">
        <v>28</v>
      </c>
      <c r="G373" t="s">
        <v>102</v>
      </c>
      <c r="H373" t="s">
        <v>103</v>
      </c>
      <c r="I373">
        <v>2349.35</v>
      </c>
      <c r="J373">
        <v>2134.19</v>
      </c>
      <c r="K373" t="s">
        <v>17</v>
      </c>
      <c r="L373" t="b">
        <v>0</v>
      </c>
      <c r="N373" s="2" t="str">
        <f t="shared" si="28"/>
        <v/>
      </c>
      <c r="Q373" t="str">
        <f t="shared" si="29"/>
        <v/>
      </c>
    </row>
    <row r="374" spans="1:17" hidden="1">
      <c r="A374" t="s">
        <v>478</v>
      </c>
      <c r="B374" s="1">
        <v>44976</v>
      </c>
      <c r="C374">
        <v>2023</v>
      </c>
      <c r="D374">
        <v>2</v>
      </c>
      <c r="E374" t="s">
        <v>47</v>
      </c>
      <c r="F374" t="s">
        <v>14</v>
      </c>
      <c r="G374" t="s">
        <v>51</v>
      </c>
      <c r="H374" t="s">
        <v>189</v>
      </c>
      <c r="I374">
        <v>5835.53</v>
      </c>
      <c r="J374">
        <v>5068.18</v>
      </c>
      <c r="K374" t="s">
        <v>17</v>
      </c>
      <c r="L374" t="b">
        <v>0</v>
      </c>
      <c r="N374" s="2" t="b">
        <f t="shared" si="28"/>
        <v>1</v>
      </c>
      <c r="O374" t="str">
        <f t="shared" ref="O374:O375" si="33">IF(AND(E363="HR",K363="EXPENSE"),I363&lt;J363,"")</f>
        <v/>
      </c>
      <c r="Q374" t="str">
        <f t="shared" si="29"/>
        <v/>
      </c>
    </row>
    <row r="375" spans="1:17" hidden="1">
      <c r="A375" t="s">
        <v>479</v>
      </c>
      <c r="B375" s="1">
        <v>44976</v>
      </c>
      <c r="C375">
        <v>2023</v>
      </c>
      <c r="D375">
        <v>2</v>
      </c>
      <c r="E375" t="s">
        <v>47</v>
      </c>
      <c r="F375" t="s">
        <v>28</v>
      </c>
      <c r="G375" t="s">
        <v>77</v>
      </c>
      <c r="H375" t="s">
        <v>78</v>
      </c>
      <c r="I375">
        <v>16553.419999999998</v>
      </c>
      <c r="J375">
        <v>13592.18</v>
      </c>
      <c r="K375" t="s">
        <v>17</v>
      </c>
      <c r="L375" t="b">
        <v>0</v>
      </c>
      <c r="N375" s="2" t="b">
        <f t="shared" si="28"/>
        <v>1</v>
      </c>
      <c r="O375" t="str">
        <f t="shared" si="33"/>
        <v/>
      </c>
      <c r="Q375" t="str">
        <f t="shared" si="29"/>
        <v/>
      </c>
    </row>
    <row r="376" spans="1:17" hidden="1">
      <c r="A376" t="s">
        <v>480</v>
      </c>
      <c r="B376" s="1">
        <v>44976</v>
      </c>
      <c r="C376">
        <v>2023</v>
      </c>
      <c r="D376">
        <v>2</v>
      </c>
      <c r="E376" t="s">
        <v>23</v>
      </c>
      <c r="F376" t="s">
        <v>28</v>
      </c>
      <c r="G376" t="s">
        <v>59</v>
      </c>
      <c r="H376" t="s">
        <v>155</v>
      </c>
      <c r="I376">
        <v>6336.51</v>
      </c>
      <c r="J376">
        <v>6141.19</v>
      </c>
      <c r="K376" t="s">
        <v>17</v>
      </c>
      <c r="L376" t="b">
        <v>0</v>
      </c>
      <c r="N376" s="2" t="str">
        <f t="shared" si="28"/>
        <v/>
      </c>
      <c r="Q376" t="str">
        <f t="shared" si="29"/>
        <v/>
      </c>
    </row>
    <row r="377" spans="1:17" hidden="1">
      <c r="A377" t="s">
        <v>481</v>
      </c>
      <c r="B377" s="1">
        <v>44976</v>
      </c>
      <c r="C377">
        <v>2023</v>
      </c>
      <c r="D377">
        <v>2</v>
      </c>
      <c r="E377" t="s">
        <v>37</v>
      </c>
      <c r="F377" t="s">
        <v>28</v>
      </c>
      <c r="G377" t="s">
        <v>38</v>
      </c>
      <c r="H377" t="s">
        <v>227</v>
      </c>
      <c r="I377">
        <v>5155.24</v>
      </c>
      <c r="J377">
        <v>5142.28</v>
      </c>
      <c r="K377" t="s">
        <v>17</v>
      </c>
      <c r="L377" t="b">
        <v>0</v>
      </c>
      <c r="N377" s="2" t="str">
        <f t="shared" si="28"/>
        <v/>
      </c>
      <c r="Q377" t="str">
        <f t="shared" si="29"/>
        <v/>
      </c>
    </row>
    <row r="378" spans="1:17" hidden="1">
      <c r="A378" t="s">
        <v>482</v>
      </c>
      <c r="B378" s="1">
        <v>44976</v>
      </c>
      <c r="C378">
        <v>2023</v>
      </c>
      <c r="D378">
        <v>2</v>
      </c>
      <c r="E378" t="s">
        <v>37</v>
      </c>
      <c r="F378" t="s">
        <v>28</v>
      </c>
      <c r="G378" t="s">
        <v>98</v>
      </c>
      <c r="H378" t="s">
        <v>185</v>
      </c>
      <c r="I378">
        <v>2683.4</v>
      </c>
      <c r="J378">
        <v>2553.46</v>
      </c>
      <c r="K378" t="s">
        <v>17</v>
      </c>
      <c r="L378" t="b">
        <v>0</v>
      </c>
      <c r="N378" s="2" t="str">
        <f t="shared" si="28"/>
        <v/>
      </c>
      <c r="Q378" t="str">
        <f t="shared" si="29"/>
        <v/>
      </c>
    </row>
    <row r="379" spans="1:17" hidden="1">
      <c r="A379" t="s">
        <v>483</v>
      </c>
      <c r="B379" s="1">
        <v>44977</v>
      </c>
      <c r="C379">
        <v>2023</v>
      </c>
      <c r="D379">
        <v>2</v>
      </c>
      <c r="E379" t="s">
        <v>47</v>
      </c>
      <c r="F379" t="s">
        <v>14</v>
      </c>
      <c r="G379" t="s">
        <v>91</v>
      </c>
      <c r="H379" t="s">
        <v>128</v>
      </c>
      <c r="I379">
        <v>20740.87</v>
      </c>
      <c r="J379">
        <v>17995.36</v>
      </c>
      <c r="K379" t="s">
        <v>17</v>
      </c>
      <c r="L379" t="b">
        <v>0</v>
      </c>
      <c r="N379" s="2" t="b">
        <f t="shared" si="28"/>
        <v>1</v>
      </c>
      <c r="O379" t="str">
        <f t="shared" ref="O379:O380" si="34">IF(AND(E368="HR",K368="EXPENSE"),I368&lt;J368,"")</f>
        <v/>
      </c>
      <c r="Q379" t="str">
        <f t="shared" si="29"/>
        <v/>
      </c>
    </row>
    <row r="380" spans="1:17" hidden="1">
      <c r="A380" t="s">
        <v>484</v>
      </c>
      <c r="B380" s="1">
        <v>44977</v>
      </c>
      <c r="C380">
        <v>2023</v>
      </c>
      <c r="D380">
        <v>2</v>
      </c>
      <c r="E380" t="s">
        <v>47</v>
      </c>
      <c r="F380" t="s">
        <v>28</v>
      </c>
      <c r="G380" t="s">
        <v>77</v>
      </c>
      <c r="H380" t="s">
        <v>78</v>
      </c>
      <c r="I380">
        <v>19608.400000000001</v>
      </c>
      <c r="J380">
        <v>16721.330000000002</v>
      </c>
      <c r="K380" t="s">
        <v>17</v>
      </c>
      <c r="L380" t="b">
        <v>0</v>
      </c>
      <c r="N380" s="2" t="b">
        <f t="shared" si="28"/>
        <v>1</v>
      </c>
      <c r="O380" t="str">
        <f t="shared" si="34"/>
        <v/>
      </c>
      <c r="Q380" t="str">
        <f t="shared" si="29"/>
        <v/>
      </c>
    </row>
    <row r="381" spans="1:17" hidden="1">
      <c r="A381" t="s">
        <v>485</v>
      </c>
      <c r="B381" s="1">
        <v>44977</v>
      </c>
      <c r="C381">
        <v>2023</v>
      </c>
      <c r="D381">
        <v>2</v>
      </c>
      <c r="E381" t="s">
        <v>19</v>
      </c>
      <c r="F381" t="s">
        <v>14</v>
      </c>
      <c r="G381" t="s">
        <v>132</v>
      </c>
      <c r="H381" t="s">
        <v>171</v>
      </c>
      <c r="I381">
        <v>6637.34</v>
      </c>
      <c r="J381">
        <v>6779</v>
      </c>
      <c r="K381" t="s">
        <v>17</v>
      </c>
      <c r="L381" t="b">
        <v>0</v>
      </c>
      <c r="N381" s="2" t="str">
        <f t="shared" si="28"/>
        <v/>
      </c>
      <c r="Q381" t="str">
        <f t="shared" si="29"/>
        <v/>
      </c>
    </row>
    <row r="382" spans="1:17" hidden="1">
      <c r="A382" t="s">
        <v>486</v>
      </c>
      <c r="B382" s="1">
        <v>44977</v>
      </c>
      <c r="C382">
        <v>2023</v>
      </c>
      <c r="D382">
        <v>2</v>
      </c>
      <c r="E382" t="s">
        <v>19</v>
      </c>
      <c r="F382" t="s">
        <v>24</v>
      </c>
      <c r="G382" t="s">
        <v>20</v>
      </c>
      <c r="H382" t="s">
        <v>21</v>
      </c>
      <c r="I382">
        <v>2210.64</v>
      </c>
      <c r="J382">
        <v>2394.0500000000002</v>
      </c>
      <c r="K382" t="s">
        <v>17</v>
      </c>
      <c r="L382" t="b">
        <v>0</v>
      </c>
      <c r="N382" s="2" t="str">
        <f t="shared" si="28"/>
        <v/>
      </c>
      <c r="Q382" t="str">
        <f t="shared" si="29"/>
        <v/>
      </c>
    </row>
    <row r="383" spans="1:17" hidden="1">
      <c r="A383" t="s">
        <v>487</v>
      </c>
      <c r="B383" s="1">
        <v>44977</v>
      </c>
      <c r="C383">
        <v>2023</v>
      </c>
      <c r="D383">
        <v>2</v>
      </c>
      <c r="E383" t="s">
        <v>23</v>
      </c>
      <c r="F383" t="s">
        <v>14</v>
      </c>
      <c r="G383" t="s">
        <v>25</v>
      </c>
      <c r="H383" t="s">
        <v>26</v>
      </c>
      <c r="I383">
        <v>5893.76</v>
      </c>
      <c r="J383">
        <v>6126.53</v>
      </c>
      <c r="K383" t="s">
        <v>17</v>
      </c>
      <c r="L383" t="b">
        <v>0</v>
      </c>
      <c r="N383" s="2" t="str">
        <f t="shared" si="28"/>
        <v/>
      </c>
      <c r="Q383" t="str">
        <f t="shared" si="29"/>
        <v/>
      </c>
    </row>
    <row r="384" spans="1:17" hidden="1">
      <c r="A384" t="s">
        <v>488</v>
      </c>
      <c r="B384" s="1">
        <v>44977</v>
      </c>
      <c r="C384">
        <v>2023</v>
      </c>
      <c r="D384">
        <v>2</v>
      </c>
      <c r="E384" t="s">
        <v>23</v>
      </c>
      <c r="F384" t="s">
        <v>24</v>
      </c>
      <c r="G384" t="s">
        <v>141</v>
      </c>
      <c r="H384" t="s">
        <v>142</v>
      </c>
      <c r="I384">
        <v>5017.1099999999997</v>
      </c>
      <c r="J384">
        <v>5462.24</v>
      </c>
      <c r="K384" t="s">
        <v>17</v>
      </c>
      <c r="L384" t="b">
        <v>0</v>
      </c>
      <c r="N384" s="2" t="str">
        <f t="shared" si="28"/>
        <v/>
      </c>
      <c r="Q384" t="str">
        <f t="shared" si="29"/>
        <v/>
      </c>
    </row>
    <row r="385" spans="1:17" hidden="1">
      <c r="A385" t="s">
        <v>489</v>
      </c>
      <c r="B385" s="1">
        <v>44977</v>
      </c>
      <c r="C385">
        <v>2023</v>
      </c>
      <c r="D385">
        <v>2</v>
      </c>
      <c r="E385" t="s">
        <v>23</v>
      </c>
      <c r="F385" t="s">
        <v>24</v>
      </c>
      <c r="G385" t="s">
        <v>59</v>
      </c>
      <c r="H385" t="s">
        <v>60</v>
      </c>
      <c r="I385">
        <v>3789.2</v>
      </c>
      <c r="J385">
        <v>3728.36</v>
      </c>
      <c r="K385" t="s">
        <v>17</v>
      </c>
      <c r="L385" t="b">
        <v>0</v>
      </c>
      <c r="N385" s="2" t="str">
        <f t="shared" si="28"/>
        <v/>
      </c>
      <c r="Q385" t="str">
        <f t="shared" si="29"/>
        <v/>
      </c>
    </row>
    <row r="386" spans="1:17" hidden="1">
      <c r="A386" t="s">
        <v>490</v>
      </c>
      <c r="B386" s="1">
        <v>44977</v>
      </c>
      <c r="C386">
        <v>2023</v>
      </c>
      <c r="D386">
        <v>2</v>
      </c>
      <c r="E386" t="s">
        <v>37</v>
      </c>
      <c r="F386" t="s">
        <v>14</v>
      </c>
      <c r="G386" t="s">
        <v>98</v>
      </c>
      <c r="H386" t="s">
        <v>99</v>
      </c>
      <c r="I386">
        <v>4344.3500000000004</v>
      </c>
      <c r="J386">
        <v>4477.07</v>
      </c>
      <c r="K386" t="s">
        <v>17</v>
      </c>
      <c r="L386" t="b">
        <v>0</v>
      </c>
      <c r="N386" s="2" t="str">
        <f t="shared" si="28"/>
        <v/>
      </c>
      <c r="Q386" t="str">
        <f t="shared" si="29"/>
        <v/>
      </c>
    </row>
    <row r="387" spans="1:17" hidden="1">
      <c r="A387" t="s">
        <v>491</v>
      </c>
      <c r="B387" s="1">
        <v>44977</v>
      </c>
      <c r="C387">
        <v>2023</v>
      </c>
      <c r="D387">
        <v>2</v>
      </c>
      <c r="E387" t="s">
        <v>37</v>
      </c>
      <c r="F387" t="s">
        <v>24</v>
      </c>
      <c r="G387" t="s">
        <v>38</v>
      </c>
      <c r="H387" t="s">
        <v>118</v>
      </c>
      <c r="I387">
        <v>6228.36</v>
      </c>
      <c r="J387">
        <v>6433.95</v>
      </c>
      <c r="K387" t="s">
        <v>17</v>
      </c>
      <c r="L387" t="b">
        <v>0</v>
      </c>
      <c r="N387" s="2" t="str">
        <f t="shared" ref="N387:N450" si="35">IF(AND(E387="IT",K387="EXPENSE"),I387&gt;J387,"")</f>
        <v/>
      </c>
      <c r="Q387" t="str">
        <f t="shared" ref="Q387:Q450" si="36">IF(L387=TRUE,OR(H387="Apex Solutions Inc",H387="Global Trade Partners",H387="NovaTech Services"),"")</f>
        <v/>
      </c>
    </row>
    <row r="388" spans="1:17" hidden="1">
      <c r="A388" t="s">
        <v>492</v>
      </c>
      <c r="B388" s="1">
        <v>44977</v>
      </c>
      <c r="C388">
        <v>2023</v>
      </c>
      <c r="D388">
        <v>2</v>
      </c>
      <c r="E388" t="s">
        <v>37</v>
      </c>
      <c r="F388" t="s">
        <v>24</v>
      </c>
      <c r="G388" t="s">
        <v>41</v>
      </c>
      <c r="H388" t="s">
        <v>42</v>
      </c>
      <c r="I388">
        <v>4092.82</v>
      </c>
      <c r="J388">
        <v>4177.26</v>
      </c>
      <c r="K388" t="s">
        <v>17</v>
      </c>
      <c r="L388" t="b">
        <v>0</v>
      </c>
      <c r="N388" s="2" t="str">
        <f t="shared" si="35"/>
        <v/>
      </c>
      <c r="Q388" t="str">
        <f t="shared" si="36"/>
        <v/>
      </c>
    </row>
    <row r="389" spans="1:17" hidden="1">
      <c r="A389" t="s">
        <v>493</v>
      </c>
      <c r="B389" s="1">
        <v>44978</v>
      </c>
      <c r="C389">
        <v>2023</v>
      </c>
      <c r="D389">
        <v>2</v>
      </c>
      <c r="E389" t="s">
        <v>13</v>
      </c>
      <c r="F389" t="s">
        <v>28</v>
      </c>
      <c r="G389" t="s">
        <v>68</v>
      </c>
      <c r="H389" t="s">
        <v>69</v>
      </c>
      <c r="I389">
        <v>2787.29</v>
      </c>
      <c r="J389">
        <v>2995.6</v>
      </c>
      <c r="K389" t="s">
        <v>17</v>
      </c>
      <c r="L389" t="b">
        <v>0</v>
      </c>
      <c r="N389" s="2" t="str">
        <f t="shared" si="35"/>
        <v/>
      </c>
      <c r="Q389" t="str">
        <f t="shared" si="36"/>
        <v/>
      </c>
    </row>
    <row r="390" spans="1:17" hidden="1">
      <c r="A390" t="s">
        <v>494</v>
      </c>
      <c r="B390" s="1">
        <v>44978</v>
      </c>
      <c r="C390">
        <v>2023</v>
      </c>
      <c r="D390">
        <v>2</v>
      </c>
      <c r="E390" t="s">
        <v>47</v>
      </c>
      <c r="F390" t="s">
        <v>14</v>
      </c>
      <c r="G390" t="s">
        <v>48</v>
      </c>
      <c r="H390" t="s">
        <v>111</v>
      </c>
      <c r="I390">
        <v>13259.6</v>
      </c>
      <c r="J390">
        <v>11334.3</v>
      </c>
      <c r="K390" t="s">
        <v>17</v>
      </c>
      <c r="L390" t="b">
        <v>0</v>
      </c>
      <c r="N390" s="2" t="b">
        <f t="shared" si="35"/>
        <v>1</v>
      </c>
      <c r="O390" t="str">
        <f t="shared" ref="O390:O391" si="37">IF(AND(E379="HR",K379="EXPENSE"),I379&lt;J379,"")</f>
        <v/>
      </c>
      <c r="Q390" t="str">
        <f t="shared" si="36"/>
        <v/>
      </c>
    </row>
    <row r="391" spans="1:17" hidden="1">
      <c r="A391" t="s">
        <v>495</v>
      </c>
      <c r="B391" s="1">
        <v>44978</v>
      </c>
      <c r="C391">
        <v>2023</v>
      </c>
      <c r="D391">
        <v>2</v>
      </c>
      <c r="E391" t="s">
        <v>47</v>
      </c>
      <c r="F391" t="s">
        <v>14</v>
      </c>
      <c r="G391" t="s">
        <v>77</v>
      </c>
      <c r="H391" t="s">
        <v>130</v>
      </c>
      <c r="I391">
        <v>18528.849999999999</v>
      </c>
      <c r="J391">
        <v>16012.84</v>
      </c>
      <c r="K391" t="s">
        <v>17</v>
      </c>
      <c r="L391" t="b">
        <v>0</v>
      </c>
      <c r="N391" s="2" t="b">
        <f t="shared" si="35"/>
        <v>1</v>
      </c>
      <c r="O391" t="str">
        <f t="shared" si="37"/>
        <v/>
      </c>
      <c r="Q391" t="str">
        <f t="shared" si="36"/>
        <v/>
      </c>
    </row>
    <row r="392" spans="1:17" hidden="1">
      <c r="A392" t="s">
        <v>496</v>
      </c>
      <c r="B392" s="1">
        <v>44978</v>
      </c>
      <c r="C392">
        <v>2023</v>
      </c>
      <c r="D392">
        <v>2</v>
      </c>
      <c r="E392" t="s">
        <v>19</v>
      </c>
      <c r="F392" t="s">
        <v>14</v>
      </c>
      <c r="G392" t="s">
        <v>54</v>
      </c>
      <c r="H392" t="s">
        <v>163</v>
      </c>
      <c r="I392">
        <v>3297.21</v>
      </c>
      <c r="J392">
        <v>3272.16</v>
      </c>
      <c r="K392" t="s">
        <v>17</v>
      </c>
      <c r="L392" t="b">
        <v>0</v>
      </c>
      <c r="N392" s="2" t="str">
        <f t="shared" si="35"/>
        <v/>
      </c>
      <c r="Q392" t="str">
        <f t="shared" si="36"/>
        <v/>
      </c>
    </row>
    <row r="393" spans="1:17" hidden="1">
      <c r="A393" t="s">
        <v>497</v>
      </c>
      <c r="B393" s="1">
        <v>44978</v>
      </c>
      <c r="C393">
        <v>2023</v>
      </c>
      <c r="D393">
        <v>2</v>
      </c>
      <c r="E393" t="s">
        <v>23</v>
      </c>
      <c r="F393" t="s">
        <v>14</v>
      </c>
      <c r="G393" t="s">
        <v>141</v>
      </c>
      <c r="H393" t="s">
        <v>142</v>
      </c>
      <c r="I393">
        <v>5507.02</v>
      </c>
      <c r="J393">
        <v>5878.21</v>
      </c>
      <c r="K393" t="s">
        <v>17</v>
      </c>
      <c r="L393" t="b">
        <v>0</v>
      </c>
      <c r="N393" s="2" t="str">
        <f t="shared" si="35"/>
        <v/>
      </c>
      <c r="Q393" t="str">
        <f t="shared" si="36"/>
        <v/>
      </c>
    </row>
    <row r="394" spans="1:17" hidden="1">
      <c r="A394" t="s">
        <v>498</v>
      </c>
      <c r="B394" s="1">
        <v>44978</v>
      </c>
      <c r="C394">
        <v>2023</v>
      </c>
      <c r="D394">
        <v>2</v>
      </c>
      <c r="E394" t="s">
        <v>23</v>
      </c>
      <c r="F394" t="s">
        <v>14</v>
      </c>
      <c r="G394" t="s">
        <v>141</v>
      </c>
      <c r="H394" t="s">
        <v>153</v>
      </c>
      <c r="I394">
        <v>3138.26</v>
      </c>
      <c r="J394">
        <v>3220.99</v>
      </c>
      <c r="K394" t="s">
        <v>17</v>
      </c>
      <c r="L394" t="b">
        <v>0</v>
      </c>
      <c r="N394" s="2" t="str">
        <f t="shared" si="35"/>
        <v/>
      </c>
      <c r="Q394" t="str">
        <f t="shared" si="36"/>
        <v/>
      </c>
    </row>
    <row r="395" spans="1:17" hidden="1">
      <c r="A395" t="s">
        <v>499</v>
      </c>
      <c r="B395" s="1">
        <v>44978</v>
      </c>
      <c r="C395">
        <v>2023</v>
      </c>
      <c r="D395">
        <v>2</v>
      </c>
      <c r="E395" t="s">
        <v>23</v>
      </c>
      <c r="F395" t="s">
        <v>24</v>
      </c>
      <c r="G395" t="s">
        <v>59</v>
      </c>
      <c r="H395" t="s">
        <v>60</v>
      </c>
      <c r="I395">
        <v>3053.37</v>
      </c>
      <c r="J395">
        <v>3356.95</v>
      </c>
      <c r="K395" t="s">
        <v>17</v>
      </c>
      <c r="L395" t="b">
        <v>0</v>
      </c>
      <c r="N395" s="2" t="str">
        <f t="shared" si="35"/>
        <v/>
      </c>
      <c r="Q395" t="str">
        <f t="shared" si="36"/>
        <v/>
      </c>
    </row>
    <row r="396" spans="1:17" hidden="1">
      <c r="A396" t="s">
        <v>500</v>
      </c>
      <c r="B396" s="1">
        <v>44978</v>
      </c>
      <c r="C396">
        <v>2023</v>
      </c>
      <c r="D396">
        <v>2</v>
      </c>
      <c r="E396" t="s">
        <v>23</v>
      </c>
      <c r="F396" t="s">
        <v>24</v>
      </c>
      <c r="G396" t="s">
        <v>25</v>
      </c>
      <c r="H396" t="s">
        <v>35</v>
      </c>
      <c r="I396">
        <v>6505.01</v>
      </c>
      <c r="J396">
        <v>6153.68</v>
      </c>
      <c r="K396" t="s">
        <v>17</v>
      </c>
      <c r="L396" t="b">
        <v>0</v>
      </c>
      <c r="N396" s="2" t="str">
        <f t="shared" si="35"/>
        <v/>
      </c>
      <c r="Q396" t="str">
        <f t="shared" si="36"/>
        <v/>
      </c>
    </row>
    <row r="397" spans="1:17" hidden="1">
      <c r="A397" t="s">
        <v>501</v>
      </c>
      <c r="B397" s="1">
        <v>44978</v>
      </c>
      <c r="C397">
        <v>2023</v>
      </c>
      <c r="D397">
        <v>2</v>
      </c>
      <c r="E397" t="s">
        <v>37</v>
      </c>
      <c r="F397" t="s">
        <v>24</v>
      </c>
      <c r="G397" t="s">
        <v>41</v>
      </c>
      <c r="H397" t="s">
        <v>42</v>
      </c>
      <c r="I397">
        <v>5647.07</v>
      </c>
      <c r="J397">
        <v>5175.88</v>
      </c>
      <c r="K397" t="s">
        <v>17</v>
      </c>
      <c r="L397" t="b">
        <v>0</v>
      </c>
      <c r="N397" s="2" t="str">
        <f t="shared" si="35"/>
        <v/>
      </c>
      <c r="Q397" t="str">
        <f t="shared" si="36"/>
        <v/>
      </c>
    </row>
    <row r="398" spans="1:17" hidden="1">
      <c r="A398" t="s">
        <v>502</v>
      </c>
      <c r="B398" s="1">
        <v>44978</v>
      </c>
      <c r="C398">
        <v>2023</v>
      </c>
      <c r="D398">
        <v>2</v>
      </c>
      <c r="E398" t="s">
        <v>37</v>
      </c>
      <c r="F398" t="s">
        <v>24</v>
      </c>
      <c r="G398" t="s">
        <v>62</v>
      </c>
      <c r="H398" t="s">
        <v>63</v>
      </c>
      <c r="I398">
        <v>4235.6000000000004</v>
      </c>
      <c r="J398">
        <v>4056.6</v>
      </c>
      <c r="K398" t="s">
        <v>17</v>
      </c>
      <c r="L398" t="b">
        <v>0</v>
      </c>
      <c r="N398" s="2" t="str">
        <f t="shared" si="35"/>
        <v/>
      </c>
      <c r="Q398" t="str">
        <f t="shared" si="36"/>
        <v/>
      </c>
    </row>
    <row r="399" spans="1:17" hidden="1">
      <c r="A399" t="s">
        <v>503</v>
      </c>
      <c r="B399" s="1">
        <v>44979</v>
      </c>
      <c r="C399">
        <v>2023</v>
      </c>
      <c r="D399">
        <v>2</v>
      </c>
      <c r="E399" t="s">
        <v>13</v>
      </c>
      <c r="F399" t="s">
        <v>14</v>
      </c>
      <c r="G399" t="s">
        <v>102</v>
      </c>
      <c r="H399" t="s">
        <v>278</v>
      </c>
      <c r="I399">
        <v>1966.78</v>
      </c>
      <c r="J399">
        <v>2084.5500000000002</v>
      </c>
      <c r="K399" t="s">
        <v>17</v>
      </c>
      <c r="L399" t="b">
        <v>0</v>
      </c>
      <c r="N399" s="2" t="str">
        <f t="shared" si="35"/>
        <v/>
      </c>
      <c r="Q399" t="str">
        <f t="shared" si="36"/>
        <v/>
      </c>
    </row>
    <row r="400" spans="1:17" hidden="1">
      <c r="A400" t="s">
        <v>504</v>
      </c>
      <c r="B400" s="1">
        <v>44979</v>
      </c>
      <c r="C400">
        <v>2023</v>
      </c>
      <c r="D400">
        <v>2</v>
      </c>
      <c r="E400" t="s">
        <v>13</v>
      </c>
      <c r="F400" t="s">
        <v>14</v>
      </c>
      <c r="G400" t="s">
        <v>102</v>
      </c>
      <c r="H400" t="s">
        <v>278</v>
      </c>
      <c r="I400">
        <v>4019.11</v>
      </c>
      <c r="J400">
        <v>4381.0200000000004</v>
      </c>
      <c r="K400" t="s">
        <v>17</v>
      </c>
      <c r="L400" t="b">
        <v>0</v>
      </c>
      <c r="N400" s="2" t="str">
        <f t="shared" si="35"/>
        <v/>
      </c>
      <c r="Q400" t="str">
        <f t="shared" si="36"/>
        <v/>
      </c>
    </row>
    <row r="401" spans="1:17" hidden="1">
      <c r="A401" t="s">
        <v>505</v>
      </c>
      <c r="B401" s="1">
        <v>44979</v>
      </c>
      <c r="C401">
        <v>2023</v>
      </c>
      <c r="D401">
        <v>2</v>
      </c>
      <c r="E401" t="s">
        <v>13</v>
      </c>
      <c r="F401" t="s">
        <v>24</v>
      </c>
      <c r="G401" t="s">
        <v>102</v>
      </c>
      <c r="H401" t="s">
        <v>145</v>
      </c>
      <c r="I401">
        <v>2627.03</v>
      </c>
      <c r="J401">
        <v>2412.4</v>
      </c>
      <c r="K401" t="s">
        <v>17</v>
      </c>
      <c r="L401" t="b">
        <v>0</v>
      </c>
      <c r="N401" s="2" t="str">
        <f t="shared" si="35"/>
        <v/>
      </c>
      <c r="Q401" t="str">
        <f t="shared" si="36"/>
        <v/>
      </c>
    </row>
    <row r="402" spans="1:17" hidden="1">
      <c r="A402" t="s">
        <v>506</v>
      </c>
      <c r="B402" s="1">
        <v>44979</v>
      </c>
      <c r="C402">
        <v>2023</v>
      </c>
      <c r="D402">
        <v>2</v>
      </c>
      <c r="E402" t="s">
        <v>13</v>
      </c>
      <c r="F402" t="s">
        <v>24</v>
      </c>
      <c r="G402" t="s">
        <v>68</v>
      </c>
      <c r="H402" t="s">
        <v>69</v>
      </c>
      <c r="I402">
        <v>3713.79</v>
      </c>
      <c r="J402">
        <v>3982.77</v>
      </c>
      <c r="K402" t="s">
        <v>17</v>
      </c>
      <c r="L402" t="b">
        <v>0</v>
      </c>
      <c r="N402" s="2" t="str">
        <f t="shared" si="35"/>
        <v/>
      </c>
      <c r="Q402" t="str">
        <f t="shared" si="36"/>
        <v/>
      </c>
    </row>
    <row r="403" spans="1:17" hidden="1">
      <c r="A403" t="s">
        <v>507</v>
      </c>
      <c r="B403" s="1">
        <v>44979</v>
      </c>
      <c r="C403">
        <v>2023</v>
      </c>
      <c r="D403">
        <v>2</v>
      </c>
      <c r="E403" t="s">
        <v>47</v>
      </c>
      <c r="F403" t="s">
        <v>24</v>
      </c>
      <c r="G403" t="s">
        <v>51</v>
      </c>
      <c r="H403" t="s">
        <v>52</v>
      </c>
      <c r="I403">
        <v>12647.42</v>
      </c>
      <c r="J403">
        <v>10888.88</v>
      </c>
      <c r="K403" t="s">
        <v>17</v>
      </c>
      <c r="L403" t="b">
        <v>0</v>
      </c>
      <c r="N403" s="2" t="b">
        <f t="shared" si="35"/>
        <v>1</v>
      </c>
      <c r="O403" t="str">
        <f>IF(AND(E392="HR",K392="EXPENSE"),I392&lt;J392,"")</f>
        <v/>
      </c>
      <c r="Q403" t="str">
        <f t="shared" si="36"/>
        <v/>
      </c>
    </row>
    <row r="404" spans="1:17" hidden="1">
      <c r="A404" t="s">
        <v>508</v>
      </c>
      <c r="B404" s="1">
        <v>44979</v>
      </c>
      <c r="C404">
        <v>2023</v>
      </c>
      <c r="D404">
        <v>2</v>
      </c>
      <c r="E404" t="s">
        <v>19</v>
      </c>
      <c r="F404" t="s">
        <v>28</v>
      </c>
      <c r="G404" t="s">
        <v>80</v>
      </c>
      <c r="H404" t="s">
        <v>81</v>
      </c>
      <c r="I404">
        <v>4641.43</v>
      </c>
      <c r="J404">
        <v>5031.18</v>
      </c>
      <c r="K404" t="s">
        <v>17</v>
      </c>
      <c r="L404" t="b">
        <v>0</v>
      </c>
      <c r="N404" s="2" t="str">
        <f t="shared" si="35"/>
        <v/>
      </c>
      <c r="Q404" t="str">
        <f t="shared" si="36"/>
        <v/>
      </c>
    </row>
    <row r="405" spans="1:17" hidden="1">
      <c r="A405" t="s">
        <v>509</v>
      </c>
      <c r="B405" s="1">
        <v>44979</v>
      </c>
      <c r="C405">
        <v>2023</v>
      </c>
      <c r="D405">
        <v>2</v>
      </c>
      <c r="E405" t="s">
        <v>23</v>
      </c>
      <c r="F405" t="s">
        <v>14</v>
      </c>
      <c r="G405" t="s">
        <v>59</v>
      </c>
      <c r="H405" t="s">
        <v>155</v>
      </c>
      <c r="I405">
        <v>3958.05</v>
      </c>
      <c r="J405">
        <v>3689.51</v>
      </c>
      <c r="K405" t="s">
        <v>17</v>
      </c>
      <c r="L405" t="b">
        <v>0</v>
      </c>
      <c r="N405" s="2" t="str">
        <f t="shared" si="35"/>
        <v/>
      </c>
      <c r="Q405" t="str">
        <f t="shared" si="36"/>
        <v/>
      </c>
    </row>
    <row r="406" spans="1:17" hidden="1">
      <c r="A406" t="s">
        <v>510</v>
      </c>
      <c r="B406" s="1">
        <v>44979</v>
      </c>
      <c r="C406">
        <v>2023</v>
      </c>
      <c r="D406">
        <v>2</v>
      </c>
      <c r="E406" t="s">
        <v>23</v>
      </c>
      <c r="F406" t="s">
        <v>24</v>
      </c>
      <c r="G406" t="s">
        <v>30</v>
      </c>
      <c r="H406" t="s">
        <v>31</v>
      </c>
      <c r="I406">
        <v>3679.08</v>
      </c>
      <c r="J406">
        <v>3896.01</v>
      </c>
      <c r="K406" t="s">
        <v>17</v>
      </c>
      <c r="L406" t="b">
        <v>0</v>
      </c>
      <c r="N406" s="2" t="str">
        <f t="shared" si="35"/>
        <v/>
      </c>
      <c r="Q406" t="str">
        <f t="shared" si="36"/>
        <v/>
      </c>
    </row>
    <row r="407" spans="1:17" hidden="1">
      <c r="A407" t="s">
        <v>511</v>
      </c>
      <c r="B407" s="1">
        <v>44979</v>
      </c>
      <c r="C407">
        <v>2023</v>
      </c>
      <c r="D407">
        <v>2</v>
      </c>
      <c r="E407" t="s">
        <v>37</v>
      </c>
      <c r="F407" t="s">
        <v>14</v>
      </c>
      <c r="G407" t="s">
        <v>41</v>
      </c>
      <c r="H407" t="s">
        <v>42</v>
      </c>
      <c r="I407">
        <v>3240.61</v>
      </c>
      <c r="J407">
        <v>3333.94</v>
      </c>
      <c r="K407" t="s">
        <v>17</v>
      </c>
      <c r="L407" t="b">
        <v>0</v>
      </c>
      <c r="N407" s="2" t="str">
        <f t="shared" si="35"/>
        <v/>
      </c>
      <c r="Q407" t="str">
        <f t="shared" si="36"/>
        <v/>
      </c>
    </row>
    <row r="408" spans="1:17" hidden="1">
      <c r="A408" t="s">
        <v>512</v>
      </c>
      <c r="B408" s="1">
        <v>44979</v>
      </c>
      <c r="C408">
        <v>2023</v>
      </c>
      <c r="D408">
        <v>2</v>
      </c>
      <c r="E408" t="s">
        <v>37</v>
      </c>
      <c r="F408" t="s">
        <v>14</v>
      </c>
      <c r="G408" t="s">
        <v>41</v>
      </c>
      <c r="H408" t="s">
        <v>42</v>
      </c>
      <c r="I408">
        <v>5902.09</v>
      </c>
      <c r="J408">
        <v>5335.15</v>
      </c>
      <c r="K408" t="s">
        <v>17</v>
      </c>
      <c r="L408" t="b">
        <v>0</v>
      </c>
      <c r="N408" s="2" t="str">
        <f t="shared" si="35"/>
        <v/>
      </c>
      <c r="Q408" t="str">
        <f t="shared" si="36"/>
        <v/>
      </c>
    </row>
    <row r="409" spans="1:17" hidden="1">
      <c r="A409" t="s">
        <v>513</v>
      </c>
      <c r="B409" s="1">
        <v>44979</v>
      </c>
      <c r="C409">
        <v>2023</v>
      </c>
      <c r="D409">
        <v>2</v>
      </c>
      <c r="E409" t="s">
        <v>37</v>
      </c>
      <c r="F409" t="s">
        <v>24</v>
      </c>
      <c r="G409" t="s">
        <v>41</v>
      </c>
      <c r="H409" t="s">
        <v>42</v>
      </c>
      <c r="I409">
        <v>4325.3</v>
      </c>
      <c r="J409">
        <v>3908.68</v>
      </c>
      <c r="K409" t="s">
        <v>17</v>
      </c>
      <c r="L409" t="b">
        <v>0</v>
      </c>
      <c r="N409" s="2" t="str">
        <f t="shared" si="35"/>
        <v/>
      </c>
      <c r="Q409" t="str">
        <f t="shared" si="36"/>
        <v/>
      </c>
    </row>
    <row r="410" spans="1:17" hidden="1">
      <c r="A410" t="s">
        <v>514</v>
      </c>
      <c r="B410" s="1">
        <v>44980</v>
      </c>
      <c r="C410">
        <v>2023</v>
      </c>
      <c r="D410">
        <v>2</v>
      </c>
      <c r="E410" t="s">
        <v>47</v>
      </c>
      <c r="F410" t="s">
        <v>14</v>
      </c>
      <c r="G410" t="s">
        <v>51</v>
      </c>
      <c r="H410" t="s">
        <v>189</v>
      </c>
      <c r="I410">
        <v>11079.38</v>
      </c>
      <c r="J410">
        <v>9564.52</v>
      </c>
      <c r="K410" t="s">
        <v>17</v>
      </c>
      <c r="L410" t="b">
        <v>0</v>
      </c>
      <c r="N410" s="2" t="b">
        <f t="shared" si="35"/>
        <v>1</v>
      </c>
      <c r="O410" t="b">
        <f t="shared" ref="O410:O412" si="38">IF(AND(E399="HR",K399="EXPENSE"),I399&lt;J399,"")</f>
        <v>1</v>
      </c>
      <c r="Q410" t="str">
        <f t="shared" si="36"/>
        <v/>
      </c>
    </row>
    <row r="411" spans="1:17" hidden="1">
      <c r="A411" t="s">
        <v>515</v>
      </c>
      <c r="B411" s="1">
        <v>44980</v>
      </c>
      <c r="C411">
        <v>2023</v>
      </c>
      <c r="D411">
        <v>2</v>
      </c>
      <c r="E411" t="s">
        <v>47</v>
      </c>
      <c r="F411" t="s">
        <v>24</v>
      </c>
      <c r="G411" t="s">
        <v>51</v>
      </c>
      <c r="H411" t="s">
        <v>52</v>
      </c>
      <c r="I411">
        <v>12383.4</v>
      </c>
      <c r="J411">
        <v>10637.62</v>
      </c>
      <c r="K411" t="s">
        <v>17</v>
      </c>
      <c r="L411" t="b">
        <v>0</v>
      </c>
      <c r="N411" s="2" t="b">
        <f t="shared" si="35"/>
        <v>1</v>
      </c>
      <c r="O411" t="b">
        <f t="shared" si="38"/>
        <v>1</v>
      </c>
      <c r="Q411" t="str">
        <f t="shared" si="36"/>
        <v/>
      </c>
    </row>
    <row r="412" spans="1:17" hidden="1">
      <c r="A412" t="s">
        <v>516</v>
      </c>
      <c r="B412" s="1">
        <v>44980</v>
      </c>
      <c r="C412">
        <v>2023</v>
      </c>
      <c r="D412">
        <v>2</v>
      </c>
      <c r="E412" t="s">
        <v>47</v>
      </c>
      <c r="F412" t="s">
        <v>24</v>
      </c>
      <c r="G412" t="s">
        <v>91</v>
      </c>
      <c r="H412" t="s">
        <v>92</v>
      </c>
      <c r="I412">
        <v>11676.98</v>
      </c>
      <c r="J412">
        <v>9875.76</v>
      </c>
      <c r="K412" t="s">
        <v>17</v>
      </c>
      <c r="L412" t="b">
        <v>0</v>
      </c>
      <c r="N412" s="2" t="b">
        <f t="shared" si="35"/>
        <v>1</v>
      </c>
      <c r="O412" t="b">
        <f t="shared" si="38"/>
        <v>0</v>
      </c>
      <c r="Q412" t="str">
        <f t="shared" si="36"/>
        <v/>
      </c>
    </row>
    <row r="413" spans="1:17" hidden="1">
      <c r="A413" t="s">
        <v>517</v>
      </c>
      <c r="B413" s="1">
        <v>44980</v>
      </c>
      <c r="C413">
        <v>2023</v>
      </c>
      <c r="D413">
        <v>2</v>
      </c>
      <c r="E413" t="s">
        <v>19</v>
      </c>
      <c r="F413" t="s">
        <v>28</v>
      </c>
      <c r="G413" t="s">
        <v>80</v>
      </c>
      <c r="H413" t="s">
        <v>113</v>
      </c>
      <c r="I413">
        <v>10082.25</v>
      </c>
      <c r="J413">
        <v>9878.6</v>
      </c>
      <c r="K413" t="s">
        <v>17</v>
      </c>
      <c r="L413" t="b">
        <v>0</v>
      </c>
      <c r="N413" s="2" t="str">
        <f t="shared" si="35"/>
        <v/>
      </c>
      <c r="Q413" t="str">
        <f t="shared" si="36"/>
        <v/>
      </c>
    </row>
    <row r="414" spans="1:17" hidden="1">
      <c r="A414" t="s">
        <v>518</v>
      </c>
      <c r="B414" s="1">
        <v>44980</v>
      </c>
      <c r="C414">
        <v>2023</v>
      </c>
      <c r="D414">
        <v>2</v>
      </c>
      <c r="E414" t="s">
        <v>19</v>
      </c>
      <c r="F414" t="s">
        <v>28</v>
      </c>
      <c r="G414" t="s">
        <v>20</v>
      </c>
      <c r="H414" t="s">
        <v>21</v>
      </c>
      <c r="I414">
        <v>7071.8</v>
      </c>
      <c r="J414">
        <v>6371.17</v>
      </c>
      <c r="K414" t="s">
        <v>17</v>
      </c>
      <c r="L414" t="b">
        <v>0</v>
      </c>
      <c r="N414" s="2" t="str">
        <f t="shared" si="35"/>
        <v/>
      </c>
      <c r="Q414" t="str">
        <f t="shared" si="36"/>
        <v/>
      </c>
    </row>
    <row r="415" spans="1:17" hidden="1">
      <c r="A415" t="s">
        <v>519</v>
      </c>
      <c r="B415" s="1">
        <v>44980</v>
      </c>
      <c r="C415">
        <v>2023</v>
      </c>
      <c r="D415">
        <v>2</v>
      </c>
      <c r="E415" t="s">
        <v>19</v>
      </c>
      <c r="F415" t="s">
        <v>24</v>
      </c>
      <c r="G415" t="s">
        <v>80</v>
      </c>
      <c r="H415" t="s">
        <v>217</v>
      </c>
      <c r="I415">
        <v>9922.34</v>
      </c>
      <c r="J415">
        <v>8956.09</v>
      </c>
      <c r="K415" t="s">
        <v>17</v>
      </c>
      <c r="L415" t="b">
        <v>0</v>
      </c>
      <c r="N415" s="2" t="str">
        <f t="shared" si="35"/>
        <v/>
      </c>
      <c r="Q415" t="str">
        <f t="shared" si="36"/>
        <v/>
      </c>
    </row>
    <row r="416" spans="1:17" hidden="1">
      <c r="A416" t="s">
        <v>520</v>
      </c>
      <c r="B416" s="1">
        <v>44980</v>
      </c>
      <c r="C416">
        <v>2023</v>
      </c>
      <c r="D416">
        <v>2</v>
      </c>
      <c r="E416" t="s">
        <v>23</v>
      </c>
      <c r="F416" t="s">
        <v>24</v>
      </c>
      <c r="G416" t="s">
        <v>25</v>
      </c>
      <c r="H416" t="s">
        <v>26</v>
      </c>
      <c r="I416">
        <v>5076.4399999999996</v>
      </c>
      <c r="J416">
        <v>5273.08</v>
      </c>
      <c r="K416" t="s">
        <v>17</v>
      </c>
      <c r="L416" t="b">
        <v>0</v>
      </c>
      <c r="N416" s="2" t="str">
        <f t="shared" si="35"/>
        <v/>
      </c>
      <c r="Q416" t="str">
        <f t="shared" si="36"/>
        <v/>
      </c>
    </row>
    <row r="417" spans="1:17" hidden="1">
      <c r="A417" t="s">
        <v>521</v>
      </c>
      <c r="B417" s="1">
        <v>44980</v>
      </c>
      <c r="C417">
        <v>2023</v>
      </c>
      <c r="D417">
        <v>2</v>
      </c>
      <c r="E417" t="s">
        <v>37</v>
      </c>
      <c r="F417" t="s">
        <v>28</v>
      </c>
      <c r="G417" t="s">
        <v>38</v>
      </c>
      <c r="H417" t="s">
        <v>227</v>
      </c>
      <c r="I417">
        <v>3221.35</v>
      </c>
      <c r="J417">
        <v>3474.34</v>
      </c>
      <c r="K417" t="s">
        <v>17</v>
      </c>
      <c r="L417" t="b">
        <v>0</v>
      </c>
      <c r="N417" s="2" t="str">
        <f t="shared" si="35"/>
        <v/>
      </c>
      <c r="Q417" t="str">
        <f t="shared" si="36"/>
        <v/>
      </c>
    </row>
    <row r="418" spans="1:17" hidden="1">
      <c r="A418" t="s">
        <v>522</v>
      </c>
      <c r="B418" s="1">
        <v>44981</v>
      </c>
      <c r="C418">
        <v>2023</v>
      </c>
      <c r="D418">
        <v>2</v>
      </c>
      <c r="E418" t="s">
        <v>13</v>
      </c>
      <c r="F418" t="s">
        <v>14</v>
      </c>
      <c r="G418" t="s">
        <v>68</v>
      </c>
      <c r="H418" t="s">
        <v>69</v>
      </c>
      <c r="I418">
        <v>2046.21</v>
      </c>
      <c r="J418">
        <v>2135.85</v>
      </c>
      <c r="K418" t="s">
        <v>17</v>
      </c>
      <c r="L418" t="b">
        <v>0</v>
      </c>
      <c r="N418" s="2" t="str">
        <f t="shared" si="35"/>
        <v/>
      </c>
      <c r="Q418" t="str">
        <f t="shared" si="36"/>
        <v/>
      </c>
    </row>
    <row r="419" spans="1:17" hidden="1">
      <c r="A419" t="s">
        <v>523</v>
      </c>
      <c r="B419" s="1">
        <v>44981</v>
      </c>
      <c r="C419">
        <v>2023</v>
      </c>
      <c r="D419">
        <v>2</v>
      </c>
      <c r="E419" t="s">
        <v>13</v>
      </c>
      <c r="F419" t="s">
        <v>28</v>
      </c>
      <c r="G419" t="s">
        <v>108</v>
      </c>
      <c r="H419" t="s">
        <v>109</v>
      </c>
      <c r="I419">
        <v>3329.34</v>
      </c>
      <c r="J419">
        <v>3575.77</v>
      </c>
      <c r="K419" t="s">
        <v>17</v>
      </c>
      <c r="L419" t="b">
        <v>0</v>
      </c>
      <c r="N419" s="2" t="str">
        <f t="shared" si="35"/>
        <v/>
      </c>
      <c r="Q419" t="str">
        <f t="shared" si="36"/>
        <v/>
      </c>
    </row>
    <row r="420" spans="1:17" hidden="1">
      <c r="A420" t="s">
        <v>524</v>
      </c>
      <c r="B420" s="1">
        <v>44981</v>
      </c>
      <c r="C420">
        <v>2023</v>
      </c>
      <c r="D420">
        <v>2</v>
      </c>
      <c r="E420" t="s">
        <v>13</v>
      </c>
      <c r="F420" t="s">
        <v>24</v>
      </c>
      <c r="G420" t="s">
        <v>102</v>
      </c>
      <c r="H420" t="s">
        <v>145</v>
      </c>
      <c r="I420">
        <v>4105.6000000000004</v>
      </c>
      <c r="J420">
        <v>3884.45</v>
      </c>
      <c r="K420" t="s">
        <v>17</v>
      </c>
      <c r="L420" t="b">
        <v>0</v>
      </c>
      <c r="N420" s="2" t="str">
        <f t="shared" si="35"/>
        <v/>
      </c>
      <c r="Q420" t="str">
        <f t="shared" si="36"/>
        <v/>
      </c>
    </row>
    <row r="421" spans="1:17" hidden="1">
      <c r="A421" t="s">
        <v>525</v>
      </c>
      <c r="B421" s="1">
        <v>44981</v>
      </c>
      <c r="C421">
        <v>2023</v>
      </c>
      <c r="D421">
        <v>2</v>
      </c>
      <c r="E421" t="s">
        <v>13</v>
      </c>
      <c r="F421" t="s">
        <v>24</v>
      </c>
      <c r="G421" t="s">
        <v>15</v>
      </c>
      <c r="H421" t="s">
        <v>45</v>
      </c>
      <c r="I421">
        <v>2737.75</v>
      </c>
      <c r="J421">
        <v>2947.89</v>
      </c>
      <c r="K421" t="s">
        <v>17</v>
      </c>
      <c r="L421" t="b">
        <v>0</v>
      </c>
      <c r="N421" s="2" t="str">
        <f t="shared" si="35"/>
        <v/>
      </c>
      <c r="Q421" t="str">
        <f t="shared" si="36"/>
        <v/>
      </c>
    </row>
    <row r="422" spans="1:17" hidden="1">
      <c r="A422" t="s">
        <v>526</v>
      </c>
      <c r="B422" s="1">
        <v>44981</v>
      </c>
      <c r="C422">
        <v>2023</v>
      </c>
      <c r="D422">
        <v>2</v>
      </c>
      <c r="E422" t="s">
        <v>47</v>
      </c>
      <c r="F422" t="s">
        <v>24</v>
      </c>
      <c r="G422" t="s">
        <v>91</v>
      </c>
      <c r="H422" t="s">
        <v>254</v>
      </c>
      <c r="I422">
        <v>16145.27</v>
      </c>
      <c r="J422">
        <v>13711.82</v>
      </c>
      <c r="K422" t="s">
        <v>17</v>
      </c>
      <c r="L422" t="b">
        <v>0</v>
      </c>
      <c r="N422" s="2" t="b">
        <f t="shared" si="35"/>
        <v>1</v>
      </c>
      <c r="O422" t="str">
        <f t="shared" ref="O422:O423" si="39">IF(AND(E411="HR",K411="EXPENSE"),I411&lt;J411,"")</f>
        <v/>
      </c>
      <c r="Q422" t="str">
        <f t="shared" si="36"/>
        <v/>
      </c>
    </row>
    <row r="423" spans="1:17" hidden="1">
      <c r="A423" t="s">
        <v>527</v>
      </c>
      <c r="B423" s="1">
        <v>44981</v>
      </c>
      <c r="C423">
        <v>2023</v>
      </c>
      <c r="D423">
        <v>2</v>
      </c>
      <c r="E423" t="s">
        <v>47</v>
      </c>
      <c r="F423" t="s">
        <v>24</v>
      </c>
      <c r="G423" t="s">
        <v>77</v>
      </c>
      <c r="H423" t="s">
        <v>130</v>
      </c>
      <c r="I423">
        <v>13315.98</v>
      </c>
      <c r="J423">
        <v>11481.78</v>
      </c>
      <c r="K423" t="s">
        <v>17</v>
      </c>
      <c r="L423" t="b">
        <v>0</v>
      </c>
      <c r="N423" s="2" t="b">
        <f t="shared" si="35"/>
        <v>1</v>
      </c>
      <c r="O423" t="str">
        <f t="shared" si="39"/>
        <v/>
      </c>
      <c r="Q423" t="str">
        <f t="shared" si="36"/>
        <v/>
      </c>
    </row>
    <row r="424" spans="1:17" hidden="1">
      <c r="A424" t="s">
        <v>528</v>
      </c>
      <c r="B424" s="1">
        <v>44981</v>
      </c>
      <c r="C424">
        <v>2023</v>
      </c>
      <c r="D424">
        <v>2</v>
      </c>
      <c r="E424" t="s">
        <v>19</v>
      </c>
      <c r="F424" t="s">
        <v>14</v>
      </c>
      <c r="G424" t="s">
        <v>54</v>
      </c>
      <c r="H424" t="s">
        <v>163</v>
      </c>
      <c r="I424">
        <v>8302.39</v>
      </c>
      <c r="J424">
        <v>9023.64</v>
      </c>
      <c r="K424" t="s">
        <v>17</v>
      </c>
      <c r="L424" t="b">
        <v>0</v>
      </c>
      <c r="N424" s="2" t="str">
        <f t="shared" si="35"/>
        <v/>
      </c>
      <c r="Q424" t="str">
        <f t="shared" si="36"/>
        <v/>
      </c>
    </row>
    <row r="425" spans="1:17" hidden="1">
      <c r="A425" t="s">
        <v>529</v>
      </c>
      <c r="B425" s="1">
        <v>44981</v>
      </c>
      <c r="C425">
        <v>2023</v>
      </c>
      <c r="D425">
        <v>2</v>
      </c>
      <c r="E425" t="s">
        <v>19</v>
      </c>
      <c r="F425" t="s">
        <v>24</v>
      </c>
      <c r="G425" t="s">
        <v>54</v>
      </c>
      <c r="H425" t="s">
        <v>57</v>
      </c>
      <c r="I425">
        <v>4908.57</v>
      </c>
      <c r="J425">
        <v>5396.36</v>
      </c>
      <c r="K425" t="s">
        <v>17</v>
      </c>
      <c r="L425" t="b">
        <v>0</v>
      </c>
      <c r="N425" s="2" t="str">
        <f t="shared" si="35"/>
        <v/>
      </c>
      <c r="Q425" t="str">
        <f t="shared" si="36"/>
        <v/>
      </c>
    </row>
    <row r="426" spans="1:17" hidden="1">
      <c r="A426" t="s">
        <v>530</v>
      </c>
      <c r="B426" s="1">
        <v>44981</v>
      </c>
      <c r="C426">
        <v>2023</v>
      </c>
      <c r="D426">
        <v>2</v>
      </c>
      <c r="E426" t="s">
        <v>23</v>
      </c>
      <c r="F426" t="s">
        <v>14</v>
      </c>
      <c r="G426" t="s">
        <v>30</v>
      </c>
      <c r="H426" t="s">
        <v>106</v>
      </c>
      <c r="I426">
        <v>5381.94</v>
      </c>
      <c r="J426">
        <v>5759.31</v>
      </c>
      <c r="K426" t="s">
        <v>17</v>
      </c>
      <c r="L426" t="b">
        <v>0</v>
      </c>
      <c r="N426" s="2" t="str">
        <f t="shared" si="35"/>
        <v/>
      </c>
      <c r="Q426" t="str">
        <f t="shared" si="36"/>
        <v/>
      </c>
    </row>
    <row r="427" spans="1:17" hidden="1">
      <c r="A427" t="s">
        <v>531</v>
      </c>
      <c r="B427" s="1">
        <v>44981</v>
      </c>
      <c r="C427">
        <v>2023</v>
      </c>
      <c r="D427">
        <v>2</v>
      </c>
      <c r="E427" t="s">
        <v>37</v>
      </c>
      <c r="F427" t="s">
        <v>24</v>
      </c>
      <c r="G427" t="s">
        <v>41</v>
      </c>
      <c r="H427" t="s">
        <v>42</v>
      </c>
      <c r="I427">
        <v>6286.44</v>
      </c>
      <c r="J427">
        <v>5917.33</v>
      </c>
      <c r="K427" t="s">
        <v>17</v>
      </c>
      <c r="L427" t="b">
        <v>0</v>
      </c>
      <c r="N427" s="2" t="str">
        <f t="shared" si="35"/>
        <v/>
      </c>
      <c r="Q427" t="str">
        <f t="shared" si="36"/>
        <v/>
      </c>
    </row>
    <row r="428" spans="1:17" hidden="1">
      <c r="A428" t="s">
        <v>532</v>
      </c>
      <c r="B428" s="1">
        <v>44982</v>
      </c>
      <c r="C428">
        <v>2023</v>
      </c>
      <c r="D428">
        <v>2</v>
      </c>
      <c r="E428" t="s">
        <v>13</v>
      </c>
      <c r="F428" t="s">
        <v>28</v>
      </c>
      <c r="G428" t="s">
        <v>102</v>
      </c>
      <c r="H428" t="s">
        <v>145</v>
      </c>
      <c r="I428">
        <v>3792.7</v>
      </c>
      <c r="J428">
        <v>4170.3999999999996</v>
      </c>
      <c r="K428" t="s">
        <v>17</v>
      </c>
      <c r="L428" t="b">
        <v>0</v>
      </c>
      <c r="N428" s="2" t="str">
        <f t="shared" si="35"/>
        <v/>
      </c>
      <c r="Q428" t="str">
        <f t="shared" si="36"/>
        <v/>
      </c>
    </row>
    <row r="429" spans="1:17" hidden="1">
      <c r="A429" t="s">
        <v>533</v>
      </c>
      <c r="B429" s="1">
        <v>44982</v>
      </c>
      <c r="C429">
        <v>2023</v>
      </c>
      <c r="D429">
        <v>2</v>
      </c>
      <c r="E429" t="s">
        <v>13</v>
      </c>
      <c r="F429" t="s">
        <v>24</v>
      </c>
      <c r="G429" t="s">
        <v>108</v>
      </c>
      <c r="H429" t="s">
        <v>126</v>
      </c>
      <c r="I429">
        <v>3593.41</v>
      </c>
      <c r="J429">
        <v>3275.64</v>
      </c>
      <c r="K429" t="s">
        <v>17</v>
      </c>
      <c r="L429" t="b">
        <v>0</v>
      </c>
      <c r="N429" s="2" t="str">
        <f t="shared" si="35"/>
        <v/>
      </c>
      <c r="Q429" t="str">
        <f t="shared" si="36"/>
        <v/>
      </c>
    </row>
    <row r="430" spans="1:17" hidden="1">
      <c r="A430" t="s">
        <v>534</v>
      </c>
      <c r="B430" s="1">
        <v>44982</v>
      </c>
      <c r="C430">
        <v>2023</v>
      </c>
      <c r="D430">
        <v>2</v>
      </c>
      <c r="E430" t="s">
        <v>47</v>
      </c>
      <c r="F430" t="s">
        <v>28</v>
      </c>
      <c r="G430" t="s">
        <v>77</v>
      </c>
      <c r="H430" t="s">
        <v>147</v>
      </c>
      <c r="I430">
        <v>21204.78</v>
      </c>
      <c r="J430">
        <v>17613.919999999998</v>
      </c>
      <c r="K430" t="s">
        <v>17</v>
      </c>
      <c r="L430" t="b">
        <v>0</v>
      </c>
      <c r="N430" s="2" t="b">
        <f t="shared" si="35"/>
        <v>1</v>
      </c>
      <c r="O430" t="b">
        <f>IF(AND(E419="HR",K419="EXPENSE"),I419&lt;J419,"")</f>
        <v>1</v>
      </c>
      <c r="Q430" t="str">
        <f t="shared" si="36"/>
        <v/>
      </c>
    </row>
    <row r="431" spans="1:17" hidden="1">
      <c r="A431" t="s">
        <v>535</v>
      </c>
      <c r="B431" s="1">
        <v>44982</v>
      </c>
      <c r="C431">
        <v>2023</v>
      </c>
      <c r="D431">
        <v>2</v>
      </c>
      <c r="E431" t="s">
        <v>19</v>
      </c>
      <c r="F431" t="s">
        <v>14</v>
      </c>
      <c r="G431" t="s">
        <v>54</v>
      </c>
      <c r="H431" t="s">
        <v>163</v>
      </c>
      <c r="I431">
        <v>4266.8500000000004</v>
      </c>
      <c r="J431">
        <v>4361.96</v>
      </c>
      <c r="K431" t="s">
        <v>17</v>
      </c>
      <c r="L431" t="b">
        <v>0</v>
      </c>
      <c r="N431" s="2" t="str">
        <f t="shared" si="35"/>
        <v/>
      </c>
      <c r="Q431" t="str">
        <f t="shared" si="36"/>
        <v/>
      </c>
    </row>
    <row r="432" spans="1:17" hidden="1">
      <c r="A432" t="s">
        <v>536</v>
      </c>
      <c r="B432" s="1">
        <v>44982</v>
      </c>
      <c r="C432">
        <v>2023</v>
      </c>
      <c r="D432">
        <v>2</v>
      </c>
      <c r="E432" t="s">
        <v>19</v>
      </c>
      <c r="F432" t="s">
        <v>14</v>
      </c>
      <c r="G432" t="s">
        <v>80</v>
      </c>
      <c r="H432" t="s">
        <v>150</v>
      </c>
      <c r="I432">
        <v>6099.88</v>
      </c>
      <c r="J432">
        <v>6339.79</v>
      </c>
      <c r="K432" t="s">
        <v>17</v>
      </c>
      <c r="L432" t="b">
        <v>0</v>
      </c>
      <c r="N432" s="2" t="str">
        <f t="shared" si="35"/>
        <v/>
      </c>
      <c r="Q432" t="str">
        <f t="shared" si="36"/>
        <v/>
      </c>
    </row>
    <row r="433" spans="1:17" hidden="1">
      <c r="A433" t="s">
        <v>537</v>
      </c>
      <c r="B433" s="1">
        <v>44982</v>
      </c>
      <c r="C433">
        <v>2023</v>
      </c>
      <c r="D433">
        <v>2</v>
      </c>
      <c r="E433" t="s">
        <v>23</v>
      </c>
      <c r="F433" t="s">
        <v>28</v>
      </c>
      <c r="G433" t="s">
        <v>141</v>
      </c>
      <c r="H433" t="s">
        <v>142</v>
      </c>
      <c r="I433">
        <v>7906.49</v>
      </c>
      <c r="J433">
        <v>8589.66</v>
      </c>
      <c r="K433" t="s">
        <v>17</v>
      </c>
      <c r="L433" t="b">
        <v>0</v>
      </c>
      <c r="N433" s="2" t="str">
        <f t="shared" si="35"/>
        <v/>
      </c>
      <c r="Q433" t="str">
        <f t="shared" si="36"/>
        <v/>
      </c>
    </row>
    <row r="434" spans="1:17" hidden="1">
      <c r="A434" t="s">
        <v>538</v>
      </c>
      <c r="B434" s="1">
        <v>44982</v>
      </c>
      <c r="C434">
        <v>2023</v>
      </c>
      <c r="D434">
        <v>2</v>
      </c>
      <c r="E434" t="s">
        <v>37</v>
      </c>
      <c r="F434" t="s">
        <v>14</v>
      </c>
      <c r="G434" t="s">
        <v>38</v>
      </c>
      <c r="H434" t="s">
        <v>39</v>
      </c>
      <c r="I434">
        <v>6589.44</v>
      </c>
      <c r="J434">
        <v>6223.03</v>
      </c>
      <c r="K434" t="s">
        <v>17</v>
      </c>
      <c r="L434" t="b">
        <v>0</v>
      </c>
      <c r="N434" s="2" t="str">
        <f t="shared" si="35"/>
        <v/>
      </c>
      <c r="Q434" t="str">
        <f t="shared" si="36"/>
        <v/>
      </c>
    </row>
    <row r="435" spans="1:17" hidden="1">
      <c r="A435" t="s">
        <v>539</v>
      </c>
      <c r="B435" s="1">
        <v>44982</v>
      </c>
      <c r="C435">
        <v>2023</v>
      </c>
      <c r="D435">
        <v>2</v>
      </c>
      <c r="E435" t="s">
        <v>37</v>
      </c>
      <c r="F435" t="s">
        <v>14</v>
      </c>
      <c r="G435" t="s">
        <v>41</v>
      </c>
      <c r="H435" t="s">
        <v>42</v>
      </c>
      <c r="I435">
        <v>5611.72</v>
      </c>
      <c r="J435">
        <v>5317.87</v>
      </c>
      <c r="K435" t="s">
        <v>17</v>
      </c>
      <c r="L435" t="b">
        <v>0</v>
      </c>
      <c r="N435" s="2" t="str">
        <f t="shared" si="35"/>
        <v/>
      </c>
      <c r="Q435" t="str">
        <f t="shared" si="36"/>
        <v/>
      </c>
    </row>
    <row r="436" spans="1:17" hidden="1">
      <c r="A436" t="s">
        <v>540</v>
      </c>
      <c r="B436" s="1">
        <v>44982</v>
      </c>
      <c r="C436">
        <v>2023</v>
      </c>
      <c r="D436">
        <v>2</v>
      </c>
      <c r="E436" t="s">
        <v>37</v>
      </c>
      <c r="F436" t="s">
        <v>28</v>
      </c>
      <c r="G436" t="s">
        <v>62</v>
      </c>
      <c r="H436" t="s">
        <v>121</v>
      </c>
      <c r="I436">
        <v>2247.7399999999998</v>
      </c>
      <c r="J436">
        <v>2155.34</v>
      </c>
      <c r="K436" t="s">
        <v>17</v>
      </c>
      <c r="L436" t="b">
        <v>0</v>
      </c>
      <c r="N436" s="2" t="str">
        <f t="shared" si="35"/>
        <v/>
      </c>
      <c r="Q436" t="str">
        <f t="shared" si="36"/>
        <v/>
      </c>
    </row>
    <row r="437" spans="1:17" hidden="1">
      <c r="A437" t="s">
        <v>541</v>
      </c>
      <c r="B437" s="1">
        <v>44983</v>
      </c>
      <c r="C437">
        <v>2023</v>
      </c>
      <c r="D437">
        <v>2</v>
      </c>
      <c r="E437" t="s">
        <v>13</v>
      </c>
      <c r="F437" t="s">
        <v>28</v>
      </c>
      <c r="G437" t="s">
        <v>15</v>
      </c>
      <c r="H437" t="s">
        <v>45</v>
      </c>
      <c r="I437">
        <v>3192.48</v>
      </c>
      <c r="J437">
        <v>3363.08</v>
      </c>
      <c r="K437" t="s">
        <v>17</v>
      </c>
      <c r="L437" t="b">
        <v>0</v>
      </c>
      <c r="N437" s="2" t="str">
        <f t="shared" si="35"/>
        <v/>
      </c>
      <c r="Q437" t="str">
        <f t="shared" si="36"/>
        <v/>
      </c>
    </row>
    <row r="438" spans="1:17" hidden="1">
      <c r="A438" t="s">
        <v>542</v>
      </c>
      <c r="B438" s="1">
        <v>44983</v>
      </c>
      <c r="C438">
        <v>2023</v>
      </c>
      <c r="D438">
        <v>2</v>
      </c>
      <c r="E438" t="s">
        <v>13</v>
      </c>
      <c r="F438" t="s">
        <v>28</v>
      </c>
      <c r="G438" t="s">
        <v>108</v>
      </c>
      <c r="H438" t="s">
        <v>123</v>
      </c>
      <c r="I438">
        <v>1749.12</v>
      </c>
      <c r="J438">
        <v>1698.26</v>
      </c>
      <c r="K438" t="s">
        <v>17</v>
      </c>
      <c r="L438" t="b">
        <v>0</v>
      </c>
      <c r="N438" s="2" t="str">
        <f t="shared" si="35"/>
        <v/>
      </c>
      <c r="Q438" t="str">
        <f t="shared" si="36"/>
        <v/>
      </c>
    </row>
    <row r="439" spans="1:17" hidden="1">
      <c r="A439" t="s">
        <v>543</v>
      </c>
      <c r="B439" s="1">
        <v>44983</v>
      </c>
      <c r="C439">
        <v>2023</v>
      </c>
      <c r="D439">
        <v>2</v>
      </c>
      <c r="E439" t="s">
        <v>47</v>
      </c>
      <c r="F439" t="s">
        <v>14</v>
      </c>
      <c r="G439" t="s">
        <v>91</v>
      </c>
      <c r="H439" t="s">
        <v>249</v>
      </c>
      <c r="I439">
        <v>13037.23</v>
      </c>
      <c r="J439">
        <v>10941.39</v>
      </c>
      <c r="K439" t="s">
        <v>17</v>
      </c>
      <c r="L439" t="b">
        <v>0</v>
      </c>
      <c r="N439" s="2" t="b">
        <f t="shared" si="35"/>
        <v>1</v>
      </c>
      <c r="O439" t="b">
        <f t="shared" ref="O439:O440" si="40">IF(AND(E428="HR",K428="EXPENSE"),I428&lt;J428,"")</f>
        <v>1</v>
      </c>
      <c r="Q439" t="str">
        <f t="shared" si="36"/>
        <v/>
      </c>
    </row>
    <row r="440" spans="1:17" hidden="1">
      <c r="A440" t="s">
        <v>544</v>
      </c>
      <c r="B440" s="1">
        <v>44983</v>
      </c>
      <c r="C440">
        <v>2023</v>
      </c>
      <c r="D440">
        <v>2</v>
      </c>
      <c r="E440" t="s">
        <v>47</v>
      </c>
      <c r="F440" t="s">
        <v>24</v>
      </c>
      <c r="G440" t="s">
        <v>77</v>
      </c>
      <c r="H440" t="s">
        <v>130</v>
      </c>
      <c r="I440">
        <v>12833.17</v>
      </c>
      <c r="J440">
        <v>11114.29</v>
      </c>
      <c r="K440" t="s">
        <v>17</v>
      </c>
      <c r="L440" t="b">
        <v>0</v>
      </c>
      <c r="N440" s="2" t="b">
        <f t="shared" si="35"/>
        <v>1</v>
      </c>
      <c r="O440" t="b">
        <f t="shared" si="40"/>
        <v>0</v>
      </c>
      <c r="Q440" t="str">
        <f t="shared" si="36"/>
        <v/>
      </c>
    </row>
    <row r="441" spans="1:17" hidden="1">
      <c r="A441" t="s">
        <v>545</v>
      </c>
      <c r="B441" s="1">
        <v>44983</v>
      </c>
      <c r="C441">
        <v>2023</v>
      </c>
      <c r="D441">
        <v>2</v>
      </c>
      <c r="E441" t="s">
        <v>19</v>
      </c>
      <c r="F441" t="s">
        <v>28</v>
      </c>
      <c r="G441" t="s">
        <v>20</v>
      </c>
      <c r="H441" t="s">
        <v>21</v>
      </c>
      <c r="I441">
        <v>5363.62</v>
      </c>
      <c r="J441">
        <v>5618.39</v>
      </c>
      <c r="K441" t="s">
        <v>17</v>
      </c>
      <c r="L441" t="b">
        <v>0</v>
      </c>
      <c r="N441" s="2" t="str">
        <f t="shared" si="35"/>
        <v/>
      </c>
      <c r="Q441" t="str">
        <f t="shared" si="36"/>
        <v/>
      </c>
    </row>
    <row r="442" spans="1:17" hidden="1">
      <c r="A442" t="s">
        <v>546</v>
      </c>
      <c r="B442" s="1">
        <v>44983</v>
      </c>
      <c r="C442">
        <v>2023</v>
      </c>
      <c r="D442">
        <v>2</v>
      </c>
      <c r="E442" t="s">
        <v>23</v>
      </c>
      <c r="F442" t="s">
        <v>14</v>
      </c>
      <c r="G442" t="s">
        <v>25</v>
      </c>
      <c r="H442" t="s">
        <v>95</v>
      </c>
      <c r="I442">
        <v>5941.63</v>
      </c>
      <c r="J442">
        <v>5989.15</v>
      </c>
      <c r="K442" t="s">
        <v>17</v>
      </c>
      <c r="L442" t="b">
        <v>0</v>
      </c>
      <c r="N442" s="2" t="str">
        <f t="shared" si="35"/>
        <v/>
      </c>
      <c r="Q442" t="str">
        <f t="shared" si="36"/>
        <v/>
      </c>
    </row>
    <row r="443" spans="1:17" hidden="1">
      <c r="A443" t="s">
        <v>547</v>
      </c>
      <c r="B443" s="1">
        <v>44983</v>
      </c>
      <c r="C443">
        <v>2023</v>
      </c>
      <c r="D443">
        <v>2</v>
      </c>
      <c r="E443" t="s">
        <v>23</v>
      </c>
      <c r="F443" t="s">
        <v>28</v>
      </c>
      <c r="G443" t="s">
        <v>141</v>
      </c>
      <c r="H443" t="s">
        <v>209</v>
      </c>
      <c r="I443">
        <v>4021.94</v>
      </c>
      <c r="J443">
        <v>4247.05</v>
      </c>
      <c r="K443" t="s">
        <v>17</v>
      </c>
      <c r="L443" t="b">
        <v>0</v>
      </c>
      <c r="N443" s="2" t="str">
        <f t="shared" si="35"/>
        <v/>
      </c>
      <c r="Q443" t="str">
        <f t="shared" si="36"/>
        <v/>
      </c>
    </row>
    <row r="444" spans="1:17" hidden="1">
      <c r="A444" t="s">
        <v>548</v>
      </c>
      <c r="B444" s="1">
        <v>44983</v>
      </c>
      <c r="C444">
        <v>2023</v>
      </c>
      <c r="D444">
        <v>2</v>
      </c>
      <c r="E444" t="s">
        <v>23</v>
      </c>
      <c r="F444" t="s">
        <v>24</v>
      </c>
      <c r="G444" t="s">
        <v>30</v>
      </c>
      <c r="H444" t="s">
        <v>33</v>
      </c>
      <c r="I444">
        <v>7517.37</v>
      </c>
      <c r="J444">
        <v>8245.02</v>
      </c>
      <c r="K444" t="s">
        <v>17</v>
      </c>
      <c r="L444" t="b">
        <v>0</v>
      </c>
      <c r="N444" s="2" t="str">
        <f t="shared" si="35"/>
        <v/>
      </c>
      <c r="Q444" t="str">
        <f t="shared" si="36"/>
        <v/>
      </c>
    </row>
    <row r="445" spans="1:17" hidden="1">
      <c r="A445" t="s">
        <v>549</v>
      </c>
      <c r="B445" s="1">
        <v>44983</v>
      </c>
      <c r="C445">
        <v>2023</v>
      </c>
      <c r="D445">
        <v>2</v>
      </c>
      <c r="E445" t="s">
        <v>37</v>
      </c>
      <c r="F445" t="s">
        <v>28</v>
      </c>
      <c r="G445" t="s">
        <v>41</v>
      </c>
      <c r="H445" t="s">
        <v>42</v>
      </c>
      <c r="I445">
        <v>6675.53</v>
      </c>
      <c r="J445">
        <v>7274.27</v>
      </c>
      <c r="K445" t="s">
        <v>17</v>
      </c>
      <c r="L445" t="b">
        <v>0</v>
      </c>
      <c r="N445" s="2" t="str">
        <f t="shared" si="35"/>
        <v/>
      </c>
      <c r="Q445" t="str">
        <f t="shared" si="36"/>
        <v/>
      </c>
    </row>
    <row r="446" spans="1:17" hidden="1">
      <c r="A446" t="s">
        <v>550</v>
      </c>
      <c r="B446" s="1">
        <v>44984</v>
      </c>
      <c r="C446">
        <v>2023</v>
      </c>
      <c r="D446">
        <v>2</v>
      </c>
      <c r="E446" t="s">
        <v>13</v>
      </c>
      <c r="F446" t="s">
        <v>28</v>
      </c>
      <c r="G446" t="s">
        <v>68</v>
      </c>
      <c r="H446" t="s">
        <v>69</v>
      </c>
      <c r="I446">
        <v>3326.09</v>
      </c>
      <c r="J446">
        <v>3205.52</v>
      </c>
      <c r="K446" t="s">
        <v>17</v>
      </c>
      <c r="L446" t="b">
        <v>0</v>
      </c>
      <c r="N446" s="2" t="str">
        <f t="shared" si="35"/>
        <v/>
      </c>
      <c r="Q446" t="str">
        <f t="shared" si="36"/>
        <v/>
      </c>
    </row>
    <row r="447" spans="1:17" hidden="1">
      <c r="A447" t="s">
        <v>551</v>
      </c>
      <c r="B447" s="1">
        <v>44984</v>
      </c>
      <c r="C447">
        <v>2023</v>
      </c>
      <c r="D447">
        <v>2</v>
      </c>
      <c r="E447" t="s">
        <v>13</v>
      </c>
      <c r="F447" t="s">
        <v>24</v>
      </c>
      <c r="G447" t="s">
        <v>108</v>
      </c>
      <c r="H447" t="s">
        <v>109</v>
      </c>
      <c r="I447">
        <v>3877.84</v>
      </c>
      <c r="J447">
        <v>3552.91</v>
      </c>
      <c r="K447" t="s">
        <v>17</v>
      </c>
      <c r="L447" t="b">
        <v>0</v>
      </c>
      <c r="N447" s="2" t="str">
        <f t="shared" si="35"/>
        <v/>
      </c>
      <c r="Q447" t="str">
        <f t="shared" si="36"/>
        <v/>
      </c>
    </row>
    <row r="448" spans="1:17" hidden="1">
      <c r="A448" t="s">
        <v>552</v>
      </c>
      <c r="B448" s="1">
        <v>44984</v>
      </c>
      <c r="C448">
        <v>2023</v>
      </c>
      <c r="D448">
        <v>2</v>
      </c>
      <c r="E448" t="s">
        <v>47</v>
      </c>
      <c r="F448" t="s">
        <v>24</v>
      </c>
      <c r="G448" t="s">
        <v>91</v>
      </c>
      <c r="H448" t="s">
        <v>249</v>
      </c>
      <c r="I448">
        <v>14172.82</v>
      </c>
      <c r="J448">
        <v>11688.22</v>
      </c>
      <c r="K448" t="s">
        <v>17</v>
      </c>
      <c r="L448" t="b">
        <v>0</v>
      </c>
      <c r="N448" s="2" t="b">
        <f t="shared" si="35"/>
        <v>1</v>
      </c>
      <c r="O448" t="b">
        <f>IF(AND(E437="HR",K437="EXPENSE"),I437&lt;J437,"")</f>
        <v>1</v>
      </c>
      <c r="Q448" t="str">
        <f t="shared" si="36"/>
        <v/>
      </c>
    </row>
    <row r="449" spans="1:17" hidden="1">
      <c r="A449" t="s">
        <v>553</v>
      </c>
      <c r="B449" s="1">
        <v>44984</v>
      </c>
      <c r="C449">
        <v>2023</v>
      </c>
      <c r="D449">
        <v>2</v>
      </c>
      <c r="E449" t="s">
        <v>19</v>
      </c>
      <c r="F449" t="s">
        <v>24</v>
      </c>
      <c r="G449" t="s">
        <v>54</v>
      </c>
      <c r="H449" t="s">
        <v>163</v>
      </c>
      <c r="I449">
        <v>7121.75</v>
      </c>
      <c r="J449">
        <v>6701.77</v>
      </c>
      <c r="K449" t="s">
        <v>17</v>
      </c>
      <c r="L449" t="b">
        <v>0</v>
      </c>
      <c r="N449" s="2" t="str">
        <f t="shared" si="35"/>
        <v/>
      </c>
      <c r="Q449" t="str">
        <f t="shared" si="36"/>
        <v/>
      </c>
    </row>
    <row r="450" spans="1:17" hidden="1">
      <c r="A450" t="s">
        <v>554</v>
      </c>
      <c r="B450" s="1">
        <v>44984</v>
      </c>
      <c r="C450">
        <v>2023</v>
      </c>
      <c r="D450">
        <v>2</v>
      </c>
      <c r="E450" t="s">
        <v>23</v>
      </c>
      <c r="F450" t="s">
        <v>28</v>
      </c>
      <c r="G450" t="s">
        <v>141</v>
      </c>
      <c r="H450" t="s">
        <v>209</v>
      </c>
      <c r="I450">
        <v>6476.06</v>
      </c>
      <c r="J450">
        <v>6529.51</v>
      </c>
      <c r="K450" t="s">
        <v>17</v>
      </c>
      <c r="L450" t="b">
        <v>0</v>
      </c>
      <c r="N450" s="2" t="str">
        <f t="shared" si="35"/>
        <v/>
      </c>
      <c r="Q450" t="str">
        <f t="shared" si="36"/>
        <v/>
      </c>
    </row>
    <row r="451" spans="1:17" hidden="1">
      <c r="A451" t="s">
        <v>555</v>
      </c>
      <c r="B451" s="1">
        <v>44984</v>
      </c>
      <c r="C451">
        <v>2023</v>
      </c>
      <c r="D451">
        <v>2</v>
      </c>
      <c r="E451" t="s">
        <v>37</v>
      </c>
      <c r="F451" t="s">
        <v>28</v>
      </c>
      <c r="G451" t="s">
        <v>38</v>
      </c>
      <c r="H451" t="s">
        <v>118</v>
      </c>
      <c r="I451">
        <v>4074.93</v>
      </c>
      <c r="J451">
        <v>3878.87</v>
      </c>
      <c r="K451" t="s">
        <v>17</v>
      </c>
      <c r="L451" t="b">
        <v>0</v>
      </c>
      <c r="N451" s="2" t="str">
        <f t="shared" ref="N451:N514" si="41">IF(AND(E451="IT",K451="EXPENSE"),I451&gt;J451,"")</f>
        <v/>
      </c>
      <c r="Q451" t="str">
        <f t="shared" ref="Q451:Q514" si="42">IF(L451=TRUE,OR(H451="Apex Solutions Inc",H451="Global Trade Partners",H451="NovaTech Services"),"")</f>
        <v/>
      </c>
    </row>
    <row r="452" spans="1:17" hidden="1">
      <c r="A452" t="s">
        <v>556</v>
      </c>
      <c r="B452" s="1">
        <v>44985</v>
      </c>
      <c r="C452">
        <v>2023</v>
      </c>
      <c r="D452">
        <v>2</v>
      </c>
      <c r="E452" t="s">
        <v>13</v>
      </c>
      <c r="F452" t="s">
        <v>14</v>
      </c>
      <c r="G452" t="s">
        <v>108</v>
      </c>
      <c r="H452" t="s">
        <v>109</v>
      </c>
      <c r="I452">
        <v>1744.3</v>
      </c>
      <c r="J452">
        <v>1889.88</v>
      </c>
      <c r="K452" t="s">
        <v>17</v>
      </c>
      <c r="L452" t="b">
        <v>0</v>
      </c>
      <c r="N452" s="2" t="str">
        <f t="shared" si="41"/>
        <v/>
      </c>
      <c r="Q452" t="str">
        <f t="shared" si="42"/>
        <v/>
      </c>
    </row>
    <row r="453" spans="1:17" hidden="1">
      <c r="A453" t="s">
        <v>557</v>
      </c>
      <c r="B453" s="1">
        <v>44985</v>
      </c>
      <c r="C453">
        <v>2023</v>
      </c>
      <c r="D453">
        <v>2</v>
      </c>
      <c r="E453" t="s">
        <v>47</v>
      </c>
      <c r="F453" t="s">
        <v>14</v>
      </c>
      <c r="G453" t="s">
        <v>91</v>
      </c>
      <c r="H453" t="s">
        <v>249</v>
      </c>
      <c r="I453">
        <v>21089.62</v>
      </c>
      <c r="J453">
        <v>17645.060000000001</v>
      </c>
      <c r="K453" t="s">
        <v>17</v>
      </c>
      <c r="L453" t="b">
        <v>0</v>
      </c>
      <c r="N453" s="2" t="b">
        <f t="shared" si="41"/>
        <v>1</v>
      </c>
      <c r="O453" t="str">
        <f t="shared" ref="O453:O454" si="43">IF(AND(E442="HR",K442="EXPENSE"),I442&lt;J442,"")</f>
        <v/>
      </c>
      <c r="Q453" t="str">
        <f t="shared" si="42"/>
        <v/>
      </c>
    </row>
    <row r="454" spans="1:17" hidden="1">
      <c r="A454" t="s">
        <v>558</v>
      </c>
      <c r="B454" s="1">
        <v>44985</v>
      </c>
      <c r="C454">
        <v>2023</v>
      </c>
      <c r="D454">
        <v>2</v>
      </c>
      <c r="E454" t="s">
        <v>47</v>
      </c>
      <c r="F454" t="s">
        <v>28</v>
      </c>
      <c r="G454" t="s">
        <v>91</v>
      </c>
      <c r="H454" t="s">
        <v>92</v>
      </c>
      <c r="I454">
        <v>14848.26</v>
      </c>
      <c r="J454">
        <v>12778.61</v>
      </c>
      <c r="K454" t="s">
        <v>17</v>
      </c>
      <c r="L454" t="b">
        <v>0</v>
      </c>
      <c r="N454" s="2" t="b">
        <f t="shared" si="41"/>
        <v>1</v>
      </c>
      <c r="O454" t="str">
        <f t="shared" si="43"/>
        <v/>
      </c>
      <c r="Q454" t="str">
        <f t="shared" si="42"/>
        <v/>
      </c>
    </row>
    <row r="455" spans="1:17" hidden="1">
      <c r="A455" t="s">
        <v>559</v>
      </c>
      <c r="B455" s="1">
        <v>44985</v>
      </c>
      <c r="C455">
        <v>2023</v>
      </c>
      <c r="D455">
        <v>2</v>
      </c>
      <c r="E455" t="s">
        <v>19</v>
      </c>
      <c r="F455" t="s">
        <v>14</v>
      </c>
      <c r="G455" t="s">
        <v>80</v>
      </c>
      <c r="H455" t="s">
        <v>81</v>
      </c>
      <c r="I455">
        <v>5536.9</v>
      </c>
      <c r="J455">
        <v>5866.12</v>
      </c>
      <c r="K455" t="s">
        <v>17</v>
      </c>
      <c r="L455" t="b">
        <v>0</v>
      </c>
      <c r="N455" s="2" t="str">
        <f t="shared" si="41"/>
        <v/>
      </c>
      <c r="Q455" t="str">
        <f t="shared" si="42"/>
        <v/>
      </c>
    </row>
    <row r="456" spans="1:17" hidden="1">
      <c r="A456" t="s">
        <v>560</v>
      </c>
      <c r="B456" s="1">
        <v>44985</v>
      </c>
      <c r="C456">
        <v>2023</v>
      </c>
      <c r="D456">
        <v>2</v>
      </c>
      <c r="E456" t="s">
        <v>19</v>
      </c>
      <c r="F456" t="s">
        <v>28</v>
      </c>
      <c r="G456" t="s">
        <v>132</v>
      </c>
      <c r="H456" t="s">
        <v>171</v>
      </c>
      <c r="I456">
        <v>5913.54</v>
      </c>
      <c r="J456">
        <v>5957.77</v>
      </c>
      <c r="K456" t="s">
        <v>17</v>
      </c>
      <c r="L456" t="b">
        <v>0</v>
      </c>
      <c r="N456" s="2" t="str">
        <f t="shared" si="41"/>
        <v/>
      </c>
      <c r="Q456" t="str">
        <f t="shared" si="42"/>
        <v/>
      </c>
    </row>
    <row r="457" spans="1:17" hidden="1">
      <c r="A457" t="s">
        <v>561</v>
      </c>
      <c r="B457" s="1">
        <v>44985</v>
      </c>
      <c r="C457">
        <v>2023</v>
      </c>
      <c r="D457">
        <v>2</v>
      </c>
      <c r="E457" t="s">
        <v>23</v>
      </c>
      <c r="F457" t="s">
        <v>14</v>
      </c>
      <c r="G457" t="s">
        <v>30</v>
      </c>
      <c r="H457" t="s">
        <v>33</v>
      </c>
      <c r="I457">
        <v>4537.1000000000004</v>
      </c>
      <c r="J457">
        <v>4758.0600000000004</v>
      </c>
      <c r="K457" t="s">
        <v>17</v>
      </c>
      <c r="L457" t="b">
        <v>0</v>
      </c>
      <c r="N457" s="2" t="str">
        <f t="shared" si="41"/>
        <v/>
      </c>
      <c r="Q457" t="str">
        <f t="shared" si="42"/>
        <v/>
      </c>
    </row>
    <row r="458" spans="1:17" hidden="1">
      <c r="A458" t="s">
        <v>562</v>
      </c>
      <c r="B458" s="1">
        <v>44985</v>
      </c>
      <c r="C458">
        <v>2023</v>
      </c>
      <c r="D458">
        <v>2</v>
      </c>
      <c r="E458" t="s">
        <v>37</v>
      </c>
      <c r="F458" t="s">
        <v>28</v>
      </c>
      <c r="G458" t="s">
        <v>98</v>
      </c>
      <c r="H458" t="s">
        <v>185</v>
      </c>
      <c r="I458">
        <v>5397.67</v>
      </c>
      <c r="J458">
        <v>5299.87</v>
      </c>
      <c r="K458" t="s">
        <v>17</v>
      </c>
      <c r="L458" t="b">
        <v>0</v>
      </c>
      <c r="N458" s="2" t="str">
        <f t="shared" si="41"/>
        <v/>
      </c>
      <c r="Q458" t="str">
        <f t="shared" si="42"/>
        <v/>
      </c>
    </row>
    <row r="459" spans="1:17" hidden="1">
      <c r="A459" t="s">
        <v>563</v>
      </c>
      <c r="B459" s="1">
        <v>44985</v>
      </c>
      <c r="C459">
        <v>2023</v>
      </c>
      <c r="D459">
        <v>2</v>
      </c>
      <c r="E459" t="s">
        <v>37</v>
      </c>
      <c r="F459" t="s">
        <v>24</v>
      </c>
      <c r="G459" t="s">
        <v>98</v>
      </c>
      <c r="H459" t="s">
        <v>99</v>
      </c>
      <c r="I459">
        <v>5244.81</v>
      </c>
      <c r="J459">
        <v>5007.8</v>
      </c>
      <c r="K459" t="s">
        <v>17</v>
      </c>
      <c r="L459" t="b">
        <v>0</v>
      </c>
      <c r="N459" s="2" t="str">
        <f t="shared" si="41"/>
        <v/>
      </c>
      <c r="Q459" t="str">
        <f t="shared" si="42"/>
        <v/>
      </c>
    </row>
    <row r="460" spans="1:17" hidden="1">
      <c r="A460" t="s">
        <v>564</v>
      </c>
      <c r="B460" s="1">
        <v>44985</v>
      </c>
      <c r="C460">
        <v>2023</v>
      </c>
      <c r="D460">
        <v>2</v>
      </c>
      <c r="E460" t="s">
        <v>37</v>
      </c>
      <c r="F460" t="s">
        <v>24</v>
      </c>
      <c r="G460" t="s">
        <v>98</v>
      </c>
      <c r="H460" t="s">
        <v>99</v>
      </c>
      <c r="I460">
        <v>5590.75</v>
      </c>
      <c r="J460">
        <v>5043.97</v>
      </c>
      <c r="K460" t="s">
        <v>17</v>
      </c>
      <c r="L460" t="b">
        <v>0</v>
      </c>
      <c r="N460" s="2" t="str">
        <f t="shared" si="41"/>
        <v/>
      </c>
      <c r="Q460" t="str">
        <f t="shared" si="42"/>
        <v/>
      </c>
    </row>
    <row r="461" spans="1:17" hidden="1">
      <c r="A461" t="s">
        <v>565</v>
      </c>
      <c r="B461" s="1">
        <v>44985</v>
      </c>
      <c r="C461">
        <v>2023</v>
      </c>
      <c r="D461">
        <v>2</v>
      </c>
      <c r="E461" t="s">
        <v>37</v>
      </c>
      <c r="F461" t="s">
        <v>24</v>
      </c>
      <c r="G461" t="s">
        <v>41</v>
      </c>
      <c r="H461" t="s">
        <v>42</v>
      </c>
      <c r="I461">
        <v>2698.91</v>
      </c>
      <c r="J461">
        <v>2709.12</v>
      </c>
      <c r="K461" t="s">
        <v>17</v>
      </c>
      <c r="L461" t="b">
        <v>0</v>
      </c>
      <c r="N461" s="2" t="str">
        <f t="shared" si="41"/>
        <v/>
      </c>
      <c r="Q461" t="str">
        <f t="shared" si="42"/>
        <v/>
      </c>
    </row>
    <row r="462" spans="1:17" hidden="1">
      <c r="A462" t="s">
        <v>566</v>
      </c>
      <c r="B462" s="1">
        <v>44985</v>
      </c>
      <c r="C462">
        <v>2023</v>
      </c>
      <c r="D462">
        <v>2</v>
      </c>
      <c r="E462" t="s">
        <v>37</v>
      </c>
      <c r="F462" t="s">
        <v>24</v>
      </c>
      <c r="G462" t="s">
        <v>38</v>
      </c>
      <c r="H462" t="s">
        <v>227</v>
      </c>
      <c r="I462">
        <v>3400.53</v>
      </c>
      <c r="J462">
        <v>3092.42</v>
      </c>
      <c r="K462" t="s">
        <v>17</v>
      </c>
      <c r="L462" t="b">
        <v>0</v>
      </c>
      <c r="N462" s="2" t="str">
        <f t="shared" si="41"/>
        <v/>
      </c>
      <c r="Q462" t="str">
        <f t="shared" si="42"/>
        <v/>
      </c>
    </row>
    <row r="463" spans="1:17" hidden="1">
      <c r="A463" t="s">
        <v>567</v>
      </c>
      <c r="B463" s="1">
        <v>44986</v>
      </c>
      <c r="C463">
        <v>2023</v>
      </c>
      <c r="D463">
        <v>3</v>
      </c>
      <c r="E463" t="s">
        <v>47</v>
      </c>
      <c r="F463" t="s">
        <v>28</v>
      </c>
      <c r="G463" t="s">
        <v>91</v>
      </c>
      <c r="H463" t="s">
        <v>92</v>
      </c>
      <c r="I463">
        <v>17329.43</v>
      </c>
      <c r="J463">
        <v>14973.76</v>
      </c>
      <c r="K463" t="s">
        <v>17</v>
      </c>
      <c r="L463" t="b">
        <v>0</v>
      </c>
      <c r="N463" s="2" t="b">
        <f t="shared" si="41"/>
        <v>1</v>
      </c>
      <c r="O463" t="b">
        <f>IF(AND(E452="HR",K452="EXPENSE"),I452&lt;J452,"")</f>
        <v>1</v>
      </c>
      <c r="Q463" t="str">
        <f t="shared" si="42"/>
        <v/>
      </c>
    </row>
    <row r="464" spans="1:17" hidden="1">
      <c r="A464" t="s">
        <v>568</v>
      </c>
      <c r="B464" s="1">
        <v>44986</v>
      </c>
      <c r="C464">
        <v>2023</v>
      </c>
      <c r="D464">
        <v>3</v>
      </c>
      <c r="E464" t="s">
        <v>19</v>
      </c>
      <c r="F464" t="s">
        <v>14</v>
      </c>
      <c r="G464" t="s">
        <v>54</v>
      </c>
      <c r="H464" t="s">
        <v>57</v>
      </c>
      <c r="I464">
        <v>6793.51</v>
      </c>
      <c r="J464">
        <v>6336.34</v>
      </c>
      <c r="K464" t="s">
        <v>17</v>
      </c>
      <c r="L464" t="b">
        <v>0</v>
      </c>
      <c r="N464" s="2" t="str">
        <f t="shared" si="41"/>
        <v/>
      </c>
      <c r="Q464" t="str">
        <f t="shared" si="42"/>
        <v/>
      </c>
    </row>
    <row r="465" spans="1:17" hidden="1">
      <c r="A465" t="s">
        <v>569</v>
      </c>
      <c r="B465" s="1">
        <v>44986</v>
      </c>
      <c r="C465">
        <v>2023</v>
      </c>
      <c r="D465">
        <v>3</v>
      </c>
      <c r="E465" t="s">
        <v>19</v>
      </c>
      <c r="F465" t="s">
        <v>14</v>
      </c>
      <c r="G465" t="s">
        <v>54</v>
      </c>
      <c r="H465" t="s">
        <v>57</v>
      </c>
      <c r="I465">
        <v>5215.87</v>
      </c>
      <c r="J465">
        <v>4940.5200000000004</v>
      </c>
      <c r="K465" t="s">
        <v>17</v>
      </c>
      <c r="L465" t="b">
        <v>0</v>
      </c>
      <c r="N465" s="2" t="str">
        <f t="shared" si="41"/>
        <v/>
      </c>
      <c r="Q465" t="str">
        <f t="shared" si="42"/>
        <v/>
      </c>
    </row>
    <row r="466" spans="1:17" hidden="1">
      <c r="A466" t="s">
        <v>570</v>
      </c>
      <c r="B466" s="1">
        <v>44986</v>
      </c>
      <c r="C466">
        <v>2023</v>
      </c>
      <c r="D466">
        <v>3</v>
      </c>
      <c r="E466" t="s">
        <v>19</v>
      </c>
      <c r="F466" t="s">
        <v>24</v>
      </c>
      <c r="G466" t="s">
        <v>80</v>
      </c>
      <c r="H466" t="s">
        <v>217</v>
      </c>
      <c r="I466">
        <v>6999.01</v>
      </c>
      <c r="J466">
        <v>6947.91</v>
      </c>
      <c r="K466" t="s">
        <v>17</v>
      </c>
      <c r="L466" t="b">
        <v>0</v>
      </c>
      <c r="N466" s="2" t="str">
        <f t="shared" si="41"/>
        <v/>
      </c>
      <c r="Q466" t="str">
        <f t="shared" si="42"/>
        <v/>
      </c>
    </row>
    <row r="467" spans="1:17" hidden="1">
      <c r="A467" t="s">
        <v>571</v>
      </c>
      <c r="B467" s="1">
        <v>44986</v>
      </c>
      <c r="C467">
        <v>2023</v>
      </c>
      <c r="D467">
        <v>3</v>
      </c>
      <c r="E467" t="s">
        <v>37</v>
      </c>
      <c r="F467" t="s">
        <v>24</v>
      </c>
      <c r="G467" t="s">
        <v>62</v>
      </c>
      <c r="H467" t="s">
        <v>66</v>
      </c>
      <c r="I467">
        <v>5557.21</v>
      </c>
      <c r="J467">
        <v>5609.11</v>
      </c>
      <c r="K467" t="s">
        <v>17</v>
      </c>
      <c r="L467" t="b">
        <v>0</v>
      </c>
      <c r="N467" s="2" t="str">
        <f t="shared" si="41"/>
        <v/>
      </c>
      <c r="Q467" t="str">
        <f t="shared" si="42"/>
        <v/>
      </c>
    </row>
    <row r="468" spans="1:17" hidden="1">
      <c r="A468" t="s">
        <v>572</v>
      </c>
      <c r="B468" s="1">
        <v>44986</v>
      </c>
      <c r="C468">
        <v>2023</v>
      </c>
      <c r="D468">
        <v>3</v>
      </c>
      <c r="E468" t="s">
        <v>37</v>
      </c>
      <c r="F468" t="s">
        <v>28</v>
      </c>
      <c r="G468" t="s">
        <v>83</v>
      </c>
      <c r="H468" t="s">
        <v>84</v>
      </c>
      <c r="I468">
        <v>153964.87</v>
      </c>
      <c r="J468">
        <v>146266.63</v>
      </c>
      <c r="K468" t="s">
        <v>85</v>
      </c>
      <c r="L468" t="b">
        <v>0</v>
      </c>
      <c r="N468" s="2" t="str">
        <f t="shared" si="41"/>
        <v/>
      </c>
      <c r="Q468" t="str">
        <f t="shared" si="42"/>
        <v/>
      </c>
    </row>
    <row r="469" spans="1:17" hidden="1">
      <c r="A469" t="s">
        <v>573</v>
      </c>
      <c r="B469" s="1">
        <v>44987</v>
      </c>
      <c r="C469">
        <v>2023</v>
      </c>
      <c r="D469">
        <v>3</v>
      </c>
      <c r="E469" t="s">
        <v>13</v>
      </c>
      <c r="F469" t="s">
        <v>14</v>
      </c>
      <c r="G469" t="s">
        <v>68</v>
      </c>
      <c r="H469" t="s">
        <v>69</v>
      </c>
      <c r="I469">
        <v>3488.83</v>
      </c>
      <c r="J469">
        <v>3503.46</v>
      </c>
      <c r="K469" t="s">
        <v>17</v>
      </c>
      <c r="L469" t="b">
        <v>0</v>
      </c>
      <c r="N469" s="2" t="str">
        <f t="shared" si="41"/>
        <v/>
      </c>
      <c r="Q469" t="str">
        <f t="shared" si="42"/>
        <v/>
      </c>
    </row>
    <row r="470" spans="1:17" hidden="1">
      <c r="A470" t="s">
        <v>574</v>
      </c>
      <c r="B470" s="1">
        <v>44987</v>
      </c>
      <c r="C470">
        <v>2023</v>
      </c>
      <c r="D470">
        <v>3</v>
      </c>
      <c r="E470" t="s">
        <v>13</v>
      </c>
      <c r="F470" t="s">
        <v>28</v>
      </c>
      <c r="G470" t="s">
        <v>102</v>
      </c>
      <c r="H470" t="s">
        <v>145</v>
      </c>
      <c r="I470">
        <v>4231.7</v>
      </c>
      <c r="J470">
        <v>3907.02</v>
      </c>
      <c r="K470" t="s">
        <v>17</v>
      </c>
      <c r="L470" t="b">
        <v>0</v>
      </c>
      <c r="N470" s="2" t="str">
        <f t="shared" si="41"/>
        <v/>
      </c>
      <c r="Q470" t="str">
        <f t="shared" si="42"/>
        <v/>
      </c>
    </row>
    <row r="471" spans="1:17" hidden="1">
      <c r="A471" t="s">
        <v>575</v>
      </c>
      <c r="B471" s="1">
        <v>44987</v>
      </c>
      <c r="C471">
        <v>2023</v>
      </c>
      <c r="D471">
        <v>3</v>
      </c>
      <c r="E471" t="s">
        <v>47</v>
      </c>
      <c r="F471" t="s">
        <v>14</v>
      </c>
      <c r="G471" t="s">
        <v>51</v>
      </c>
      <c r="H471" t="s">
        <v>72</v>
      </c>
      <c r="I471">
        <v>12435.43</v>
      </c>
      <c r="J471">
        <v>10499.25</v>
      </c>
      <c r="K471" t="s">
        <v>17</v>
      </c>
      <c r="L471" t="b">
        <v>0</v>
      </c>
      <c r="N471" s="2" t="b">
        <f t="shared" si="41"/>
        <v>1</v>
      </c>
      <c r="O471" t="str">
        <f t="shared" ref="O471:O472" si="44">IF(AND(E460="HR",K460="EXPENSE"),I460&lt;J460,"")</f>
        <v/>
      </c>
      <c r="Q471" t="str">
        <f t="shared" si="42"/>
        <v/>
      </c>
    </row>
    <row r="472" spans="1:17" hidden="1">
      <c r="A472" t="s">
        <v>576</v>
      </c>
      <c r="B472" s="1">
        <v>44987</v>
      </c>
      <c r="C472">
        <v>2023</v>
      </c>
      <c r="D472">
        <v>3</v>
      </c>
      <c r="E472" t="s">
        <v>47</v>
      </c>
      <c r="F472" t="s">
        <v>24</v>
      </c>
      <c r="G472" t="s">
        <v>77</v>
      </c>
      <c r="H472" t="s">
        <v>78</v>
      </c>
      <c r="I472">
        <v>9209.58</v>
      </c>
      <c r="J472">
        <v>7735.85</v>
      </c>
      <c r="K472" t="s">
        <v>17</v>
      </c>
      <c r="L472" t="b">
        <v>0</v>
      </c>
      <c r="N472" s="2" t="b">
        <f t="shared" si="41"/>
        <v>1</v>
      </c>
      <c r="O472" t="str">
        <f t="shared" si="44"/>
        <v/>
      </c>
      <c r="Q472" t="str">
        <f t="shared" si="42"/>
        <v/>
      </c>
    </row>
    <row r="473" spans="1:17" hidden="1">
      <c r="A473" t="s">
        <v>577</v>
      </c>
      <c r="B473" s="1">
        <v>44987</v>
      </c>
      <c r="C473">
        <v>2023</v>
      </c>
      <c r="D473">
        <v>3</v>
      </c>
      <c r="E473" t="s">
        <v>19</v>
      </c>
      <c r="F473" t="s">
        <v>28</v>
      </c>
      <c r="G473" t="s">
        <v>80</v>
      </c>
      <c r="H473" t="s">
        <v>81</v>
      </c>
      <c r="I473">
        <v>4454.75</v>
      </c>
      <c r="J473">
        <v>4782.75</v>
      </c>
      <c r="K473" t="s">
        <v>17</v>
      </c>
      <c r="L473" t="b">
        <v>0</v>
      </c>
      <c r="N473" s="2" t="str">
        <f t="shared" si="41"/>
        <v/>
      </c>
      <c r="Q473" t="str">
        <f t="shared" si="42"/>
        <v/>
      </c>
    </row>
    <row r="474" spans="1:17" hidden="1">
      <c r="A474" t="s">
        <v>578</v>
      </c>
      <c r="B474" s="1">
        <v>44987</v>
      </c>
      <c r="C474">
        <v>2023</v>
      </c>
      <c r="D474">
        <v>3</v>
      </c>
      <c r="E474" t="s">
        <v>23</v>
      </c>
      <c r="F474" t="s">
        <v>24</v>
      </c>
      <c r="G474" t="s">
        <v>25</v>
      </c>
      <c r="H474" t="s">
        <v>95</v>
      </c>
      <c r="I474">
        <v>4527.95</v>
      </c>
      <c r="J474">
        <v>4334.07</v>
      </c>
      <c r="K474" t="s">
        <v>17</v>
      </c>
      <c r="L474" t="b">
        <v>0</v>
      </c>
      <c r="N474" s="2" t="str">
        <f t="shared" si="41"/>
        <v/>
      </c>
      <c r="Q474" t="str">
        <f t="shared" si="42"/>
        <v/>
      </c>
    </row>
    <row r="475" spans="1:17" hidden="1">
      <c r="A475" t="s">
        <v>579</v>
      </c>
      <c r="B475" s="1">
        <v>44988</v>
      </c>
      <c r="C475">
        <v>2023</v>
      </c>
      <c r="D475">
        <v>3</v>
      </c>
      <c r="E475" t="s">
        <v>13</v>
      </c>
      <c r="F475" t="s">
        <v>24</v>
      </c>
      <c r="G475" t="s">
        <v>68</v>
      </c>
      <c r="H475" t="s">
        <v>69</v>
      </c>
      <c r="I475">
        <v>3041.32</v>
      </c>
      <c r="J475">
        <v>3004.53</v>
      </c>
      <c r="K475" t="s">
        <v>17</v>
      </c>
      <c r="L475" t="b">
        <v>0</v>
      </c>
      <c r="N475" s="2" t="str">
        <f t="shared" si="41"/>
        <v/>
      </c>
      <c r="Q475" t="str">
        <f t="shared" si="42"/>
        <v/>
      </c>
    </row>
    <row r="476" spans="1:17" hidden="1">
      <c r="A476" t="s">
        <v>580</v>
      </c>
      <c r="B476" s="1">
        <v>44988</v>
      </c>
      <c r="C476">
        <v>2023</v>
      </c>
      <c r="D476">
        <v>3</v>
      </c>
      <c r="E476" t="s">
        <v>47</v>
      </c>
      <c r="F476" t="s">
        <v>14</v>
      </c>
      <c r="G476" t="s">
        <v>77</v>
      </c>
      <c r="H476" t="s">
        <v>147</v>
      </c>
      <c r="I476">
        <v>16571.98</v>
      </c>
      <c r="J476">
        <v>14381.94</v>
      </c>
      <c r="K476" t="s">
        <v>17</v>
      </c>
      <c r="L476" t="b">
        <v>0</v>
      </c>
      <c r="N476" s="2" t="b">
        <f t="shared" si="41"/>
        <v>1</v>
      </c>
      <c r="O476" t="str">
        <f>IF(AND(E465="HR",K465="EXPENSE"),I465&lt;J465,"")</f>
        <v/>
      </c>
      <c r="Q476" t="str">
        <f t="shared" si="42"/>
        <v/>
      </c>
    </row>
    <row r="477" spans="1:17" hidden="1">
      <c r="A477" t="s">
        <v>581</v>
      </c>
      <c r="B477" s="1">
        <v>44988</v>
      </c>
      <c r="C477">
        <v>2023</v>
      </c>
      <c r="D477">
        <v>3</v>
      </c>
      <c r="E477" t="s">
        <v>19</v>
      </c>
      <c r="F477" t="s">
        <v>14</v>
      </c>
      <c r="G477" t="s">
        <v>80</v>
      </c>
      <c r="H477" t="s">
        <v>217</v>
      </c>
      <c r="I477">
        <v>5379.14</v>
      </c>
      <c r="J477">
        <v>5203.78</v>
      </c>
      <c r="K477" t="s">
        <v>17</v>
      </c>
      <c r="L477" t="b">
        <v>0</v>
      </c>
      <c r="N477" s="2" t="str">
        <f t="shared" si="41"/>
        <v/>
      </c>
      <c r="Q477" t="str">
        <f t="shared" si="42"/>
        <v/>
      </c>
    </row>
    <row r="478" spans="1:17" hidden="1">
      <c r="A478" t="s">
        <v>582</v>
      </c>
      <c r="B478" s="1">
        <v>44988</v>
      </c>
      <c r="C478">
        <v>2023</v>
      </c>
      <c r="D478">
        <v>3</v>
      </c>
      <c r="E478" t="s">
        <v>19</v>
      </c>
      <c r="F478" t="s">
        <v>28</v>
      </c>
      <c r="G478" t="s">
        <v>132</v>
      </c>
      <c r="H478" t="s">
        <v>133</v>
      </c>
      <c r="I478">
        <v>7803.24</v>
      </c>
      <c r="J478">
        <v>7299.38</v>
      </c>
      <c r="K478" t="s">
        <v>17</v>
      </c>
      <c r="L478" t="b">
        <v>0</v>
      </c>
      <c r="N478" s="2" t="str">
        <f t="shared" si="41"/>
        <v/>
      </c>
      <c r="Q478" t="str">
        <f t="shared" si="42"/>
        <v/>
      </c>
    </row>
    <row r="479" spans="1:17" hidden="1">
      <c r="A479" t="s">
        <v>583</v>
      </c>
      <c r="B479" s="1">
        <v>44988</v>
      </c>
      <c r="C479">
        <v>2023</v>
      </c>
      <c r="D479">
        <v>3</v>
      </c>
      <c r="E479" t="s">
        <v>19</v>
      </c>
      <c r="F479" t="s">
        <v>28</v>
      </c>
      <c r="G479" t="s">
        <v>132</v>
      </c>
      <c r="H479" t="s">
        <v>171</v>
      </c>
      <c r="I479">
        <v>7433</v>
      </c>
      <c r="J479">
        <v>6848.16</v>
      </c>
      <c r="K479" t="s">
        <v>17</v>
      </c>
      <c r="L479" t="b">
        <v>0</v>
      </c>
      <c r="N479" s="2" t="str">
        <f t="shared" si="41"/>
        <v/>
      </c>
      <c r="Q479" t="str">
        <f t="shared" si="42"/>
        <v/>
      </c>
    </row>
    <row r="480" spans="1:17" hidden="1">
      <c r="A480" t="s">
        <v>584</v>
      </c>
      <c r="B480" s="1">
        <v>44988</v>
      </c>
      <c r="C480">
        <v>2023</v>
      </c>
      <c r="D480">
        <v>3</v>
      </c>
      <c r="E480" t="s">
        <v>19</v>
      </c>
      <c r="F480" t="s">
        <v>24</v>
      </c>
      <c r="G480" t="s">
        <v>20</v>
      </c>
      <c r="H480" t="s">
        <v>21</v>
      </c>
      <c r="I480">
        <v>5346.44</v>
      </c>
      <c r="J480">
        <v>5158.88</v>
      </c>
      <c r="K480" t="s">
        <v>17</v>
      </c>
      <c r="L480" t="b">
        <v>0</v>
      </c>
      <c r="N480" s="2" t="str">
        <f t="shared" si="41"/>
        <v/>
      </c>
      <c r="Q480" t="str">
        <f t="shared" si="42"/>
        <v/>
      </c>
    </row>
    <row r="481" spans="1:17" hidden="1">
      <c r="A481" t="s">
        <v>585</v>
      </c>
      <c r="B481" s="1">
        <v>44988</v>
      </c>
      <c r="C481">
        <v>2023</v>
      </c>
      <c r="D481">
        <v>3</v>
      </c>
      <c r="E481" t="s">
        <v>23</v>
      </c>
      <c r="F481" t="s">
        <v>28</v>
      </c>
      <c r="G481" t="s">
        <v>30</v>
      </c>
      <c r="H481" t="s">
        <v>106</v>
      </c>
      <c r="I481">
        <v>4997.01</v>
      </c>
      <c r="J481">
        <v>4762.2</v>
      </c>
      <c r="K481" t="s">
        <v>17</v>
      </c>
      <c r="L481" t="b">
        <v>0</v>
      </c>
      <c r="N481" s="2" t="str">
        <f t="shared" si="41"/>
        <v/>
      </c>
      <c r="Q481" t="str">
        <f t="shared" si="42"/>
        <v/>
      </c>
    </row>
    <row r="482" spans="1:17" hidden="1">
      <c r="A482" t="s">
        <v>586</v>
      </c>
      <c r="B482" s="1">
        <v>44988</v>
      </c>
      <c r="C482">
        <v>2023</v>
      </c>
      <c r="D482">
        <v>3</v>
      </c>
      <c r="E482" t="s">
        <v>37</v>
      </c>
      <c r="F482" t="s">
        <v>24</v>
      </c>
      <c r="G482" t="s">
        <v>41</v>
      </c>
      <c r="H482" t="s">
        <v>42</v>
      </c>
      <c r="I482">
        <v>6589.88</v>
      </c>
      <c r="J482">
        <v>6292.23</v>
      </c>
      <c r="K482" t="s">
        <v>17</v>
      </c>
      <c r="L482" t="b">
        <v>0</v>
      </c>
      <c r="N482" s="2" t="str">
        <f t="shared" si="41"/>
        <v/>
      </c>
      <c r="Q482" t="str">
        <f t="shared" si="42"/>
        <v/>
      </c>
    </row>
    <row r="483" spans="1:17" hidden="1">
      <c r="A483" t="s">
        <v>587</v>
      </c>
      <c r="B483" s="1">
        <v>44989</v>
      </c>
      <c r="C483">
        <v>2023</v>
      </c>
      <c r="D483">
        <v>3</v>
      </c>
      <c r="E483" t="s">
        <v>47</v>
      </c>
      <c r="F483" t="s">
        <v>14</v>
      </c>
      <c r="G483" t="s">
        <v>91</v>
      </c>
      <c r="H483" t="s">
        <v>92</v>
      </c>
      <c r="I483">
        <v>13592.75</v>
      </c>
      <c r="J483">
        <v>11613.6</v>
      </c>
      <c r="K483" t="s">
        <v>17</v>
      </c>
      <c r="L483" t="b">
        <v>0</v>
      </c>
      <c r="N483" s="2" t="b">
        <f t="shared" si="41"/>
        <v>1</v>
      </c>
      <c r="O483" t="str">
        <f t="shared" ref="O483:O485" si="45">IF(AND(E472="HR",K472="EXPENSE"),I472&lt;J472,"")</f>
        <v/>
      </c>
      <c r="Q483" t="str">
        <f t="shared" si="42"/>
        <v/>
      </c>
    </row>
    <row r="484" spans="1:17" hidden="1">
      <c r="A484" t="s">
        <v>588</v>
      </c>
      <c r="B484" s="1">
        <v>44989</v>
      </c>
      <c r="C484">
        <v>2023</v>
      </c>
      <c r="D484">
        <v>3</v>
      </c>
      <c r="E484" t="s">
        <v>47</v>
      </c>
      <c r="F484" t="s">
        <v>24</v>
      </c>
      <c r="G484" t="s">
        <v>51</v>
      </c>
      <c r="H484" t="s">
        <v>72</v>
      </c>
      <c r="I484">
        <v>14276.57</v>
      </c>
      <c r="J484">
        <v>12391.29</v>
      </c>
      <c r="K484" t="s">
        <v>17</v>
      </c>
      <c r="L484" t="b">
        <v>0</v>
      </c>
      <c r="N484" s="2" t="b">
        <f t="shared" si="41"/>
        <v>1</v>
      </c>
      <c r="O484" t="str">
        <f t="shared" si="45"/>
        <v/>
      </c>
      <c r="Q484" t="str">
        <f t="shared" si="42"/>
        <v/>
      </c>
    </row>
    <row r="485" spans="1:17" hidden="1">
      <c r="A485" t="s">
        <v>589</v>
      </c>
      <c r="B485" s="1">
        <v>44989</v>
      </c>
      <c r="C485">
        <v>2023</v>
      </c>
      <c r="D485">
        <v>3</v>
      </c>
      <c r="E485" t="s">
        <v>47</v>
      </c>
      <c r="F485" t="s">
        <v>24</v>
      </c>
      <c r="G485" t="s">
        <v>91</v>
      </c>
      <c r="H485" t="s">
        <v>254</v>
      </c>
      <c r="I485">
        <v>13594.47</v>
      </c>
      <c r="J485">
        <v>11320.22</v>
      </c>
      <c r="K485" t="s">
        <v>17</v>
      </c>
      <c r="L485" t="b">
        <v>0</v>
      </c>
      <c r="N485" s="2" t="b">
        <f t="shared" si="41"/>
        <v>1</v>
      </c>
      <c r="O485" t="str">
        <f t="shared" si="45"/>
        <v/>
      </c>
      <c r="Q485" t="str">
        <f t="shared" si="42"/>
        <v/>
      </c>
    </row>
    <row r="486" spans="1:17" hidden="1">
      <c r="A486" t="s">
        <v>590</v>
      </c>
      <c r="B486" s="1">
        <v>44989</v>
      </c>
      <c r="C486">
        <v>2023</v>
      </c>
      <c r="D486">
        <v>3</v>
      </c>
      <c r="E486" t="s">
        <v>19</v>
      </c>
      <c r="F486" t="s">
        <v>14</v>
      </c>
      <c r="G486" t="s">
        <v>20</v>
      </c>
      <c r="H486" t="s">
        <v>174</v>
      </c>
      <c r="I486">
        <v>5592.85</v>
      </c>
      <c r="J486">
        <v>5158.75</v>
      </c>
      <c r="K486" t="s">
        <v>17</v>
      </c>
      <c r="L486" t="b">
        <v>0</v>
      </c>
      <c r="N486" s="2" t="str">
        <f t="shared" si="41"/>
        <v/>
      </c>
      <c r="Q486" t="str">
        <f t="shared" si="42"/>
        <v/>
      </c>
    </row>
    <row r="487" spans="1:17" hidden="1">
      <c r="A487" t="s">
        <v>591</v>
      </c>
      <c r="B487" s="1">
        <v>44989</v>
      </c>
      <c r="C487">
        <v>2023</v>
      </c>
      <c r="D487">
        <v>3</v>
      </c>
      <c r="E487" t="s">
        <v>19</v>
      </c>
      <c r="F487" t="s">
        <v>28</v>
      </c>
      <c r="G487" t="s">
        <v>54</v>
      </c>
      <c r="H487" t="s">
        <v>57</v>
      </c>
      <c r="I487">
        <v>6844</v>
      </c>
      <c r="J487">
        <v>7061.48</v>
      </c>
      <c r="K487" t="s">
        <v>17</v>
      </c>
      <c r="L487" t="b">
        <v>0</v>
      </c>
      <c r="N487" s="2" t="str">
        <f t="shared" si="41"/>
        <v/>
      </c>
      <c r="Q487" t="str">
        <f t="shared" si="42"/>
        <v/>
      </c>
    </row>
    <row r="488" spans="1:17" hidden="1">
      <c r="A488" t="s">
        <v>592</v>
      </c>
      <c r="B488" s="1">
        <v>44989</v>
      </c>
      <c r="C488">
        <v>2023</v>
      </c>
      <c r="D488">
        <v>3</v>
      </c>
      <c r="E488" t="s">
        <v>23</v>
      </c>
      <c r="F488" t="s">
        <v>14</v>
      </c>
      <c r="G488" t="s">
        <v>30</v>
      </c>
      <c r="H488" t="s">
        <v>106</v>
      </c>
      <c r="I488">
        <v>2774.44</v>
      </c>
      <c r="J488">
        <v>2715.88</v>
      </c>
      <c r="K488" t="s">
        <v>17</v>
      </c>
      <c r="L488" t="b">
        <v>0</v>
      </c>
      <c r="N488" s="2" t="str">
        <f t="shared" si="41"/>
        <v/>
      </c>
      <c r="Q488" t="str">
        <f t="shared" si="42"/>
        <v/>
      </c>
    </row>
    <row r="489" spans="1:17" hidden="1">
      <c r="A489" t="s">
        <v>593</v>
      </c>
      <c r="B489" s="1">
        <v>44989</v>
      </c>
      <c r="C489">
        <v>2023</v>
      </c>
      <c r="D489">
        <v>3</v>
      </c>
      <c r="E489" t="s">
        <v>37</v>
      </c>
      <c r="F489" t="s">
        <v>24</v>
      </c>
      <c r="G489" t="s">
        <v>98</v>
      </c>
      <c r="H489" t="s">
        <v>99</v>
      </c>
      <c r="I489">
        <v>3793.55</v>
      </c>
      <c r="J489">
        <v>3791.1</v>
      </c>
      <c r="K489" t="s">
        <v>17</v>
      </c>
      <c r="L489" t="b">
        <v>0</v>
      </c>
      <c r="N489" s="2" t="str">
        <f t="shared" si="41"/>
        <v/>
      </c>
      <c r="Q489" t="str">
        <f t="shared" si="42"/>
        <v/>
      </c>
    </row>
    <row r="490" spans="1:17" hidden="1">
      <c r="A490" t="s">
        <v>594</v>
      </c>
      <c r="B490" s="1">
        <v>44990</v>
      </c>
      <c r="C490">
        <v>2023</v>
      </c>
      <c r="D490">
        <v>3</v>
      </c>
      <c r="E490" t="s">
        <v>13</v>
      </c>
      <c r="F490" t="s">
        <v>24</v>
      </c>
      <c r="G490" t="s">
        <v>15</v>
      </c>
      <c r="H490" t="s">
        <v>89</v>
      </c>
      <c r="I490">
        <v>4797.55</v>
      </c>
      <c r="J490">
        <v>4749.37</v>
      </c>
      <c r="K490" t="s">
        <v>17</v>
      </c>
      <c r="L490" t="b">
        <v>0</v>
      </c>
      <c r="N490" s="2" t="str">
        <f t="shared" si="41"/>
        <v/>
      </c>
      <c r="Q490" t="str">
        <f t="shared" si="42"/>
        <v/>
      </c>
    </row>
    <row r="491" spans="1:17" hidden="1">
      <c r="A491" t="s">
        <v>595</v>
      </c>
      <c r="B491" s="1">
        <v>44990</v>
      </c>
      <c r="C491">
        <v>2023</v>
      </c>
      <c r="D491">
        <v>3</v>
      </c>
      <c r="E491" t="s">
        <v>13</v>
      </c>
      <c r="F491" t="s">
        <v>24</v>
      </c>
      <c r="G491" t="s">
        <v>102</v>
      </c>
      <c r="H491" t="s">
        <v>103</v>
      </c>
      <c r="I491">
        <v>2609.67</v>
      </c>
      <c r="J491">
        <v>2780.62</v>
      </c>
      <c r="K491" t="s">
        <v>17</v>
      </c>
      <c r="L491" t="b">
        <v>0</v>
      </c>
      <c r="N491" s="2" t="str">
        <f t="shared" si="41"/>
        <v/>
      </c>
      <c r="Q491" t="str">
        <f t="shared" si="42"/>
        <v/>
      </c>
    </row>
    <row r="492" spans="1:17" hidden="1">
      <c r="A492" t="s">
        <v>596</v>
      </c>
      <c r="B492" s="1">
        <v>44990</v>
      </c>
      <c r="C492">
        <v>2023</v>
      </c>
      <c r="D492">
        <v>3</v>
      </c>
      <c r="E492" t="s">
        <v>13</v>
      </c>
      <c r="F492" t="s">
        <v>24</v>
      </c>
      <c r="G492" t="s">
        <v>108</v>
      </c>
      <c r="H492" t="s">
        <v>109</v>
      </c>
      <c r="I492">
        <v>2838.64</v>
      </c>
      <c r="J492">
        <v>2986.41</v>
      </c>
      <c r="K492" t="s">
        <v>17</v>
      </c>
      <c r="L492" t="b">
        <v>0</v>
      </c>
      <c r="N492" s="2" t="str">
        <f t="shared" si="41"/>
        <v/>
      </c>
      <c r="Q492" t="str">
        <f t="shared" si="42"/>
        <v/>
      </c>
    </row>
    <row r="493" spans="1:17" hidden="1">
      <c r="A493" t="s">
        <v>597</v>
      </c>
      <c r="B493" s="1">
        <v>44990</v>
      </c>
      <c r="C493">
        <v>2023</v>
      </c>
      <c r="D493">
        <v>3</v>
      </c>
      <c r="E493" t="s">
        <v>47</v>
      </c>
      <c r="F493" t="s">
        <v>28</v>
      </c>
      <c r="G493" t="s">
        <v>77</v>
      </c>
      <c r="H493" t="s">
        <v>147</v>
      </c>
      <c r="I493">
        <v>18261.14</v>
      </c>
      <c r="J493">
        <v>15372.75</v>
      </c>
      <c r="K493" t="s">
        <v>17</v>
      </c>
      <c r="L493" t="b">
        <v>0</v>
      </c>
      <c r="N493" s="2" t="b">
        <f t="shared" si="41"/>
        <v>1</v>
      </c>
      <c r="O493" t="str">
        <f t="shared" ref="O493:O494" si="46">IF(AND(E482="HR",K482="EXPENSE"),I482&lt;J482,"")</f>
        <v/>
      </c>
      <c r="Q493" t="str">
        <f t="shared" si="42"/>
        <v/>
      </c>
    </row>
    <row r="494" spans="1:17" hidden="1">
      <c r="A494" t="s">
        <v>598</v>
      </c>
      <c r="B494" s="1">
        <v>44990</v>
      </c>
      <c r="C494">
        <v>2023</v>
      </c>
      <c r="D494">
        <v>3</v>
      </c>
      <c r="E494" t="s">
        <v>47</v>
      </c>
      <c r="F494" t="s">
        <v>24</v>
      </c>
      <c r="G494" t="s">
        <v>77</v>
      </c>
      <c r="H494" t="s">
        <v>147</v>
      </c>
      <c r="I494">
        <v>12149.07</v>
      </c>
      <c r="J494">
        <v>10010.5</v>
      </c>
      <c r="K494" t="s">
        <v>17</v>
      </c>
      <c r="L494" t="b">
        <v>0</v>
      </c>
      <c r="N494" s="2" t="b">
        <f t="shared" si="41"/>
        <v>1</v>
      </c>
      <c r="O494" t="str">
        <f t="shared" si="46"/>
        <v/>
      </c>
      <c r="Q494" t="str">
        <f t="shared" si="42"/>
        <v/>
      </c>
    </row>
    <row r="495" spans="1:17" hidden="1">
      <c r="A495" t="s">
        <v>599</v>
      </c>
      <c r="B495" s="1">
        <v>44990</v>
      </c>
      <c r="C495">
        <v>2023</v>
      </c>
      <c r="D495">
        <v>3</v>
      </c>
      <c r="E495" t="s">
        <v>19</v>
      </c>
      <c r="F495" t="s">
        <v>14</v>
      </c>
      <c r="G495" t="s">
        <v>20</v>
      </c>
      <c r="H495" t="s">
        <v>136</v>
      </c>
      <c r="I495">
        <v>5228.67</v>
      </c>
      <c r="J495">
        <v>5685.24</v>
      </c>
      <c r="K495" t="s">
        <v>17</v>
      </c>
      <c r="L495" t="b">
        <v>0</v>
      </c>
      <c r="N495" s="2" t="str">
        <f t="shared" si="41"/>
        <v/>
      </c>
      <c r="Q495" t="str">
        <f t="shared" si="42"/>
        <v/>
      </c>
    </row>
    <row r="496" spans="1:17" hidden="1">
      <c r="A496" t="s">
        <v>600</v>
      </c>
      <c r="B496" s="1">
        <v>44990</v>
      </c>
      <c r="C496">
        <v>2023</v>
      </c>
      <c r="D496">
        <v>3</v>
      </c>
      <c r="E496" t="s">
        <v>37</v>
      </c>
      <c r="F496" t="s">
        <v>14</v>
      </c>
      <c r="G496" t="s">
        <v>98</v>
      </c>
      <c r="H496" t="s">
        <v>185</v>
      </c>
      <c r="I496">
        <v>3765.04</v>
      </c>
      <c r="J496">
        <v>3825.41</v>
      </c>
      <c r="K496" t="s">
        <v>17</v>
      </c>
      <c r="L496" t="b">
        <v>0</v>
      </c>
      <c r="N496" s="2" t="str">
        <f t="shared" si="41"/>
        <v/>
      </c>
      <c r="Q496" t="str">
        <f t="shared" si="42"/>
        <v/>
      </c>
    </row>
    <row r="497" spans="1:17" hidden="1">
      <c r="A497" t="s">
        <v>601</v>
      </c>
      <c r="B497" s="1">
        <v>44990</v>
      </c>
      <c r="C497">
        <v>2023</v>
      </c>
      <c r="D497">
        <v>3</v>
      </c>
      <c r="E497" t="s">
        <v>37</v>
      </c>
      <c r="F497" t="s">
        <v>14</v>
      </c>
      <c r="G497" t="s">
        <v>38</v>
      </c>
      <c r="H497" t="s">
        <v>227</v>
      </c>
      <c r="I497">
        <v>6582.56</v>
      </c>
      <c r="J497">
        <v>6869.72</v>
      </c>
      <c r="K497" t="s">
        <v>17</v>
      </c>
      <c r="L497" t="b">
        <v>0</v>
      </c>
      <c r="N497" s="2" t="str">
        <f t="shared" si="41"/>
        <v/>
      </c>
      <c r="Q497" t="str">
        <f t="shared" si="42"/>
        <v/>
      </c>
    </row>
    <row r="498" spans="1:17" hidden="1">
      <c r="A498" t="s">
        <v>602</v>
      </c>
      <c r="B498" s="1">
        <v>44990</v>
      </c>
      <c r="C498">
        <v>2023</v>
      </c>
      <c r="D498">
        <v>3</v>
      </c>
      <c r="E498" t="s">
        <v>37</v>
      </c>
      <c r="F498" t="s">
        <v>24</v>
      </c>
      <c r="G498" t="s">
        <v>83</v>
      </c>
      <c r="H498" t="s">
        <v>84</v>
      </c>
      <c r="I498">
        <v>104495.11</v>
      </c>
      <c r="J498">
        <v>99270.35</v>
      </c>
      <c r="K498" t="s">
        <v>85</v>
      </c>
      <c r="L498" t="b">
        <v>0</v>
      </c>
      <c r="N498" s="2" t="str">
        <f t="shared" si="41"/>
        <v/>
      </c>
      <c r="Q498" t="str">
        <f t="shared" si="42"/>
        <v/>
      </c>
    </row>
    <row r="499" spans="1:17" hidden="1">
      <c r="A499" t="s">
        <v>603</v>
      </c>
      <c r="B499" s="1">
        <v>44991</v>
      </c>
      <c r="C499">
        <v>2023</v>
      </c>
      <c r="D499">
        <v>3</v>
      </c>
      <c r="E499" t="s">
        <v>13</v>
      </c>
      <c r="F499" t="s">
        <v>14</v>
      </c>
      <c r="G499" t="s">
        <v>102</v>
      </c>
      <c r="H499" t="s">
        <v>278</v>
      </c>
      <c r="I499">
        <v>3714.31</v>
      </c>
      <c r="J499">
        <v>3369.74</v>
      </c>
      <c r="K499" t="s">
        <v>17</v>
      </c>
      <c r="L499" t="b">
        <v>0</v>
      </c>
      <c r="N499" s="2" t="str">
        <f t="shared" si="41"/>
        <v/>
      </c>
      <c r="Q499" t="str">
        <f t="shared" si="42"/>
        <v/>
      </c>
    </row>
    <row r="500" spans="1:17" hidden="1">
      <c r="A500" t="s">
        <v>604</v>
      </c>
      <c r="B500" s="1">
        <v>44991</v>
      </c>
      <c r="C500">
        <v>2023</v>
      </c>
      <c r="D500">
        <v>3</v>
      </c>
      <c r="E500" t="s">
        <v>13</v>
      </c>
      <c r="F500" t="s">
        <v>28</v>
      </c>
      <c r="G500" t="s">
        <v>102</v>
      </c>
      <c r="H500" t="s">
        <v>145</v>
      </c>
      <c r="I500">
        <v>4400.58</v>
      </c>
      <c r="J500">
        <v>4772.66</v>
      </c>
      <c r="K500" t="s">
        <v>17</v>
      </c>
      <c r="L500" t="b">
        <v>0</v>
      </c>
      <c r="N500" s="2" t="str">
        <f t="shared" si="41"/>
        <v/>
      </c>
      <c r="Q500" t="str">
        <f t="shared" si="42"/>
        <v/>
      </c>
    </row>
    <row r="501" spans="1:17" hidden="1">
      <c r="A501" t="s">
        <v>605</v>
      </c>
      <c r="B501" s="1">
        <v>44991</v>
      </c>
      <c r="C501">
        <v>2023</v>
      </c>
      <c r="D501">
        <v>3</v>
      </c>
      <c r="E501" t="s">
        <v>47</v>
      </c>
      <c r="F501" t="s">
        <v>28</v>
      </c>
      <c r="G501" t="s">
        <v>91</v>
      </c>
      <c r="H501" t="s">
        <v>249</v>
      </c>
      <c r="I501">
        <v>12561.13</v>
      </c>
      <c r="J501">
        <v>10835.19</v>
      </c>
      <c r="K501" t="s">
        <v>17</v>
      </c>
      <c r="L501" t="b">
        <v>0</v>
      </c>
      <c r="N501" s="2" t="b">
        <f t="shared" si="41"/>
        <v>1</v>
      </c>
      <c r="O501" t="b">
        <f t="shared" ref="O501:O503" si="47">IF(AND(E490="HR",K490="EXPENSE"),I490&lt;J490,"")</f>
        <v>0</v>
      </c>
      <c r="Q501" t="str">
        <f t="shared" si="42"/>
        <v/>
      </c>
    </row>
    <row r="502" spans="1:17" hidden="1">
      <c r="A502" t="s">
        <v>606</v>
      </c>
      <c r="B502" s="1">
        <v>44991</v>
      </c>
      <c r="C502">
        <v>2023</v>
      </c>
      <c r="D502">
        <v>3</v>
      </c>
      <c r="E502" t="s">
        <v>47</v>
      </c>
      <c r="F502" t="s">
        <v>28</v>
      </c>
      <c r="G502" t="s">
        <v>77</v>
      </c>
      <c r="H502" t="s">
        <v>130</v>
      </c>
      <c r="I502">
        <v>20196.53</v>
      </c>
      <c r="J502">
        <v>16900.150000000001</v>
      </c>
      <c r="K502" t="s">
        <v>17</v>
      </c>
      <c r="L502" t="b">
        <v>0</v>
      </c>
      <c r="N502" s="2" t="b">
        <f t="shared" si="41"/>
        <v>1</v>
      </c>
      <c r="O502" t="b">
        <f t="shared" si="47"/>
        <v>1</v>
      </c>
      <c r="Q502" t="str">
        <f t="shared" si="42"/>
        <v/>
      </c>
    </row>
    <row r="503" spans="1:17" hidden="1">
      <c r="A503" t="s">
        <v>607</v>
      </c>
      <c r="B503" s="1">
        <v>44991</v>
      </c>
      <c r="C503">
        <v>2023</v>
      </c>
      <c r="D503">
        <v>3</v>
      </c>
      <c r="E503" t="s">
        <v>47</v>
      </c>
      <c r="F503" t="s">
        <v>28</v>
      </c>
      <c r="G503" t="s">
        <v>48</v>
      </c>
      <c r="H503" t="s">
        <v>189</v>
      </c>
      <c r="I503">
        <v>13769.1</v>
      </c>
      <c r="J503">
        <v>11732.53</v>
      </c>
      <c r="K503" t="s">
        <v>17</v>
      </c>
      <c r="L503" t="b">
        <v>0</v>
      </c>
      <c r="N503" s="2" t="b">
        <f t="shared" si="41"/>
        <v>1</v>
      </c>
      <c r="O503" t="b">
        <f t="shared" si="47"/>
        <v>1</v>
      </c>
      <c r="Q503" t="str">
        <f t="shared" si="42"/>
        <v/>
      </c>
    </row>
    <row r="504" spans="1:17" hidden="1">
      <c r="A504" t="s">
        <v>608</v>
      </c>
      <c r="B504" s="1">
        <v>44991</v>
      </c>
      <c r="C504">
        <v>2023</v>
      </c>
      <c r="D504">
        <v>3</v>
      </c>
      <c r="E504" t="s">
        <v>19</v>
      </c>
      <c r="F504" t="s">
        <v>24</v>
      </c>
      <c r="G504" t="s">
        <v>132</v>
      </c>
      <c r="H504" t="s">
        <v>133</v>
      </c>
      <c r="I504">
        <v>6959.82</v>
      </c>
      <c r="J504">
        <v>6986.38</v>
      </c>
      <c r="K504" t="s">
        <v>17</v>
      </c>
      <c r="L504" t="b">
        <v>0</v>
      </c>
      <c r="N504" s="2" t="str">
        <f t="shared" si="41"/>
        <v/>
      </c>
      <c r="Q504" t="str">
        <f t="shared" si="42"/>
        <v/>
      </c>
    </row>
    <row r="505" spans="1:17" hidden="1">
      <c r="A505" t="s">
        <v>609</v>
      </c>
      <c r="B505" s="1">
        <v>44991</v>
      </c>
      <c r="C505">
        <v>2023</v>
      </c>
      <c r="D505">
        <v>3</v>
      </c>
      <c r="E505" t="s">
        <v>23</v>
      </c>
      <c r="F505" t="s">
        <v>14</v>
      </c>
      <c r="G505" t="s">
        <v>25</v>
      </c>
      <c r="H505" t="s">
        <v>26</v>
      </c>
      <c r="I505">
        <v>4706.3500000000004</v>
      </c>
      <c r="J505">
        <v>4475.43</v>
      </c>
      <c r="K505" t="s">
        <v>17</v>
      </c>
      <c r="L505" t="b">
        <v>0</v>
      </c>
      <c r="N505" s="2" t="str">
        <f t="shared" si="41"/>
        <v/>
      </c>
      <c r="Q505" t="str">
        <f t="shared" si="42"/>
        <v/>
      </c>
    </row>
    <row r="506" spans="1:17" hidden="1">
      <c r="A506" t="s">
        <v>610</v>
      </c>
      <c r="B506" s="1">
        <v>44991</v>
      </c>
      <c r="C506">
        <v>2023</v>
      </c>
      <c r="D506">
        <v>3</v>
      </c>
      <c r="E506" t="s">
        <v>23</v>
      </c>
      <c r="F506" t="s">
        <v>24</v>
      </c>
      <c r="G506" t="s">
        <v>141</v>
      </c>
      <c r="H506" t="s">
        <v>142</v>
      </c>
      <c r="I506">
        <v>4767.78</v>
      </c>
      <c r="J506">
        <v>5052.62</v>
      </c>
      <c r="K506" t="s">
        <v>17</v>
      </c>
      <c r="L506" t="b">
        <v>0</v>
      </c>
      <c r="N506" s="2" t="str">
        <f t="shared" si="41"/>
        <v/>
      </c>
      <c r="Q506" t="str">
        <f t="shared" si="42"/>
        <v/>
      </c>
    </row>
    <row r="507" spans="1:17" hidden="1">
      <c r="A507" t="s">
        <v>611</v>
      </c>
      <c r="B507" s="1">
        <v>44991</v>
      </c>
      <c r="C507">
        <v>2023</v>
      </c>
      <c r="D507">
        <v>3</v>
      </c>
      <c r="E507" t="s">
        <v>37</v>
      </c>
      <c r="F507" t="s">
        <v>14</v>
      </c>
      <c r="G507" t="s">
        <v>41</v>
      </c>
      <c r="H507" t="s">
        <v>42</v>
      </c>
      <c r="I507">
        <v>6863.84</v>
      </c>
      <c r="J507">
        <v>6511.7</v>
      </c>
      <c r="K507" t="s">
        <v>17</v>
      </c>
      <c r="L507" t="b">
        <v>0</v>
      </c>
      <c r="N507" s="2" t="str">
        <f t="shared" si="41"/>
        <v/>
      </c>
      <c r="Q507" t="str">
        <f t="shared" si="42"/>
        <v/>
      </c>
    </row>
    <row r="508" spans="1:17" hidden="1">
      <c r="A508" t="s">
        <v>612</v>
      </c>
      <c r="B508" s="1">
        <v>44992</v>
      </c>
      <c r="C508">
        <v>2023</v>
      </c>
      <c r="D508">
        <v>3</v>
      </c>
      <c r="E508" t="s">
        <v>19</v>
      </c>
      <c r="F508" t="s">
        <v>14</v>
      </c>
      <c r="G508" t="s">
        <v>20</v>
      </c>
      <c r="H508" t="s">
        <v>21</v>
      </c>
      <c r="I508">
        <v>5183.3</v>
      </c>
      <c r="J508">
        <v>5215.62</v>
      </c>
      <c r="K508" t="s">
        <v>17</v>
      </c>
      <c r="L508" t="b">
        <v>0</v>
      </c>
      <c r="N508" s="2" t="str">
        <f t="shared" si="41"/>
        <v/>
      </c>
      <c r="Q508" t="str">
        <f t="shared" si="42"/>
        <v/>
      </c>
    </row>
    <row r="509" spans="1:17" hidden="1">
      <c r="A509" t="s">
        <v>613</v>
      </c>
      <c r="B509" s="1">
        <v>44992</v>
      </c>
      <c r="C509">
        <v>2023</v>
      </c>
      <c r="D509">
        <v>3</v>
      </c>
      <c r="E509" t="s">
        <v>23</v>
      </c>
      <c r="F509" t="s">
        <v>14</v>
      </c>
      <c r="G509" t="s">
        <v>59</v>
      </c>
      <c r="H509" t="s">
        <v>60</v>
      </c>
      <c r="I509">
        <v>6876.98</v>
      </c>
      <c r="J509">
        <v>7271.59</v>
      </c>
      <c r="K509" t="s">
        <v>17</v>
      </c>
      <c r="L509" t="b">
        <v>0</v>
      </c>
      <c r="N509" s="2" t="str">
        <f t="shared" si="41"/>
        <v/>
      </c>
      <c r="Q509" t="str">
        <f t="shared" si="42"/>
        <v/>
      </c>
    </row>
    <row r="510" spans="1:17" hidden="1">
      <c r="A510" t="s">
        <v>614</v>
      </c>
      <c r="B510" s="1">
        <v>44992</v>
      </c>
      <c r="C510">
        <v>2023</v>
      </c>
      <c r="D510">
        <v>3</v>
      </c>
      <c r="E510" t="s">
        <v>23</v>
      </c>
      <c r="F510" t="s">
        <v>28</v>
      </c>
      <c r="G510" t="s">
        <v>141</v>
      </c>
      <c r="H510" t="s">
        <v>209</v>
      </c>
      <c r="I510">
        <v>6166.58</v>
      </c>
      <c r="J510">
        <v>6181.65</v>
      </c>
      <c r="K510" t="s">
        <v>17</v>
      </c>
      <c r="L510" t="b">
        <v>0</v>
      </c>
      <c r="N510" s="2" t="str">
        <f t="shared" si="41"/>
        <v/>
      </c>
      <c r="Q510" t="str">
        <f t="shared" si="42"/>
        <v/>
      </c>
    </row>
    <row r="511" spans="1:17" hidden="1">
      <c r="A511" t="s">
        <v>615</v>
      </c>
      <c r="B511" s="1">
        <v>44992</v>
      </c>
      <c r="C511">
        <v>2023</v>
      </c>
      <c r="D511">
        <v>3</v>
      </c>
      <c r="E511" t="s">
        <v>37</v>
      </c>
      <c r="F511" t="s">
        <v>14</v>
      </c>
      <c r="G511" t="s">
        <v>38</v>
      </c>
      <c r="H511" t="s">
        <v>118</v>
      </c>
      <c r="I511">
        <v>5300.72</v>
      </c>
      <c r="J511">
        <v>5278.65</v>
      </c>
      <c r="K511" t="s">
        <v>17</v>
      </c>
      <c r="L511" t="b">
        <v>0</v>
      </c>
      <c r="N511" s="2" t="str">
        <f t="shared" si="41"/>
        <v/>
      </c>
      <c r="Q511" t="str">
        <f t="shared" si="42"/>
        <v/>
      </c>
    </row>
    <row r="512" spans="1:17" hidden="1">
      <c r="A512" t="s">
        <v>616</v>
      </c>
      <c r="B512" s="1">
        <v>44993</v>
      </c>
      <c r="C512">
        <v>2023</v>
      </c>
      <c r="D512">
        <v>3</v>
      </c>
      <c r="E512" t="s">
        <v>13</v>
      </c>
      <c r="F512" t="s">
        <v>14</v>
      </c>
      <c r="G512" t="s">
        <v>108</v>
      </c>
      <c r="H512" t="s">
        <v>123</v>
      </c>
      <c r="I512">
        <v>4542.57</v>
      </c>
      <c r="J512">
        <v>4930.67</v>
      </c>
      <c r="K512" t="s">
        <v>17</v>
      </c>
      <c r="L512" t="b">
        <v>0</v>
      </c>
      <c r="N512" s="2" t="str">
        <f t="shared" si="41"/>
        <v/>
      </c>
      <c r="Q512" t="str">
        <f t="shared" si="42"/>
        <v/>
      </c>
    </row>
    <row r="513" spans="1:17" hidden="1">
      <c r="A513" t="s">
        <v>617</v>
      </c>
      <c r="B513" s="1">
        <v>44993</v>
      </c>
      <c r="C513">
        <v>2023</v>
      </c>
      <c r="D513">
        <v>3</v>
      </c>
      <c r="E513" t="s">
        <v>47</v>
      </c>
      <c r="F513" t="s">
        <v>24</v>
      </c>
      <c r="G513" t="s">
        <v>91</v>
      </c>
      <c r="H513" t="s">
        <v>249</v>
      </c>
      <c r="I513">
        <v>10146.5</v>
      </c>
      <c r="J513">
        <v>8801.56</v>
      </c>
      <c r="K513" t="s">
        <v>17</v>
      </c>
      <c r="L513" t="b">
        <v>0</v>
      </c>
      <c r="N513" s="2" t="b">
        <f t="shared" si="41"/>
        <v>1</v>
      </c>
      <c r="O513" t="str">
        <f>IF(AND(E502="HR",K502="EXPENSE"),I502&lt;J502,"")</f>
        <v/>
      </c>
      <c r="Q513" t="str">
        <f t="shared" si="42"/>
        <v/>
      </c>
    </row>
    <row r="514" spans="1:17" hidden="1">
      <c r="A514" t="s">
        <v>618</v>
      </c>
      <c r="B514" s="1">
        <v>44993</v>
      </c>
      <c r="C514">
        <v>2023</v>
      </c>
      <c r="D514">
        <v>3</v>
      </c>
      <c r="E514" t="s">
        <v>19</v>
      </c>
      <c r="F514" t="s">
        <v>14</v>
      </c>
      <c r="G514" t="s">
        <v>80</v>
      </c>
      <c r="H514" t="s">
        <v>81</v>
      </c>
      <c r="I514">
        <v>3584.94</v>
      </c>
      <c r="J514">
        <v>3820.75</v>
      </c>
      <c r="K514" t="s">
        <v>17</v>
      </c>
      <c r="L514" t="b">
        <v>0</v>
      </c>
      <c r="N514" s="2" t="str">
        <f t="shared" si="41"/>
        <v/>
      </c>
      <c r="Q514" t="str">
        <f t="shared" si="42"/>
        <v/>
      </c>
    </row>
    <row r="515" spans="1:17" hidden="1">
      <c r="A515" t="s">
        <v>619</v>
      </c>
      <c r="B515" s="1">
        <v>44993</v>
      </c>
      <c r="C515">
        <v>2023</v>
      </c>
      <c r="D515">
        <v>3</v>
      </c>
      <c r="E515" t="s">
        <v>19</v>
      </c>
      <c r="F515" t="s">
        <v>28</v>
      </c>
      <c r="G515" t="s">
        <v>20</v>
      </c>
      <c r="H515" t="s">
        <v>174</v>
      </c>
      <c r="I515">
        <v>3765.24</v>
      </c>
      <c r="J515">
        <v>3884.1</v>
      </c>
      <c r="K515" t="s">
        <v>17</v>
      </c>
      <c r="L515" t="b">
        <v>0</v>
      </c>
      <c r="N515" s="2" t="str">
        <f t="shared" ref="N515:N578" si="48">IF(AND(E515="IT",K515="EXPENSE"),I515&gt;J515,"")</f>
        <v/>
      </c>
      <c r="Q515" t="str">
        <f t="shared" ref="Q515:Q578" si="49">IF(L515=TRUE,OR(H515="Apex Solutions Inc",H515="Global Trade Partners",H515="NovaTech Services"),"")</f>
        <v/>
      </c>
    </row>
    <row r="516" spans="1:17" hidden="1">
      <c r="A516" t="s">
        <v>620</v>
      </c>
      <c r="B516" s="1">
        <v>44993</v>
      </c>
      <c r="C516">
        <v>2023</v>
      </c>
      <c r="D516">
        <v>3</v>
      </c>
      <c r="E516" t="s">
        <v>37</v>
      </c>
      <c r="F516" t="s">
        <v>28</v>
      </c>
      <c r="G516" t="s">
        <v>62</v>
      </c>
      <c r="H516" t="s">
        <v>121</v>
      </c>
      <c r="I516">
        <v>5466.4</v>
      </c>
      <c r="J516">
        <v>5024.21</v>
      </c>
      <c r="K516" t="s">
        <v>17</v>
      </c>
      <c r="L516" t="b">
        <v>0</v>
      </c>
      <c r="N516" s="2" t="str">
        <f t="shared" si="48"/>
        <v/>
      </c>
      <c r="Q516" t="str">
        <f t="shared" si="49"/>
        <v/>
      </c>
    </row>
    <row r="517" spans="1:17" hidden="1">
      <c r="A517" t="s">
        <v>621</v>
      </c>
      <c r="B517" s="1">
        <v>44993</v>
      </c>
      <c r="C517">
        <v>2023</v>
      </c>
      <c r="D517">
        <v>3</v>
      </c>
      <c r="E517" t="s">
        <v>37</v>
      </c>
      <c r="F517" t="s">
        <v>24</v>
      </c>
      <c r="G517" t="s">
        <v>62</v>
      </c>
      <c r="H517" t="s">
        <v>66</v>
      </c>
      <c r="I517">
        <v>8133.34</v>
      </c>
      <c r="J517">
        <v>8487.2999999999993</v>
      </c>
      <c r="K517" t="s">
        <v>17</v>
      </c>
      <c r="L517" t="b">
        <v>0</v>
      </c>
      <c r="N517" s="2" t="str">
        <f t="shared" si="48"/>
        <v/>
      </c>
      <c r="Q517" t="str">
        <f t="shared" si="49"/>
        <v/>
      </c>
    </row>
    <row r="518" spans="1:17" hidden="1">
      <c r="A518" t="s">
        <v>622</v>
      </c>
      <c r="B518" s="1">
        <v>44993</v>
      </c>
      <c r="C518">
        <v>2023</v>
      </c>
      <c r="D518">
        <v>3</v>
      </c>
      <c r="E518" t="s">
        <v>37</v>
      </c>
      <c r="F518" t="s">
        <v>24</v>
      </c>
      <c r="G518" t="s">
        <v>62</v>
      </c>
      <c r="H518" t="s">
        <v>121</v>
      </c>
      <c r="I518">
        <v>5818.39</v>
      </c>
      <c r="J518">
        <v>5315.23</v>
      </c>
      <c r="K518" t="s">
        <v>17</v>
      </c>
      <c r="L518" t="b">
        <v>0</v>
      </c>
      <c r="N518" s="2" t="str">
        <f t="shared" si="48"/>
        <v/>
      </c>
      <c r="Q518" t="str">
        <f t="shared" si="49"/>
        <v/>
      </c>
    </row>
    <row r="519" spans="1:17" hidden="1">
      <c r="A519" t="s">
        <v>623</v>
      </c>
      <c r="B519" s="1">
        <v>44994</v>
      </c>
      <c r="C519">
        <v>2023</v>
      </c>
      <c r="D519">
        <v>3</v>
      </c>
      <c r="E519" t="s">
        <v>13</v>
      </c>
      <c r="F519" t="s">
        <v>14</v>
      </c>
      <c r="G519" t="s">
        <v>102</v>
      </c>
      <c r="H519" t="s">
        <v>145</v>
      </c>
      <c r="I519">
        <v>2543.15</v>
      </c>
      <c r="J519">
        <v>2338</v>
      </c>
      <c r="K519" t="s">
        <v>17</v>
      </c>
      <c r="L519" t="b">
        <v>0</v>
      </c>
      <c r="N519" s="2" t="str">
        <f t="shared" si="48"/>
        <v/>
      </c>
      <c r="Q519" t="str">
        <f t="shared" si="49"/>
        <v/>
      </c>
    </row>
    <row r="520" spans="1:17" hidden="1">
      <c r="A520" t="s">
        <v>624</v>
      </c>
      <c r="B520" s="1">
        <v>44994</v>
      </c>
      <c r="C520">
        <v>2023</v>
      </c>
      <c r="D520">
        <v>3</v>
      </c>
      <c r="E520" t="s">
        <v>13</v>
      </c>
      <c r="F520" t="s">
        <v>28</v>
      </c>
      <c r="G520" t="s">
        <v>68</v>
      </c>
      <c r="H520" t="s">
        <v>87</v>
      </c>
      <c r="I520">
        <v>3842.6</v>
      </c>
      <c r="J520">
        <v>3764.72</v>
      </c>
      <c r="K520" t="s">
        <v>17</v>
      </c>
      <c r="L520" t="b">
        <v>0</v>
      </c>
      <c r="N520" s="2" t="str">
        <f t="shared" si="48"/>
        <v/>
      </c>
      <c r="Q520" t="str">
        <f t="shared" si="49"/>
        <v/>
      </c>
    </row>
    <row r="521" spans="1:17" hidden="1">
      <c r="A521" t="s">
        <v>625</v>
      </c>
      <c r="B521" s="1">
        <v>44994</v>
      </c>
      <c r="C521">
        <v>2023</v>
      </c>
      <c r="D521">
        <v>3</v>
      </c>
      <c r="E521" t="s">
        <v>47</v>
      </c>
      <c r="F521" t="s">
        <v>28</v>
      </c>
      <c r="G521" t="s">
        <v>48</v>
      </c>
      <c r="H521" t="s">
        <v>49</v>
      </c>
      <c r="I521">
        <v>17388.66</v>
      </c>
      <c r="J521">
        <v>14675.54</v>
      </c>
      <c r="K521" t="s">
        <v>17</v>
      </c>
      <c r="L521" t="b">
        <v>0</v>
      </c>
      <c r="N521" s="2" t="b">
        <f t="shared" si="48"/>
        <v>1</v>
      </c>
      <c r="O521" t="str">
        <f t="shared" ref="O521:O522" si="50">IF(AND(E510="HR",K510="EXPENSE"),I510&lt;J510,"")</f>
        <v/>
      </c>
      <c r="Q521" t="str">
        <f t="shared" si="49"/>
        <v/>
      </c>
    </row>
    <row r="522" spans="1:17" hidden="1">
      <c r="A522" t="s">
        <v>626</v>
      </c>
      <c r="B522" s="1">
        <v>44994</v>
      </c>
      <c r="C522">
        <v>2023</v>
      </c>
      <c r="D522">
        <v>3</v>
      </c>
      <c r="E522" t="s">
        <v>47</v>
      </c>
      <c r="F522" t="s">
        <v>24</v>
      </c>
      <c r="G522" t="s">
        <v>77</v>
      </c>
      <c r="H522" t="s">
        <v>130</v>
      </c>
      <c r="I522">
        <v>14100.32</v>
      </c>
      <c r="J522">
        <v>11773.66</v>
      </c>
      <c r="K522" t="s">
        <v>17</v>
      </c>
      <c r="L522" t="b">
        <v>0</v>
      </c>
      <c r="N522" s="2" t="b">
        <f t="shared" si="48"/>
        <v>1</v>
      </c>
      <c r="O522" t="str">
        <f t="shared" si="50"/>
        <v/>
      </c>
      <c r="Q522" t="str">
        <f t="shared" si="49"/>
        <v/>
      </c>
    </row>
    <row r="523" spans="1:17" hidden="1">
      <c r="A523" t="s">
        <v>627</v>
      </c>
      <c r="B523" s="1">
        <v>44994</v>
      </c>
      <c r="C523">
        <v>2023</v>
      </c>
      <c r="D523">
        <v>3</v>
      </c>
      <c r="E523" t="s">
        <v>19</v>
      </c>
      <c r="F523" t="s">
        <v>24</v>
      </c>
      <c r="G523" t="s">
        <v>80</v>
      </c>
      <c r="H523" t="s">
        <v>217</v>
      </c>
      <c r="I523">
        <v>7510.18</v>
      </c>
      <c r="J523">
        <v>6939.72</v>
      </c>
      <c r="K523" t="s">
        <v>17</v>
      </c>
      <c r="L523" t="b">
        <v>0</v>
      </c>
      <c r="N523" s="2" t="str">
        <f t="shared" si="48"/>
        <v/>
      </c>
      <c r="Q523" t="str">
        <f t="shared" si="49"/>
        <v/>
      </c>
    </row>
    <row r="524" spans="1:17" hidden="1">
      <c r="A524" t="s">
        <v>628</v>
      </c>
      <c r="B524" s="1">
        <v>44994</v>
      </c>
      <c r="C524">
        <v>2023</v>
      </c>
      <c r="D524">
        <v>3</v>
      </c>
      <c r="E524" t="s">
        <v>23</v>
      </c>
      <c r="F524" t="s">
        <v>24</v>
      </c>
      <c r="G524" t="s">
        <v>59</v>
      </c>
      <c r="H524" t="s">
        <v>155</v>
      </c>
      <c r="I524">
        <v>3714.34</v>
      </c>
      <c r="J524">
        <v>3594.19</v>
      </c>
      <c r="K524" t="s">
        <v>17</v>
      </c>
      <c r="L524" t="b">
        <v>0</v>
      </c>
      <c r="N524" s="2" t="str">
        <f t="shared" si="48"/>
        <v/>
      </c>
      <c r="Q524" t="str">
        <f t="shared" si="49"/>
        <v/>
      </c>
    </row>
    <row r="525" spans="1:17" hidden="1">
      <c r="A525" t="s">
        <v>629</v>
      </c>
      <c r="B525" s="1">
        <v>44994</v>
      </c>
      <c r="C525">
        <v>2023</v>
      </c>
      <c r="D525">
        <v>3</v>
      </c>
      <c r="E525" t="s">
        <v>37</v>
      </c>
      <c r="F525" t="s">
        <v>28</v>
      </c>
      <c r="G525" t="s">
        <v>62</v>
      </c>
      <c r="H525" t="s">
        <v>63</v>
      </c>
      <c r="I525">
        <v>4294.0600000000004</v>
      </c>
      <c r="J525">
        <v>4568.18</v>
      </c>
      <c r="K525" t="s">
        <v>17</v>
      </c>
      <c r="L525" t="b">
        <v>0</v>
      </c>
      <c r="N525" s="2" t="str">
        <f t="shared" si="48"/>
        <v/>
      </c>
      <c r="Q525" t="str">
        <f t="shared" si="49"/>
        <v/>
      </c>
    </row>
    <row r="526" spans="1:17" hidden="1">
      <c r="A526" t="s">
        <v>630</v>
      </c>
      <c r="B526" s="1">
        <v>44995</v>
      </c>
      <c r="C526">
        <v>2023</v>
      </c>
      <c r="D526">
        <v>3</v>
      </c>
      <c r="E526" t="s">
        <v>13</v>
      </c>
      <c r="F526" t="s">
        <v>14</v>
      </c>
      <c r="G526" t="s">
        <v>102</v>
      </c>
      <c r="H526" t="s">
        <v>103</v>
      </c>
      <c r="I526">
        <v>2675.24</v>
      </c>
      <c r="J526">
        <v>2704.03</v>
      </c>
      <c r="K526" t="s">
        <v>17</v>
      </c>
      <c r="L526" t="b">
        <v>0</v>
      </c>
      <c r="N526" s="2" t="str">
        <f t="shared" si="48"/>
        <v/>
      </c>
      <c r="Q526" t="str">
        <f t="shared" si="49"/>
        <v/>
      </c>
    </row>
    <row r="527" spans="1:17" hidden="1">
      <c r="A527" t="s">
        <v>631</v>
      </c>
      <c r="B527" s="1">
        <v>44995</v>
      </c>
      <c r="C527">
        <v>2023</v>
      </c>
      <c r="D527">
        <v>3</v>
      </c>
      <c r="E527" t="s">
        <v>13</v>
      </c>
      <c r="F527" t="s">
        <v>24</v>
      </c>
      <c r="G527" t="s">
        <v>15</v>
      </c>
      <c r="H527" t="s">
        <v>45</v>
      </c>
      <c r="I527">
        <v>3370.68</v>
      </c>
      <c r="J527">
        <v>3243.81</v>
      </c>
      <c r="K527" t="s">
        <v>17</v>
      </c>
      <c r="L527" t="b">
        <v>0</v>
      </c>
      <c r="N527" s="2" t="str">
        <f t="shared" si="48"/>
        <v/>
      </c>
      <c r="Q527" t="str">
        <f t="shared" si="49"/>
        <v/>
      </c>
    </row>
    <row r="528" spans="1:17" hidden="1">
      <c r="A528" t="s">
        <v>632</v>
      </c>
      <c r="B528" s="1">
        <v>44995</v>
      </c>
      <c r="C528">
        <v>2023</v>
      </c>
      <c r="D528">
        <v>3</v>
      </c>
      <c r="E528" t="s">
        <v>13</v>
      </c>
      <c r="F528" t="s">
        <v>24</v>
      </c>
      <c r="G528" t="s">
        <v>68</v>
      </c>
      <c r="H528" t="s">
        <v>87</v>
      </c>
      <c r="I528">
        <v>3171.93</v>
      </c>
      <c r="J528">
        <v>3247.8</v>
      </c>
      <c r="K528" t="s">
        <v>17</v>
      </c>
      <c r="L528" t="b">
        <v>0</v>
      </c>
      <c r="N528" s="2" t="str">
        <f t="shared" si="48"/>
        <v/>
      </c>
      <c r="Q528" t="str">
        <f t="shared" si="49"/>
        <v/>
      </c>
    </row>
    <row r="529" spans="1:17" hidden="1">
      <c r="A529" t="s">
        <v>633</v>
      </c>
      <c r="B529" s="1">
        <v>44995</v>
      </c>
      <c r="C529">
        <v>2023</v>
      </c>
      <c r="D529">
        <v>3</v>
      </c>
      <c r="E529" t="s">
        <v>47</v>
      </c>
      <c r="F529" t="s">
        <v>24</v>
      </c>
      <c r="G529" t="s">
        <v>48</v>
      </c>
      <c r="H529" t="s">
        <v>189</v>
      </c>
      <c r="I529">
        <v>20190.45</v>
      </c>
      <c r="J529">
        <v>16670.62</v>
      </c>
      <c r="K529" t="s">
        <v>17</v>
      </c>
      <c r="L529" t="b">
        <v>0</v>
      </c>
      <c r="N529" s="2" t="b">
        <f t="shared" si="48"/>
        <v>1</v>
      </c>
      <c r="O529" t="str">
        <f>IF(AND(E518="HR",K518="EXPENSE"),I518&lt;J518,"")</f>
        <v/>
      </c>
      <c r="Q529" t="str">
        <f t="shared" si="49"/>
        <v/>
      </c>
    </row>
    <row r="530" spans="1:17" hidden="1">
      <c r="A530" t="s">
        <v>634</v>
      </c>
      <c r="B530" s="1">
        <v>44995</v>
      </c>
      <c r="C530">
        <v>2023</v>
      </c>
      <c r="D530">
        <v>3</v>
      </c>
      <c r="E530" t="s">
        <v>19</v>
      </c>
      <c r="F530" t="s">
        <v>14</v>
      </c>
      <c r="G530" t="s">
        <v>80</v>
      </c>
      <c r="H530" t="s">
        <v>113</v>
      </c>
      <c r="I530">
        <v>6809.42</v>
      </c>
      <c r="J530">
        <v>6306.72</v>
      </c>
      <c r="K530" t="s">
        <v>17</v>
      </c>
      <c r="L530" t="b">
        <v>0</v>
      </c>
      <c r="N530" s="2" t="str">
        <f t="shared" si="48"/>
        <v/>
      </c>
      <c r="Q530" t="str">
        <f t="shared" si="49"/>
        <v/>
      </c>
    </row>
    <row r="531" spans="1:17" hidden="1">
      <c r="A531" t="s">
        <v>635</v>
      </c>
      <c r="B531" s="1">
        <v>44995</v>
      </c>
      <c r="C531">
        <v>2023</v>
      </c>
      <c r="D531">
        <v>3</v>
      </c>
      <c r="E531" t="s">
        <v>19</v>
      </c>
      <c r="F531" t="s">
        <v>24</v>
      </c>
      <c r="G531" t="s">
        <v>20</v>
      </c>
      <c r="H531" t="s">
        <v>21</v>
      </c>
      <c r="I531">
        <v>5610</v>
      </c>
      <c r="J531">
        <v>5460.17</v>
      </c>
      <c r="K531" t="s">
        <v>17</v>
      </c>
      <c r="L531" t="b">
        <v>0</v>
      </c>
      <c r="N531" s="2" t="str">
        <f t="shared" si="48"/>
        <v/>
      </c>
      <c r="Q531" t="str">
        <f t="shared" si="49"/>
        <v/>
      </c>
    </row>
    <row r="532" spans="1:17" hidden="1">
      <c r="A532" t="s">
        <v>636</v>
      </c>
      <c r="B532" s="1">
        <v>44995</v>
      </c>
      <c r="C532">
        <v>2023</v>
      </c>
      <c r="D532">
        <v>3</v>
      </c>
      <c r="E532" t="s">
        <v>23</v>
      </c>
      <c r="F532" t="s">
        <v>28</v>
      </c>
      <c r="G532" t="s">
        <v>25</v>
      </c>
      <c r="H532" t="s">
        <v>95</v>
      </c>
      <c r="I532">
        <v>7103.97</v>
      </c>
      <c r="J532">
        <v>6656.7</v>
      </c>
      <c r="K532" t="s">
        <v>17</v>
      </c>
      <c r="L532" t="b">
        <v>0</v>
      </c>
      <c r="N532" s="2" t="str">
        <f t="shared" si="48"/>
        <v/>
      </c>
      <c r="Q532" t="str">
        <f t="shared" si="49"/>
        <v/>
      </c>
    </row>
    <row r="533" spans="1:17" hidden="1">
      <c r="A533" t="s">
        <v>637</v>
      </c>
      <c r="B533" s="1">
        <v>44995</v>
      </c>
      <c r="C533">
        <v>2023</v>
      </c>
      <c r="D533">
        <v>3</v>
      </c>
      <c r="E533" t="s">
        <v>37</v>
      </c>
      <c r="F533" t="s">
        <v>28</v>
      </c>
      <c r="G533" t="s">
        <v>62</v>
      </c>
      <c r="H533" t="s">
        <v>66</v>
      </c>
      <c r="I533">
        <v>5587.65</v>
      </c>
      <c r="J533">
        <v>5736.45</v>
      </c>
      <c r="K533" t="s">
        <v>17</v>
      </c>
      <c r="L533" t="b">
        <v>0</v>
      </c>
      <c r="N533" s="2" t="str">
        <f t="shared" si="48"/>
        <v/>
      </c>
      <c r="Q533" t="str">
        <f t="shared" si="49"/>
        <v/>
      </c>
    </row>
    <row r="534" spans="1:17" hidden="1">
      <c r="A534" t="s">
        <v>638</v>
      </c>
      <c r="B534" s="1">
        <v>44995</v>
      </c>
      <c r="C534">
        <v>2023</v>
      </c>
      <c r="D534">
        <v>3</v>
      </c>
      <c r="E534" t="s">
        <v>37</v>
      </c>
      <c r="F534" t="s">
        <v>24</v>
      </c>
      <c r="G534" t="s">
        <v>98</v>
      </c>
      <c r="H534" t="s">
        <v>185</v>
      </c>
      <c r="I534">
        <v>6683.33</v>
      </c>
      <c r="J534">
        <v>6304.71</v>
      </c>
      <c r="K534" t="s">
        <v>17</v>
      </c>
      <c r="L534" t="b">
        <v>0</v>
      </c>
      <c r="N534" s="2" t="str">
        <f t="shared" si="48"/>
        <v/>
      </c>
      <c r="Q534" t="str">
        <f t="shared" si="49"/>
        <v/>
      </c>
    </row>
    <row r="535" spans="1:17" hidden="1">
      <c r="A535" t="s">
        <v>639</v>
      </c>
      <c r="B535" s="1">
        <v>44995</v>
      </c>
      <c r="C535">
        <v>2023</v>
      </c>
      <c r="D535">
        <v>3</v>
      </c>
      <c r="E535" t="s">
        <v>37</v>
      </c>
      <c r="F535" t="s">
        <v>24</v>
      </c>
      <c r="G535" t="s">
        <v>38</v>
      </c>
      <c r="H535" t="s">
        <v>39</v>
      </c>
      <c r="I535">
        <v>4610.08</v>
      </c>
      <c r="J535">
        <v>4543.88</v>
      </c>
      <c r="K535" t="s">
        <v>17</v>
      </c>
      <c r="L535" t="b">
        <v>0</v>
      </c>
      <c r="N535" s="2" t="str">
        <f t="shared" si="48"/>
        <v/>
      </c>
      <c r="Q535" t="str">
        <f t="shared" si="49"/>
        <v/>
      </c>
    </row>
    <row r="536" spans="1:17" hidden="1">
      <c r="A536" t="s">
        <v>640</v>
      </c>
      <c r="B536" s="1">
        <v>44996</v>
      </c>
      <c r="C536">
        <v>2023</v>
      </c>
      <c r="D536">
        <v>3</v>
      </c>
      <c r="E536" t="s">
        <v>13</v>
      </c>
      <c r="F536" t="s">
        <v>14</v>
      </c>
      <c r="G536" t="s">
        <v>68</v>
      </c>
      <c r="H536" t="s">
        <v>87</v>
      </c>
      <c r="I536">
        <v>4055.34</v>
      </c>
      <c r="J536">
        <v>3722.1</v>
      </c>
      <c r="K536" t="s">
        <v>17</v>
      </c>
      <c r="L536" t="b">
        <v>0</v>
      </c>
      <c r="N536" s="2" t="str">
        <f t="shared" si="48"/>
        <v/>
      </c>
      <c r="Q536" t="str">
        <f t="shared" si="49"/>
        <v/>
      </c>
    </row>
    <row r="537" spans="1:17" hidden="1">
      <c r="A537" t="s">
        <v>641</v>
      </c>
      <c r="B537" s="1">
        <v>44996</v>
      </c>
      <c r="C537">
        <v>2023</v>
      </c>
      <c r="D537">
        <v>3</v>
      </c>
      <c r="E537" t="s">
        <v>13</v>
      </c>
      <c r="F537" t="s">
        <v>28</v>
      </c>
      <c r="G537" t="s">
        <v>108</v>
      </c>
      <c r="H537" t="s">
        <v>109</v>
      </c>
      <c r="I537">
        <v>5437.95</v>
      </c>
      <c r="J537">
        <v>5753.39</v>
      </c>
      <c r="K537" t="s">
        <v>17</v>
      </c>
      <c r="L537" t="b">
        <v>0</v>
      </c>
      <c r="N537" s="2" t="str">
        <f t="shared" si="48"/>
        <v/>
      </c>
      <c r="Q537" t="str">
        <f t="shared" si="49"/>
        <v/>
      </c>
    </row>
    <row r="538" spans="1:17" hidden="1">
      <c r="A538" t="s">
        <v>642</v>
      </c>
      <c r="B538" s="1">
        <v>44996</v>
      </c>
      <c r="C538">
        <v>2023</v>
      </c>
      <c r="D538">
        <v>3</v>
      </c>
      <c r="E538" t="s">
        <v>47</v>
      </c>
      <c r="F538" t="s">
        <v>24</v>
      </c>
      <c r="G538" t="s">
        <v>91</v>
      </c>
      <c r="H538" t="s">
        <v>92</v>
      </c>
      <c r="I538">
        <v>16941.88</v>
      </c>
      <c r="J538">
        <v>14545.55</v>
      </c>
      <c r="K538" t="s">
        <v>17</v>
      </c>
      <c r="L538" t="b">
        <v>0</v>
      </c>
      <c r="N538" s="2" t="b">
        <f t="shared" si="48"/>
        <v>1</v>
      </c>
      <c r="O538" t="b">
        <f>IF(AND(E527="HR",K527="EXPENSE"),I527&lt;J527,"")</f>
        <v>0</v>
      </c>
      <c r="Q538" t="str">
        <f t="shared" si="49"/>
        <v/>
      </c>
    </row>
    <row r="539" spans="1:17" hidden="1">
      <c r="A539" t="s">
        <v>643</v>
      </c>
      <c r="B539" s="1">
        <v>44996</v>
      </c>
      <c r="C539">
        <v>2023</v>
      </c>
      <c r="D539">
        <v>3</v>
      </c>
      <c r="E539" t="s">
        <v>19</v>
      </c>
      <c r="F539" t="s">
        <v>14</v>
      </c>
      <c r="G539" t="s">
        <v>132</v>
      </c>
      <c r="H539" t="s">
        <v>171</v>
      </c>
      <c r="I539">
        <v>4817.75</v>
      </c>
      <c r="J539">
        <v>4371.3100000000004</v>
      </c>
      <c r="K539" t="s">
        <v>17</v>
      </c>
      <c r="L539" t="b">
        <v>0</v>
      </c>
      <c r="N539" s="2" t="str">
        <f t="shared" si="48"/>
        <v/>
      </c>
      <c r="Q539" t="str">
        <f t="shared" si="49"/>
        <v/>
      </c>
    </row>
    <row r="540" spans="1:17" hidden="1">
      <c r="A540" t="s">
        <v>644</v>
      </c>
      <c r="B540" s="1">
        <v>44996</v>
      </c>
      <c r="C540">
        <v>2023</v>
      </c>
      <c r="D540">
        <v>3</v>
      </c>
      <c r="E540" t="s">
        <v>19</v>
      </c>
      <c r="F540" t="s">
        <v>24</v>
      </c>
      <c r="G540" t="s">
        <v>132</v>
      </c>
      <c r="H540" t="s">
        <v>138</v>
      </c>
      <c r="I540">
        <v>3873.19</v>
      </c>
      <c r="J540">
        <v>4076.37</v>
      </c>
      <c r="K540" t="s">
        <v>17</v>
      </c>
      <c r="L540" t="b">
        <v>0</v>
      </c>
      <c r="N540" s="2" t="str">
        <f t="shared" si="48"/>
        <v/>
      </c>
      <c r="Q540" t="str">
        <f t="shared" si="49"/>
        <v/>
      </c>
    </row>
    <row r="541" spans="1:17" hidden="1">
      <c r="A541" t="s">
        <v>645</v>
      </c>
      <c r="B541" s="1">
        <v>44996</v>
      </c>
      <c r="C541">
        <v>2023</v>
      </c>
      <c r="D541">
        <v>3</v>
      </c>
      <c r="E541" t="s">
        <v>23</v>
      </c>
      <c r="F541" t="s">
        <v>14</v>
      </c>
      <c r="G541" t="s">
        <v>59</v>
      </c>
      <c r="H541" t="s">
        <v>60</v>
      </c>
      <c r="I541">
        <v>4913.4799999999996</v>
      </c>
      <c r="J541">
        <v>4960.6099999999997</v>
      </c>
      <c r="K541" t="s">
        <v>17</v>
      </c>
      <c r="L541" t="b">
        <v>0</v>
      </c>
      <c r="N541" s="2" t="str">
        <f t="shared" si="48"/>
        <v/>
      </c>
      <c r="Q541" t="str">
        <f t="shared" si="49"/>
        <v/>
      </c>
    </row>
    <row r="542" spans="1:17" hidden="1">
      <c r="A542" t="s">
        <v>646</v>
      </c>
      <c r="B542" s="1">
        <v>44997</v>
      </c>
      <c r="C542">
        <v>2023</v>
      </c>
      <c r="D542">
        <v>3</v>
      </c>
      <c r="E542" t="s">
        <v>13</v>
      </c>
      <c r="F542" t="s">
        <v>14</v>
      </c>
      <c r="G542" t="s">
        <v>108</v>
      </c>
      <c r="H542" t="s">
        <v>109</v>
      </c>
      <c r="I542">
        <v>4273.42</v>
      </c>
      <c r="J542">
        <v>4301.59</v>
      </c>
      <c r="K542" t="s">
        <v>17</v>
      </c>
      <c r="L542" t="b">
        <v>0</v>
      </c>
      <c r="N542" s="2" t="str">
        <f t="shared" si="48"/>
        <v/>
      </c>
      <c r="Q542" t="str">
        <f t="shared" si="49"/>
        <v/>
      </c>
    </row>
    <row r="543" spans="1:17" hidden="1">
      <c r="A543" t="s">
        <v>647</v>
      </c>
      <c r="B543" s="1">
        <v>44997</v>
      </c>
      <c r="C543">
        <v>2023</v>
      </c>
      <c r="D543">
        <v>3</v>
      </c>
      <c r="E543" t="s">
        <v>13</v>
      </c>
      <c r="F543" t="s">
        <v>28</v>
      </c>
      <c r="G543" t="s">
        <v>15</v>
      </c>
      <c r="H543" t="s">
        <v>16</v>
      </c>
      <c r="I543">
        <v>3760.52</v>
      </c>
      <c r="J543">
        <v>4037.34</v>
      </c>
      <c r="K543" t="s">
        <v>17</v>
      </c>
      <c r="L543" t="b">
        <v>0</v>
      </c>
      <c r="N543" s="2" t="str">
        <f t="shared" si="48"/>
        <v/>
      </c>
      <c r="Q543" t="str">
        <f t="shared" si="49"/>
        <v/>
      </c>
    </row>
    <row r="544" spans="1:17" hidden="1">
      <c r="A544" t="s">
        <v>648</v>
      </c>
      <c r="B544" s="1">
        <v>44997</v>
      </c>
      <c r="C544">
        <v>2023</v>
      </c>
      <c r="D544">
        <v>3</v>
      </c>
      <c r="E544" t="s">
        <v>13</v>
      </c>
      <c r="F544" t="s">
        <v>24</v>
      </c>
      <c r="G544" t="s">
        <v>102</v>
      </c>
      <c r="H544" t="s">
        <v>145</v>
      </c>
      <c r="I544">
        <v>3042.63</v>
      </c>
      <c r="J544">
        <v>2745.74</v>
      </c>
      <c r="K544" t="s">
        <v>17</v>
      </c>
      <c r="L544" t="b">
        <v>0</v>
      </c>
      <c r="N544" s="2" t="str">
        <f t="shared" si="48"/>
        <v/>
      </c>
      <c r="Q544" t="str">
        <f t="shared" si="49"/>
        <v/>
      </c>
    </row>
    <row r="545" spans="1:17" hidden="1">
      <c r="A545" t="s">
        <v>649</v>
      </c>
      <c r="B545" s="1">
        <v>44997</v>
      </c>
      <c r="C545">
        <v>2023</v>
      </c>
      <c r="D545">
        <v>3</v>
      </c>
      <c r="E545" t="s">
        <v>19</v>
      </c>
      <c r="F545" t="s">
        <v>14</v>
      </c>
      <c r="G545" t="s">
        <v>20</v>
      </c>
      <c r="H545" t="s">
        <v>21</v>
      </c>
      <c r="I545">
        <v>6637.18</v>
      </c>
      <c r="J545">
        <v>6246.7</v>
      </c>
      <c r="K545" t="s">
        <v>17</v>
      </c>
      <c r="L545" t="b">
        <v>0</v>
      </c>
      <c r="N545" s="2" t="str">
        <f t="shared" si="48"/>
        <v/>
      </c>
      <c r="Q545" t="str">
        <f t="shared" si="49"/>
        <v/>
      </c>
    </row>
    <row r="546" spans="1:17">
      <c r="A546" t="s">
        <v>650</v>
      </c>
      <c r="B546" s="1">
        <v>44997</v>
      </c>
      <c r="C546">
        <v>2023</v>
      </c>
      <c r="D546">
        <v>3</v>
      </c>
      <c r="E546" t="s">
        <v>19</v>
      </c>
      <c r="F546" t="s">
        <v>24</v>
      </c>
      <c r="G546" t="s">
        <v>20</v>
      </c>
      <c r="H546" t="s">
        <v>651</v>
      </c>
      <c r="I546">
        <v>25296.98</v>
      </c>
      <c r="J546">
        <v>6389.08</v>
      </c>
      <c r="K546" t="s">
        <v>17</v>
      </c>
      <c r="L546" t="b">
        <v>1</v>
      </c>
      <c r="N546" s="2" t="str">
        <f t="shared" si="48"/>
        <v/>
      </c>
      <c r="Q546" t="b">
        <f t="shared" si="49"/>
        <v>1</v>
      </c>
    </row>
    <row r="547" spans="1:17" hidden="1">
      <c r="A547" t="s">
        <v>652</v>
      </c>
      <c r="B547" s="1">
        <v>44997</v>
      </c>
      <c r="C547">
        <v>2023</v>
      </c>
      <c r="D547">
        <v>3</v>
      </c>
      <c r="E547" t="s">
        <v>23</v>
      </c>
      <c r="F547" t="s">
        <v>28</v>
      </c>
      <c r="G547" t="s">
        <v>30</v>
      </c>
      <c r="H547" t="s">
        <v>33</v>
      </c>
      <c r="I547">
        <v>6208.1</v>
      </c>
      <c r="J547">
        <v>6476.69</v>
      </c>
      <c r="K547" t="s">
        <v>17</v>
      </c>
      <c r="L547" t="b">
        <v>0</v>
      </c>
      <c r="N547" s="2" t="str">
        <f t="shared" si="48"/>
        <v/>
      </c>
      <c r="Q547" t="str">
        <f t="shared" si="49"/>
        <v/>
      </c>
    </row>
    <row r="548" spans="1:17" hidden="1">
      <c r="A548" t="s">
        <v>653</v>
      </c>
      <c r="B548" s="1">
        <v>44997</v>
      </c>
      <c r="C548">
        <v>2023</v>
      </c>
      <c r="D548">
        <v>3</v>
      </c>
      <c r="E548" t="s">
        <v>37</v>
      </c>
      <c r="F548" t="s">
        <v>28</v>
      </c>
      <c r="G548" t="s">
        <v>41</v>
      </c>
      <c r="H548" t="s">
        <v>42</v>
      </c>
      <c r="I548">
        <v>3143.24</v>
      </c>
      <c r="J548">
        <v>2942.8</v>
      </c>
      <c r="K548" t="s">
        <v>17</v>
      </c>
      <c r="L548" t="b">
        <v>0</v>
      </c>
      <c r="N548" s="2" t="str">
        <f t="shared" si="48"/>
        <v/>
      </c>
      <c r="Q548" t="str">
        <f t="shared" si="49"/>
        <v/>
      </c>
    </row>
    <row r="549" spans="1:17" hidden="1">
      <c r="A549" t="s">
        <v>654</v>
      </c>
      <c r="B549" s="1">
        <v>44998</v>
      </c>
      <c r="C549">
        <v>2023</v>
      </c>
      <c r="D549">
        <v>3</v>
      </c>
      <c r="E549" t="s">
        <v>13</v>
      </c>
      <c r="F549" t="s">
        <v>28</v>
      </c>
      <c r="G549" t="s">
        <v>68</v>
      </c>
      <c r="H549" t="s">
        <v>87</v>
      </c>
      <c r="I549">
        <v>4483.7700000000004</v>
      </c>
      <c r="J549">
        <v>4222.38</v>
      </c>
      <c r="K549" t="s">
        <v>17</v>
      </c>
      <c r="L549" t="b">
        <v>0</v>
      </c>
      <c r="N549" s="2" t="str">
        <f t="shared" si="48"/>
        <v/>
      </c>
      <c r="Q549" t="str">
        <f t="shared" si="49"/>
        <v/>
      </c>
    </row>
    <row r="550" spans="1:17" hidden="1">
      <c r="A550" t="s">
        <v>655</v>
      </c>
      <c r="B550" s="1">
        <v>44998</v>
      </c>
      <c r="C550">
        <v>2023</v>
      </c>
      <c r="D550">
        <v>3</v>
      </c>
      <c r="E550" t="s">
        <v>13</v>
      </c>
      <c r="F550" t="s">
        <v>24</v>
      </c>
      <c r="G550" t="s">
        <v>68</v>
      </c>
      <c r="H550" t="s">
        <v>213</v>
      </c>
      <c r="I550">
        <v>2975.11</v>
      </c>
      <c r="J550">
        <v>2689.02</v>
      </c>
      <c r="K550" t="s">
        <v>17</v>
      </c>
      <c r="L550" t="b">
        <v>0</v>
      </c>
      <c r="N550" s="2" t="str">
        <f t="shared" si="48"/>
        <v/>
      </c>
      <c r="Q550" t="str">
        <f t="shared" si="49"/>
        <v/>
      </c>
    </row>
    <row r="551" spans="1:17" hidden="1">
      <c r="A551" t="s">
        <v>656</v>
      </c>
      <c r="B551" s="1">
        <v>44998</v>
      </c>
      <c r="C551">
        <v>2023</v>
      </c>
      <c r="D551">
        <v>3</v>
      </c>
      <c r="E551" t="s">
        <v>47</v>
      </c>
      <c r="F551" t="s">
        <v>24</v>
      </c>
      <c r="G551" t="s">
        <v>91</v>
      </c>
      <c r="H551" t="s">
        <v>249</v>
      </c>
      <c r="I551">
        <v>18329.64</v>
      </c>
      <c r="J551">
        <v>15454.52</v>
      </c>
      <c r="K551" t="s">
        <v>17</v>
      </c>
      <c r="L551" t="b">
        <v>0</v>
      </c>
      <c r="N551" s="2" t="b">
        <f t="shared" si="48"/>
        <v>1</v>
      </c>
      <c r="O551" t="str">
        <f>IF(AND(E540="HR",K540="EXPENSE"),I540&lt;J540,"")</f>
        <v/>
      </c>
      <c r="Q551" t="str">
        <f t="shared" si="49"/>
        <v/>
      </c>
    </row>
    <row r="552" spans="1:17" hidden="1">
      <c r="A552" t="s">
        <v>657</v>
      </c>
      <c r="B552" s="1">
        <v>44998</v>
      </c>
      <c r="C552">
        <v>2023</v>
      </c>
      <c r="D552">
        <v>3</v>
      </c>
      <c r="E552" t="s">
        <v>23</v>
      </c>
      <c r="F552" t="s">
        <v>24</v>
      </c>
      <c r="G552" t="s">
        <v>141</v>
      </c>
      <c r="H552" t="s">
        <v>153</v>
      </c>
      <c r="I552">
        <v>5771.26</v>
      </c>
      <c r="J552">
        <v>5951.51</v>
      </c>
      <c r="K552" t="s">
        <v>17</v>
      </c>
      <c r="L552" t="b">
        <v>0</v>
      </c>
      <c r="N552" s="2" t="str">
        <f t="shared" si="48"/>
        <v/>
      </c>
      <c r="Q552" t="str">
        <f t="shared" si="49"/>
        <v/>
      </c>
    </row>
    <row r="553" spans="1:17" hidden="1">
      <c r="A553" t="s">
        <v>658</v>
      </c>
      <c r="B553" s="1">
        <v>44998</v>
      </c>
      <c r="C553">
        <v>2023</v>
      </c>
      <c r="D553">
        <v>3</v>
      </c>
      <c r="E553" t="s">
        <v>37</v>
      </c>
      <c r="F553" t="s">
        <v>28</v>
      </c>
      <c r="G553" t="s">
        <v>38</v>
      </c>
      <c r="H553" t="s">
        <v>39</v>
      </c>
      <c r="I553">
        <v>3859.43</v>
      </c>
      <c r="J553">
        <v>3988.76</v>
      </c>
      <c r="K553" t="s">
        <v>17</v>
      </c>
      <c r="L553" t="b">
        <v>0</v>
      </c>
      <c r="N553" s="2" t="str">
        <f t="shared" si="48"/>
        <v/>
      </c>
      <c r="Q553" t="str">
        <f t="shared" si="49"/>
        <v/>
      </c>
    </row>
    <row r="554" spans="1:17" hidden="1">
      <c r="A554" t="s">
        <v>659</v>
      </c>
      <c r="B554" s="1">
        <v>44999</v>
      </c>
      <c r="C554">
        <v>2023</v>
      </c>
      <c r="D554">
        <v>3</v>
      </c>
      <c r="E554" t="s">
        <v>13</v>
      </c>
      <c r="F554" t="s">
        <v>28</v>
      </c>
      <c r="G554" t="s">
        <v>108</v>
      </c>
      <c r="H554" t="s">
        <v>109</v>
      </c>
      <c r="I554">
        <v>3695.52</v>
      </c>
      <c r="J554">
        <v>3345.05</v>
      </c>
      <c r="K554" t="s">
        <v>17</v>
      </c>
      <c r="L554" t="b">
        <v>0</v>
      </c>
      <c r="N554" s="2" t="str">
        <f t="shared" si="48"/>
        <v/>
      </c>
      <c r="Q554" t="str">
        <f t="shared" si="49"/>
        <v/>
      </c>
    </row>
    <row r="555" spans="1:17" hidden="1">
      <c r="A555" t="s">
        <v>660</v>
      </c>
      <c r="B555" s="1">
        <v>44999</v>
      </c>
      <c r="C555">
        <v>2023</v>
      </c>
      <c r="D555">
        <v>3</v>
      </c>
      <c r="E555" t="s">
        <v>13</v>
      </c>
      <c r="F555" t="s">
        <v>24</v>
      </c>
      <c r="G555" t="s">
        <v>68</v>
      </c>
      <c r="H555" t="s">
        <v>87</v>
      </c>
      <c r="I555">
        <v>2644.07</v>
      </c>
      <c r="J555">
        <v>2745.69</v>
      </c>
      <c r="K555" t="s">
        <v>17</v>
      </c>
      <c r="L555" t="b">
        <v>0</v>
      </c>
      <c r="N555" s="2" t="str">
        <f t="shared" si="48"/>
        <v/>
      </c>
      <c r="Q555" t="str">
        <f t="shared" si="49"/>
        <v/>
      </c>
    </row>
    <row r="556" spans="1:17" hidden="1">
      <c r="A556" t="s">
        <v>661</v>
      </c>
      <c r="B556" s="1">
        <v>44999</v>
      </c>
      <c r="C556">
        <v>2023</v>
      </c>
      <c r="D556">
        <v>3</v>
      </c>
      <c r="E556" t="s">
        <v>47</v>
      </c>
      <c r="F556" t="s">
        <v>14</v>
      </c>
      <c r="G556" t="s">
        <v>48</v>
      </c>
      <c r="H556" t="s">
        <v>49</v>
      </c>
      <c r="I556">
        <v>16264.25</v>
      </c>
      <c r="J556">
        <v>13740.1</v>
      </c>
      <c r="K556" t="s">
        <v>17</v>
      </c>
      <c r="L556" t="b">
        <v>0</v>
      </c>
      <c r="N556" s="2" t="b">
        <f t="shared" si="48"/>
        <v>1</v>
      </c>
      <c r="O556" t="str">
        <f t="shared" ref="O556:O558" si="51">IF(AND(E545="HR",K545="EXPENSE"),I545&lt;J545,"")</f>
        <v/>
      </c>
      <c r="Q556" t="str">
        <f t="shared" si="49"/>
        <v/>
      </c>
    </row>
    <row r="557" spans="1:17" hidden="1">
      <c r="A557" t="s">
        <v>662</v>
      </c>
      <c r="B557" s="1">
        <v>44999</v>
      </c>
      <c r="C557">
        <v>2023</v>
      </c>
      <c r="D557">
        <v>3</v>
      </c>
      <c r="E557" t="s">
        <v>47</v>
      </c>
      <c r="F557" t="s">
        <v>14</v>
      </c>
      <c r="G557" t="s">
        <v>91</v>
      </c>
      <c r="H557" t="s">
        <v>249</v>
      </c>
      <c r="I557">
        <v>21526.57</v>
      </c>
      <c r="J557">
        <v>18078.34</v>
      </c>
      <c r="K557" t="s">
        <v>17</v>
      </c>
      <c r="L557" t="b">
        <v>0</v>
      </c>
      <c r="N557" s="2" t="b">
        <f t="shared" si="48"/>
        <v>1</v>
      </c>
      <c r="O557" t="str">
        <f t="shared" si="51"/>
        <v/>
      </c>
      <c r="Q557" t="str">
        <f t="shared" si="49"/>
        <v/>
      </c>
    </row>
    <row r="558" spans="1:17" hidden="1">
      <c r="A558" t="s">
        <v>663</v>
      </c>
      <c r="B558" s="1">
        <v>44999</v>
      </c>
      <c r="C558">
        <v>2023</v>
      </c>
      <c r="D558">
        <v>3</v>
      </c>
      <c r="E558" t="s">
        <v>47</v>
      </c>
      <c r="F558" t="s">
        <v>28</v>
      </c>
      <c r="G558" t="s">
        <v>51</v>
      </c>
      <c r="H558" t="s">
        <v>52</v>
      </c>
      <c r="I558">
        <v>16575.759999999998</v>
      </c>
      <c r="J558">
        <v>13732.6</v>
      </c>
      <c r="K558" t="s">
        <v>17</v>
      </c>
      <c r="L558" t="b">
        <v>0</v>
      </c>
      <c r="N558" s="2" t="b">
        <f t="shared" si="48"/>
        <v>1</v>
      </c>
      <c r="O558" t="str">
        <f t="shared" si="51"/>
        <v/>
      </c>
      <c r="Q558" t="str">
        <f t="shared" si="49"/>
        <v/>
      </c>
    </row>
    <row r="559" spans="1:17" hidden="1">
      <c r="A559" t="s">
        <v>664</v>
      </c>
      <c r="B559" s="1">
        <v>44999</v>
      </c>
      <c r="C559">
        <v>2023</v>
      </c>
      <c r="D559">
        <v>3</v>
      </c>
      <c r="E559" t="s">
        <v>19</v>
      </c>
      <c r="F559" t="s">
        <v>14</v>
      </c>
      <c r="G559" t="s">
        <v>132</v>
      </c>
      <c r="H559" t="s">
        <v>171</v>
      </c>
      <c r="I559">
        <v>3569.52</v>
      </c>
      <c r="J559">
        <v>3764.75</v>
      </c>
      <c r="K559" t="s">
        <v>17</v>
      </c>
      <c r="L559" t="b">
        <v>0</v>
      </c>
      <c r="N559" s="2" t="str">
        <f t="shared" si="48"/>
        <v/>
      </c>
      <c r="Q559" t="str">
        <f t="shared" si="49"/>
        <v/>
      </c>
    </row>
    <row r="560" spans="1:17" hidden="1">
      <c r="A560" t="s">
        <v>665</v>
      </c>
      <c r="B560" s="1">
        <v>44999</v>
      </c>
      <c r="C560">
        <v>2023</v>
      </c>
      <c r="D560">
        <v>3</v>
      </c>
      <c r="E560" t="s">
        <v>19</v>
      </c>
      <c r="F560" t="s">
        <v>24</v>
      </c>
      <c r="G560" t="s">
        <v>132</v>
      </c>
      <c r="H560" t="s">
        <v>133</v>
      </c>
      <c r="I560">
        <v>7842.68</v>
      </c>
      <c r="J560">
        <v>8436.4</v>
      </c>
      <c r="K560" t="s">
        <v>17</v>
      </c>
      <c r="L560" t="b">
        <v>0</v>
      </c>
      <c r="N560" s="2" t="str">
        <f t="shared" si="48"/>
        <v/>
      </c>
      <c r="Q560" t="str">
        <f t="shared" si="49"/>
        <v/>
      </c>
    </row>
    <row r="561" spans="1:17" hidden="1">
      <c r="A561" t="s">
        <v>666</v>
      </c>
      <c r="B561" s="1">
        <v>44999</v>
      </c>
      <c r="C561">
        <v>2023</v>
      </c>
      <c r="D561">
        <v>3</v>
      </c>
      <c r="E561" t="s">
        <v>23</v>
      </c>
      <c r="F561" t="s">
        <v>28</v>
      </c>
      <c r="G561" t="s">
        <v>30</v>
      </c>
      <c r="H561" t="s">
        <v>106</v>
      </c>
      <c r="I561">
        <v>6500.29</v>
      </c>
      <c r="J561">
        <v>6843.99</v>
      </c>
      <c r="K561" t="s">
        <v>17</v>
      </c>
      <c r="L561" t="b">
        <v>0</v>
      </c>
      <c r="N561" s="2" t="str">
        <f t="shared" si="48"/>
        <v/>
      </c>
      <c r="Q561" t="str">
        <f t="shared" si="49"/>
        <v/>
      </c>
    </row>
    <row r="562" spans="1:17" hidden="1">
      <c r="A562" t="s">
        <v>667</v>
      </c>
      <c r="B562" s="1">
        <v>44999</v>
      </c>
      <c r="C562">
        <v>2023</v>
      </c>
      <c r="D562">
        <v>3</v>
      </c>
      <c r="E562" t="s">
        <v>23</v>
      </c>
      <c r="F562" t="s">
        <v>24</v>
      </c>
      <c r="G562" t="s">
        <v>141</v>
      </c>
      <c r="H562" t="s">
        <v>209</v>
      </c>
      <c r="I562">
        <v>3629.48</v>
      </c>
      <c r="J562">
        <v>3733.93</v>
      </c>
      <c r="K562" t="s">
        <v>17</v>
      </c>
      <c r="L562" t="b">
        <v>0</v>
      </c>
      <c r="N562" s="2" t="str">
        <f t="shared" si="48"/>
        <v/>
      </c>
      <c r="Q562" t="str">
        <f t="shared" si="49"/>
        <v/>
      </c>
    </row>
    <row r="563" spans="1:17" hidden="1">
      <c r="A563" t="s">
        <v>668</v>
      </c>
      <c r="B563" s="1">
        <v>44999</v>
      </c>
      <c r="C563">
        <v>2023</v>
      </c>
      <c r="D563">
        <v>3</v>
      </c>
      <c r="E563" t="s">
        <v>37</v>
      </c>
      <c r="F563" t="s">
        <v>14</v>
      </c>
      <c r="G563" t="s">
        <v>41</v>
      </c>
      <c r="H563" t="s">
        <v>42</v>
      </c>
      <c r="I563">
        <v>4681.78</v>
      </c>
      <c r="J563">
        <v>4668.55</v>
      </c>
      <c r="K563" t="s">
        <v>17</v>
      </c>
      <c r="L563" t="b">
        <v>0</v>
      </c>
      <c r="N563" s="2" t="str">
        <f t="shared" si="48"/>
        <v/>
      </c>
      <c r="Q563" t="str">
        <f t="shared" si="49"/>
        <v/>
      </c>
    </row>
    <row r="564" spans="1:17" hidden="1">
      <c r="A564" t="s">
        <v>669</v>
      </c>
      <c r="B564" s="1">
        <v>44999</v>
      </c>
      <c r="C564">
        <v>2023</v>
      </c>
      <c r="D564">
        <v>3</v>
      </c>
      <c r="E564" t="s">
        <v>37</v>
      </c>
      <c r="F564" t="s">
        <v>28</v>
      </c>
      <c r="G564" t="s">
        <v>38</v>
      </c>
      <c r="H564" t="s">
        <v>39</v>
      </c>
      <c r="I564">
        <v>2870.98</v>
      </c>
      <c r="J564">
        <v>3032.05</v>
      </c>
      <c r="K564" t="s">
        <v>17</v>
      </c>
      <c r="L564" t="b">
        <v>0</v>
      </c>
      <c r="N564" s="2" t="str">
        <f t="shared" si="48"/>
        <v/>
      </c>
      <c r="Q564" t="str">
        <f t="shared" si="49"/>
        <v/>
      </c>
    </row>
    <row r="565" spans="1:17" hidden="1">
      <c r="A565" t="s">
        <v>670</v>
      </c>
      <c r="B565" s="1">
        <v>44999</v>
      </c>
      <c r="C565">
        <v>2023</v>
      </c>
      <c r="D565">
        <v>3</v>
      </c>
      <c r="E565" t="s">
        <v>37</v>
      </c>
      <c r="F565" t="s">
        <v>24</v>
      </c>
      <c r="G565" t="s">
        <v>98</v>
      </c>
      <c r="H565" t="s">
        <v>99</v>
      </c>
      <c r="I565">
        <v>4305.6400000000003</v>
      </c>
      <c r="J565">
        <v>4180.7700000000004</v>
      </c>
      <c r="K565" t="s">
        <v>17</v>
      </c>
      <c r="L565" t="b">
        <v>0</v>
      </c>
      <c r="N565" s="2" t="str">
        <f t="shared" si="48"/>
        <v/>
      </c>
      <c r="Q565" t="str">
        <f t="shared" si="49"/>
        <v/>
      </c>
    </row>
    <row r="566" spans="1:17" hidden="1">
      <c r="A566" t="s">
        <v>671</v>
      </c>
      <c r="B566" s="1">
        <v>45000</v>
      </c>
      <c r="C566">
        <v>2023</v>
      </c>
      <c r="D566">
        <v>3</v>
      </c>
      <c r="E566" t="s">
        <v>13</v>
      </c>
      <c r="F566" t="s">
        <v>14</v>
      </c>
      <c r="G566" t="s">
        <v>15</v>
      </c>
      <c r="H566" t="s">
        <v>45</v>
      </c>
      <c r="I566">
        <v>2972.41</v>
      </c>
      <c r="J566">
        <v>3140.07</v>
      </c>
      <c r="K566" t="s">
        <v>17</v>
      </c>
      <c r="L566" t="b">
        <v>0</v>
      </c>
      <c r="N566" s="2" t="str">
        <f t="shared" si="48"/>
        <v/>
      </c>
      <c r="Q566" t="str">
        <f t="shared" si="49"/>
        <v/>
      </c>
    </row>
    <row r="567" spans="1:17" hidden="1">
      <c r="A567" t="s">
        <v>672</v>
      </c>
      <c r="B567" s="1">
        <v>45000</v>
      </c>
      <c r="C567">
        <v>2023</v>
      </c>
      <c r="D567">
        <v>3</v>
      </c>
      <c r="E567" t="s">
        <v>13</v>
      </c>
      <c r="F567" t="s">
        <v>28</v>
      </c>
      <c r="G567" t="s">
        <v>102</v>
      </c>
      <c r="H567" t="s">
        <v>278</v>
      </c>
      <c r="I567">
        <v>4266.6099999999997</v>
      </c>
      <c r="J567">
        <v>3953.04</v>
      </c>
      <c r="K567" t="s">
        <v>17</v>
      </c>
      <c r="L567" t="b">
        <v>0</v>
      </c>
      <c r="N567" s="2" t="str">
        <f t="shared" si="48"/>
        <v/>
      </c>
      <c r="Q567" t="str">
        <f t="shared" si="49"/>
        <v/>
      </c>
    </row>
    <row r="568" spans="1:17" hidden="1">
      <c r="A568" t="s">
        <v>673</v>
      </c>
      <c r="B568" s="1">
        <v>45000</v>
      </c>
      <c r="C568">
        <v>2023</v>
      </c>
      <c r="D568">
        <v>3</v>
      </c>
      <c r="E568" t="s">
        <v>13</v>
      </c>
      <c r="F568" t="s">
        <v>24</v>
      </c>
      <c r="G568" t="s">
        <v>102</v>
      </c>
      <c r="H568" t="s">
        <v>145</v>
      </c>
      <c r="I568">
        <v>2978.6</v>
      </c>
      <c r="J568">
        <v>3266.74</v>
      </c>
      <c r="K568" t="s">
        <v>17</v>
      </c>
      <c r="L568" t="b">
        <v>0</v>
      </c>
      <c r="N568" s="2" t="str">
        <f t="shared" si="48"/>
        <v/>
      </c>
      <c r="Q568" t="str">
        <f t="shared" si="49"/>
        <v/>
      </c>
    </row>
    <row r="569" spans="1:17" hidden="1">
      <c r="A569" t="s">
        <v>674</v>
      </c>
      <c r="B569" s="1">
        <v>45000</v>
      </c>
      <c r="C569">
        <v>2023</v>
      </c>
      <c r="D569">
        <v>3</v>
      </c>
      <c r="E569" t="s">
        <v>19</v>
      </c>
      <c r="F569" t="s">
        <v>28</v>
      </c>
      <c r="G569" t="s">
        <v>132</v>
      </c>
      <c r="H569" t="s">
        <v>138</v>
      </c>
      <c r="I569">
        <v>5734.95</v>
      </c>
      <c r="J569">
        <v>5752.84</v>
      </c>
      <c r="K569" t="s">
        <v>17</v>
      </c>
      <c r="L569" t="b">
        <v>0</v>
      </c>
      <c r="N569" s="2" t="str">
        <f t="shared" si="48"/>
        <v/>
      </c>
      <c r="Q569" t="str">
        <f t="shared" si="49"/>
        <v/>
      </c>
    </row>
    <row r="570" spans="1:17" hidden="1">
      <c r="A570" t="s">
        <v>675</v>
      </c>
      <c r="B570" s="1">
        <v>45000</v>
      </c>
      <c r="C570">
        <v>2023</v>
      </c>
      <c r="D570">
        <v>3</v>
      </c>
      <c r="E570" t="s">
        <v>19</v>
      </c>
      <c r="F570" t="s">
        <v>28</v>
      </c>
      <c r="G570" t="s">
        <v>54</v>
      </c>
      <c r="H570" t="s">
        <v>57</v>
      </c>
      <c r="I570">
        <v>8033.27</v>
      </c>
      <c r="J570">
        <v>7454.32</v>
      </c>
      <c r="K570" t="s">
        <v>17</v>
      </c>
      <c r="L570" t="b">
        <v>0</v>
      </c>
      <c r="N570" s="2" t="str">
        <f t="shared" si="48"/>
        <v/>
      </c>
      <c r="Q570" t="str">
        <f t="shared" si="49"/>
        <v/>
      </c>
    </row>
    <row r="571" spans="1:17" hidden="1">
      <c r="A571" t="s">
        <v>676</v>
      </c>
      <c r="B571" s="1">
        <v>45000</v>
      </c>
      <c r="C571">
        <v>2023</v>
      </c>
      <c r="D571">
        <v>3</v>
      </c>
      <c r="E571" t="s">
        <v>19</v>
      </c>
      <c r="F571" t="s">
        <v>28</v>
      </c>
      <c r="G571" t="s">
        <v>54</v>
      </c>
      <c r="H571" t="s">
        <v>57</v>
      </c>
      <c r="I571">
        <v>3905.68</v>
      </c>
      <c r="J571">
        <v>4041.15</v>
      </c>
      <c r="K571" t="s">
        <v>17</v>
      </c>
      <c r="L571" t="b">
        <v>0</v>
      </c>
      <c r="N571" s="2" t="str">
        <f t="shared" si="48"/>
        <v/>
      </c>
      <c r="Q571" t="str">
        <f t="shared" si="49"/>
        <v/>
      </c>
    </row>
    <row r="572" spans="1:17" hidden="1">
      <c r="A572" t="s">
        <v>677</v>
      </c>
      <c r="B572" s="1">
        <v>45000</v>
      </c>
      <c r="C572">
        <v>2023</v>
      </c>
      <c r="D572">
        <v>3</v>
      </c>
      <c r="E572" t="s">
        <v>23</v>
      </c>
      <c r="F572" t="s">
        <v>28</v>
      </c>
      <c r="G572" t="s">
        <v>25</v>
      </c>
      <c r="H572" t="s">
        <v>26</v>
      </c>
      <c r="I572">
        <v>8061.58</v>
      </c>
      <c r="J572">
        <v>7587.06</v>
      </c>
      <c r="K572" t="s">
        <v>17</v>
      </c>
      <c r="L572" t="b">
        <v>0</v>
      </c>
      <c r="N572" s="2" t="str">
        <f t="shared" si="48"/>
        <v/>
      </c>
      <c r="Q572" t="str">
        <f t="shared" si="49"/>
        <v/>
      </c>
    </row>
    <row r="573" spans="1:17" hidden="1">
      <c r="A573" t="s">
        <v>678</v>
      </c>
      <c r="B573" s="1">
        <v>45001</v>
      </c>
      <c r="C573">
        <v>2023</v>
      </c>
      <c r="D573">
        <v>3</v>
      </c>
      <c r="E573" t="s">
        <v>13</v>
      </c>
      <c r="F573" t="s">
        <v>28</v>
      </c>
      <c r="G573" t="s">
        <v>102</v>
      </c>
      <c r="H573" t="s">
        <v>278</v>
      </c>
      <c r="I573">
        <v>6792.54</v>
      </c>
      <c r="J573">
        <v>6350.81</v>
      </c>
      <c r="K573" t="s">
        <v>17</v>
      </c>
      <c r="L573" t="b">
        <v>0</v>
      </c>
      <c r="N573" s="2" t="str">
        <f t="shared" si="48"/>
        <v/>
      </c>
      <c r="Q573" t="str">
        <f t="shared" si="49"/>
        <v/>
      </c>
    </row>
    <row r="574" spans="1:17" hidden="1">
      <c r="A574" t="s">
        <v>679</v>
      </c>
      <c r="B574" s="1">
        <v>45001</v>
      </c>
      <c r="C574">
        <v>2023</v>
      </c>
      <c r="D574">
        <v>3</v>
      </c>
      <c r="E574" t="s">
        <v>47</v>
      </c>
      <c r="F574" t="s">
        <v>24</v>
      </c>
      <c r="G574" t="s">
        <v>48</v>
      </c>
      <c r="H574" t="s">
        <v>49</v>
      </c>
      <c r="I574">
        <v>8678.51</v>
      </c>
      <c r="J574">
        <v>7267.16</v>
      </c>
      <c r="K574" t="s">
        <v>17</v>
      </c>
      <c r="L574" t="b">
        <v>0</v>
      </c>
      <c r="N574" s="2" t="b">
        <f t="shared" si="48"/>
        <v>1</v>
      </c>
      <c r="O574" t="str">
        <f>IF(AND(E563="HR",K563="EXPENSE"),I563&lt;J563,"")</f>
        <v/>
      </c>
      <c r="Q574" t="str">
        <f t="shared" si="49"/>
        <v/>
      </c>
    </row>
    <row r="575" spans="1:17" hidden="1">
      <c r="A575" t="s">
        <v>680</v>
      </c>
      <c r="B575" s="1">
        <v>45001</v>
      </c>
      <c r="C575">
        <v>2023</v>
      </c>
      <c r="D575">
        <v>3</v>
      </c>
      <c r="E575" t="s">
        <v>23</v>
      </c>
      <c r="F575" t="s">
        <v>24</v>
      </c>
      <c r="G575" t="s">
        <v>59</v>
      </c>
      <c r="H575" t="s">
        <v>60</v>
      </c>
      <c r="I575">
        <v>3761.67</v>
      </c>
      <c r="J575">
        <v>4018.97</v>
      </c>
      <c r="K575" t="s">
        <v>17</v>
      </c>
      <c r="L575" t="b">
        <v>0</v>
      </c>
      <c r="N575" s="2" t="str">
        <f t="shared" si="48"/>
        <v/>
      </c>
      <c r="Q575" t="str">
        <f t="shared" si="49"/>
        <v/>
      </c>
    </row>
    <row r="576" spans="1:17" hidden="1">
      <c r="A576" t="s">
        <v>681</v>
      </c>
      <c r="B576" s="1">
        <v>45001</v>
      </c>
      <c r="C576">
        <v>2023</v>
      </c>
      <c r="D576">
        <v>3</v>
      </c>
      <c r="E576" t="s">
        <v>37</v>
      </c>
      <c r="F576" t="s">
        <v>14</v>
      </c>
      <c r="G576" t="s">
        <v>83</v>
      </c>
      <c r="H576" t="s">
        <v>84</v>
      </c>
      <c r="I576">
        <v>255327.53</v>
      </c>
      <c r="J576">
        <v>242561.15</v>
      </c>
      <c r="K576" t="s">
        <v>85</v>
      </c>
      <c r="L576" t="b">
        <v>0</v>
      </c>
      <c r="N576" s="2" t="str">
        <f t="shared" si="48"/>
        <v/>
      </c>
      <c r="Q576" t="str">
        <f t="shared" si="49"/>
        <v/>
      </c>
    </row>
    <row r="577" spans="1:17" hidden="1">
      <c r="A577" t="s">
        <v>682</v>
      </c>
      <c r="B577" s="1">
        <v>45002</v>
      </c>
      <c r="C577">
        <v>2023</v>
      </c>
      <c r="D577">
        <v>3</v>
      </c>
      <c r="E577" t="s">
        <v>13</v>
      </c>
      <c r="F577" t="s">
        <v>24</v>
      </c>
      <c r="G577" t="s">
        <v>102</v>
      </c>
      <c r="H577" t="s">
        <v>145</v>
      </c>
      <c r="I577">
        <v>3363.56</v>
      </c>
      <c r="J577">
        <v>3115.13</v>
      </c>
      <c r="K577" t="s">
        <v>17</v>
      </c>
      <c r="L577" t="b">
        <v>0</v>
      </c>
      <c r="N577" s="2" t="str">
        <f t="shared" si="48"/>
        <v/>
      </c>
      <c r="Q577" t="str">
        <f t="shared" si="49"/>
        <v/>
      </c>
    </row>
    <row r="578" spans="1:17" hidden="1">
      <c r="A578" t="s">
        <v>683</v>
      </c>
      <c r="B578" s="1">
        <v>45002</v>
      </c>
      <c r="C578">
        <v>2023</v>
      </c>
      <c r="D578">
        <v>3</v>
      </c>
      <c r="E578" t="s">
        <v>47</v>
      </c>
      <c r="F578" t="s">
        <v>24</v>
      </c>
      <c r="G578" t="s">
        <v>91</v>
      </c>
      <c r="H578" t="s">
        <v>254</v>
      </c>
      <c r="I578">
        <v>8407.01</v>
      </c>
      <c r="J578">
        <v>7125.89</v>
      </c>
      <c r="K578" t="s">
        <v>17</v>
      </c>
      <c r="L578" t="b">
        <v>0</v>
      </c>
      <c r="N578" s="2" t="b">
        <f t="shared" si="48"/>
        <v>1</v>
      </c>
      <c r="O578" t="b">
        <f>IF(AND(E567="HR",K567="EXPENSE"),I567&lt;J567,"")</f>
        <v>0</v>
      </c>
      <c r="Q578" t="str">
        <f t="shared" si="49"/>
        <v/>
      </c>
    </row>
    <row r="579" spans="1:17" hidden="1">
      <c r="A579" t="s">
        <v>684</v>
      </c>
      <c r="B579" s="1">
        <v>45002</v>
      </c>
      <c r="C579">
        <v>2023</v>
      </c>
      <c r="D579">
        <v>3</v>
      </c>
      <c r="E579" t="s">
        <v>19</v>
      </c>
      <c r="F579" t="s">
        <v>14</v>
      </c>
      <c r="G579" t="s">
        <v>80</v>
      </c>
      <c r="H579" t="s">
        <v>113</v>
      </c>
      <c r="I579">
        <v>3223.95</v>
      </c>
      <c r="J579">
        <v>3299.49</v>
      </c>
      <c r="K579" t="s">
        <v>17</v>
      </c>
      <c r="L579" t="b">
        <v>0</v>
      </c>
      <c r="N579" s="2" t="str">
        <f t="shared" ref="N579:N642" si="52">IF(AND(E579="IT",K579="EXPENSE"),I579&gt;J579,"")</f>
        <v/>
      </c>
      <c r="Q579" t="str">
        <f t="shared" ref="Q579:Q642" si="53">IF(L579=TRUE,OR(H579="Apex Solutions Inc",H579="Global Trade Partners",H579="NovaTech Services"),"")</f>
        <v/>
      </c>
    </row>
    <row r="580" spans="1:17" hidden="1">
      <c r="A580" t="s">
        <v>685</v>
      </c>
      <c r="B580" s="1">
        <v>45002</v>
      </c>
      <c r="C580">
        <v>2023</v>
      </c>
      <c r="D580">
        <v>3</v>
      </c>
      <c r="E580" t="s">
        <v>19</v>
      </c>
      <c r="F580" t="s">
        <v>14</v>
      </c>
      <c r="G580" t="s">
        <v>20</v>
      </c>
      <c r="H580" t="s">
        <v>174</v>
      </c>
      <c r="I580">
        <v>4853.3999999999996</v>
      </c>
      <c r="J580">
        <v>5187.4799999999996</v>
      </c>
      <c r="K580" t="s">
        <v>17</v>
      </c>
      <c r="L580" t="b">
        <v>0</v>
      </c>
      <c r="N580" s="2" t="str">
        <f t="shared" si="52"/>
        <v/>
      </c>
      <c r="Q580" t="str">
        <f t="shared" si="53"/>
        <v/>
      </c>
    </row>
    <row r="581" spans="1:17" hidden="1">
      <c r="A581" t="s">
        <v>686</v>
      </c>
      <c r="B581" s="1">
        <v>45002</v>
      </c>
      <c r="C581">
        <v>2023</v>
      </c>
      <c r="D581">
        <v>3</v>
      </c>
      <c r="E581" t="s">
        <v>19</v>
      </c>
      <c r="F581" t="s">
        <v>14</v>
      </c>
      <c r="G581" t="s">
        <v>54</v>
      </c>
      <c r="H581" t="s">
        <v>163</v>
      </c>
      <c r="I581">
        <v>8017.93</v>
      </c>
      <c r="J581">
        <v>8508.1</v>
      </c>
      <c r="K581" t="s">
        <v>17</v>
      </c>
      <c r="L581" t="b">
        <v>0</v>
      </c>
      <c r="N581" s="2" t="str">
        <f t="shared" si="52"/>
        <v/>
      </c>
      <c r="Q581" t="str">
        <f t="shared" si="53"/>
        <v/>
      </c>
    </row>
    <row r="582" spans="1:17" hidden="1">
      <c r="A582" t="s">
        <v>687</v>
      </c>
      <c r="B582" s="1">
        <v>45002</v>
      </c>
      <c r="C582">
        <v>2023</v>
      </c>
      <c r="D582">
        <v>3</v>
      </c>
      <c r="E582" t="s">
        <v>19</v>
      </c>
      <c r="F582" t="s">
        <v>28</v>
      </c>
      <c r="G582" t="s">
        <v>54</v>
      </c>
      <c r="H582" t="s">
        <v>57</v>
      </c>
      <c r="I582">
        <v>6739.96</v>
      </c>
      <c r="J582">
        <v>6338.06</v>
      </c>
      <c r="K582" t="s">
        <v>17</v>
      </c>
      <c r="L582" t="b">
        <v>0</v>
      </c>
      <c r="N582" s="2" t="str">
        <f t="shared" si="52"/>
        <v/>
      </c>
      <c r="Q582" t="str">
        <f t="shared" si="53"/>
        <v/>
      </c>
    </row>
    <row r="583" spans="1:17" hidden="1">
      <c r="A583" t="s">
        <v>688</v>
      </c>
      <c r="B583" s="1">
        <v>45002</v>
      </c>
      <c r="C583">
        <v>2023</v>
      </c>
      <c r="D583">
        <v>3</v>
      </c>
      <c r="E583" t="s">
        <v>19</v>
      </c>
      <c r="F583" t="s">
        <v>24</v>
      </c>
      <c r="G583" t="s">
        <v>80</v>
      </c>
      <c r="H583" t="s">
        <v>113</v>
      </c>
      <c r="I583">
        <v>5498.63</v>
      </c>
      <c r="J583">
        <v>5906.36</v>
      </c>
      <c r="K583" t="s">
        <v>17</v>
      </c>
      <c r="L583" t="b">
        <v>0</v>
      </c>
      <c r="N583" s="2" t="str">
        <f t="shared" si="52"/>
        <v/>
      </c>
      <c r="Q583" t="str">
        <f t="shared" si="53"/>
        <v/>
      </c>
    </row>
    <row r="584" spans="1:17" hidden="1">
      <c r="A584" t="s">
        <v>689</v>
      </c>
      <c r="B584" s="1">
        <v>45002</v>
      </c>
      <c r="C584">
        <v>2023</v>
      </c>
      <c r="D584">
        <v>3</v>
      </c>
      <c r="E584" t="s">
        <v>23</v>
      </c>
      <c r="F584" t="s">
        <v>14</v>
      </c>
      <c r="G584" t="s">
        <v>141</v>
      </c>
      <c r="H584" t="s">
        <v>142</v>
      </c>
      <c r="I584">
        <v>6472.93</v>
      </c>
      <c r="J584">
        <v>6780.21</v>
      </c>
      <c r="K584" t="s">
        <v>17</v>
      </c>
      <c r="L584" t="b">
        <v>0</v>
      </c>
      <c r="N584" s="2" t="str">
        <f t="shared" si="52"/>
        <v/>
      </c>
      <c r="Q584" t="str">
        <f t="shared" si="53"/>
        <v/>
      </c>
    </row>
    <row r="585" spans="1:17" hidden="1">
      <c r="A585" t="s">
        <v>690</v>
      </c>
      <c r="B585" s="1">
        <v>45002</v>
      </c>
      <c r="C585">
        <v>2023</v>
      </c>
      <c r="D585">
        <v>3</v>
      </c>
      <c r="E585" t="s">
        <v>23</v>
      </c>
      <c r="F585" t="s">
        <v>28</v>
      </c>
      <c r="G585" t="s">
        <v>141</v>
      </c>
      <c r="H585" t="s">
        <v>142</v>
      </c>
      <c r="I585">
        <v>4263.22</v>
      </c>
      <c r="J585">
        <v>4465.67</v>
      </c>
      <c r="K585" t="s">
        <v>17</v>
      </c>
      <c r="L585" t="b">
        <v>0</v>
      </c>
      <c r="N585" s="2" t="str">
        <f t="shared" si="52"/>
        <v/>
      </c>
      <c r="Q585" t="str">
        <f t="shared" si="53"/>
        <v/>
      </c>
    </row>
    <row r="586" spans="1:17" hidden="1">
      <c r="A586" t="s">
        <v>691</v>
      </c>
      <c r="B586" s="1">
        <v>45002</v>
      </c>
      <c r="C586">
        <v>2023</v>
      </c>
      <c r="D586">
        <v>3</v>
      </c>
      <c r="E586" t="s">
        <v>23</v>
      </c>
      <c r="F586" t="s">
        <v>24</v>
      </c>
      <c r="G586" t="s">
        <v>25</v>
      </c>
      <c r="H586" t="s">
        <v>95</v>
      </c>
      <c r="I586">
        <v>4033.54</v>
      </c>
      <c r="J586">
        <v>4411.47</v>
      </c>
      <c r="K586" t="s">
        <v>17</v>
      </c>
      <c r="L586" t="b">
        <v>0</v>
      </c>
      <c r="N586" s="2" t="str">
        <f t="shared" si="52"/>
        <v/>
      </c>
      <c r="Q586" t="str">
        <f t="shared" si="53"/>
        <v/>
      </c>
    </row>
    <row r="587" spans="1:17" hidden="1">
      <c r="A587" t="s">
        <v>692</v>
      </c>
      <c r="B587" s="1">
        <v>45002</v>
      </c>
      <c r="C587">
        <v>2023</v>
      </c>
      <c r="D587">
        <v>3</v>
      </c>
      <c r="E587" t="s">
        <v>23</v>
      </c>
      <c r="F587" t="s">
        <v>24</v>
      </c>
      <c r="G587" t="s">
        <v>59</v>
      </c>
      <c r="H587" t="s">
        <v>155</v>
      </c>
      <c r="I587">
        <v>3209.58</v>
      </c>
      <c r="J587">
        <v>3170.68</v>
      </c>
      <c r="K587" t="s">
        <v>17</v>
      </c>
      <c r="L587" t="b">
        <v>0</v>
      </c>
      <c r="N587" s="2" t="str">
        <f t="shared" si="52"/>
        <v/>
      </c>
      <c r="Q587" t="str">
        <f t="shared" si="53"/>
        <v/>
      </c>
    </row>
    <row r="588" spans="1:17" hidden="1">
      <c r="A588" t="s">
        <v>693</v>
      </c>
      <c r="B588" s="1">
        <v>45002</v>
      </c>
      <c r="C588">
        <v>2023</v>
      </c>
      <c r="D588">
        <v>3</v>
      </c>
      <c r="E588" t="s">
        <v>37</v>
      </c>
      <c r="F588" t="s">
        <v>28</v>
      </c>
      <c r="G588" t="s">
        <v>38</v>
      </c>
      <c r="H588" t="s">
        <v>118</v>
      </c>
      <c r="I588">
        <v>4276.43</v>
      </c>
      <c r="J588">
        <v>4455.2299999999996</v>
      </c>
      <c r="K588" t="s">
        <v>17</v>
      </c>
      <c r="L588" t="b">
        <v>0</v>
      </c>
      <c r="N588" s="2" t="str">
        <f t="shared" si="52"/>
        <v/>
      </c>
      <c r="Q588" t="str">
        <f t="shared" si="53"/>
        <v/>
      </c>
    </row>
    <row r="589" spans="1:17" hidden="1">
      <c r="A589" t="s">
        <v>694</v>
      </c>
      <c r="B589" s="1">
        <v>45002</v>
      </c>
      <c r="C589">
        <v>2023</v>
      </c>
      <c r="D589">
        <v>3</v>
      </c>
      <c r="E589" t="s">
        <v>37</v>
      </c>
      <c r="F589" t="s">
        <v>28</v>
      </c>
      <c r="G589" t="s">
        <v>62</v>
      </c>
      <c r="H589" t="s">
        <v>360</v>
      </c>
      <c r="I589">
        <v>3444.89</v>
      </c>
      <c r="J589">
        <v>3289.74</v>
      </c>
      <c r="K589" t="s">
        <v>17</v>
      </c>
      <c r="L589" t="b">
        <v>0</v>
      </c>
      <c r="N589" s="2" t="str">
        <f t="shared" si="52"/>
        <v/>
      </c>
      <c r="Q589" t="str">
        <f t="shared" si="53"/>
        <v/>
      </c>
    </row>
    <row r="590" spans="1:17" hidden="1">
      <c r="A590" t="s">
        <v>695</v>
      </c>
      <c r="B590" s="1">
        <v>45003</v>
      </c>
      <c r="C590">
        <v>2023</v>
      </c>
      <c r="D590">
        <v>3</v>
      </c>
      <c r="E590" t="s">
        <v>13</v>
      </c>
      <c r="F590" t="s">
        <v>14</v>
      </c>
      <c r="G590" t="s">
        <v>108</v>
      </c>
      <c r="H590" t="s">
        <v>109</v>
      </c>
      <c r="I590">
        <v>3439.52</v>
      </c>
      <c r="J590">
        <v>3324.64</v>
      </c>
      <c r="K590" t="s">
        <v>17</v>
      </c>
      <c r="L590" t="b">
        <v>0</v>
      </c>
      <c r="N590" s="2" t="str">
        <f t="shared" si="52"/>
        <v/>
      </c>
      <c r="Q590" t="str">
        <f t="shared" si="53"/>
        <v/>
      </c>
    </row>
    <row r="591" spans="1:17" hidden="1">
      <c r="A591" t="s">
        <v>696</v>
      </c>
      <c r="B591" s="1">
        <v>45003</v>
      </c>
      <c r="C591">
        <v>2023</v>
      </c>
      <c r="D591">
        <v>3</v>
      </c>
      <c r="E591" t="s">
        <v>47</v>
      </c>
      <c r="F591" t="s">
        <v>24</v>
      </c>
      <c r="G591" t="s">
        <v>51</v>
      </c>
      <c r="H591" t="s">
        <v>72</v>
      </c>
      <c r="I591">
        <v>13918.19</v>
      </c>
      <c r="J591">
        <v>11493.59</v>
      </c>
      <c r="K591" t="s">
        <v>17</v>
      </c>
      <c r="L591" t="b">
        <v>0</v>
      </c>
      <c r="N591" s="2" t="b">
        <f t="shared" si="52"/>
        <v>1</v>
      </c>
      <c r="O591" t="str">
        <f>IF(AND(E580="HR",K580="EXPENSE"),I580&lt;J580,"")</f>
        <v/>
      </c>
      <c r="Q591" t="str">
        <f t="shared" si="53"/>
        <v/>
      </c>
    </row>
    <row r="592" spans="1:17" hidden="1">
      <c r="A592" t="s">
        <v>697</v>
      </c>
      <c r="B592" s="1">
        <v>45003</v>
      </c>
      <c r="C592">
        <v>2023</v>
      </c>
      <c r="D592">
        <v>3</v>
      </c>
      <c r="E592" t="s">
        <v>19</v>
      </c>
      <c r="F592" t="s">
        <v>24</v>
      </c>
      <c r="G592" t="s">
        <v>54</v>
      </c>
      <c r="H592" t="s">
        <v>57</v>
      </c>
      <c r="I592">
        <v>4404.9799999999996</v>
      </c>
      <c r="J592">
        <v>4359.78</v>
      </c>
      <c r="K592" t="s">
        <v>17</v>
      </c>
      <c r="L592" t="b">
        <v>0</v>
      </c>
      <c r="N592" s="2" t="str">
        <f t="shared" si="52"/>
        <v/>
      </c>
      <c r="Q592" t="str">
        <f t="shared" si="53"/>
        <v/>
      </c>
    </row>
    <row r="593" spans="1:17" hidden="1">
      <c r="A593" t="s">
        <v>698</v>
      </c>
      <c r="B593" s="1">
        <v>45003</v>
      </c>
      <c r="C593">
        <v>2023</v>
      </c>
      <c r="D593">
        <v>3</v>
      </c>
      <c r="E593" t="s">
        <v>23</v>
      </c>
      <c r="F593" t="s">
        <v>14</v>
      </c>
      <c r="G593" t="s">
        <v>25</v>
      </c>
      <c r="H593" t="s">
        <v>35</v>
      </c>
      <c r="I593">
        <v>6990.5</v>
      </c>
      <c r="J593">
        <v>7149.79</v>
      </c>
      <c r="K593" t="s">
        <v>17</v>
      </c>
      <c r="L593" t="b">
        <v>0</v>
      </c>
      <c r="N593" s="2" t="str">
        <f t="shared" si="52"/>
        <v/>
      </c>
      <c r="Q593" t="str">
        <f t="shared" si="53"/>
        <v/>
      </c>
    </row>
    <row r="594" spans="1:17" hidden="1">
      <c r="A594" t="s">
        <v>699</v>
      </c>
      <c r="B594" s="1">
        <v>45003</v>
      </c>
      <c r="C594">
        <v>2023</v>
      </c>
      <c r="D594">
        <v>3</v>
      </c>
      <c r="E594" t="s">
        <v>37</v>
      </c>
      <c r="F594" t="s">
        <v>14</v>
      </c>
      <c r="G594" t="s">
        <v>41</v>
      </c>
      <c r="H594" t="s">
        <v>42</v>
      </c>
      <c r="I594">
        <v>7093.73</v>
      </c>
      <c r="J594">
        <v>7400.39</v>
      </c>
      <c r="K594" t="s">
        <v>17</v>
      </c>
      <c r="L594" t="b">
        <v>0</v>
      </c>
      <c r="N594" s="2" t="str">
        <f t="shared" si="52"/>
        <v/>
      </c>
      <c r="Q594" t="str">
        <f t="shared" si="53"/>
        <v/>
      </c>
    </row>
    <row r="595" spans="1:17" hidden="1">
      <c r="A595" t="s">
        <v>700</v>
      </c>
      <c r="B595" s="1">
        <v>45003</v>
      </c>
      <c r="C595">
        <v>2023</v>
      </c>
      <c r="D595">
        <v>3</v>
      </c>
      <c r="E595" t="s">
        <v>37</v>
      </c>
      <c r="F595" t="s">
        <v>28</v>
      </c>
      <c r="G595" t="s">
        <v>41</v>
      </c>
      <c r="H595" t="s">
        <v>42</v>
      </c>
      <c r="I595">
        <v>4399.91</v>
      </c>
      <c r="J595">
        <v>3998.12</v>
      </c>
      <c r="K595" t="s">
        <v>17</v>
      </c>
      <c r="L595" t="b">
        <v>0</v>
      </c>
      <c r="N595" s="2" t="str">
        <f t="shared" si="52"/>
        <v/>
      </c>
      <c r="Q595" t="str">
        <f t="shared" si="53"/>
        <v/>
      </c>
    </row>
    <row r="596" spans="1:17" hidden="1">
      <c r="A596" t="s">
        <v>701</v>
      </c>
      <c r="B596" s="1">
        <v>45004</v>
      </c>
      <c r="C596">
        <v>2023</v>
      </c>
      <c r="D596">
        <v>3</v>
      </c>
      <c r="E596" t="s">
        <v>13</v>
      </c>
      <c r="F596" t="s">
        <v>24</v>
      </c>
      <c r="G596" t="s">
        <v>102</v>
      </c>
      <c r="H596" t="s">
        <v>103</v>
      </c>
      <c r="I596">
        <v>2136.17</v>
      </c>
      <c r="J596">
        <v>2339.48</v>
      </c>
      <c r="K596" t="s">
        <v>17</v>
      </c>
      <c r="L596" t="b">
        <v>0</v>
      </c>
      <c r="N596" s="2" t="str">
        <f t="shared" si="52"/>
        <v/>
      </c>
      <c r="Q596" t="str">
        <f t="shared" si="53"/>
        <v/>
      </c>
    </row>
    <row r="597" spans="1:17" hidden="1">
      <c r="A597" t="s">
        <v>702</v>
      </c>
      <c r="B597" s="1">
        <v>45004</v>
      </c>
      <c r="C597">
        <v>2023</v>
      </c>
      <c r="D597">
        <v>3</v>
      </c>
      <c r="E597" t="s">
        <v>47</v>
      </c>
      <c r="F597" t="s">
        <v>28</v>
      </c>
      <c r="G597" t="s">
        <v>51</v>
      </c>
      <c r="H597" t="s">
        <v>189</v>
      </c>
      <c r="I597">
        <v>19996.7</v>
      </c>
      <c r="J597">
        <v>16450.95</v>
      </c>
      <c r="K597" t="s">
        <v>17</v>
      </c>
      <c r="L597" t="b">
        <v>0</v>
      </c>
      <c r="N597" s="2" t="b">
        <f t="shared" si="52"/>
        <v>1</v>
      </c>
      <c r="O597" t="str">
        <f>IF(AND(E586="HR",K586="EXPENSE"),I586&lt;J586,"")</f>
        <v/>
      </c>
      <c r="Q597" t="str">
        <f t="shared" si="53"/>
        <v/>
      </c>
    </row>
    <row r="598" spans="1:17" hidden="1">
      <c r="A598" t="s">
        <v>703</v>
      </c>
      <c r="B598" s="1">
        <v>45004</v>
      </c>
      <c r="C598">
        <v>2023</v>
      </c>
      <c r="D598">
        <v>3</v>
      </c>
      <c r="E598" t="s">
        <v>19</v>
      </c>
      <c r="F598" t="s">
        <v>28</v>
      </c>
      <c r="G598" t="s">
        <v>132</v>
      </c>
      <c r="H598" t="s">
        <v>133</v>
      </c>
      <c r="I598">
        <v>5093.6000000000004</v>
      </c>
      <c r="J598">
        <v>4614.7700000000004</v>
      </c>
      <c r="K598" t="s">
        <v>17</v>
      </c>
      <c r="L598" t="b">
        <v>0</v>
      </c>
      <c r="N598" s="2" t="str">
        <f t="shared" si="52"/>
        <v/>
      </c>
      <c r="Q598" t="str">
        <f t="shared" si="53"/>
        <v/>
      </c>
    </row>
    <row r="599" spans="1:17" hidden="1">
      <c r="A599" t="s">
        <v>704</v>
      </c>
      <c r="B599" s="1">
        <v>45004</v>
      </c>
      <c r="C599">
        <v>2023</v>
      </c>
      <c r="D599">
        <v>3</v>
      </c>
      <c r="E599" t="s">
        <v>19</v>
      </c>
      <c r="F599" t="s">
        <v>28</v>
      </c>
      <c r="G599" t="s">
        <v>80</v>
      </c>
      <c r="H599" t="s">
        <v>113</v>
      </c>
      <c r="I599">
        <v>5931.8</v>
      </c>
      <c r="J599">
        <v>6149.2</v>
      </c>
      <c r="K599" t="s">
        <v>17</v>
      </c>
      <c r="L599" t="b">
        <v>0</v>
      </c>
      <c r="N599" s="2" t="str">
        <f t="shared" si="52"/>
        <v/>
      </c>
      <c r="Q599" t="str">
        <f t="shared" si="53"/>
        <v/>
      </c>
    </row>
    <row r="600" spans="1:17" hidden="1">
      <c r="A600" t="s">
        <v>705</v>
      </c>
      <c r="B600" s="1">
        <v>45005</v>
      </c>
      <c r="C600">
        <v>2023</v>
      </c>
      <c r="D600">
        <v>3</v>
      </c>
      <c r="E600" t="s">
        <v>13</v>
      </c>
      <c r="F600" t="s">
        <v>28</v>
      </c>
      <c r="G600" t="s">
        <v>108</v>
      </c>
      <c r="H600" t="s">
        <v>123</v>
      </c>
      <c r="I600">
        <v>3072.72</v>
      </c>
      <c r="J600">
        <v>3357.33</v>
      </c>
      <c r="K600" t="s">
        <v>17</v>
      </c>
      <c r="L600" t="b">
        <v>0</v>
      </c>
      <c r="N600" s="2" t="str">
        <f t="shared" si="52"/>
        <v/>
      </c>
      <c r="Q600" t="str">
        <f t="shared" si="53"/>
        <v/>
      </c>
    </row>
    <row r="601" spans="1:17" hidden="1">
      <c r="A601" t="s">
        <v>706</v>
      </c>
      <c r="B601" s="1">
        <v>45005</v>
      </c>
      <c r="C601">
        <v>2023</v>
      </c>
      <c r="D601">
        <v>3</v>
      </c>
      <c r="E601" t="s">
        <v>13</v>
      </c>
      <c r="F601" t="s">
        <v>24</v>
      </c>
      <c r="G601" t="s">
        <v>68</v>
      </c>
      <c r="H601" t="s">
        <v>213</v>
      </c>
      <c r="I601">
        <v>2421.09</v>
      </c>
      <c r="J601">
        <v>2252.6</v>
      </c>
      <c r="K601" t="s">
        <v>17</v>
      </c>
      <c r="L601" t="b">
        <v>0</v>
      </c>
      <c r="N601" s="2" t="str">
        <f t="shared" si="52"/>
        <v/>
      </c>
      <c r="Q601" t="str">
        <f t="shared" si="53"/>
        <v/>
      </c>
    </row>
    <row r="602" spans="1:17" hidden="1">
      <c r="A602" t="s">
        <v>707</v>
      </c>
      <c r="B602" s="1">
        <v>45005</v>
      </c>
      <c r="C602">
        <v>2023</v>
      </c>
      <c r="D602">
        <v>3</v>
      </c>
      <c r="E602" t="s">
        <v>47</v>
      </c>
      <c r="F602" t="s">
        <v>14</v>
      </c>
      <c r="G602" t="s">
        <v>48</v>
      </c>
      <c r="H602" t="s">
        <v>191</v>
      </c>
      <c r="I602">
        <v>12382.09</v>
      </c>
      <c r="J602">
        <v>10719.76</v>
      </c>
      <c r="K602" t="s">
        <v>17</v>
      </c>
      <c r="L602" t="b">
        <v>0</v>
      </c>
      <c r="N602" s="2" t="b">
        <f t="shared" si="52"/>
        <v>1</v>
      </c>
      <c r="O602" t="str">
        <f t="shared" ref="O602:O603" si="54">IF(AND(E591="HR",K591="EXPENSE"),I591&lt;J591,"")</f>
        <v/>
      </c>
      <c r="Q602" t="str">
        <f t="shared" si="53"/>
        <v/>
      </c>
    </row>
    <row r="603" spans="1:17" hidden="1">
      <c r="A603" t="s">
        <v>708</v>
      </c>
      <c r="B603" s="1">
        <v>45005</v>
      </c>
      <c r="C603">
        <v>2023</v>
      </c>
      <c r="D603">
        <v>3</v>
      </c>
      <c r="E603" t="s">
        <v>47</v>
      </c>
      <c r="F603" t="s">
        <v>24</v>
      </c>
      <c r="G603" t="s">
        <v>77</v>
      </c>
      <c r="H603" t="s">
        <v>130</v>
      </c>
      <c r="I603">
        <v>12220.33</v>
      </c>
      <c r="J603">
        <v>10180.69</v>
      </c>
      <c r="K603" t="s">
        <v>17</v>
      </c>
      <c r="L603" t="b">
        <v>0</v>
      </c>
      <c r="N603" s="2" t="b">
        <f t="shared" si="52"/>
        <v>1</v>
      </c>
      <c r="O603" t="str">
        <f t="shared" si="54"/>
        <v/>
      </c>
      <c r="Q603" t="str">
        <f t="shared" si="53"/>
        <v/>
      </c>
    </row>
    <row r="604" spans="1:17" hidden="1">
      <c r="A604" t="s">
        <v>709</v>
      </c>
      <c r="B604" s="1">
        <v>45005</v>
      </c>
      <c r="C604">
        <v>2023</v>
      </c>
      <c r="D604">
        <v>3</v>
      </c>
      <c r="E604" t="s">
        <v>19</v>
      </c>
      <c r="F604" t="s">
        <v>28</v>
      </c>
      <c r="G604" t="s">
        <v>54</v>
      </c>
      <c r="H604" t="s">
        <v>163</v>
      </c>
      <c r="I604">
        <v>6425.78</v>
      </c>
      <c r="J604">
        <v>6997.18</v>
      </c>
      <c r="K604" t="s">
        <v>17</v>
      </c>
      <c r="L604" t="b">
        <v>0</v>
      </c>
      <c r="N604" s="2" t="str">
        <f t="shared" si="52"/>
        <v/>
      </c>
      <c r="Q604" t="str">
        <f t="shared" si="53"/>
        <v/>
      </c>
    </row>
    <row r="605" spans="1:17" hidden="1">
      <c r="A605" t="s">
        <v>710</v>
      </c>
      <c r="B605" s="1">
        <v>45005</v>
      </c>
      <c r="C605">
        <v>2023</v>
      </c>
      <c r="D605">
        <v>3</v>
      </c>
      <c r="E605" t="s">
        <v>19</v>
      </c>
      <c r="F605" t="s">
        <v>28</v>
      </c>
      <c r="G605" t="s">
        <v>20</v>
      </c>
      <c r="H605" t="s">
        <v>21</v>
      </c>
      <c r="I605">
        <v>5201.75</v>
      </c>
      <c r="J605">
        <v>5275.21</v>
      </c>
      <c r="K605" t="s">
        <v>17</v>
      </c>
      <c r="L605" t="b">
        <v>0</v>
      </c>
      <c r="N605" s="2" t="str">
        <f t="shared" si="52"/>
        <v/>
      </c>
      <c r="Q605" t="str">
        <f t="shared" si="53"/>
        <v/>
      </c>
    </row>
    <row r="606" spans="1:17" hidden="1">
      <c r="A606" t="s">
        <v>711</v>
      </c>
      <c r="B606" s="1">
        <v>45005</v>
      </c>
      <c r="C606">
        <v>2023</v>
      </c>
      <c r="D606">
        <v>3</v>
      </c>
      <c r="E606" t="s">
        <v>19</v>
      </c>
      <c r="F606" t="s">
        <v>24</v>
      </c>
      <c r="G606" t="s">
        <v>132</v>
      </c>
      <c r="H606" t="s">
        <v>171</v>
      </c>
      <c r="I606">
        <v>6221.85</v>
      </c>
      <c r="J606">
        <v>6102.56</v>
      </c>
      <c r="K606" t="s">
        <v>17</v>
      </c>
      <c r="L606" t="b">
        <v>0</v>
      </c>
      <c r="N606" s="2" t="str">
        <f t="shared" si="52"/>
        <v/>
      </c>
      <c r="Q606" t="str">
        <f t="shared" si="53"/>
        <v/>
      </c>
    </row>
    <row r="607" spans="1:17" hidden="1">
      <c r="A607" t="s">
        <v>712</v>
      </c>
      <c r="B607" s="1">
        <v>45005</v>
      </c>
      <c r="C607">
        <v>2023</v>
      </c>
      <c r="D607">
        <v>3</v>
      </c>
      <c r="E607" t="s">
        <v>19</v>
      </c>
      <c r="F607" t="s">
        <v>24</v>
      </c>
      <c r="G607" t="s">
        <v>80</v>
      </c>
      <c r="H607" t="s">
        <v>150</v>
      </c>
      <c r="I607">
        <v>7815.85</v>
      </c>
      <c r="J607">
        <v>7641.65</v>
      </c>
      <c r="K607" t="s">
        <v>17</v>
      </c>
      <c r="L607" t="b">
        <v>0</v>
      </c>
      <c r="N607" s="2" t="str">
        <f t="shared" si="52"/>
        <v/>
      </c>
      <c r="Q607" t="str">
        <f t="shared" si="53"/>
        <v/>
      </c>
    </row>
    <row r="608" spans="1:17" hidden="1">
      <c r="A608" t="s">
        <v>713</v>
      </c>
      <c r="B608" s="1">
        <v>45005</v>
      </c>
      <c r="C608">
        <v>2023</v>
      </c>
      <c r="D608">
        <v>3</v>
      </c>
      <c r="E608" t="s">
        <v>23</v>
      </c>
      <c r="F608" t="s">
        <v>14</v>
      </c>
      <c r="G608" t="s">
        <v>30</v>
      </c>
      <c r="H608" t="s">
        <v>33</v>
      </c>
      <c r="I608">
        <v>7004.15</v>
      </c>
      <c r="J608">
        <v>7641.99</v>
      </c>
      <c r="K608" t="s">
        <v>17</v>
      </c>
      <c r="L608" t="b">
        <v>0</v>
      </c>
      <c r="N608" s="2" t="str">
        <f t="shared" si="52"/>
        <v/>
      </c>
      <c r="Q608" t="str">
        <f t="shared" si="53"/>
        <v/>
      </c>
    </row>
    <row r="609" spans="1:17" hidden="1">
      <c r="A609" t="s">
        <v>714</v>
      </c>
      <c r="B609" s="1">
        <v>45005</v>
      </c>
      <c r="C609">
        <v>2023</v>
      </c>
      <c r="D609">
        <v>3</v>
      </c>
      <c r="E609" t="s">
        <v>37</v>
      </c>
      <c r="F609" t="s">
        <v>14</v>
      </c>
      <c r="G609" t="s">
        <v>98</v>
      </c>
      <c r="H609" t="s">
        <v>99</v>
      </c>
      <c r="I609">
        <v>4343.38</v>
      </c>
      <c r="J609">
        <v>4606.6099999999997</v>
      </c>
      <c r="K609" t="s">
        <v>17</v>
      </c>
      <c r="L609" t="b">
        <v>0</v>
      </c>
      <c r="N609" s="2" t="str">
        <f t="shared" si="52"/>
        <v/>
      </c>
      <c r="Q609" t="str">
        <f t="shared" si="53"/>
        <v/>
      </c>
    </row>
    <row r="610" spans="1:17" hidden="1">
      <c r="A610" t="s">
        <v>715</v>
      </c>
      <c r="B610" s="1">
        <v>45005</v>
      </c>
      <c r="C610">
        <v>2023</v>
      </c>
      <c r="D610">
        <v>3</v>
      </c>
      <c r="E610" t="s">
        <v>37</v>
      </c>
      <c r="F610" t="s">
        <v>24</v>
      </c>
      <c r="G610" t="s">
        <v>41</v>
      </c>
      <c r="H610" t="s">
        <v>42</v>
      </c>
      <c r="I610">
        <v>5832.42</v>
      </c>
      <c r="J610">
        <v>5957.34</v>
      </c>
      <c r="K610" t="s">
        <v>17</v>
      </c>
      <c r="L610" t="b">
        <v>0</v>
      </c>
      <c r="N610" s="2" t="str">
        <f t="shared" si="52"/>
        <v/>
      </c>
      <c r="Q610" t="str">
        <f t="shared" si="53"/>
        <v/>
      </c>
    </row>
    <row r="611" spans="1:17" hidden="1">
      <c r="A611" t="s">
        <v>716</v>
      </c>
      <c r="B611" s="1">
        <v>45005</v>
      </c>
      <c r="C611">
        <v>2023</v>
      </c>
      <c r="D611">
        <v>3</v>
      </c>
      <c r="E611" t="s">
        <v>37</v>
      </c>
      <c r="F611" t="s">
        <v>24</v>
      </c>
      <c r="G611" t="s">
        <v>62</v>
      </c>
      <c r="H611" t="s">
        <v>360</v>
      </c>
      <c r="I611">
        <v>8117.88</v>
      </c>
      <c r="J611">
        <v>7435.04</v>
      </c>
      <c r="K611" t="s">
        <v>17</v>
      </c>
      <c r="L611" t="b">
        <v>0</v>
      </c>
      <c r="N611" s="2" t="str">
        <f t="shared" si="52"/>
        <v/>
      </c>
      <c r="Q611" t="str">
        <f t="shared" si="53"/>
        <v/>
      </c>
    </row>
    <row r="612" spans="1:17" hidden="1">
      <c r="A612" t="s">
        <v>717</v>
      </c>
      <c r="B612" s="1">
        <v>45006</v>
      </c>
      <c r="C612">
        <v>2023</v>
      </c>
      <c r="D612">
        <v>3</v>
      </c>
      <c r="E612" t="s">
        <v>13</v>
      </c>
      <c r="F612" t="s">
        <v>14</v>
      </c>
      <c r="G612" t="s">
        <v>102</v>
      </c>
      <c r="H612" t="s">
        <v>103</v>
      </c>
      <c r="I612">
        <v>4919.3100000000004</v>
      </c>
      <c r="J612">
        <v>4980.6000000000004</v>
      </c>
      <c r="K612" t="s">
        <v>17</v>
      </c>
      <c r="L612" t="b">
        <v>0</v>
      </c>
      <c r="N612" s="2" t="str">
        <f t="shared" si="52"/>
        <v/>
      </c>
      <c r="Q612" t="str">
        <f t="shared" si="53"/>
        <v/>
      </c>
    </row>
    <row r="613" spans="1:17" hidden="1">
      <c r="A613" t="s">
        <v>718</v>
      </c>
      <c r="B613" s="1">
        <v>45006</v>
      </c>
      <c r="C613">
        <v>2023</v>
      </c>
      <c r="D613">
        <v>3</v>
      </c>
      <c r="E613" t="s">
        <v>19</v>
      </c>
      <c r="F613" t="s">
        <v>24</v>
      </c>
      <c r="G613" t="s">
        <v>54</v>
      </c>
      <c r="H613" t="s">
        <v>163</v>
      </c>
      <c r="I613">
        <v>7250</v>
      </c>
      <c r="J613">
        <v>7696.37</v>
      </c>
      <c r="K613" t="s">
        <v>17</v>
      </c>
      <c r="L613" t="b">
        <v>0</v>
      </c>
      <c r="N613" s="2" t="str">
        <f t="shared" si="52"/>
        <v/>
      </c>
      <c r="Q613" t="str">
        <f t="shared" si="53"/>
        <v/>
      </c>
    </row>
    <row r="614" spans="1:17" hidden="1">
      <c r="A614" t="s">
        <v>719</v>
      </c>
      <c r="B614" s="1">
        <v>45006</v>
      </c>
      <c r="C614">
        <v>2023</v>
      </c>
      <c r="D614">
        <v>3</v>
      </c>
      <c r="E614" t="s">
        <v>23</v>
      </c>
      <c r="F614" t="s">
        <v>28</v>
      </c>
      <c r="G614" t="s">
        <v>141</v>
      </c>
      <c r="H614" t="s">
        <v>142</v>
      </c>
      <c r="I614">
        <v>6992.97</v>
      </c>
      <c r="J614">
        <v>6827.85</v>
      </c>
      <c r="K614" t="s">
        <v>17</v>
      </c>
      <c r="L614" t="b">
        <v>0</v>
      </c>
      <c r="N614" s="2" t="str">
        <f t="shared" si="52"/>
        <v/>
      </c>
      <c r="Q614" t="str">
        <f t="shared" si="53"/>
        <v/>
      </c>
    </row>
    <row r="615" spans="1:17" hidden="1">
      <c r="A615" t="s">
        <v>720</v>
      </c>
      <c r="B615" s="1">
        <v>45006</v>
      </c>
      <c r="C615">
        <v>2023</v>
      </c>
      <c r="D615">
        <v>3</v>
      </c>
      <c r="E615" t="s">
        <v>23</v>
      </c>
      <c r="F615" t="s">
        <v>24</v>
      </c>
      <c r="G615" t="s">
        <v>59</v>
      </c>
      <c r="H615" t="s">
        <v>155</v>
      </c>
      <c r="I615">
        <v>4020.06</v>
      </c>
      <c r="J615">
        <v>3965.44</v>
      </c>
      <c r="K615" t="s">
        <v>17</v>
      </c>
      <c r="L615" t="b">
        <v>0</v>
      </c>
      <c r="N615" s="2" t="str">
        <f t="shared" si="52"/>
        <v/>
      </c>
      <c r="Q615" t="str">
        <f t="shared" si="53"/>
        <v/>
      </c>
    </row>
    <row r="616" spans="1:17" hidden="1">
      <c r="A616" t="s">
        <v>721</v>
      </c>
      <c r="B616" s="1">
        <v>45006</v>
      </c>
      <c r="C616">
        <v>2023</v>
      </c>
      <c r="D616">
        <v>3</v>
      </c>
      <c r="E616" t="s">
        <v>23</v>
      </c>
      <c r="F616" t="s">
        <v>24</v>
      </c>
      <c r="G616" t="s">
        <v>30</v>
      </c>
      <c r="H616" t="s">
        <v>106</v>
      </c>
      <c r="I616">
        <v>5036.13</v>
      </c>
      <c r="J616">
        <v>5458.08</v>
      </c>
      <c r="K616" t="s">
        <v>17</v>
      </c>
      <c r="L616" t="b">
        <v>0</v>
      </c>
      <c r="N616" s="2" t="str">
        <f t="shared" si="52"/>
        <v/>
      </c>
      <c r="Q616" t="str">
        <f t="shared" si="53"/>
        <v/>
      </c>
    </row>
    <row r="617" spans="1:17" hidden="1">
      <c r="A617" t="s">
        <v>722</v>
      </c>
      <c r="B617" s="1">
        <v>45006</v>
      </c>
      <c r="C617">
        <v>2023</v>
      </c>
      <c r="D617">
        <v>3</v>
      </c>
      <c r="E617" t="s">
        <v>37</v>
      </c>
      <c r="F617" t="s">
        <v>28</v>
      </c>
      <c r="G617" t="s">
        <v>38</v>
      </c>
      <c r="H617" t="s">
        <v>39</v>
      </c>
      <c r="I617">
        <v>4625.49</v>
      </c>
      <c r="J617">
        <v>4610.2700000000004</v>
      </c>
      <c r="K617" t="s">
        <v>17</v>
      </c>
      <c r="L617" t="b">
        <v>0</v>
      </c>
      <c r="N617" s="2" t="str">
        <f t="shared" si="52"/>
        <v/>
      </c>
      <c r="Q617" t="str">
        <f t="shared" si="53"/>
        <v/>
      </c>
    </row>
    <row r="618" spans="1:17" hidden="1">
      <c r="A618" t="s">
        <v>723</v>
      </c>
      <c r="B618" s="1">
        <v>45007</v>
      </c>
      <c r="C618">
        <v>2023</v>
      </c>
      <c r="D618">
        <v>3</v>
      </c>
      <c r="E618" t="s">
        <v>13</v>
      </c>
      <c r="F618" t="s">
        <v>14</v>
      </c>
      <c r="G618" t="s">
        <v>102</v>
      </c>
      <c r="H618" t="s">
        <v>103</v>
      </c>
      <c r="I618">
        <v>2761.72</v>
      </c>
      <c r="J618">
        <v>2614.63</v>
      </c>
      <c r="K618" t="s">
        <v>17</v>
      </c>
      <c r="L618" t="b">
        <v>0</v>
      </c>
      <c r="N618" s="2" t="str">
        <f t="shared" si="52"/>
        <v/>
      </c>
      <c r="Q618" t="str">
        <f t="shared" si="53"/>
        <v/>
      </c>
    </row>
    <row r="619" spans="1:17" hidden="1">
      <c r="A619" t="s">
        <v>724</v>
      </c>
      <c r="B619" s="1">
        <v>45007</v>
      </c>
      <c r="C619">
        <v>2023</v>
      </c>
      <c r="D619">
        <v>3</v>
      </c>
      <c r="E619" t="s">
        <v>13</v>
      </c>
      <c r="F619" t="s">
        <v>24</v>
      </c>
      <c r="G619" t="s">
        <v>108</v>
      </c>
      <c r="H619" t="s">
        <v>126</v>
      </c>
      <c r="I619">
        <v>2466.02</v>
      </c>
      <c r="J619">
        <v>2370.46</v>
      </c>
      <c r="K619" t="s">
        <v>17</v>
      </c>
      <c r="L619" t="b">
        <v>0</v>
      </c>
      <c r="N619" s="2" t="str">
        <f t="shared" si="52"/>
        <v/>
      </c>
      <c r="Q619" t="str">
        <f t="shared" si="53"/>
        <v/>
      </c>
    </row>
    <row r="620" spans="1:17" hidden="1">
      <c r="A620" t="s">
        <v>725</v>
      </c>
      <c r="B620" s="1">
        <v>45007</v>
      </c>
      <c r="C620">
        <v>2023</v>
      </c>
      <c r="D620">
        <v>3</v>
      </c>
      <c r="E620" t="s">
        <v>47</v>
      </c>
      <c r="F620" t="s">
        <v>14</v>
      </c>
      <c r="G620" t="s">
        <v>51</v>
      </c>
      <c r="H620" t="s">
        <v>189</v>
      </c>
      <c r="I620">
        <v>6072.48</v>
      </c>
      <c r="J620">
        <v>5017.71</v>
      </c>
      <c r="K620" t="s">
        <v>17</v>
      </c>
      <c r="L620" t="b">
        <v>0</v>
      </c>
      <c r="N620" s="2" t="b">
        <f t="shared" si="52"/>
        <v>1</v>
      </c>
      <c r="O620" t="str">
        <f>IF(AND(E609="HR",K609="EXPENSE"),I609&lt;J609,"")</f>
        <v/>
      </c>
      <c r="Q620" t="str">
        <f t="shared" si="53"/>
        <v/>
      </c>
    </row>
    <row r="621" spans="1:17" hidden="1">
      <c r="A621" t="s">
        <v>726</v>
      </c>
      <c r="B621" s="1">
        <v>45007</v>
      </c>
      <c r="C621">
        <v>2023</v>
      </c>
      <c r="D621">
        <v>3</v>
      </c>
      <c r="E621" t="s">
        <v>19</v>
      </c>
      <c r="F621" t="s">
        <v>24</v>
      </c>
      <c r="G621" t="s">
        <v>54</v>
      </c>
      <c r="H621" t="s">
        <v>163</v>
      </c>
      <c r="I621">
        <v>5172.5200000000004</v>
      </c>
      <c r="J621">
        <v>5501.32</v>
      </c>
      <c r="K621" t="s">
        <v>17</v>
      </c>
      <c r="L621" t="b">
        <v>0</v>
      </c>
      <c r="N621" s="2" t="str">
        <f t="shared" si="52"/>
        <v/>
      </c>
      <c r="Q621" t="str">
        <f t="shared" si="53"/>
        <v/>
      </c>
    </row>
    <row r="622" spans="1:17" hidden="1">
      <c r="A622" t="s">
        <v>727</v>
      </c>
      <c r="B622" s="1">
        <v>45007</v>
      </c>
      <c r="C622">
        <v>2023</v>
      </c>
      <c r="D622">
        <v>3</v>
      </c>
      <c r="E622" t="s">
        <v>19</v>
      </c>
      <c r="F622" t="s">
        <v>24</v>
      </c>
      <c r="G622" t="s">
        <v>54</v>
      </c>
      <c r="H622" t="s">
        <v>163</v>
      </c>
      <c r="I622">
        <v>7882.23</v>
      </c>
      <c r="J622">
        <v>8070.6</v>
      </c>
      <c r="K622" t="s">
        <v>17</v>
      </c>
      <c r="L622" t="b">
        <v>0</v>
      </c>
      <c r="N622" s="2" t="str">
        <f t="shared" si="52"/>
        <v/>
      </c>
      <c r="Q622" t="str">
        <f t="shared" si="53"/>
        <v/>
      </c>
    </row>
    <row r="623" spans="1:17" hidden="1">
      <c r="A623" t="s">
        <v>728</v>
      </c>
      <c r="B623" s="1">
        <v>45007</v>
      </c>
      <c r="C623">
        <v>2023</v>
      </c>
      <c r="D623">
        <v>3</v>
      </c>
      <c r="E623" t="s">
        <v>23</v>
      </c>
      <c r="F623" t="s">
        <v>24</v>
      </c>
      <c r="G623" t="s">
        <v>141</v>
      </c>
      <c r="H623" t="s">
        <v>209</v>
      </c>
      <c r="I623">
        <v>4896.59</v>
      </c>
      <c r="J623">
        <v>4525.92</v>
      </c>
      <c r="K623" t="s">
        <v>17</v>
      </c>
      <c r="L623" t="b">
        <v>0</v>
      </c>
      <c r="N623" s="2" t="str">
        <f t="shared" si="52"/>
        <v/>
      </c>
      <c r="Q623" t="str">
        <f t="shared" si="53"/>
        <v/>
      </c>
    </row>
    <row r="624" spans="1:17" hidden="1">
      <c r="A624" t="s">
        <v>729</v>
      </c>
      <c r="B624" s="1">
        <v>45007</v>
      </c>
      <c r="C624">
        <v>2023</v>
      </c>
      <c r="D624">
        <v>3</v>
      </c>
      <c r="E624" t="s">
        <v>37</v>
      </c>
      <c r="F624" t="s">
        <v>14</v>
      </c>
      <c r="G624" t="s">
        <v>62</v>
      </c>
      <c r="H624" t="s">
        <v>66</v>
      </c>
      <c r="I624">
        <v>7765.78</v>
      </c>
      <c r="J624">
        <v>8251.89</v>
      </c>
      <c r="K624" t="s">
        <v>17</v>
      </c>
      <c r="L624" t="b">
        <v>0</v>
      </c>
      <c r="N624" s="2" t="str">
        <f t="shared" si="52"/>
        <v/>
      </c>
      <c r="Q624" t="str">
        <f t="shared" si="53"/>
        <v/>
      </c>
    </row>
    <row r="625" spans="1:17" hidden="1">
      <c r="A625" t="s">
        <v>730</v>
      </c>
      <c r="B625" s="1">
        <v>45008</v>
      </c>
      <c r="C625">
        <v>2023</v>
      </c>
      <c r="D625">
        <v>3</v>
      </c>
      <c r="E625" t="s">
        <v>13</v>
      </c>
      <c r="F625" t="s">
        <v>14</v>
      </c>
      <c r="G625" t="s">
        <v>15</v>
      </c>
      <c r="H625" t="s">
        <v>89</v>
      </c>
      <c r="I625">
        <v>2456.3200000000002</v>
      </c>
      <c r="J625">
        <v>2253.75</v>
      </c>
      <c r="K625" t="s">
        <v>17</v>
      </c>
      <c r="L625" t="b">
        <v>0</v>
      </c>
      <c r="N625" s="2" t="str">
        <f t="shared" si="52"/>
        <v/>
      </c>
      <c r="Q625" t="str">
        <f t="shared" si="53"/>
        <v/>
      </c>
    </row>
    <row r="626" spans="1:17" hidden="1">
      <c r="A626" t="s">
        <v>731</v>
      </c>
      <c r="B626" s="1">
        <v>45008</v>
      </c>
      <c r="C626">
        <v>2023</v>
      </c>
      <c r="D626">
        <v>3</v>
      </c>
      <c r="E626" t="s">
        <v>13</v>
      </c>
      <c r="F626" t="s">
        <v>24</v>
      </c>
      <c r="G626" t="s">
        <v>102</v>
      </c>
      <c r="H626" t="s">
        <v>103</v>
      </c>
      <c r="I626">
        <v>2538.12</v>
      </c>
      <c r="J626">
        <v>2313.64</v>
      </c>
      <c r="K626" t="s">
        <v>17</v>
      </c>
      <c r="L626" t="b">
        <v>0</v>
      </c>
      <c r="N626" s="2" t="str">
        <f t="shared" si="52"/>
        <v/>
      </c>
      <c r="Q626" t="str">
        <f t="shared" si="53"/>
        <v/>
      </c>
    </row>
    <row r="627" spans="1:17" hidden="1">
      <c r="A627" t="s">
        <v>732</v>
      </c>
      <c r="B627" s="1">
        <v>45008</v>
      </c>
      <c r="C627">
        <v>2023</v>
      </c>
      <c r="D627">
        <v>3</v>
      </c>
      <c r="E627" t="s">
        <v>47</v>
      </c>
      <c r="F627" t="s">
        <v>24</v>
      </c>
      <c r="G627" t="s">
        <v>77</v>
      </c>
      <c r="H627" t="s">
        <v>78</v>
      </c>
      <c r="I627">
        <v>15331.39</v>
      </c>
      <c r="J627">
        <v>13141.63</v>
      </c>
      <c r="K627" t="s">
        <v>17</v>
      </c>
      <c r="L627" t="b">
        <v>0</v>
      </c>
      <c r="N627" s="2" t="b">
        <f t="shared" si="52"/>
        <v>1</v>
      </c>
      <c r="O627" t="str">
        <f>IF(AND(E616="HR",K616="EXPENSE"),I616&lt;J616,"")</f>
        <v/>
      </c>
      <c r="Q627" t="str">
        <f t="shared" si="53"/>
        <v/>
      </c>
    </row>
    <row r="628" spans="1:17" hidden="1">
      <c r="A628" t="s">
        <v>733</v>
      </c>
      <c r="B628" s="1">
        <v>45008</v>
      </c>
      <c r="C628">
        <v>2023</v>
      </c>
      <c r="D628">
        <v>3</v>
      </c>
      <c r="E628" t="s">
        <v>19</v>
      </c>
      <c r="F628" t="s">
        <v>24</v>
      </c>
      <c r="G628" t="s">
        <v>20</v>
      </c>
      <c r="H628" t="s">
        <v>136</v>
      </c>
      <c r="I628">
        <v>3739.8</v>
      </c>
      <c r="J628">
        <v>3420.57</v>
      </c>
      <c r="K628" t="s">
        <v>17</v>
      </c>
      <c r="L628" t="b">
        <v>0</v>
      </c>
      <c r="N628" s="2" t="str">
        <f t="shared" si="52"/>
        <v/>
      </c>
      <c r="Q628" t="str">
        <f t="shared" si="53"/>
        <v/>
      </c>
    </row>
    <row r="629" spans="1:17" hidden="1">
      <c r="A629" t="s">
        <v>734</v>
      </c>
      <c r="B629" s="1">
        <v>45008</v>
      </c>
      <c r="C629">
        <v>2023</v>
      </c>
      <c r="D629">
        <v>3</v>
      </c>
      <c r="E629" t="s">
        <v>23</v>
      </c>
      <c r="F629" t="s">
        <v>14</v>
      </c>
      <c r="G629" t="s">
        <v>59</v>
      </c>
      <c r="H629" t="s">
        <v>60</v>
      </c>
      <c r="I629">
        <v>5811.15</v>
      </c>
      <c r="J629">
        <v>5764.01</v>
      </c>
      <c r="K629" t="s">
        <v>17</v>
      </c>
      <c r="L629" t="b">
        <v>0</v>
      </c>
      <c r="N629" s="2" t="str">
        <f t="shared" si="52"/>
        <v/>
      </c>
      <c r="Q629" t="str">
        <f t="shared" si="53"/>
        <v/>
      </c>
    </row>
    <row r="630" spans="1:17" hidden="1">
      <c r="A630" t="s">
        <v>735</v>
      </c>
      <c r="B630" s="1">
        <v>45008</v>
      </c>
      <c r="C630">
        <v>2023</v>
      </c>
      <c r="D630">
        <v>3</v>
      </c>
      <c r="E630" t="s">
        <v>23</v>
      </c>
      <c r="F630" t="s">
        <v>14</v>
      </c>
      <c r="G630" t="s">
        <v>59</v>
      </c>
      <c r="H630" t="s">
        <v>60</v>
      </c>
      <c r="I630">
        <v>8044.51</v>
      </c>
      <c r="J630">
        <v>8300.9</v>
      </c>
      <c r="K630" t="s">
        <v>17</v>
      </c>
      <c r="L630" t="b">
        <v>0</v>
      </c>
      <c r="N630" s="2" t="str">
        <f t="shared" si="52"/>
        <v/>
      </c>
      <c r="Q630" t="str">
        <f t="shared" si="53"/>
        <v/>
      </c>
    </row>
    <row r="631" spans="1:17" hidden="1">
      <c r="A631" t="s">
        <v>736</v>
      </c>
      <c r="B631" s="1">
        <v>45008</v>
      </c>
      <c r="C631">
        <v>2023</v>
      </c>
      <c r="D631">
        <v>3</v>
      </c>
      <c r="E631" t="s">
        <v>23</v>
      </c>
      <c r="F631" t="s">
        <v>28</v>
      </c>
      <c r="G631" t="s">
        <v>59</v>
      </c>
      <c r="H631" t="s">
        <v>155</v>
      </c>
      <c r="I631">
        <v>7284.95</v>
      </c>
      <c r="J631">
        <v>6653.57</v>
      </c>
      <c r="K631" t="s">
        <v>17</v>
      </c>
      <c r="L631" t="b">
        <v>0</v>
      </c>
      <c r="N631" s="2" t="str">
        <f t="shared" si="52"/>
        <v/>
      </c>
      <c r="Q631" t="str">
        <f t="shared" si="53"/>
        <v/>
      </c>
    </row>
    <row r="632" spans="1:17" hidden="1">
      <c r="A632" t="s">
        <v>737</v>
      </c>
      <c r="B632" s="1">
        <v>45008</v>
      </c>
      <c r="C632">
        <v>2023</v>
      </c>
      <c r="D632">
        <v>3</v>
      </c>
      <c r="E632" t="s">
        <v>37</v>
      </c>
      <c r="F632" t="s">
        <v>24</v>
      </c>
      <c r="G632" t="s">
        <v>62</v>
      </c>
      <c r="H632" t="s">
        <v>63</v>
      </c>
      <c r="I632">
        <v>4930.2700000000004</v>
      </c>
      <c r="J632">
        <v>4660.74</v>
      </c>
      <c r="K632" t="s">
        <v>17</v>
      </c>
      <c r="L632" t="b">
        <v>0</v>
      </c>
      <c r="N632" s="2" t="str">
        <f t="shared" si="52"/>
        <v/>
      </c>
      <c r="Q632" t="str">
        <f t="shared" si="53"/>
        <v/>
      </c>
    </row>
    <row r="633" spans="1:17" hidden="1">
      <c r="A633" t="s">
        <v>738</v>
      </c>
      <c r="B633" s="1">
        <v>45009</v>
      </c>
      <c r="C633">
        <v>2023</v>
      </c>
      <c r="D633">
        <v>3</v>
      </c>
      <c r="E633" t="s">
        <v>13</v>
      </c>
      <c r="F633" t="s">
        <v>14</v>
      </c>
      <c r="G633" t="s">
        <v>108</v>
      </c>
      <c r="H633" t="s">
        <v>109</v>
      </c>
      <c r="I633">
        <v>2322.5100000000002</v>
      </c>
      <c r="J633">
        <v>2275.7399999999998</v>
      </c>
      <c r="K633" t="s">
        <v>17</v>
      </c>
      <c r="L633" t="b">
        <v>0</v>
      </c>
      <c r="N633" s="2" t="str">
        <f t="shared" si="52"/>
        <v/>
      </c>
      <c r="Q633" t="str">
        <f t="shared" si="53"/>
        <v/>
      </c>
    </row>
    <row r="634" spans="1:17" hidden="1">
      <c r="A634" t="s">
        <v>739</v>
      </c>
      <c r="B634" s="1">
        <v>45009</v>
      </c>
      <c r="C634">
        <v>2023</v>
      </c>
      <c r="D634">
        <v>3</v>
      </c>
      <c r="E634" t="s">
        <v>47</v>
      </c>
      <c r="F634" t="s">
        <v>28</v>
      </c>
      <c r="G634" t="s">
        <v>48</v>
      </c>
      <c r="H634" t="s">
        <v>49</v>
      </c>
      <c r="I634">
        <v>18121.509999999998</v>
      </c>
      <c r="J634">
        <v>15024.62</v>
      </c>
      <c r="K634" t="s">
        <v>17</v>
      </c>
      <c r="L634" t="b">
        <v>0</v>
      </c>
      <c r="N634" s="2" t="b">
        <f t="shared" si="52"/>
        <v>1</v>
      </c>
      <c r="O634" t="str">
        <f t="shared" ref="O634:O635" si="55">IF(AND(E623="HR",K623="EXPENSE"),I623&lt;J623,"")</f>
        <v/>
      </c>
      <c r="Q634" t="str">
        <f t="shared" si="53"/>
        <v/>
      </c>
    </row>
    <row r="635" spans="1:17" hidden="1">
      <c r="A635" t="s">
        <v>740</v>
      </c>
      <c r="B635" s="1">
        <v>45009</v>
      </c>
      <c r="C635">
        <v>2023</v>
      </c>
      <c r="D635">
        <v>3</v>
      </c>
      <c r="E635" t="s">
        <v>47</v>
      </c>
      <c r="F635" t="s">
        <v>28</v>
      </c>
      <c r="G635" t="s">
        <v>91</v>
      </c>
      <c r="H635" t="s">
        <v>92</v>
      </c>
      <c r="I635">
        <v>16013.29</v>
      </c>
      <c r="J635">
        <v>13330.95</v>
      </c>
      <c r="K635" t="s">
        <v>17</v>
      </c>
      <c r="L635" t="b">
        <v>0</v>
      </c>
      <c r="N635" s="2" t="b">
        <f t="shared" si="52"/>
        <v>1</v>
      </c>
      <c r="O635" t="str">
        <f t="shared" si="55"/>
        <v/>
      </c>
      <c r="Q635" t="str">
        <f t="shared" si="53"/>
        <v/>
      </c>
    </row>
    <row r="636" spans="1:17" hidden="1">
      <c r="A636" t="s">
        <v>741</v>
      </c>
      <c r="B636" s="1">
        <v>45009</v>
      </c>
      <c r="C636">
        <v>2023</v>
      </c>
      <c r="D636">
        <v>3</v>
      </c>
      <c r="E636" t="s">
        <v>23</v>
      </c>
      <c r="F636" t="s">
        <v>14</v>
      </c>
      <c r="G636" t="s">
        <v>25</v>
      </c>
      <c r="H636" t="s">
        <v>95</v>
      </c>
      <c r="I636">
        <v>4588.2700000000004</v>
      </c>
      <c r="J636">
        <v>4427.38</v>
      </c>
      <c r="K636" t="s">
        <v>17</v>
      </c>
      <c r="L636" t="b">
        <v>0</v>
      </c>
      <c r="N636" s="2" t="str">
        <f t="shared" si="52"/>
        <v/>
      </c>
      <c r="Q636" t="str">
        <f t="shared" si="53"/>
        <v/>
      </c>
    </row>
    <row r="637" spans="1:17" hidden="1">
      <c r="A637" t="s">
        <v>742</v>
      </c>
      <c r="B637" s="1">
        <v>45009</v>
      </c>
      <c r="C637">
        <v>2023</v>
      </c>
      <c r="D637">
        <v>3</v>
      </c>
      <c r="E637" t="s">
        <v>23</v>
      </c>
      <c r="F637" t="s">
        <v>28</v>
      </c>
      <c r="G637" t="s">
        <v>30</v>
      </c>
      <c r="H637" t="s">
        <v>106</v>
      </c>
      <c r="I637">
        <v>7828.83</v>
      </c>
      <c r="J637">
        <v>7318.56</v>
      </c>
      <c r="K637" t="s">
        <v>17</v>
      </c>
      <c r="L637" t="b">
        <v>0</v>
      </c>
      <c r="N637" s="2" t="str">
        <f t="shared" si="52"/>
        <v/>
      </c>
      <c r="Q637" t="str">
        <f t="shared" si="53"/>
        <v/>
      </c>
    </row>
    <row r="638" spans="1:17" hidden="1">
      <c r="A638" t="s">
        <v>743</v>
      </c>
      <c r="B638" s="1">
        <v>45009</v>
      </c>
      <c r="C638">
        <v>2023</v>
      </c>
      <c r="D638">
        <v>3</v>
      </c>
      <c r="E638" t="s">
        <v>37</v>
      </c>
      <c r="F638" t="s">
        <v>14</v>
      </c>
      <c r="G638" t="s">
        <v>98</v>
      </c>
      <c r="H638" t="s">
        <v>185</v>
      </c>
      <c r="I638">
        <v>6174.8</v>
      </c>
      <c r="J638">
        <v>6702.17</v>
      </c>
      <c r="K638" t="s">
        <v>17</v>
      </c>
      <c r="L638" t="b">
        <v>0</v>
      </c>
      <c r="N638" s="2" t="str">
        <f t="shared" si="52"/>
        <v/>
      </c>
      <c r="Q638" t="str">
        <f t="shared" si="53"/>
        <v/>
      </c>
    </row>
    <row r="639" spans="1:17" hidden="1">
      <c r="A639" t="s">
        <v>744</v>
      </c>
      <c r="B639" s="1">
        <v>45009</v>
      </c>
      <c r="C639">
        <v>2023</v>
      </c>
      <c r="D639">
        <v>3</v>
      </c>
      <c r="E639" t="s">
        <v>37</v>
      </c>
      <c r="F639" t="s">
        <v>14</v>
      </c>
      <c r="G639" t="s">
        <v>38</v>
      </c>
      <c r="H639" t="s">
        <v>227</v>
      </c>
      <c r="I639">
        <v>5364.41</v>
      </c>
      <c r="J639">
        <v>5103.46</v>
      </c>
      <c r="K639" t="s">
        <v>17</v>
      </c>
      <c r="L639" t="b">
        <v>0</v>
      </c>
      <c r="N639" s="2" t="str">
        <f t="shared" si="52"/>
        <v/>
      </c>
      <c r="Q639" t="str">
        <f t="shared" si="53"/>
        <v/>
      </c>
    </row>
    <row r="640" spans="1:17" hidden="1">
      <c r="A640" t="s">
        <v>745</v>
      </c>
      <c r="B640" s="1">
        <v>45010</v>
      </c>
      <c r="C640">
        <v>2023</v>
      </c>
      <c r="D640">
        <v>3</v>
      </c>
      <c r="E640" t="s">
        <v>13</v>
      </c>
      <c r="F640" t="s">
        <v>24</v>
      </c>
      <c r="G640" t="s">
        <v>108</v>
      </c>
      <c r="H640" t="s">
        <v>126</v>
      </c>
      <c r="I640">
        <v>2143.75</v>
      </c>
      <c r="J640">
        <v>2259.21</v>
      </c>
      <c r="K640" t="s">
        <v>17</v>
      </c>
      <c r="L640" t="b">
        <v>0</v>
      </c>
      <c r="N640" s="2" t="str">
        <f t="shared" si="52"/>
        <v/>
      </c>
      <c r="Q640" t="str">
        <f t="shared" si="53"/>
        <v/>
      </c>
    </row>
    <row r="641" spans="1:17" hidden="1">
      <c r="A641" t="s">
        <v>746</v>
      </c>
      <c r="B641" s="1">
        <v>45010</v>
      </c>
      <c r="C641">
        <v>2023</v>
      </c>
      <c r="D641">
        <v>3</v>
      </c>
      <c r="E641" t="s">
        <v>47</v>
      </c>
      <c r="F641" t="s">
        <v>14</v>
      </c>
      <c r="G641" t="s">
        <v>91</v>
      </c>
      <c r="H641" t="s">
        <v>249</v>
      </c>
      <c r="I641">
        <v>21035.91</v>
      </c>
      <c r="J641">
        <v>18281.22</v>
      </c>
      <c r="K641" t="s">
        <v>17</v>
      </c>
      <c r="L641" t="b">
        <v>0</v>
      </c>
      <c r="N641" s="2" t="b">
        <f t="shared" si="52"/>
        <v>1</v>
      </c>
      <c r="O641" t="str">
        <f t="shared" ref="O641:O642" si="56">IF(AND(E630="HR",K630="EXPENSE"),I630&lt;J630,"")</f>
        <v/>
      </c>
      <c r="Q641" t="str">
        <f t="shared" si="53"/>
        <v/>
      </c>
    </row>
    <row r="642" spans="1:17" hidden="1">
      <c r="A642" t="s">
        <v>747</v>
      </c>
      <c r="B642" s="1">
        <v>45010</v>
      </c>
      <c r="C642">
        <v>2023</v>
      </c>
      <c r="D642">
        <v>3</v>
      </c>
      <c r="E642" t="s">
        <v>47</v>
      </c>
      <c r="F642" t="s">
        <v>24</v>
      </c>
      <c r="G642" t="s">
        <v>51</v>
      </c>
      <c r="H642" t="s">
        <v>189</v>
      </c>
      <c r="I642">
        <v>12886.64</v>
      </c>
      <c r="J642">
        <v>10925.32</v>
      </c>
      <c r="K642" t="s">
        <v>17</v>
      </c>
      <c r="L642" t="b">
        <v>0</v>
      </c>
      <c r="N642" s="2" t="b">
        <f t="shared" si="52"/>
        <v>1</v>
      </c>
      <c r="O642" t="str">
        <f t="shared" si="56"/>
        <v/>
      </c>
      <c r="Q642" t="str">
        <f t="shared" si="53"/>
        <v/>
      </c>
    </row>
    <row r="643" spans="1:17" hidden="1">
      <c r="A643" t="s">
        <v>748</v>
      </c>
      <c r="B643" s="1">
        <v>45010</v>
      </c>
      <c r="C643">
        <v>2023</v>
      </c>
      <c r="D643">
        <v>3</v>
      </c>
      <c r="E643" t="s">
        <v>19</v>
      </c>
      <c r="F643" t="s">
        <v>14</v>
      </c>
      <c r="G643" t="s">
        <v>20</v>
      </c>
      <c r="H643" t="s">
        <v>21</v>
      </c>
      <c r="I643">
        <v>4816.95</v>
      </c>
      <c r="J643">
        <v>5044.7</v>
      </c>
      <c r="K643" t="s">
        <v>17</v>
      </c>
      <c r="L643" t="b">
        <v>0</v>
      </c>
      <c r="N643" s="2" t="str">
        <f t="shared" ref="N643:N706" si="57">IF(AND(E643="IT",K643="EXPENSE"),I643&gt;J643,"")</f>
        <v/>
      </c>
      <c r="Q643" t="str">
        <f t="shared" ref="Q643:Q706" si="58">IF(L643=TRUE,OR(H643="Apex Solutions Inc",H643="Global Trade Partners",H643="NovaTech Services"),"")</f>
        <v/>
      </c>
    </row>
    <row r="644" spans="1:17" hidden="1">
      <c r="A644" t="s">
        <v>749</v>
      </c>
      <c r="B644" s="1">
        <v>45010</v>
      </c>
      <c r="C644">
        <v>2023</v>
      </c>
      <c r="D644">
        <v>3</v>
      </c>
      <c r="E644" t="s">
        <v>19</v>
      </c>
      <c r="F644" t="s">
        <v>28</v>
      </c>
      <c r="G644" t="s">
        <v>80</v>
      </c>
      <c r="H644" t="s">
        <v>113</v>
      </c>
      <c r="I644">
        <v>5171.28</v>
      </c>
      <c r="J644">
        <v>5178.76</v>
      </c>
      <c r="K644" t="s">
        <v>17</v>
      </c>
      <c r="L644" t="b">
        <v>0</v>
      </c>
      <c r="N644" s="2" t="str">
        <f t="shared" si="57"/>
        <v/>
      </c>
      <c r="Q644" t="str">
        <f t="shared" si="58"/>
        <v/>
      </c>
    </row>
    <row r="645" spans="1:17" hidden="1">
      <c r="A645" t="s">
        <v>750</v>
      </c>
      <c r="B645" s="1">
        <v>45010</v>
      </c>
      <c r="C645">
        <v>2023</v>
      </c>
      <c r="D645">
        <v>3</v>
      </c>
      <c r="E645" t="s">
        <v>23</v>
      </c>
      <c r="F645" t="s">
        <v>24</v>
      </c>
      <c r="G645" t="s">
        <v>59</v>
      </c>
      <c r="H645" t="s">
        <v>155</v>
      </c>
      <c r="I645">
        <v>5081.26</v>
      </c>
      <c r="J645">
        <v>5433.41</v>
      </c>
      <c r="K645" t="s">
        <v>17</v>
      </c>
      <c r="L645" t="b">
        <v>0</v>
      </c>
      <c r="N645" s="2" t="str">
        <f t="shared" si="57"/>
        <v/>
      </c>
      <c r="Q645" t="str">
        <f t="shared" si="58"/>
        <v/>
      </c>
    </row>
    <row r="646" spans="1:17" hidden="1">
      <c r="A646" t="s">
        <v>751</v>
      </c>
      <c r="B646" s="1">
        <v>45010</v>
      </c>
      <c r="C646">
        <v>2023</v>
      </c>
      <c r="D646">
        <v>3</v>
      </c>
      <c r="E646" t="s">
        <v>37</v>
      </c>
      <c r="F646" t="s">
        <v>28</v>
      </c>
      <c r="G646" t="s">
        <v>41</v>
      </c>
      <c r="H646" t="s">
        <v>42</v>
      </c>
      <c r="I646">
        <v>3932.67</v>
      </c>
      <c r="J646">
        <v>4075.13</v>
      </c>
      <c r="K646" t="s">
        <v>17</v>
      </c>
      <c r="L646" t="b">
        <v>0</v>
      </c>
      <c r="N646" s="2" t="str">
        <f t="shared" si="57"/>
        <v/>
      </c>
      <c r="Q646" t="str">
        <f t="shared" si="58"/>
        <v/>
      </c>
    </row>
    <row r="647" spans="1:17" hidden="1">
      <c r="A647" t="s">
        <v>752</v>
      </c>
      <c r="B647" s="1">
        <v>45010</v>
      </c>
      <c r="C647">
        <v>2023</v>
      </c>
      <c r="D647">
        <v>3</v>
      </c>
      <c r="E647" t="s">
        <v>37</v>
      </c>
      <c r="F647" t="s">
        <v>24</v>
      </c>
      <c r="G647" t="s">
        <v>41</v>
      </c>
      <c r="H647" t="s">
        <v>42</v>
      </c>
      <c r="I647">
        <v>6366.06</v>
      </c>
      <c r="J647">
        <v>5851.32</v>
      </c>
      <c r="K647" t="s">
        <v>17</v>
      </c>
      <c r="L647" t="b">
        <v>0</v>
      </c>
      <c r="N647" s="2" t="str">
        <f t="shared" si="57"/>
        <v/>
      </c>
      <c r="Q647" t="str">
        <f t="shared" si="58"/>
        <v/>
      </c>
    </row>
    <row r="648" spans="1:17" hidden="1">
      <c r="A648" t="s">
        <v>753</v>
      </c>
      <c r="B648" s="1">
        <v>45011</v>
      </c>
      <c r="C648">
        <v>2023</v>
      </c>
      <c r="D648">
        <v>3</v>
      </c>
      <c r="E648" t="s">
        <v>13</v>
      </c>
      <c r="F648" t="s">
        <v>14</v>
      </c>
      <c r="G648" t="s">
        <v>108</v>
      </c>
      <c r="H648" t="s">
        <v>123</v>
      </c>
      <c r="I648">
        <v>3897.45</v>
      </c>
      <c r="J648">
        <v>4097.13</v>
      </c>
      <c r="K648" t="s">
        <v>17</v>
      </c>
      <c r="L648" t="b">
        <v>0</v>
      </c>
      <c r="N648" s="2" t="str">
        <f t="shared" si="57"/>
        <v/>
      </c>
      <c r="Q648" t="str">
        <f t="shared" si="58"/>
        <v/>
      </c>
    </row>
    <row r="649" spans="1:17" hidden="1">
      <c r="A649" t="s">
        <v>754</v>
      </c>
      <c r="B649" s="1">
        <v>45011</v>
      </c>
      <c r="C649">
        <v>2023</v>
      </c>
      <c r="D649">
        <v>3</v>
      </c>
      <c r="E649" t="s">
        <v>13</v>
      </c>
      <c r="F649" t="s">
        <v>14</v>
      </c>
      <c r="G649" t="s">
        <v>15</v>
      </c>
      <c r="H649" t="s">
        <v>89</v>
      </c>
      <c r="I649">
        <v>2653.18</v>
      </c>
      <c r="J649">
        <v>2706.56</v>
      </c>
      <c r="K649" t="s">
        <v>17</v>
      </c>
      <c r="L649" t="b">
        <v>0</v>
      </c>
      <c r="N649" s="2" t="str">
        <f t="shared" si="57"/>
        <v/>
      </c>
      <c r="Q649" t="str">
        <f t="shared" si="58"/>
        <v/>
      </c>
    </row>
    <row r="650" spans="1:17" hidden="1">
      <c r="A650" t="s">
        <v>755</v>
      </c>
      <c r="B650" s="1">
        <v>45011</v>
      </c>
      <c r="C650">
        <v>2023</v>
      </c>
      <c r="D650">
        <v>3</v>
      </c>
      <c r="E650" t="s">
        <v>13</v>
      </c>
      <c r="F650" t="s">
        <v>28</v>
      </c>
      <c r="G650" t="s">
        <v>68</v>
      </c>
      <c r="H650" t="s">
        <v>69</v>
      </c>
      <c r="I650">
        <v>3611.58</v>
      </c>
      <c r="J650">
        <v>3375.76</v>
      </c>
      <c r="K650" t="s">
        <v>17</v>
      </c>
      <c r="L650" t="b">
        <v>0</v>
      </c>
      <c r="N650" s="2" t="str">
        <f t="shared" si="57"/>
        <v/>
      </c>
      <c r="Q650" t="str">
        <f t="shared" si="58"/>
        <v/>
      </c>
    </row>
    <row r="651" spans="1:17" hidden="1">
      <c r="A651" t="s">
        <v>756</v>
      </c>
      <c r="B651" s="1">
        <v>45011</v>
      </c>
      <c r="C651">
        <v>2023</v>
      </c>
      <c r="D651">
        <v>3</v>
      </c>
      <c r="E651" t="s">
        <v>13</v>
      </c>
      <c r="F651" t="s">
        <v>24</v>
      </c>
      <c r="G651" t="s">
        <v>68</v>
      </c>
      <c r="H651" t="s">
        <v>87</v>
      </c>
      <c r="I651">
        <v>3078.25</v>
      </c>
      <c r="J651">
        <v>3271.55</v>
      </c>
      <c r="K651" t="s">
        <v>17</v>
      </c>
      <c r="L651" t="b">
        <v>0</v>
      </c>
      <c r="N651" s="2" t="str">
        <f t="shared" si="57"/>
        <v/>
      </c>
      <c r="Q651" t="str">
        <f t="shared" si="58"/>
        <v/>
      </c>
    </row>
    <row r="652" spans="1:17" hidden="1">
      <c r="A652" t="s">
        <v>757</v>
      </c>
      <c r="B652" s="1">
        <v>45011</v>
      </c>
      <c r="C652">
        <v>2023</v>
      </c>
      <c r="D652">
        <v>3</v>
      </c>
      <c r="E652" t="s">
        <v>47</v>
      </c>
      <c r="F652" t="s">
        <v>14</v>
      </c>
      <c r="G652" t="s">
        <v>48</v>
      </c>
      <c r="H652" t="s">
        <v>191</v>
      </c>
      <c r="I652">
        <v>17530.79</v>
      </c>
      <c r="J652">
        <v>15128.88</v>
      </c>
      <c r="K652" t="s">
        <v>17</v>
      </c>
      <c r="L652" t="b">
        <v>0</v>
      </c>
      <c r="N652" s="2" t="b">
        <f t="shared" si="57"/>
        <v>1</v>
      </c>
      <c r="O652" t="str">
        <f>IF(AND(E641="HR",K641="EXPENSE"),I641&lt;J641,"")</f>
        <v/>
      </c>
      <c r="Q652" t="str">
        <f t="shared" si="58"/>
        <v/>
      </c>
    </row>
    <row r="653" spans="1:17" hidden="1">
      <c r="A653" t="s">
        <v>758</v>
      </c>
      <c r="B653" s="1">
        <v>45011</v>
      </c>
      <c r="C653">
        <v>2023</v>
      </c>
      <c r="D653">
        <v>3</v>
      </c>
      <c r="E653" t="s">
        <v>19</v>
      </c>
      <c r="F653" t="s">
        <v>14</v>
      </c>
      <c r="G653" t="s">
        <v>132</v>
      </c>
      <c r="H653" t="s">
        <v>138</v>
      </c>
      <c r="I653">
        <v>5907.21</v>
      </c>
      <c r="J653">
        <v>5403.32</v>
      </c>
      <c r="K653" t="s">
        <v>17</v>
      </c>
      <c r="L653" t="b">
        <v>0</v>
      </c>
      <c r="N653" s="2" t="str">
        <f t="shared" si="57"/>
        <v/>
      </c>
      <c r="Q653" t="str">
        <f t="shared" si="58"/>
        <v/>
      </c>
    </row>
    <row r="654" spans="1:17" hidden="1">
      <c r="A654" t="s">
        <v>759</v>
      </c>
      <c r="B654" s="1">
        <v>45011</v>
      </c>
      <c r="C654">
        <v>2023</v>
      </c>
      <c r="D654">
        <v>3</v>
      </c>
      <c r="E654" t="s">
        <v>23</v>
      </c>
      <c r="F654" t="s">
        <v>14</v>
      </c>
      <c r="G654" t="s">
        <v>30</v>
      </c>
      <c r="H654" t="s">
        <v>33</v>
      </c>
      <c r="I654">
        <v>6394.06</v>
      </c>
      <c r="J654">
        <v>6569.51</v>
      </c>
      <c r="K654" t="s">
        <v>17</v>
      </c>
      <c r="L654" t="b">
        <v>0</v>
      </c>
      <c r="N654" s="2" t="str">
        <f t="shared" si="57"/>
        <v/>
      </c>
      <c r="Q654" t="str">
        <f t="shared" si="58"/>
        <v/>
      </c>
    </row>
    <row r="655" spans="1:17" hidden="1">
      <c r="A655" t="s">
        <v>760</v>
      </c>
      <c r="B655" s="1">
        <v>45011</v>
      </c>
      <c r="C655">
        <v>2023</v>
      </c>
      <c r="D655">
        <v>3</v>
      </c>
      <c r="E655" t="s">
        <v>23</v>
      </c>
      <c r="F655" t="s">
        <v>28</v>
      </c>
      <c r="G655" t="s">
        <v>141</v>
      </c>
      <c r="H655" t="s">
        <v>209</v>
      </c>
      <c r="I655">
        <v>5723.87</v>
      </c>
      <c r="J655">
        <v>5248.55</v>
      </c>
      <c r="K655" t="s">
        <v>17</v>
      </c>
      <c r="L655" t="b">
        <v>0</v>
      </c>
      <c r="N655" s="2" t="str">
        <f t="shared" si="57"/>
        <v/>
      </c>
      <c r="Q655" t="str">
        <f t="shared" si="58"/>
        <v/>
      </c>
    </row>
    <row r="656" spans="1:17" hidden="1">
      <c r="A656" t="s">
        <v>761</v>
      </c>
      <c r="B656" s="1">
        <v>45011</v>
      </c>
      <c r="C656">
        <v>2023</v>
      </c>
      <c r="D656">
        <v>3</v>
      </c>
      <c r="E656" t="s">
        <v>23</v>
      </c>
      <c r="F656" t="s">
        <v>28</v>
      </c>
      <c r="G656" t="s">
        <v>59</v>
      </c>
      <c r="H656" t="s">
        <v>60</v>
      </c>
      <c r="I656">
        <v>4853.3599999999997</v>
      </c>
      <c r="J656">
        <v>4655.8599999999997</v>
      </c>
      <c r="K656" t="s">
        <v>17</v>
      </c>
      <c r="L656" t="b">
        <v>0</v>
      </c>
      <c r="N656" s="2" t="str">
        <f t="shared" si="57"/>
        <v/>
      </c>
      <c r="Q656" t="str">
        <f t="shared" si="58"/>
        <v/>
      </c>
    </row>
    <row r="657" spans="1:17" hidden="1">
      <c r="A657" t="s">
        <v>762</v>
      </c>
      <c r="B657" s="1">
        <v>45011</v>
      </c>
      <c r="C657">
        <v>2023</v>
      </c>
      <c r="D657">
        <v>3</v>
      </c>
      <c r="E657" t="s">
        <v>37</v>
      </c>
      <c r="F657" t="s">
        <v>14</v>
      </c>
      <c r="G657" t="s">
        <v>38</v>
      </c>
      <c r="H657" t="s">
        <v>227</v>
      </c>
      <c r="I657">
        <v>4177.5200000000004</v>
      </c>
      <c r="J657">
        <v>4210.2299999999996</v>
      </c>
      <c r="K657" t="s">
        <v>17</v>
      </c>
      <c r="L657" t="b">
        <v>0</v>
      </c>
      <c r="N657" s="2" t="str">
        <f t="shared" si="57"/>
        <v/>
      </c>
      <c r="Q657" t="str">
        <f t="shared" si="58"/>
        <v/>
      </c>
    </row>
    <row r="658" spans="1:17" hidden="1">
      <c r="A658" t="s">
        <v>763</v>
      </c>
      <c r="B658" s="1">
        <v>45011</v>
      </c>
      <c r="C658">
        <v>2023</v>
      </c>
      <c r="D658">
        <v>3</v>
      </c>
      <c r="E658" t="s">
        <v>37</v>
      </c>
      <c r="F658" t="s">
        <v>28</v>
      </c>
      <c r="G658" t="s">
        <v>62</v>
      </c>
      <c r="H658" t="s">
        <v>121</v>
      </c>
      <c r="I658">
        <v>6401.2</v>
      </c>
      <c r="J658">
        <v>5976.18</v>
      </c>
      <c r="K658" t="s">
        <v>17</v>
      </c>
      <c r="L658" t="b">
        <v>0</v>
      </c>
      <c r="N658" s="2" t="str">
        <f t="shared" si="57"/>
        <v/>
      </c>
      <c r="Q658" t="str">
        <f t="shared" si="58"/>
        <v/>
      </c>
    </row>
    <row r="659" spans="1:17" hidden="1">
      <c r="A659" t="s">
        <v>764</v>
      </c>
      <c r="B659" s="1">
        <v>45012</v>
      </c>
      <c r="C659">
        <v>2023</v>
      </c>
      <c r="D659">
        <v>3</v>
      </c>
      <c r="E659" t="s">
        <v>19</v>
      </c>
      <c r="F659" t="s">
        <v>24</v>
      </c>
      <c r="G659" t="s">
        <v>80</v>
      </c>
      <c r="H659" t="s">
        <v>217</v>
      </c>
      <c r="I659">
        <v>4695.57</v>
      </c>
      <c r="J659">
        <v>4439.4399999999996</v>
      </c>
      <c r="K659" t="s">
        <v>17</v>
      </c>
      <c r="L659" t="b">
        <v>0</v>
      </c>
      <c r="N659" s="2" t="str">
        <f t="shared" si="57"/>
        <v/>
      </c>
      <c r="Q659" t="str">
        <f t="shared" si="58"/>
        <v/>
      </c>
    </row>
    <row r="660" spans="1:17" hidden="1">
      <c r="A660" t="s">
        <v>765</v>
      </c>
      <c r="B660" s="1">
        <v>45012</v>
      </c>
      <c r="C660">
        <v>2023</v>
      </c>
      <c r="D660">
        <v>3</v>
      </c>
      <c r="E660" t="s">
        <v>23</v>
      </c>
      <c r="F660" t="s">
        <v>24</v>
      </c>
      <c r="G660" t="s">
        <v>59</v>
      </c>
      <c r="H660" t="s">
        <v>155</v>
      </c>
      <c r="I660">
        <v>4970.6899999999996</v>
      </c>
      <c r="J660">
        <v>5115.6499999999996</v>
      </c>
      <c r="K660" t="s">
        <v>17</v>
      </c>
      <c r="L660" t="b">
        <v>0</v>
      </c>
      <c r="N660" s="2" t="str">
        <f t="shared" si="57"/>
        <v/>
      </c>
      <c r="Q660" t="str">
        <f t="shared" si="58"/>
        <v/>
      </c>
    </row>
    <row r="661" spans="1:17" hidden="1">
      <c r="A661" t="s">
        <v>766</v>
      </c>
      <c r="B661" s="1">
        <v>45012</v>
      </c>
      <c r="C661">
        <v>2023</v>
      </c>
      <c r="D661">
        <v>3</v>
      </c>
      <c r="E661" t="s">
        <v>37</v>
      </c>
      <c r="F661" t="s">
        <v>28</v>
      </c>
      <c r="G661" t="s">
        <v>41</v>
      </c>
      <c r="H661" t="s">
        <v>42</v>
      </c>
      <c r="I661">
        <v>2777.06</v>
      </c>
      <c r="J661">
        <v>2558.71</v>
      </c>
      <c r="K661" t="s">
        <v>17</v>
      </c>
      <c r="L661" t="b">
        <v>0</v>
      </c>
      <c r="N661" s="2" t="str">
        <f t="shared" si="57"/>
        <v/>
      </c>
      <c r="Q661" t="str">
        <f t="shared" si="58"/>
        <v/>
      </c>
    </row>
    <row r="662" spans="1:17" hidden="1">
      <c r="A662" t="s">
        <v>767</v>
      </c>
      <c r="B662" s="1">
        <v>45012</v>
      </c>
      <c r="C662">
        <v>2023</v>
      </c>
      <c r="D662">
        <v>3</v>
      </c>
      <c r="E662" t="s">
        <v>37</v>
      </c>
      <c r="F662" t="s">
        <v>28</v>
      </c>
      <c r="G662" t="s">
        <v>41</v>
      </c>
      <c r="H662" t="s">
        <v>42</v>
      </c>
      <c r="I662">
        <v>4732.6000000000004</v>
      </c>
      <c r="J662">
        <v>5096.26</v>
      </c>
      <c r="K662" t="s">
        <v>17</v>
      </c>
      <c r="L662" t="b">
        <v>0</v>
      </c>
      <c r="N662" s="2" t="str">
        <f t="shared" si="57"/>
        <v/>
      </c>
      <c r="Q662" t="str">
        <f t="shared" si="58"/>
        <v/>
      </c>
    </row>
    <row r="663" spans="1:17" hidden="1">
      <c r="A663" t="s">
        <v>768</v>
      </c>
      <c r="B663" s="1">
        <v>45012</v>
      </c>
      <c r="C663">
        <v>2023</v>
      </c>
      <c r="D663">
        <v>3</v>
      </c>
      <c r="E663" t="s">
        <v>37</v>
      </c>
      <c r="F663" t="s">
        <v>24</v>
      </c>
      <c r="G663" t="s">
        <v>38</v>
      </c>
      <c r="H663" t="s">
        <v>39</v>
      </c>
      <c r="I663">
        <v>4965.16</v>
      </c>
      <c r="J663">
        <v>5058.97</v>
      </c>
      <c r="K663" t="s">
        <v>17</v>
      </c>
      <c r="L663" t="b">
        <v>0</v>
      </c>
      <c r="N663" s="2" t="str">
        <f t="shared" si="57"/>
        <v/>
      </c>
      <c r="Q663" t="str">
        <f t="shared" si="58"/>
        <v/>
      </c>
    </row>
    <row r="664" spans="1:17" hidden="1">
      <c r="A664" t="s">
        <v>769</v>
      </c>
      <c r="B664" s="1">
        <v>45013</v>
      </c>
      <c r="C664">
        <v>2023</v>
      </c>
      <c r="D664">
        <v>3</v>
      </c>
      <c r="E664" t="s">
        <v>13</v>
      </c>
      <c r="F664" t="s">
        <v>14</v>
      </c>
      <c r="G664" t="s">
        <v>108</v>
      </c>
      <c r="H664" t="s">
        <v>123</v>
      </c>
      <c r="I664">
        <v>4002.01</v>
      </c>
      <c r="J664">
        <v>3974.16</v>
      </c>
      <c r="K664" t="s">
        <v>17</v>
      </c>
      <c r="L664" t="b">
        <v>0</v>
      </c>
      <c r="N664" s="2" t="str">
        <f t="shared" si="57"/>
        <v/>
      </c>
      <c r="Q664" t="str">
        <f t="shared" si="58"/>
        <v/>
      </c>
    </row>
    <row r="665" spans="1:17" hidden="1">
      <c r="A665" t="s">
        <v>770</v>
      </c>
      <c r="B665" s="1">
        <v>45013</v>
      </c>
      <c r="C665">
        <v>2023</v>
      </c>
      <c r="D665">
        <v>3</v>
      </c>
      <c r="E665" t="s">
        <v>13</v>
      </c>
      <c r="F665" t="s">
        <v>24</v>
      </c>
      <c r="G665" t="s">
        <v>108</v>
      </c>
      <c r="H665" t="s">
        <v>109</v>
      </c>
      <c r="I665">
        <v>2533.89</v>
      </c>
      <c r="J665">
        <v>2434.1999999999998</v>
      </c>
      <c r="K665" t="s">
        <v>17</v>
      </c>
      <c r="L665" t="b">
        <v>0</v>
      </c>
      <c r="N665" s="2" t="str">
        <f t="shared" si="57"/>
        <v/>
      </c>
      <c r="Q665" t="str">
        <f t="shared" si="58"/>
        <v/>
      </c>
    </row>
    <row r="666" spans="1:17" hidden="1">
      <c r="A666" t="s">
        <v>771</v>
      </c>
      <c r="B666" s="1">
        <v>45013</v>
      </c>
      <c r="C666">
        <v>2023</v>
      </c>
      <c r="D666">
        <v>3</v>
      </c>
      <c r="E666" t="s">
        <v>47</v>
      </c>
      <c r="F666" t="s">
        <v>14</v>
      </c>
      <c r="G666" t="s">
        <v>91</v>
      </c>
      <c r="H666" t="s">
        <v>254</v>
      </c>
      <c r="I666">
        <v>18231.12</v>
      </c>
      <c r="J666">
        <v>15425.72</v>
      </c>
      <c r="K666" t="s">
        <v>17</v>
      </c>
      <c r="L666" t="b">
        <v>0</v>
      </c>
      <c r="N666" s="2" t="b">
        <f t="shared" si="57"/>
        <v>1</v>
      </c>
      <c r="O666" t="str">
        <f t="shared" ref="O666:O669" si="59">IF(AND(E655="HR",K655="EXPENSE"),I655&lt;J655,"")</f>
        <v/>
      </c>
      <c r="Q666" t="str">
        <f t="shared" si="58"/>
        <v/>
      </c>
    </row>
    <row r="667" spans="1:17" hidden="1">
      <c r="A667" t="s">
        <v>772</v>
      </c>
      <c r="B667" s="1">
        <v>45013</v>
      </c>
      <c r="C667">
        <v>2023</v>
      </c>
      <c r="D667">
        <v>3</v>
      </c>
      <c r="E667" t="s">
        <v>47</v>
      </c>
      <c r="F667" t="s">
        <v>14</v>
      </c>
      <c r="G667" t="s">
        <v>77</v>
      </c>
      <c r="H667" t="s">
        <v>147</v>
      </c>
      <c r="I667">
        <v>11376.53</v>
      </c>
      <c r="J667">
        <v>9332.17</v>
      </c>
      <c r="K667" t="s">
        <v>17</v>
      </c>
      <c r="L667" t="b">
        <v>0</v>
      </c>
      <c r="N667" s="2" t="b">
        <f t="shared" si="57"/>
        <v>1</v>
      </c>
      <c r="O667" t="str">
        <f t="shared" si="59"/>
        <v/>
      </c>
      <c r="Q667" t="str">
        <f t="shared" si="58"/>
        <v/>
      </c>
    </row>
    <row r="668" spans="1:17" hidden="1">
      <c r="A668" t="s">
        <v>773</v>
      </c>
      <c r="B668" s="1">
        <v>45013</v>
      </c>
      <c r="C668">
        <v>2023</v>
      </c>
      <c r="D668">
        <v>3</v>
      </c>
      <c r="E668" t="s">
        <v>47</v>
      </c>
      <c r="F668" t="s">
        <v>14</v>
      </c>
      <c r="G668" t="s">
        <v>48</v>
      </c>
      <c r="H668" t="s">
        <v>191</v>
      </c>
      <c r="I668">
        <v>14736.07</v>
      </c>
      <c r="J668">
        <v>12436.32</v>
      </c>
      <c r="K668" t="s">
        <v>17</v>
      </c>
      <c r="L668" t="b">
        <v>0</v>
      </c>
      <c r="N668" s="2" t="b">
        <f t="shared" si="57"/>
        <v>1</v>
      </c>
      <c r="O668" t="str">
        <f t="shared" si="59"/>
        <v/>
      </c>
      <c r="Q668" t="str">
        <f t="shared" si="58"/>
        <v/>
      </c>
    </row>
    <row r="669" spans="1:17" hidden="1">
      <c r="A669" t="s">
        <v>774</v>
      </c>
      <c r="B669" s="1">
        <v>45013</v>
      </c>
      <c r="C669">
        <v>2023</v>
      </c>
      <c r="D669">
        <v>3</v>
      </c>
      <c r="E669" t="s">
        <v>47</v>
      </c>
      <c r="F669" t="s">
        <v>28</v>
      </c>
      <c r="G669" t="s">
        <v>51</v>
      </c>
      <c r="H669" t="s">
        <v>52</v>
      </c>
      <c r="I669">
        <v>18387.080000000002</v>
      </c>
      <c r="J669">
        <v>15500.31</v>
      </c>
      <c r="K669" t="s">
        <v>17</v>
      </c>
      <c r="L669" t="b">
        <v>0</v>
      </c>
      <c r="N669" s="2" t="b">
        <f t="shared" si="57"/>
        <v>1</v>
      </c>
      <c r="O669" t="str">
        <f t="shared" si="59"/>
        <v/>
      </c>
      <c r="Q669" t="str">
        <f t="shared" si="58"/>
        <v/>
      </c>
    </row>
    <row r="670" spans="1:17" hidden="1">
      <c r="A670" t="s">
        <v>775</v>
      </c>
      <c r="B670" s="1">
        <v>45013</v>
      </c>
      <c r="C670">
        <v>2023</v>
      </c>
      <c r="D670">
        <v>3</v>
      </c>
      <c r="E670" t="s">
        <v>19</v>
      </c>
      <c r="F670" t="s">
        <v>14</v>
      </c>
      <c r="G670" t="s">
        <v>80</v>
      </c>
      <c r="H670" t="s">
        <v>81</v>
      </c>
      <c r="I670">
        <v>2982.32</v>
      </c>
      <c r="J670">
        <v>2917.36</v>
      </c>
      <c r="K670" t="s">
        <v>17</v>
      </c>
      <c r="L670" t="b">
        <v>0</v>
      </c>
      <c r="N670" s="2" t="str">
        <f t="shared" si="57"/>
        <v/>
      </c>
      <c r="Q670" t="str">
        <f t="shared" si="58"/>
        <v/>
      </c>
    </row>
    <row r="671" spans="1:17" hidden="1">
      <c r="A671" t="s">
        <v>776</v>
      </c>
      <c r="B671" s="1">
        <v>45013</v>
      </c>
      <c r="C671">
        <v>2023</v>
      </c>
      <c r="D671">
        <v>3</v>
      </c>
      <c r="E671" t="s">
        <v>19</v>
      </c>
      <c r="F671" t="s">
        <v>14</v>
      </c>
      <c r="G671" t="s">
        <v>54</v>
      </c>
      <c r="H671" t="s">
        <v>57</v>
      </c>
      <c r="I671">
        <v>4712.8999999999996</v>
      </c>
      <c r="J671">
        <v>4907.8100000000004</v>
      </c>
      <c r="K671" t="s">
        <v>17</v>
      </c>
      <c r="L671" t="b">
        <v>0</v>
      </c>
      <c r="N671" s="2" t="str">
        <f t="shared" si="57"/>
        <v/>
      </c>
      <c r="Q671" t="str">
        <f t="shared" si="58"/>
        <v/>
      </c>
    </row>
    <row r="672" spans="1:17" hidden="1">
      <c r="A672" t="s">
        <v>777</v>
      </c>
      <c r="B672" s="1">
        <v>45013</v>
      </c>
      <c r="C672">
        <v>2023</v>
      </c>
      <c r="D672">
        <v>3</v>
      </c>
      <c r="E672" t="s">
        <v>19</v>
      </c>
      <c r="F672" t="s">
        <v>28</v>
      </c>
      <c r="G672" t="s">
        <v>80</v>
      </c>
      <c r="H672" t="s">
        <v>217</v>
      </c>
      <c r="I672">
        <v>6486.82</v>
      </c>
      <c r="J672">
        <v>6428.1</v>
      </c>
      <c r="K672" t="s">
        <v>17</v>
      </c>
      <c r="L672" t="b">
        <v>0</v>
      </c>
      <c r="N672" s="2" t="str">
        <f t="shared" si="57"/>
        <v/>
      </c>
      <c r="Q672" t="str">
        <f t="shared" si="58"/>
        <v/>
      </c>
    </row>
    <row r="673" spans="1:17" hidden="1">
      <c r="A673" t="s">
        <v>778</v>
      </c>
      <c r="B673" s="1">
        <v>45013</v>
      </c>
      <c r="C673">
        <v>2023</v>
      </c>
      <c r="D673">
        <v>3</v>
      </c>
      <c r="E673" t="s">
        <v>23</v>
      </c>
      <c r="F673" t="s">
        <v>14</v>
      </c>
      <c r="G673" t="s">
        <v>25</v>
      </c>
      <c r="H673" t="s">
        <v>95</v>
      </c>
      <c r="I673">
        <v>8405.73</v>
      </c>
      <c r="J673">
        <v>8300.83</v>
      </c>
      <c r="K673" t="s">
        <v>17</v>
      </c>
      <c r="L673" t="b">
        <v>0</v>
      </c>
      <c r="N673" s="2" t="str">
        <f t="shared" si="57"/>
        <v/>
      </c>
      <c r="Q673" t="str">
        <f t="shared" si="58"/>
        <v/>
      </c>
    </row>
    <row r="674" spans="1:17" hidden="1">
      <c r="A674" t="s">
        <v>779</v>
      </c>
      <c r="B674" s="1">
        <v>45013</v>
      </c>
      <c r="C674">
        <v>2023</v>
      </c>
      <c r="D674">
        <v>3</v>
      </c>
      <c r="E674" t="s">
        <v>37</v>
      </c>
      <c r="F674" t="s">
        <v>14</v>
      </c>
      <c r="G674" t="s">
        <v>62</v>
      </c>
      <c r="H674" t="s">
        <v>121</v>
      </c>
      <c r="I674">
        <v>3396.06</v>
      </c>
      <c r="J674">
        <v>3418.88</v>
      </c>
      <c r="K674" t="s">
        <v>17</v>
      </c>
      <c r="L674" t="b">
        <v>0</v>
      </c>
      <c r="N674" s="2" t="str">
        <f t="shared" si="57"/>
        <v/>
      </c>
      <c r="Q674" t="str">
        <f t="shared" si="58"/>
        <v/>
      </c>
    </row>
    <row r="675" spans="1:17" hidden="1">
      <c r="A675" t="s">
        <v>780</v>
      </c>
      <c r="B675" s="1">
        <v>45013</v>
      </c>
      <c r="C675">
        <v>2023</v>
      </c>
      <c r="D675">
        <v>3</v>
      </c>
      <c r="E675" t="s">
        <v>37</v>
      </c>
      <c r="F675" t="s">
        <v>28</v>
      </c>
      <c r="G675" t="s">
        <v>98</v>
      </c>
      <c r="H675" t="s">
        <v>185</v>
      </c>
      <c r="I675">
        <v>2507.3000000000002</v>
      </c>
      <c r="J675">
        <v>2739.44</v>
      </c>
      <c r="K675" t="s">
        <v>17</v>
      </c>
      <c r="L675" t="b">
        <v>0</v>
      </c>
      <c r="N675" s="2" t="str">
        <f t="shared" si="57"/>
        <v/>
      </c>
      <c r="Q675" t="str">
        <f t="shared" si="58"/>
        <v/>
      </c>
    </row>
    <row r="676" spans="1:17" hidden="1">
      <c r="A676" t="s">
        <v>781</v>
      </c>
      <c r="B676" s="1">
        <v>45014</v>
      </c>
      <c r="C676">
        <v>2023</v>
      </c>
      <c r="D676">
        <v>3</v>
      </c>
      <c r="E676" t="s">
        <v>13</v>
      </c>
      <c r="F676" t="s">
        <v>28</v>
      </c>
      <c r="G676" t="s">
        <v>68</v>
      </c>
      <c r="H676" t="s">
        <v>213</v>
      </c>
      <c r="I676">
        <v>3942.27</v>
      </c>
      <c r="J676">
        <v>3820.92</v>
      </c>
      <c r="K676" t="s">
        <v>17</v>
      </c>
      <c r="L676" t="b">
        <v>0</v>
      </c>
      <c r="N676" s="2" t="str">
        <f t="shared" si="57"/>
        <v/>
      </c>
      <c r="Q676" t="str">
        <f t="shared" si="58"/>
        <v/>
      </c>
    </row>
    <row r="677" spans="1:17" hidden="1">
      <c r="A677" t="s">
        <v>782</v>
      </c>
      <c r="B677" s="1">
        <v>45014</v>
      </c>
      <c r="C677">
        <v>2023</v>
      </c>
      <c r="D677">
        <v>3</v>
      </c>
      <c r="E677" t="s">
        <v>47</v>
      </c>
      <c r="F677" t="s">
        <v>28</v>
      </c>
      <c r="G677" t="s">
        <v>91</v>
      </c>
      <c r="H677" t="s">
        <v>249</v>
      </c>
      <c r="I677">
        <v>13034.62</v>
      </c>
      <c r="J677">
        <v>11185.21</v>
      </c>
      <c r="K677" t="s">
        <v>17</v>
      </c>
      <c r="L677" t="b">
        <v>0</v>
      </c>
      <c r="N677" s="2" t="b">
        <f t="shared" si="57"/>
        <v>1</v>
      </c>
      <c r="O677" t="str">
        <f>IF(AND(E666="HR",K666="EXPENSE"),I666&lt;J666,"")</f>
        <v/>
      </c>
      <c r="Q677" t="str">
        <f t="shared" si="58"/>
        <v/>
      </c>
    </row>
    <row r="678" spans="1:17" hidden="1">
      <c r="A678" t="s">
        <v>783</v>
      </c>
      <c r="B678" s="1">
        <v>45014</v>
      </c>
      <c r="C678">
        <v>2023</v>
      </c>
      <c r="D678">
        <v>3</v>
      </c>
      <c r="E678" t="s">
        <v>23</v>
      </c>
      <c r="F678" t="s">
        <v>28</v>
      </c>
      <c r="G678" t="s">
        <v>141</v>
      </c>
      <c r="H678" t="s">
        <v>153</v>
      </c>
      <c r="I678">
        <v>8042.84</v>
      </c>
      <c r="J678">
        <v>7801.08</v>
      </c>
      <c r="K678" t="s">
        <v>17</v>
      </c>
      <c r="L678" t="b">
        <v>0</v>
      </c>
      <c r="N678" s="2" t="str">
        <f t="shared" si="57"/>
        <v/>
      </c>
      <c r="Q678" t="str">
        <f t="shared" si="58"/>
        <v/>
      </c>
    </row>
    <row r="679" spans="1:17" hidden="1">
      <c r="A679" t="s">
        <v>784</v>
      </c>
      <c r="B679" s="1">
        <v>45014</v>
      </c>
      <c r="C679">
        <v>2023</v>
      </c>
      <c r="D679">
        <v>3</v>
      </c>
      <c r="E679" t="s">
        <v>23</v>
      </c>
      <c r="F679" t="s">
        <v>28</v>
      </c>
      <c r="G679" t="s">
        <v>59</v>
      </c>
      <c r="H679" t="s">
        <v>155</v>
      </c>
      <c r="I679">
        <v>6498.22</v>
      </c>
      <c r="J679">
        <v>6855.15</v>
      </c>
      <c r="K679" t="s">
        <v>17</v>
      </c>
      <c r="L679" t="b">
        <v>0</v>
      </c>
      <c r="N679" s="2" t="str">
        <f t="shared" si="57"/>
        <v/>
      </c>
      <c r="Q679" t="str">
        <f t="shared" si="58"/>
        <v/>
      </c>
    </row>
    <row r="680" spans="1:17" hidden="1">
      <c r="A680" t="s">
        <v>785</v>
      </c>
      <c r="B680" s="1">
        <v>45014</v>
      </c>
      <c r="C680">
        <v>2023</v>
      </c>
      <c r="D680">
        <v>3</v>
      </c>
      <c r="E680" t="s">
        <v>23</v>
      </c>
      <c r="F680" t="s">
        <v>24</v>
      </c>
      <c r="G680" t="s">
        <v>25</v>
      </c>
      <c r="H680" t="s">
        <v>26</v>
      </c>
      <c r="I680">
        <v>5711.01</v>
      </c>
      <c r="J680">
        <v>5665.94</v>
      </c>
      <c r="K680" t="s">
        <v>17</v>
      </c>
      <c r="L680" t="b">
        <v>0</v>
      </c>
      <c r="N680" s="2" t="str">
        <f t="shared" si="57"/>
        <v/>
      </c>
      <c r="Q680" t="str">
        <f t="shared" si="58"/>
        <v/>
      </c>
    </row>
    <row r="681" spans="1:17" hidden="1">
      <c r="A681" t="s">
        <v>786</v>
      </c>
      <c r="B681" s="1">
        <v>45014</v>
      </c>
      <c r="C681">
        <v>2023</v>
      </c>
      <c r="D681">
        <v>3</v>
      </c>
      <c r="E681" t="s">
        <v>37</v>
      </c>
      <c r="F681" t="s">
        <v>28</v>
      </c>
      <c r="G681" t="s">
        <v>98</v>
      </c>
      <c r="H681" t="s">
        <v>99</v>
      </c>
      <c r="I681">
        <v>3476.14</v>
      </c>
      <c r="J681">
        <v>3414.29</v>
      </c>
      <c r="K681" t="s">
        <v>17</v>
      </c>
      <c r="L681" t="b">
        <v>0</v>
      </c>
      <c r="N681" s="2" t="str">
        <f t="shared" si="57"/>
        <v/>
      </c>
      <c r="Q681" t="str">
        <f t="shared" si="58"/>
        <v/>
      </c>
    </row>
    <row r="682" spans="1:17" hidden="1">
      <c r="A682" t="s">
        <v>787</v>
      </c>
      <c r="B682" s="1">
        <v>45015</v>
      </c>
      <c r="C682">
        <v>2023</v>
      </c>
      <c r="D682">
        <v>3</v>
      </c>
      <c r="E682" t="s">
        <v>13</v>
      </c>
      <c r="F682" t="s">
        <v>28</v>
      </c>
      <c r="G682" t="s">
        <v>108</v>
      </c>
      <c r="H682" t="s">
        <v>123</v>
      </c>
      <c r="I682">
        <v>2492.9899999999998</v>
      </c>
      <c r="J682">
        <v>2702.09</v>
      </c>
      <c r="K682" t="s">
        <v>17</v>
      </c>
      <c r="L682" t="b">
        <v>0</v>
      </c>
      <c r="N682" s="2" t="str">
        <f t="shared" si="57"/>
        <v/>
      </c>
      <c r="Q682" t="str">
        <f t="shared" si="58"/>
        <v/>
      </c>
    </row>
    <row r="683" spans="1:17" hidden="1">
      <c r="A683" t="s">
        <v>788</v>
      </c>
      <c r="B683" s="1">
        <v>45015</v>
      </c>
      <c r="C683">
        <v>2023</v>
      </c>
      <c r="D683">
        <v>3</v>
      </c>
      <c r="E683" t="s">
        <v>47</v>
      </c>
      <c r="F683" t="s">
        <v>14</v>
      </c>
      <c r="G683" t="s">
        <v>51</v>
      </c>
      <c r="H683" t="s">
        <v>72</v>
      </c>
      <c r="I683">
        <v>17674.3</v>
      </c>
      <c r="J683">
        <v>14804.64</v>
      </c>
      <c r="K683" t="s">
        <v>17</v>
      </c>
      <c r="L683" t="b">
        <v>0</v>
      </c>
      <c r="N683" s="2" t="b">
        <f t="shared" si="57"/>
        <v>1</v>
      </c>
      <c r="O683" t="str">
        <f t="shared" ref="O683:O685" si="60">IF(AND(E672="HR",K672="EXPENSE"),I672&lt;J672,"")</f>
        <v/>
      </c>
      <c r="Q683" t="str">
        <f t="shared" si="58"/>
        <v/>
      </c>
    </row>
    <row r="684" spans="1:17" hidden="1">
      <c r="A684" t="s">
        <v>789</v>
      </c>
      <c r="B684" s="1">
        <v>45015</v>
      </c>
      <c r="C684">
        <v>2023</v>
      </c>
      <c r="D684">
        <v>3</v>
      </c>
      <c r="E684" t="s">
        <v>47</v>
      </c>
      <c r="F684" t="s">
        <v>28</v>
      </c>
      <c r="G684" t="s">
        <v>48</v>
      </c>
      <c r="H684" t="s">
        <v>111</v>
      </c>
      <c r="I684">
        <v>13900.08</v>
      </c>
      <c r="J684">
        <v>12029.49</v>
      </c>
      <c r="K684" t="s">
        <v>17</v>
      </c>
      <c r="L684" t="b">
        <v>0</v>
      </c>
      <c r="N684" s="2" t="b">
        <f t="shared" si="57"/>
        <v>1</v>
      </c>
      <c r="O684" t="str">
        <f t="shared" si="60"/>
        <v/>
      </c>
      <c r="Q684" t="str">
        <f t="shared" si="58"/>
        <v/>
      </c>
    </row>
    <row r="685" spans="1:17" hidden="1">
      <c r="A685" t="s">
        <v>790</v>
      </c>
      <c r="B685" s="1">
        <v>45015</v>
      </c>
      <c r="C685">
        <v>2023</v>
      </c>
      <c r="D685">
        <v>3</v>
      </c>
      <c r="E685" t="s">
        <v>47</v>
      </c>
      <c r="F685" t="s">
        <v>28</v>
      </c>
      <c r="G685" t="s">
        <v>91</v>
      </c>
      <c r="H685" t="s">
        <v>92</v>
      </c>
      <c r="I685">
        <v>22475.08</v>
      </c>
      <c r="J685">
        <v>19308.32</v>
      </c>
      <c r="K685" t="s">
        <v>17</v>
      </c>
      <c r="L685" t="b">
        <v>0</v>
      </c>
      <c r="N685" s="2" t="b">
        <f t="shared" si="57"/>
        <v>1</v>
      </c>
      <c r="O685" t="str">
        <f t="shared" si="60"/>
        <v/>
      </c>
      <c r="Q685" t="str">
        <f t="shared" si="58"/>
        <v/>
      </c>
    </row>
    <row r="686" spans="1:17" hidden="1">
      <c r="A686" t="s">
        <v>791</v>
      </c>
      <c r="B686" s="1">
        <v>45015</v>
      </c>
      <c r="C686">
        <v>2023</v>
      </c>
      <c r="D686">
        <v>3</v>
      </c>
      <c r="E686" t="s">
        <v>19</v>
      </c>
      <c r="F686" t="s">
        <v>28</v>
      </c>
      <c r="G686" t="s">
        <v>54</v>
      </c>
      <c r="H686" t="s">
        <v>57</v>
      </c>
      <c r="I686">
        <v>8448.9500000000007</v>
      </c>
      <c r="J686">
        <v>9072.32</v>
      </c>
      <c r="K686" t="s">
        <v>17</v>
      </c>
      <c r="L686" t="b">
        <v>0</v>
      </c>
      <c r="N686" s="2" t="str">
        <f t="shared" si="57"/>
        <v/>
      </c>
      <c r="Q686" t="str">
        <f t="shared" si="58"/>
        <v/>
      </c>
    </row>
    <row r="687" spans="1:17" hidden="1">
      <c r="A687" t="s">
        <v>792</v>
      </c>
      <c r="B687" s="1">
        <v>45015</v>
      </c>
      <c r="C687">
        <v>2023</v>
      </c>
      <c r="D687">
        <v>3</v>
      </c>
      <c r="E687" t="s">
        <v>23</v>
      </c>
      <c r="F687" t="s">
        <v>24</v>
      </c>
      <c r="G687" t="s">
        <v>141</v>
      </c>
      <c r="H687" t="s">
        <v>142</v>
      </c>
      <c r="I687">
        <v>6440.66</v>
      </c>
      <c r="J687">
        <v>6760.21</v>
      </c>
      <c r="K687" t="s">
        <v>17</v>
      </c>
      <c r="L687" t="b">
        <v>0</v>
      </c>
      <c r="N687" s="2" t="str">
        <f t="shared" si="57"/>
        <v/>
      </c>
      <c r="Q687" t="str">
        <f t="shared" si="58"/>
        <v/>
      </c>
    </row>
    <row r="688" spans="1:17" hidden="1">
      <c r="A688" t="s">
        <v>793</v>
      </c>
      <c r="B688" s="1">
        <v>45015</v>
      </c>
      <c r="C688">
        <v>2023</v>
      </c>
      <c r="D688">
        <v>3</v>
      </c>
      <c r="E688" t="s">
        <v>37</v>
      </c>
      <c r="F688" t="s">
        <v>28</v>
      </c>
      <c r="G688" t="s">
        <v>62</v>
      </c>
      <c r="H688" t="s">
        <v>121</v>
      </c>
      <c r="I688">
        <v>3296.51</v>
      </c>
      <c r="J688">
        <v>3353.61</v>
      </c>
      <c r="K688" t="s">
        <v>17</v>
      </c>
      <c r="L688" t="b">
        <v>0</v>
      </c>
      <c r="N688" s="2" t="str">
        <f t="shared" si="57"/>
        <v/>
      </c>
      <c r="Q688" t="str">
        <f t="shared" si="58"/>
        <v/>
      </c>
    </row>
    <row r="689" spans="1:17" hidden="1">
      <c r="A689" t="s">
        <v>794</v>
      </c>
      <c r="B689" s="1">
        <v>45016</v>
      </c>
      <c r="C689">
        <v>2023</v>
      </c>
      <c r="D689">
        <v>3</v>
      </c>
      <c r="E689" t="s">
        <v>47</v>
      </c>
      <c r="F689" t="s">
        <v>14</v>
      </c>
      <c r="G689" t="s">
        <v>91</v>
      </c>
      <c r="H689" t="s">
        <v>92</v>
      </c>
      <c r="I689">
        <v>15454.9</v>
      </c>
      <c r="J689">
        <v>12832.44</v>
      </c>
      <c r="K689" t="s">
        <v>17</v>
      </c>
      <c r="L689" t="b">
        <v>0</v>
      </c>
      <c r="N689" s="2" t="b">
        <f t="shared" si="57"/>
        <v>1</v>
      </c>
      <c r="O689" t="str">
        <f>IF(AND(E678="HR",K678="EXPENSE"),I678&lt;J678,"")</f>
        <v/>
      </c>
      <c r="Q689" t="str">
        <f t="shared" si="58"/>
        <v/>
      </c>
    </row>
    <row r="690" spans="1:17" hidden="1">
      <c r="A690" t="s">
        <v>795</v>
      </c>
      <c r="B690" s="1">
        <v>45016</v>
      </c>
      <c r="C690">
        <v>2023</v>
      </c>
      <c r="D690">
        <v>3</v>
      </c>
      <c r="E690" t="s">
        <v>19</v>
      </c>
      <c r="F690" t="s">
        <v>28</v>
      </c>
      <c r="G690" t="s">
        <v>54</v>
      </c>
      <c r="H690" t="s">
        <v>55</v>
      </c>
      <c r="I690">
        <v>6244.46</v>
      </c>
      <c r="J690">
        <v>6014.85</v>
      </c>
      <c r="K690" t="s">
        <v>17</v>
      </c>
      <c r="L690" t="b">
        <v>0</v>
      </c>
      <c r="N690" s="2" t="str">
        <f t="shared" si="57"/>
        <v/>
      </c>
      <c r="Q690" t="str">
        <f t="shared" si="58"/>
        <v/>
      </c>
    </row>
    <row r="691" spans="1:17" hidden="1">
      <c r="A691" t="s">
        <v>796</v>
      </c>
      <c r="B691" s="1">
        <v>45016</v>
      </c>
      <c r="C691">
        <v>2023</v>
      </c>
      <c r="D691">
        <v>3</v>
      </c>
      <c r="E691" t="s">
        <v>19</v>
      </c>
      <c r="F691" t="s">
        <v>28</v>
      </c>
      <c r="G691" t="s">
        <v>80</v>
      </c>
      <c r="H691" t="s">
        <v>150</v>
      </c>
      <c r="I691">
        <v>6736.46</v>
      </c>
      <c r="J691">
        <v>6353.39</v>
      </c>
      <c r="K691" t="s">
        <v>17</v>
      </c>
      <c r="L691" t="b">
        <v>0</v>
      </c>
      <c r="N691" s="2" t="str">
        <f t="shared" si="57"/>
        <v/>
      </c>
      <c r="Q691" t="str">
        <f t="shared" si="58"/>
        <v/>
      </c>
    </row>
    <row r="692" spans="1:17" hidden="1">
      <c r="A692" t="s">
        <v>797</v>
      </c>
      <c r="B692" s="1">
        <v>45016</v>
      </c>
      <c r="C692">
        <v>2023</v>
      </c>
      <c r="D692">
        <v>3</v>
      </c>
      <c r="E692" t="s">
        <v>23</v>
      </c>
      <c r="F692" t="s">
        <v>14</v>
      </c>
      <c r="G692" t="s">
        <v>59</v>
      </c>
      <c r="H692" t="s">
        <v>155</v>
      </c>
      <c r="I692">
        <v>6487.89</v>
      </c>
      <c r="J692">
        <v>6428.69</v>
      </c>
      <c r="K692" t="s">
        <v>17</v>
      </c>
      <c r="L692" t="b">
        <v>0</v>
      </c>
      <c r="N692" s="2" t="str">
        <f t="shared" si="57"/>
        <v/>
      </c>
      <c r="Q692" t="str">
        <f t="shared" si="58"/>
        <v/>
      </c>
    </row>
    <row r="693" spans="1:17" hidden="1">
      <c r="A693" t="s">
        <v>798</v>
      </c>
      <c r="B693" s="1">
        <v>45016</v>
      </c>
      <c r="C693">
        <v>2023</v>
      </c>
      <c r="D693">
        <v>3</v>
      </c>
      <c r="E693" t="s">
        <v>23</v>
      </c>
      <c r="F693" t="s">
        <v>24</v>
      </c>
      <c r="G693" t="s">
        <v>141</v>
      </c>
      <c r="H693" t="s">
        <v>142</v>
      </c>
      <c r="I693">
        <v>6846.36</v>
      </c>
      <c r="J693">
        <v>7273.26</v>
      </c>
      <c r="K693" t="s">
        <v>17</v>
      </c>
      <c r="L693" t="b">
        <v>0</v>
      </c>
      <c r="N693" s="2" t="str">
        <f t="shared" si="57"/>
        <v/>
      </c>
      <c r="Q693" t="str">
        <f t="shared" si="58"/>
        <v/>
      </c>
    </row>
    <row r="694" spans="1:17" hidden="1">
      <c r="A694" t="s">
        <v>799</v>
      </c>
      <c r="B694" s="1">
        <v>45016</v>
      </c>
      <c r="C694">
        <v>2023</v>
      </c>
      <c r="D694">
        <v>3</v>
      </c>
      <c r="E694" t="s">
        <v>23</v>
      </c>
      <c r="F694" t="s">
        <v>24</v>
      </c>
      <c r="G694" t="s">
        <v>141</v>
      </c>
      <c r="H694" t="s">
        <v>153</v>
      </c>
      <c r="I694">
        <v>5146.29</v>
      </c>
      <c r="J694">
        <v>5586.9</v>
      </c>
      <c r="K694" t="s">
        <v>17</v>
      </c>
      <c r="L694" t="b">
        <v>0</v>
      </c>
      <c r="N694" s="2" t="str">
        <f t="shared" si="57"/>
        <v/>
      </c>
      <c r="Q694" t="str">
        <f t="shared" si="58"/>
        <v/>
      </c>
    </row>
    <row r="695" spans="1:17" hidden="1">
      <c r="A695" t="s">
        <v>800</v>
      </c>
      <c r="B695" s="1">
        <v>45016</v>
      </c>
      <c r="C695">
        <v>2023</v>
      </c>
      <c r="D695">
        <v>3</v>
      </c>
      <c r="E695" t="s">
        <v>23</v>
      </c>
      <c r="F695" t="s">
        <v>24</v>
      </c>
      <c r="G695" t="s">
        <v>141</v>
      </c>
      <c r="H695" t="s">
        <v>153</v>
      </c>
      <c r="I695">
        <v>5406.29</v>
      </c>
      <c r="J695">
        <v>5125.91</v>
      </c>
      <c r="K695" t="s">
        <v>17</v>
      </c>
      <c r="L695" t="b">
        <v>0</v>
      </c>
      <c r="N695" s="2" t="str">
        <f t="shared" si="57"/>
        <v/>
      </c>
      <c r="Q695" t="str">
        <f t="shared" si="58"/>
        <v/>
      </c>
    </row>
    <row r="696" spans="1:17" hidden="1">
      <c r="A696" t="s">
        <v>801</v>
      </c>
      <c r="B696" s="1">
        <v>45016</v>
      </c>
      <c r="C696">
        <v>2023</v>
      </c>
      <c r="D696">
        <v>3</v>
      </c>
      <c r="E696" t="s">
        <v>37</v>
      </c>
      <c r="F696" t="s">
        <v>14</v>
      </c>
      <c r="G696" t="s">
        <v>98</v>
      </c>
      <c r="H696" t="s">
        <v>99</v>
      </c>
      <c r="I696">
        <v>3504.09</v>
      </c>
      <c r="J696">
        <v>3344.74</v>
      </c>
      <c r="K696" t="s">
        <v>17</v>
      </c>
      <c r="L696" t="b">
        <v>0</v>
      </c>
      <c r="N696" s="2" t="str">
        <f t="shared" si="57"/>
        <v/>
      </c>
      <c r="Q696" t="str">
        <f t="shared" si="58"/>
        <v/>
      </c>
    </row>
    <row r="697" spans="1:17" hidden="1">
      <c r="A697" t="s">
        <v>802</v>
      </c>
      <c r="B697" s="1">
        <v>45016</v>
      </c>
      <c r="C697">
        <v>2023</v>
      </c>
      <c r="D697">
        <v>3</v>
      </c>
      <c r="E697" t="s">
        <v>37</v>
      </c>
      <c r="F697" t="s">
        <v>28</v>
      </c>
      <c r="G697" t="s">
        <v>41</v>
      </c>
      <c r="H697" t="s">
        <v>42</v>
      </c>
      <c r="I697">
        <v>3435.43</v>
      </c>
      <c r="J697">
        <v>3511.68</v>
      </c>
      <c r="K697" t="s">
        <v>17</v>
      </c>
      <c r="L697" t="b">
        <v>0</v>
      </c>
      <c r="N697" s="2" t="str">
        <f t="shared" si="57"/>
        <v/>
      </c>
      <c r="Q697" t="str">
        <f t="shared" si="58"/>
        <v/>
      </c>
    </row>
    <row r="698" spans="1:17" hidden="1">
      <c r="A698" t="s">
        <v>803</v>
      </c>
      <c r="B698" s="1">
        <v>45017</v>
      </c>
      <c r="C698">
        <v>2023</v>
      </c>
      <c r="D698">
        <v>4</v>
      </c>
      <c r="E698" t="s">
        <v>47</v>
      </c>
      <c r="F698" t="s">
        <v>28</v>
      </c>
      <c r="G698" t="s">
        <v>91</v>
      </c>
      <c r="H698" t="s">
        <v>254</v>
      </c>
      <c r="I698">
        <v>14781.66</v>
      </c>
      <c r="J698">
        <v>12851.1</v>
      </c>
      <c r="K698" t="s">
        <v>17</v>
      </c>
      <c r="L698" t="b">
        <v>0</v>
      </c>
      <c r="N698" s="2" t="b">
        <f t="shared" si="57"/>
        <v>1</v>
      </c>
      <c r="O698" t="str">
        <f>IF(AND(E687="HR",K687="EXPENSE"),I687&lt;J687,"")</f>
        <v/>
      </c>
      <c r="Q698" t="str">
        <f t="shared" si="58"/>
        <v/>
      </c>
    </row>
    <row r="699" spans="1:17" hidden="1">
      <c r="A699" t="s">
        <v>804</v>
      </c>
      <c r="B699" s="1">
        <v>45017</v>
      </c>
      <c r="C699">
        <v>2023</v>
      </c>
      <c r="D699">
        <v>4</v>
      </c>
      <c r="E699" t="s">
        <v>19</v>
      </c>
      <c r="F699" t="s">
        <v>14</v>
      </c>
      <c r="G699" t="s">
        <v>54</v>
      </c>
      <c r="H699" t="s">
        <v>55</v>
      </c>
      <c r="I699">
        <v>5495.67</v>
      </c>
      <c r="J699">
        <v>6024.68</v>
      </c>
      <c r="K699" t="s">
        <v>17</v>
      </c>
      <c r="L699" t="b">
        <v>0</v>
      </c>
      <c r="N699" s="2" t="str">
        <f t="shared" si="57"/>
        <v/>
      </c>
      <c r="Q699" t="str">
        <f t="shared" si="58"/>
        <v/>
      </c>
    </row>
    <row r="700" spans="1:17" hidden="1">
      <c r="A700" t="s">
        <v>805</v>
      </c>
      <c r="B700" s="1">
        <v>45017</v>
      </c>
      <c r="C700">
        <v>2023</v>
      </c>
      <c r="D700">
        <v>4</v>
      </c>
      <c r="E700" t="s">
        <v>19</v>
      </c>
      <c r="F700" t="s">
        <v>24</v>
      </c>
      <c r="G700" t="s">
        <v>132</v>
      </c>
      <c r="H700" t="s">
        <v>138</v>
      </c>
      <c r="I700">
        <v>5165.42</v>
      </c>
      <c r="J700">
        <v>5103.7700000000004</v>
      </c>
      <c r="K700" t="s">
        <v>17</v>
      </c>
      <c r="L700" t="b">
        <v>0</v>
      </c>
      <c r="N700" s="2" t="str">
        <f t="shared" si="57"/>
        <v/>
      </c>
      <c r="Q700" t="str">
        <f t="shared" si="58"/>
        <v/>
      </c>
    </row>
    <row r="701" spans="1:17" hidden="1">
      <c r="A701" t="s">
        <v>806</v>
      </c>
      <c r="B701" s="1">
        <v>45017</v>
      </c>
      <c r="C701">
        <v>2023</v>
      </c>
      <c r="D701">
        <v>4</v>
      </c>
      <c r="E701" t="s">
        <v>23</v>
      </c>
      <c r="F701" t="s">
        <v>24</v>
      </c>
      <c r="G701" t="s">
        <v>30</v>
      </c>
      <c r="H701" t="s">
        <v>33</v>
      </c>
      <c r="I701">
        <v>2592.7600000000002</v>
      </c>
      <c r="J701">
        <v>2800.22</v>
      </c>
      <c r="K701" t="s">
        <v>17</v>
      </c>
      <c r="L701" t="b">
        <v>0</v>
      </c>
      <c r="N701" s="2" t="str">
        <f t="shared" si="57"/>
        <v/>
      </c>
      <c r="Q701" t="str">
        <f t="shared" si="58"/>
        <v/>
      </c>
    </row>
    <row r="702" spans="1:17" hidden="1">
      <c r="A702" t="s">
        <v>807</v>
      </c>
      <c r="B702" s="1">
        <v>45017</v>
      </c>
      <c r="C702">
        <v>2023</v>
      </c>
      <c r="D702">
        <v>4</v>
      </c>
      <c r="E702" t="s">
        <v>23</v>
      </c>
      <c r="F702" t="s">
        <v>24</v>
      </c>
      <c r="G702" t="s">
        <v>59</v>
      </c>
      <c r="H702" t="s">
        <v>60</v>
      </c>
      <c r="I702">
        <v>4303.1400000000003</v>
      </c>
      <c r="J702">
        <v>3972.78</v>
      </c>
      <c r="K702" t="s">
        <v>17</v>
      </c>
      <c r="L702" t="b">
        <v>0</v>
      </c>
      <c r="N702" s="2" t="str">
        <f t="shared" si="57"/>
        <v/>
      </c>
      <c r="Q702" t="str">
        <f t="shared" si="58"/>
        <v/>
      </c>
    </row>
    <row r="703" spans="1:17" hidden="1">
      <c r="A703" t="s">
        <v>808</v>
      </c>
      <c r="B703" s="1">
        <v>45017</v>
      </c>
      <c r="C703">
        <v>2023</v>
      </c>
      <c r="D703">
        <v>4</v>
      </c>
      <c r="E703" t="s">
        <v>37</v>
      </c>
      <c r="F703" t="s">
        <v>24</v>
      </c>
      <c r="G703" t="s">
        <v>38</v>
      </c>
      <c r="H703" t="s">
        <v>227</v>
      </c>
      <c r="I703">
        <v>7300.9</v>
      </c>
      <c r="J703">
        <v>6732.87</v>
      </c>
      <c r="K703" t="s">
        <v>17</v>
      </c>
      <c r="L703" t="b">
        <v>0</v>
      </c>
      <c r="N703" s="2" t="str">
        <f t="shared" si="57"/>
        <v/>
      </c>
      <c r="Q703" t="str">
        <f t="shared" si="58"/>
        <v/>
      </c>
    </row>
    <row r="704" spans="1:17" hidden="1">
      <c r="A704" t="s">
        <v>809</v>
      </c>
      <c r="B704" s="1">
        <v>45018</v>
      </c>
      <c r="C704">
        <v>2023</v>
      </c>
      <c r="D704">
        <v>4</v>
      </c>
      <c r="E704" t="s">
        <v>47</v>
      </c>
      <c r="F704" t="s">
        <v>28</v>
      </c>
      <c r="G704" t="s">
        <v>91</v>
      </c>
      <c r="H704" t="s">
        <v>249</v>
      </c>
      <c r="I704">
        <v>10226.51</v>
      </c>
      <c r="J704">
        <v>8598.73</v>
      </c>
      <c r="K704" t="s">
        <v>17</v>
      </c>
      <c r="L704" t="b">
        <v>0</v>
      </c>
      <c r="N704" s="2" t="b">
        <f t="shared" si="57"/>
        <v>1</v>
      </c>
      <c r="O704" t="str">
        <f t="shared" ref="O704:O706" si="61">IF(AND(E693="HR",K693="EXPENSE"),I693&lt;J693,"")</f>
        <v/>
      </c>
      <c r="Q704" t="str">
        <f t="shared" si="58"/>
        <v/>
      </c>
    </row>
    <row r="705" spans="1:17" hidden="1">
      <c r="A705" t="s">
        <v>810</v>
      </c>
      <c r="B705" s="1">
        <v>45018</v>
      </c>
      <c r="C705">
        <v>2023</v>
      </c>
      <c r="D705">
        <v>4</v>
      </c>
      <c r="E705" t="s">
        <v>47</v>
      </c>
      <c r="F705" t="s">
        <v>28</v>
      </c>
      <c r="G705" t="s">
        <v>48</v>
      </c>
      <c r="H705" t="s">
        <v>75</v>
      </c>
      <c r="I705">
        <v>8381.81</v>
      </c>
      <c r="J705">
        <v>7100.93</v>
      </c>
      <c r="K705" t="s">
        <v>17</v>
      </c>
      <c r="L705" t="b">
        <v>0</v>
      </c>
      <c r="N705" s="2" t="b">
        <f t="shared" si="57"/>
        <v>1</v>
      </c>
      <c r="O705" t="str">
        <f t="shared" si="61"/>
        <v/>
      </c>
      <c r="Q705" t="str">
        <f t="shared" si="58"/>
        <v/>
      </c>
    </row>
    <row r="706" spans="1:17" hidden="1">
      <c r="A706" t="s">
        <v>811</v>
      </c>
      <c r="B706" s="1">
        <v>45018</v>
      </c>
      <c r="C706">
        <v>2023</v>
      </c>
      <c r="D706">
        <v>4</v>
      </c>
      <c r="E706" t="s">
        <v>47</v>
      </c>
      <c r="F706" t="s">
        <v>24</v>
      </c>
      <c r="G706" t="s">
        <v>77</v>
      </c>
      <c r="H706" t="s">
        <v>78</v>
      </c>
      <c r="I706">
        <v>16783.64</v>
      </c>
      <c r="J706">
        <v>13804.07</v>
      </c>
      <c r="K706" t="s">
        <v>17</v>
      </c>
      <c r="L706" t="b">
        <v>0</v>
      </c>
      <c r="N706" s="2" t="b">
        <f t="shared" si="57"/>
        <v>1</v>
      </c>
      <c r="O706" t="str">
        <f t="shared" si="61"/>
        <v/>
      </c>
      <c r="Q706" t="str">
        <f t="shared" si="58"/>
        <v/>
      </c>
    </row>
    <row r="707" spans="1:17">
      <c r="A707" t="s">
        <v>812</v>
      </c>
      <c r="B707" s="1">
        <v>45018</v>
      </c>
      <c r="C707">
        <v>2023</v>
      </c>
      <c r="D707">
        <v>4</v>
      </c>
      <c r="E707" t="s">
        <v>19</v>
      </c>
      <c r="F707" t="s">
        <v>14</v>
      </c>
      <c r="G707" t="s">
        <v>20</v>
      </c>
      <c r="H707" t="s">
        <v>207</v>
      </c>
      <c r="I707">
        <v>28041.16</v>
      </c>
      <c r="J707">
        <v>8351.4599999999991</v>
      </c>
      <c r="K707" t="s">
        <v>17</v>
      </c>
      <c r="L707" t="b">
        <v>1</v>
      </c>
      <c r="N707" s="2" t="str">
        <f t="shared" ref="N707:N770" si="62">IF(AND(E707="IT",K707="EXPENSE"),I707&gt;J707,"")</f>
        <v/>
      </c>
      <c r="Q707" t="b">
        <f t="shared" ref="Q707:Q770" si="63">IF(L707=TRUE,OR(H707="Apex Solutions Inc",H707="Global Trade Partners",H707="NovaTech Services"),"")</f>
        <v>1</v>
      </c>
    </row>
    <row r="708" spans="1:17" hidden="1">
      <c r="A708" t="s">
        <v>813</v>
      </c>
      <c r="B708" s="1">
        <v>45018</v>
      </c>
      <c r="C708">
        <v>2023</v>
      </c>
      <c r="D708">
        <v>4</v>
      </c>
      <c r="E708" t="s">
        <v>19</v>
      </c>
      <c r="F708" t="s">
        <v>28</v>
      </c>
      <c r="G708" t="s">
        <v>20</v>
      </c>
      <c r="H708" t="s">
        <v>174</v>
      </c>
      <c r="I708">
        <v>6442.99</v>
      </c>
      <c r="J708">
        <v>6492.86</v>
      </c>
      <c r="K708" t="s">
        <v>17</v>
      </c>
      <c r="L708" t="b">
        <v>0</v>
      </c>
      <c r="N708" s="2" t="str">
        <f t="shared" si="62"/>
        <v/>
      </c>
      <c r="Q708" t="str">
        <f t="shared" si="63"/>
        <v/>
      </c>
    </row>
    <row r="709" spans="1:17" hidden="1">
      <c r="A709" t="s">
        <v>814</v>
      </c>
      <c r="B709" s="1">
        <v>45018</v>
      </c>
      <c r="C709">
        <v>2023</v>
      </c>
      <c r="D709">
        <v>4</v>
      </c>
      <c r="E709" t="s">
        <v>19</v>
      </c>
      <c r="F709" t="s">
        <v>24</v>
      </c>
      <c r="G709" t="s">
        <v>132</v>
      </c>
      <c r="H709" t="s">
        <v>171</v>
      </c>
      <c r="I709">
        <v>6900.83</v>
      </c>
      <c r="J709">
        <v>6428.75</v>
      </c>
      <c r="K709" t="s">
        <v>17</v>
      </c>
      <c r="L709" t="b">
        <v>0</v>
      </c>
      <c r="N709" s="2" t="str">
        <f t="shared" si="62"/>
        <v/>
      </c>
      <c r="Q709" t="str">
        <f t="shared" si="63"/>
        <v/>
      </c>
    </row>
    <row r="710" spans="1:17" hidden="1">
      <c r="A710" t="s">
        <v>815</v>
      </c>
      <c r="B710" s="1">
        <v>45018</v>
      </c>
      <c r="C710">
        <v>2023</v>
      </c>
      <c r="D710">
        <v>4</v>
      </c>
      <c r="E710" t="s">
        <v>23</v>
      </c>
      <c r="F710" t="s">
        <v>14</v>
      </c>
      <c r="G710" t="s">
        <v>59</v>
      </c>
      <c r="H710" t="s">
        <v>60</v>
      </c>
      <c r="I710">
        <v>7948.73</v>
      </c>
      <c r="J710">
        <v>8611.07</v>
      </c>
      <c r="K710" t="s">
        <v>17</v>
      </c>
      <c r="L710" t="b">
        <v>0</v>
      </c>
      <c r="N710" s="2" t="str">
        <f t="shared" si="62"/>
        <v/>
      </c>
      <c r="Q710" t="str">
        <f t="shared" si="63"/>
        <v/>
      </c>
    </row>
    <row r="711" spans="1:17" hidden="1">
      <c r="A711" t="s">
        <v>816</v>
      </c>
      <c r="B711" s="1">
        <v>45018</v>
      </c>
      <c r="C711">
        <v>2023</v>
      </c>
      <c r="D711">
        <v>4</v>
      </c>
      <c r="E711" t="s">
        <v>23</v>
      </c>
      <c r="F711" t="s">
        <v>28</v>
      </c>
      <c r="G711" t="s">
        <v>25</v>
      </c>
      <c r="H711" t="s">
        <v>35</v>
      </c>
      <c r="I711">
        <v>9049.49</v>
      </c>
      <c r="J711">
        <v>9240.94</v>
      </c>
      <c r="K711" t="s">
        <v>17</v>
      </c>
      <c r="L711" t="b">
        <v>0</v>
      </c>
      <c r="N711" s="2" t="str">
        <f t="shared" si="62"/>
        <v/>
      </c>
      <c r="Q711" t="str">
        <f t="shared" si="63"/>
        <v/>
      </c>
    </row>
    <row r="712" spans="1:17" hidden="1">
      <c r="A712" t="s">
        <v>817</v>
      </c>
      <c r="B712" s="1">
        <v>45018</v>
      </c>
      <c r="C712">
        <v>2023</v>
      </c>
      <c r="D712">
        <v>4</v>
      </c>
      <c r="E712" t="s">
        <v>23</v>
      </c>
      <c r="F712" t="s">
        <v>28</v>
      </c>
      <c r="G712" t="s">
        <v>25</v>
      </c>
      <c r="H712" t="s">
        <v>35</v>
      </c>
      <c r="I712">
        <v>4987.72</v>
      </c>
      <c r="J712">
        <v>4852.6400000000003</v>
      </c>
      <c r="K712" t="s">
        <v>17</v>
      </c>
      <c r="L712" t="b">
        <v>0</v>
      </c>
      <c r="N712" s="2" t="str">
        <f t="shared" si="62"/>
        <v/>
      </c>
      <c r="Q712" t="str">
        <f t="shared" si="63"/>
        <v/>
      </c>
    </row>
    <row r="713" spans="1:17" hidden="1">
      <c r="A713" t="s">
        <v>818</v>
      </c>
      <c r="B713" s="1">
        <v>45018</v>
      </c>
      <c r="C713">
        <v>2023</v>
      </c>
      <c r="D713">
        <v>4</v>
      </c>
      <c r="E713" t="s">
        <v>23</v>
      </c>
      <c r="F713" t="s">
        <v>24</v>
      </c>
      <c r="G713" t="s">
        <v>30</v>
      </c>
      <c r="H713" t="s">
        <v>31</v>
      </c>
      <c r="I713">
        <v>4160.63</v>
      </c>
      <c r="J713">
        <v>4064.27</v>
      </c>
      <c r="K713" t="s">
        <v>17</v>
      </c>
      <c r="L713" t="b">
        <v>0</v>
      </c>
      <c r="N713" s="2" t="str">
        <f t="shared" si="62"/>
        <v/>
      </c>
      <c r="Q713" t="str">
        <f t="shared" si="63"/>
        <v/>
      </c>
    </row>
    <row r="714" spans="1:17" hidden="1">
      <c r="A714" t="s">
        <v>819</v>
      </c>
      <c r="B714" s="1">
        <v>45019</v>
      </c>
      <c r="C714">
        <v>2023</v>
      </c>
      <c r="D714">
        <v>4</v>
      </c>
      <c r="E714" t="s">
        <v>13</v>
      </c>
      <c r="F714" t="s">
        <v>14</v>
      </c>
      <c r="G714" t="s">
        <v>102</v>
      </c>
      <c r="H714" t="s">
        <v>145</v>
      </c>
      <c r="I714">
        <v>3656.86</v>
      </c>
      <c r="J714">
        <v>3373.52</v>
      </c>
      <c r="K714" t="s">
        <v>17</v>
      </c>
      <c r="L714" t="b">
        <v>0</v>
      </c>
      <c r="N714" s="2" t="str">
        <f t="shared" si="62"/>
        <v/>
      </c>
      <c r="Q714" t="str">
        <f t="shared" si="63"/>
        <v/>
      </c>
    </row>
    <row r="715" spans="1:17" hidden="1">
      <c r="A715" t="s">
        <v>820</v>
      </c>
      <c r="B715" s="1">
        <v>45019</v>
      </c>
      <c r="C715">
        <v>2023</v>
      </c>
      <c r="D715">
        <v>4</v>
      </c>
      <c r="E715" t="s">
        <v>37</v>
      </c>
      <c r="F715" t="s">
        <v>28</v>
      </c>
      <c r="G715" t="s">
        <v>41</v>
      </c>
      <c r="H715" t="s">
        <v>42</v>
      </c>
      <c r="I715">
        <v>6524.06</v>
      </c>
      <c r="J715">
        <v>6777.39</v>
      </c>
      <c r="K715" t="s">
        <v>17</v>
      </c>
      <c r="L715" t="b">
        <v>0</v>
      </c>
      <c r="N715" s="2" t="str">
        <f t="shared" si="62"/>
        <v/>
      </c>
      <c r="Q715" t="str">
        <f t="shared" si="63"/>
        <v/>
      </c>
    </row>
    <row r="716" spans="1:17" hidden="1">
      <c r="A716" t="s">
        <v>821</v>
      </c>
      <c r="B716" s="1">
        <v>45019</v>
      </c>
      <c r="C716">
        <v>2023</v>
      </c>
      <c r="D716">
        <v>4</v>
      </c>
      <c r="E716" t="s">
        <v>37</v>
      </c>
      <c r="F716" t="s">
        <v>24</v>
      </c>
      <c r="G716" t="s">
        <v>98</v>
      </c>
      <c r="H716" t="s">
        <v>99</v>
      </c>
      <c r="I716">
        <v>7052.98</v>
      </c>
      <c r="J716">
        <v>7576.6</v>
      </c>
      <c r="K716" t="s">
        <v>17</v>
      </c>
      <c r="L716" t="b">
        <v>0</v>
      </c>
      <c r="N716" s="2" t="str">
        <f t="shared" si="62"/>
        <v/>
      </c>
      <c r="Q716" t="str">
        <f t="shared" si="63"/>
        <v/>
      </c>
    </row>
    <row r="717" spans="1:17" hidden="1">
      <c r="A717" t="s">
        <v>822</v>
      </c>
      <c r="B717" s="1">
        <v>45019</v>
      </c>
      <c r="C717">
        <v>2023</v>
      </c>
      <c r="D717">
        <v>4</v>
      </c>
      <c r="E717" t="s">
        <v>37</v>
      </c>
      <c r="F717" t="s">
        <v>24</v>
      </c>
      <c r="G717" t="s">
        <v>38</v>
      </c>
      <c r="H717" t="s">
        <v>227</v>
      </c>
      <c r="I717">
        <v>5413.55</v>
      </c>
      <c r="J717">
        <v>5673.3</v>
      </c>
      <c r="K717" t="s">
        <v>17</v>
      </c>
      <c r="L717" t="b">
        <v>0</v>
      </c>
      <c r="N717" s="2" t="str">
        <f t="shared" si="62"/>
        <v/>
      </c>
      <c r="Q717" t="str">
        <f t="shared" si="63"/>
        <v/>
      </c>
    </row>
    <row r="718" spans="1:17" hidden="1">
      <c r="A718" t="s">
        <v>823</v>
      </c>
      <c r="B718" s="1">
        <v>45020</v>
      </c>
      <c r="C718">
        <v>2023</v>
      </c>
      <c r="D718">
        <v>4</v>
      </c>
      <c r="E718" t="s">
        <v>47</v>
      </c>
      <c r="F718" t="s">
        <v>28</v>
      </c>
      <c r="G718" t="s">
        <v>48</v>
      </c>
      <c r="H718" t="s">
        <v>189</v>
      </c>
      <c r="I718">
        <v>15118.59</v>
      </c>
      <c r="J718">
        <v>12826.57</v>
      </c>
      <c r="K718" t="s">
        <v>17</v>
      </c>
      <c r="L718" t="b">
        <v>0</v>
      </c>
      <c r="N718" s="2" t="b">
        <f t="shared" si="62"/>
        <v>1</v>
      </c>
      <c r="O718" t="str">
        <f>IF(AND(E707="HR",K707="EXPENSE"),I707&lt;J707,"")</f>
        <v/>
      </c>
      <c r="Q718" t="str">
        <f t="shared" si="63"/>
        <v/>
      </c>
    </row>
    <row r="719" spans="1:17" hidden="1">
      <c r="A719" t="s">
        <v>824</v>
      </c>
      <c r="B719" s="1">
        <v>45020</v>
      </c>
      <c r="C719">
        <v>2023</v>
      </c>
      <c r="D719">
        <v>4</v>
      </c>
      <c r="E719" t="s">
        <v>19</v>
      </c>
      <c r="F719" t="s">
        <v>28</v>
      </c>
      <c r="G719" t="s">
        <v>132</v>
      </c>
      <c r="H719" t="s">
        <v>133</v>
      </c>
      <c r="I719">
        <v>7992.53</v>
      </c>
      <c r="J719">
        <v>8012.51</v>
      </c>
      <c r="K719" t="s">
        <v>17</v>
      </c>
      <c r="L719" t="b">
        <v>0</v>
      </c>
      <c r="N719" s="2" t="str">
        <f t="shared" si="62"/>
        <v/>
      </c>
      <c r="Q719" t="str">
        <f t="shared" si="63"/>
        <v/>
      </c>
    </row>
    <row r="720" spans="1:17" hidden="1">
      <c r="A720" t="s">
        <v>825</v>
      </c>
      <c r="B720" s="1">
        <v>45020</v>
      </c>
      <c r="C720">
        <v>2023</v>
      </c>
      <c r="D720">
        <v>4</v>
      </c>
      <c r="E720" t="s">
        <v>19</v>
      </c>
      <c r="F720" t="s">
        <v>28</v>
      </c>
      <c r="G720" t="s">
        <v>132</v>
      </c>
      <c r="H720" t="s">
        <v>138</v>
      </c>
      <c r="I720">
        <v>3215.23</v>
      </c>
      <c r="J720">
        <v>3390.15</v>
      </c>
      <c r="K720" t="s">
        <v>17</v>
      </c>
      <c r="L720" t="b">
        <v>0</v>
      </c>
      <c r="N720" s="2" t="str">
        <f t="shared" si="62"/>
        <v/>
      </c>
      <c r="Q720" t="str">
        <f t="shared" si="63"/>
        <v/>
      </c>
    </row>
    <row r="721" spans="1:17" hidden="1">
      <c r="A721" t="s">
        <v>826</v>
      </c>
      <c r="B721" s="1">
        <v>45020</v>
      </c>
      <c r="C721">
        <v>2023</v>
      </c>
      <c r="D721">
        <v>4</v>
      </c>
      <c r="E721" t="s">
        <v>23</v>
      </c>
      <c r="F721" t="s">
        <v>24</v>
      </c>
      <c r="G721" t="s">
        <v>30</v>
      </c>
      <c r="H721" t="s">
        <v>33</v>
      </c>
      <c r="I721">
        <v>4611.92</v>
      </c>
      <c r="J721">
        <v>4970.18</v>
      </c>
      <c r="K721" t="s">
        <v>17</v>
      </c>
      <c r="L721" t="b">
        <v>0</v>
      </c>
      <c r="N721" s="2" t="str">
        <f t="shared" si="62"/>
        <v/>
      </c>
      <c r="Q721" t="str">
        <f t="shared" si="63"/>
        <v/>
      </c>
    </row>
    <row r="722" spans="1:17" hidden="1">
      <c r="A722" t="s">
        <v>827</v>
      </c>
      <c r="B722" s="1">
        <v>45020</v>
      </c>
      <c r="C722">
        <v>2023</v>
      </c>
      <c r="D722">
        <v>4</v>
      </c>
      <c r="E722" t="s">
        <v>37</v>
      </c>
      <c r="F722" t="s">
        <v>28</v>
      </c>
      <c r="G722" t="s">
        <v>38</v>
      </c>
      <c r="H722" t="s">
        <v>227</v>
      </c>
      <c r="I722">
        <v>7394.62</v>
      </c>
      <c r="J722">
        <v>7899.59</v>
      </c>
      <c r="K722" t="s">
        <v>17</v>
      </c>
      <c r="L722" t="b">
        <v>0</v>
      </c>
      <c r="N722" s="2" t="str">
        <f t="shared" si="62"/>
        <v/>
      </c>
      <c r="Q722" t="str">
        <f t="shared" si="63"/>
        <v/>
      </c>
    </row>
    <row r="723" spans="1:17" hidden="1">
      <c r="A723" t="s">
        <v>828</v>
      </c>
      <c r="B723" s="1">
        <v>45021</v>
      </c>
      <c r="C723">
        <v>2023</v>
      </c>
      <c r="D723">
        <v>4</v>
      </c>
      <c r="E723" t="s">
        <v>13</v>
      </c>
      <c r="F723" t="s">
        <v>14</v>
      </c>
      <c r="G723" t="s">
        <v>102</v>
      </c>
      <c r="H723" t="s">
        <v>278</v>
      </c>
      <c r="I723">
        <v>3757.61</v>
      </c>
      <c r="J723">
        <v>3831.53</v>
      </c>
      <c r="K723" t="s">
        <v>17</v>
      </c>
      <c r="L723" t="b">
        <v>0</v>
      </c>
      <c r="N723" s="2" t="str">
        <f t="shared" si="62"/>
        <v/>
      </c>
      <c r="Q723" t="str">
        <f t="shared" si="63"/>
        <v/>
      </c>
    </row>
    <row r="724" spans="1:17" hidden="1">
      <c r="A724" t="s">
        <v>829</v>
      </c>
      <c r="B724" s="1">
        <v>45021</v>
      </c>
      <c r="C724">
        <v>2023</v>
      </c>
      <c r="D724">
        <v>4</v>
      </c>
      <c r="E724" t="s">
        <v>13</v>
      </c>
      <c r="F724" t="s">
        <v>24</v>
      </c>
      <c r="G724" t="s">
        <v>102</v>
      </c>
      <c r="H724" t="s">
        <v>145</v>
      </c>
      <c r="I724">
        <v>3263.34</v>
      </c>
      <c r="J724">
        <v>3022.82</v>
      </c>
      <c r="K724" t="s">
        <v>17</v>
      </c>
      <c r="L724" t="b">
        <v>0</v>
      </c>
      <c r="N724" s="2" t="str">
        <f t="shared" si="62"/>
        <v/>
      </c>
      <c r="Q724" t="str">
        <f t="shared" si="63"/>
        <v/>
      </c>
    </row>
    <row r="725" spans="1:17" hidden="1">
      <c r="A725" t="s">
        <v>830</v>
      </c>
      <c r="B725" s="1">
        <v>45021</v>
      </c>
      <c r="C725">
        <v>2023</v>
      </c>
      <c r="D725">
        <v>4</v>
      </c>
      <c r="E725" t="s">
        <v>47</v>
      </c>
      <c r="F725" t="s">
        <v>14</v>
      </c>
      <c r="G725" t="s">
        <v>77</v>
      </c>
      <c r="H725" t="s">
        <v>147</v>
      </c>
      <c r="I725">
        <v>10589.44</v>
      </c>
      <c r="J725">
        <v>8788.9</v>
      </c>
      <c r="K725" t="s">
        <v>17</v>
      </c>
      <c r="L725" t="b">
        <v>0</v>
      </c>
      <c r="N725" s="2" t="b">
        <f t="shared" si="62"/>
        <v>1</v>
      </c>
      <c r="O725" t="b">
        <f t="shared" ref="O725:O726" si="64">IF(AND(E714="HR",K714="EXPENSE"),I714&lt;J714,"")</f>
        <v>0</v>
      </c>
      <c r="Q725" t="str">
        <f t="shared" si="63"/>
        <v/>
      </c>
    </row>
    <row r="726" spans="1:17" hidden="1">
      <c r="A726" t="s">
        <v>831</v>
      </c>
      <c r="B726" s="1">
        <v>45021</v>
      </c>
      <c r="C726">
        <v>2023</v>
      </c>
      <c r="D726">
        <v>4</v>
      </c>
      <c r="E726" t="s">
        <v>47</v>
      </c>
      <c r="F726" t="s">
        <v>24</v>
      </c>
      <c r="G726" t="s">
        <v>48</v>
      </c>
      <c r="H726" t="s">
        <v>49</v>
      </c>
      <c r="I726">
        <v>9023.5400000000009</v>
      </c>
      <c r="J726">
        <v>7646.57</v>
      </c>
      <c r="K726" t="s">
        <v>17</v>
      </c>
      <c r="L726" t="b">
        <v>0</v>
      </c>
      <c r="N726" s="2" t="b">
        <f t="shared" si="62"/>
        <v>1</v>
      </c>
      <c r="O726" t="str">
        <f t="shared" si="64"/>
        <v/>
      </c>
      <c r="Q726" t="str">
        <f t="shared" si="63"/>
        <v/>
      </c>
    </row>
    <row r="727" spans="1:17" hidden="1">
      <c r="A727" t="s">
        <v>832</v>
      </c>
      <c r="B727" s="1">
        <v>45021</v>
      </c>
      <c r="C727">
        <v>2023</v>
      </c>
      <c r="D727">
        <v>4</v>
      </c>
      <c r="E727" t="s">
        <v>23</v>
      </c>
      <c r="F727" t="s">
        <v>14</v>
      </c>
      <c r="G727" t="s">
        <v>141</v>
      </c>
      <c r="H727" t="s">
        <v>153</v>
      </c>
      <c r="I727">
        <v>3861.64</v>
      </c>
      <c r="J727">
        <v>3925.13</v>
      </c>
      <c r="K727" t="s">
        <v>17</v>
      </c>
      <c r="L727" t="b">
        <v>0</v>
      </c>
      <c r="N727" s="2" t="str">
        <f t="shared" si="62"/>
        <v/>
      </c>
      <c r="Q727" t="str">
        <f t="shared" si="63"/>
        <v/>
      </c>
    </row>
    <row r="728" spans="1:17" hidden="1">
      <c r="A728" t="s">
        <v>833</v>
      </c>
      <c r="B728" s="1">
        <v>45021</v>
      </c>
      <c r="C728">
        <v>2023</v>
      </c>
      <c r="D728">
        <v>4</v>
      </c>
      <c r="E728" t="s">
        <v>23</v>
      </c>
      <c r="F728" t="s">
        <v>28</v>
      </c>
      <c r="G728" t="s">
        <v>59</v>
      </c>
      <c r="H728" t="s">
        <v>155</v>
      </c>
      <c r="I728">
        <v>4581.7299999999996</v>
      </c>
      <c r="J728">
        <v>4189.2700000000004</v>
      </c>
      <c r="K728" t="s">
        <v>17</v>
      </c>
      <c r="L728" t="b">
        <v>0</v>
      </c>
      <c r="N728" s="2" t="str">
        <f t="shared" si="62"/>
        <v/>
      </c>
      <c r="Q728" t="str">
        <f t="shared" si="63"/>
        <v/>
      </c>
    </row>
    <row r="729" spans="1:17" hidden="1">
      <c r="A729" t="s">
        <v>834</v>
      </c>
      <c r="B729" s="1">
        <v>45021</v>
      </c>
      <c r="C729">
        <v>2023</v>
      </c>
      <c r="D729">
        <v>4</v>
      </c>
      <c r="E729" t="s">
        <v>23</v>
      </c>
      <c r="F729" t="s">
        <v>28</v>
      </c>
      <c r="G729" t="s">
        <v>25</v>
      </c>
      <c r="H729" t="s">
        <v>26</v>
      </c>
      <c r="I729">
        <v>10432.67</v>
      </c>
      <c r="J729">
        <v>9682.67</v>
      </c>
      <c r="K729" t="s">
        <v>17</v>
      </c>
      <c r="L729" t="b">
        <v>0</v>
      </c>
      <c r="N729" s="2" t="str">
        <f t="shared" si="62"/>
        <v/>
      </c>
      <c r="Q729" t="str">
        <f t="shared" si="63"/>
        <v/>
      </c>
    </row>
    <row r="730" spans="1:17" hidden="1">
      <c r="A730" t="s">
        <v>835</v>
      </c>
      <c r="B730" s="1">
        <v>45021</v>
      </c>
      <c r="C730">
        <v>2023</v>
      </c>
      <c r="D730">
        <v>4</v>
      </c>
      <c r="E730" t="s">
        <v>23</v>
      </c>
      <c r="F730" t="s">
        <v>24</v>
      </c>
      <c r="G730" t="s">
        <v>25</v>
      </c>
      <c r="H730" t="s">
        <v>35</v>
      </c>
      <c r="I730">
        <v>4992.55</v>
      </c>
      <c r="J730">
        <v>5095.34</v>
      </c>
      <c r="K730" t="s">
        <v>17</v>
      </c>
      <c r="L730" t="b">
        <v>0</v>
      </c>
      <c r="N730" s="2" t="str">
        <f t="shared" si="62"/>
        <v/>
      </c>
      <c r="Q730" t="str">
        <f t="shared" si="63"/>
        <v/>
      </c>
    </row>
    <row r="731" spans="1:17" hidden="1">
      <c r="A731" t="s">
        <v>836</v>
      </c>
      <c r="B731" s="1">
        <v>45021</v>
      </c>
      <c r="C731">
        <v>2023</v>
      </c>
      <c r="D731">
        <v>4</v>
      </c>
      <c r="E731" t="s">
        <v>37</v>
      </c>
      <c r="F731" t="s">
        <v>14</v>
      </c>
      <c r="G731" t="s">
        <v>62</v>
      </c>
      <c r="H731" t="s">
        <v>63</v>
      </c>
      <c r="I731">
        <v>6646.39</v>
      </c>
      <c r="J731">
        <v>6592.25</v>
      </c>
      <c r="K731" t="s">
        <v>17</v>
      </c>
      <c r="L731" t="b">
        <v>0</v>
      </c>
      <c r="N731" s="2" t="str">
        <f t="shared" si="62"/>
        <v/>
      </c>
      <c r="Q731" t="str">
        <f t="shared" si="63"/>
        <v/>
      </c>
    </row>
    <row r="732" spans="1:17" hidden="1">
      <c r="A732" t="s">
        <v>837</v>
      </c>
      <c r="B732" s="1">
        <v>45021</v>
      </c>
      <c r="C732">
        <v>2023</v>
      </c>
      <c r="D732">
        <v>4</v>
      </c>
      <c r="E732" t="s">
        <v>37</v>
      </c>
      <c r="F732" t="s">
        <v>28</v>
      </c>
      <c r="G732" t="s">
        <v>98</v>
      </c>
      <c r="H732" t="s">
        <v>185</v>
      </c>
      <c r="I732">
        <v>5324.74</v>
      </c>
      <c r="J732">
        <v>4926.7299999999996</v>
      </c>
      <c r="K732" t="s">
        <v>17</v>
      </c>
      <c r="L732" t="b">
        <v>0</v>
      </c>
      <c r="N732" s="2" t="str">
        <f t="shared" si="62"/>
        <v/>
      </c>
      <c r="Q732" t="str">
        <f t="shared" si="63"/>
        <v/>
      </c>
    </row>
    <row r="733" spans="1:17" hidden="1">
      <c r="A733" t="s">
        <v>838</v>
      </c>
      <c r="B733" s="1">
        <v>45022</v>
      </c>
      <c r="C733">
        <v>2023</v>
      </c>
      <c r="D733">
        <v>4</v>
      </c>
      <c r="E733" t="s">
        <v>13</v>
      </c>
      <c r="F733" t="s">
        <v>14</v>
      </c>
      <c r="G733" t="s">
        <v>68</v>
      </c>
      <c r="H733" t="s">
        <v>69</v>
      </c>
      <c r="I733">
        <v>3836.8</v>
      </c>
      <c r="J733">
        <v>3812.83</v>
      </c>
      <c r="K733" t="s">
        <v>17</v>
      </c>
      <c r="L733" t="b">
        <v>0</v>
      </c>
      <c r="N733" s="2" t="str">
        <f t="shared" si="62"/>
        <v/>
      </c>
      <c r="Q733" t="str">
        <f t="shared" si="63"/>
        <v/>
      </c>
    </row>
    <row r="734" spans="1:17" hidden="1">
      <c r="A734" t="s">
        <v>839</v>
      </c>
      <c r="B734" s="1">
        <v>45022</v>
      </c>
      <c r="C734">
        <v>2023</v>
      </c>
      <c r="D734">
        <v>4</v>
      </c>
      <c r="E734" t="s">
        <v>13</v>
      </c>
      <c r="F734" t="s">
        <v>24</v>
      </c>
      <c r="G734" t="s">
        <v>68</v>
      </c>
      <c r="H734" t="s">
        <v>213</v>
      </c>
      <c r="I734">
        <v>2604.83</v>
      </c>
      <c r="J734">
        <v>2558.48</v>
      </c>
      <c r="K734" t="s">
        <v>17</v>
      </c>
      <c r="L734" t="b">
        <v>0</v>
      </c>
      <c r="N734" s="2" t="str">
        <f t="shared" si="62"/>
        <v/>
      </c>
      <c r="Q734" t="str">
        <f t="shared" si="63"/>
        <v/>
      </c>
    </row>
    <row r="735" spans="1:17" hidden="1">
      <c r="A735" t="s">
        <v>840</v>
      </c>
      <c r="B735" s="1">
        <v>45022</v>
      </c>
      <c r="C735">
        <v>2023</v>
      </c>
      <c r="D735">
        <v>4</v>
      </c>
      <c r="E735" t="s">
        <v>19</v>
      </c>
      <c r="F735" t="s">
        <v>14</v>
      </c>
      <c r="G735" t="s">
        <v>80</v>
      </c>
      <c r="H735" t="s">
        <v>217</v>
      </c>
      <c r="I735">
        <v>4724.95</v>
      </c>
      <c r="J735">
        <v>5065.28</v>
      </c>
      <c r="K735" t="s">
        <v>17</v>
      </c>
      <c r="L735" t="b">
        <v>0</v>
      </c>
      <c r="N735" s="2" t="str">
        <f t="shared" si="62"/>
        <v/>
      </c>
      <c r="Q735" t="str">
        <f t="shared" si="63"/>
        <v/>
      </c>
    </row>
    <row r="736" spans="1:17" hidden="1">
      <c r="A736" t="s">
        <v>841</v>
      </c>
      <c r="B736" s="1">
        <v>45022</v>
      </c>
      <c r="C736">
        <v>2023</v>
      </c>
      <c r="D736">
        <v>4</v>
      </c>
      <c r="E736" t="s">
        <v>19</v>
      </c>
      <c r="F736" t="s">
        <v>24</v>
      </c>
      <c r="G736" t="s">
        <v>80</v>
      </c>
      <c r="H736" t="s">
        <v>113</v>
      </c>
      <c r="I736">
        <v>6100.95</v>
      </c>
      <c r="J736">
        <v>6581.7</v>
      </c>
      <c r="K736" t="s">
        <v>17</v>
      </c>
      <c r="L736" t="b">
        <v>0</v>
      </c>
      <c r="N736" s="2" t="str">
        <f t="shared" si="62"/>
        <v/>
      </c>
      <c r="Q736" t="str">
        <f t="shared" si="63"/>
        <v/>
      </c>
    </row>
    <row r="737" spans="1:17" hidden="1">
      <c r="A737" t="s">
        <v>842</v>
      </c>
      <c r="B737" s="1">
        <v>45022</v>
      </c>
      <c r="C737">
        <v>2023</v>
      </c>
      <c r="D737">
        <v>4</v>
      </c>
      <c r="E737" t="s">
        <v>23</v>
      </c>
      <c r="F737" t="s">
        <v>28</v>
      </c>
      <c r="G737" t="s">
        <v>30</v>
      </c>
      <c r="H737" t="s">
        <v>31</v>
      </c>
      <c r="I737">
        <v>6321.6</v>
      </c>
      <c r="J737">
        <v>6505.96</v>
      </c>
      <c r="K737" t="s">
        <v>17</v>
      </c>
      <c r="L737" t="b">
        <v>0</v>
      </c>
      <c r="N737" s="2" t="str">
        <f t="shared" si="62"/>
        <v/>
      </c>
      <c r="Q737" t="str">
        <f t="shared" si="63"/>
        <v/>
      </c>
    </row>
    <row r="738" spans="1:17" hidden="1">
      <c r="A738" t="s">
        <v>843</v>
      </c>
      <c r="B738" s="1">
        <v>45022</v>
      </c>
      <c r="C738">
        <v>2023</v>
      </c>
      <c r="D738">
        <v>4</v>
      </c>
      <c r="E738" t="s">
        <v>37</v>
      </c>
      <c r="F738" t="s">
        <v>14</v>
      </c>
      <c r="G738" t="s">
        <v>62</v>
      </c>
      <c r="H738" t="s">
        <v>121</v>
      </c>
      <c r="I738">
        <v>5535.38</v>
      </c>
      <c r="J738">
        <v>5455.11</v>
      </c>
      <c r="K738" t="s">
        <v>17</v>
      </c>
      <c r="L738" t="b">
        <v>0</v>
      </c>
      <c r="N738" s="2" t="str">
        <f t="shared" si="62"/>
        <v/>
      </c>
      <c r="Q738" t="str">
        <f t="shared" si="63"/>
        <v/>
      </c>
    </row>
    <row r="739" spans="1:17" hidden="1">
      <c r="A739" t="s">
        <v>844</v>
      </c>
      <c r="B739" s="1">
        <v>45022</v>
      </c>
      <c r="C739">
        <v>2023</v>
      </c>
      <c r="D739">
        <v>4</v>
      </c>
      <c r="E739" t="s">
        <v>37</v>
      </c>
      <c r="F739" t="s">
        <v>28</v>
      </c>
      <c r="G739" t="s">
        <v>98</v>
      </c>
      <c r="H739" t="s">
        <v>185</v>
      </c>
      <c r="I739">
        <v>4017.41</v>
      </c>
      <c r="J739">
        <v>3642.34</v>
      </c>
      <c r="K739" t="s">
        <v>17</v>
      </c>
      <c r="L739" t="b">
        <v>0</v>
      </c>
      <c r="N739" s="2" t="str">
        <f t="shared" si="62"/>
        <v/>
      </c>
      <c r="Q739" t="str">
        <f t="shared" si="63"/>
        <v/>
      </c>
    </row>
    <row r="740" spans="1:17" hidden="1">
      <c r="A740" t="s">
        <v>845</v>
      </c>
      <c r="B740" s="1">
        <v>45023</v>
      </c>
      <c r="C740">
        <v>2023</v>
      </c>
      <c r="D740">
        <v>4</v>
      </c>
      <c r="E740" t="s">
        <v>13</v>
      </c>
      <c r="F740" t="s">
        <v>28</v>
      </c>
      <c r="G740" t="s">
        <v>108</v>
      </c>
      <c r="H740" t="s">
        <v>126</v>
      </c>
      <c r="I740">
        <v>2689.4</v>
      </c>
      <c r="J740">
        <v>2744.22</v>
      </c>
      <c r="K740" t="s">
        <v>17</v>
      </c>
      <c r="L740" t="b">
        <v>0</v>
      </c>
      <c r="N740" s="2" t="str">
        <f t="shared" si="62"/>
        <v/>
      </c>
      <c r="Q740" t="str">
        <f t="shared" si="63"/>
        <v/>
      </c>
    </row>
    <row r="741" spans="1:17" hidden="1">
      <c r="A741" t="s">
        <v>846</v>
      </c>
      <c r="B741" s="1">
        <v>45023</v>
      </c>
      <c r="C741">
        <v>2023</v>
      </c>
      <c r="D741">
        <v>4</v>
      </c>
      <c r="E741" t="s">
        <v>13</v>
      </c>
      <c r="F741" t="s">
        <v>28</v>
      </c>
      <c r="G741" t="s">
        <v>15</v>
      </c>
      <c r="H741" t="s">
        <v>45</v>
      </c>
      <c r="I741">
        <v>2557.0300000000002</v>
      </c>
      <c r="J741">
        <v>2608.5</v>
      </c>
      <c r="K741" t="s">
        <v>17</v>
      </c>
      <c r="L741" t="b">
        <v>0</v>
      </c>
      <c r="N741" s="2" t="str">
        <f t="shared" si="62"/>
        <v/>
      </c>
      <c r="Q741" t="str">
        <f t="shared" si="63"/>
        <v/>
      </c>
    </row>
    <row r="742" spans="1:17" hidden="1">
      <c r="A742" t="s">
        <v>847</v>
      </c>
      <c r="B742" s="1">
        <v>45023</v>
      </c>
      <c r="C742">
        <v>2023</v>
      </c>
      <c r="D742">
        <v>4</v>
      </c>
      <c r="E742" t="s">
        <v>13</v>
      </c>
      <c r="F742" t="s">
        <v>24</v>
      </c>
      <c r="G742" t="s">
        <v>108</v>
      </c>
      <c r="H742" t="s">
        <v>126</v>
      </c>
      <c r="I742">
        <v>3972.53</v>
      </c>
      <c r="J742">
        <v>3671.06</v>
      </c>
      <c r="K742" t="s">
        <v>17</v>
      </c>
      <c r="L742" t="b">
        <v>0</v>
      </c>
      <c r="N742" s="2" t="str">
        <f t="shared" si="62"/>
        <v/>
      </c>
      <c r="Q742" t="str">
        <f t="shared" si="63"/>
        <v/>
      </c>
    </row>
    <row r="743" spans="1:17" hidden="1">
      <c r="A743" t="s">
        <v>848</v>
      </c>
      <c r="B743" s="1">
        <v>45023</v>
      </c>
      <c r="C743">
        <v>2023</v>
      </c>
      <c r="D743">
        <v>4</v>
      </c>
      <c r="E743" t="s">
        <v>13</v>
      </c>
      <c r="F743" t="s">
        <v>24</v>
      </c>
      <c r="G743" t="s">
        <v>15</v>
      </c>
      <c r="H743" t="s">
        <v>16</v>
      </c>
      <c r="I743">
        <v>3465.38</v>
      </c>
      <c r="J743">
        <v>3164.89</v>
      </c>
      <c r="K743" t="s">
        <v>17</v>
      </c>
      <c r="L743" t="b">
        <v>0</v>
      </c>
      <c r="N743" s="2" t="str">
        <f t="shared" si="62"/>
        <v/>
      </c>
      <c r="Q743" t="str">
        <f t="shared" si="63"/>
        <v/>
      </c>
    </row>
    <row r="744" spans="1:17" hidden="1">
      <c r="A744" t="s">
        <v>849</v>
      </c>
      <c r="B744" s="1">
        <v>45023</v>
      </c>
      <c r="C744">
        <v>2023</v>
      </c>
      <c r="D744">
        <v>4</v>
      </c>
      <c r="E744" t="s">
        <v>47</v>
      </c>
      <c r="F744" t="s">
        <v>14</v>
      </c>
      <c r="G744" t="s">
        <v>91</v>
      </c>
      <c r="H744" t="s">
        <v>92</v>
      </c>
      <c r="I744">
        <v>18514.59</v>
      </c>
      <c r="J744">
        <v>15746.62</v>
      </c>
      <c r="K744" t="s">
        <v>17</v>
      </c>
      <c r="L744" t="b">
        <v>0</v>
      </c>
      <c r="N744" s="2" t="b">
        <f t="shared" si="62"/>
        <v>1</v>
      </c>
      <c r="O744" t="b">
        <f t="shared" ref="O744:O745" si="65">IF(AND(E733="HR",K733="EXPENSE"),I733&lt;J733,"")</f>
        <v>0</v>
      </c>
      <c r="Q744" t="str">
        <f t="shared" si="63"/>
        <v/>
      </c>
    </row>
    <row r="745" spans="1:17" hidden="1">
      <c r="A745" t="s">
        <v>850</v>
      </c>
      <c r="B745" s="1">
        <v>45023</v>
      </c>
      <c r="C745">
        <v>2023</v>
      </c>
      <c r="D745">
        <v>4</v>
      </c>
      <c r="E745" t="s">
        <v>47</v>
      </c>
      <c r="F745" t="s">
        <v>28</v>
      </c>
      <c r="G745" t="s">
        <v>77</v>
      </c>
      <c r="H745" t="s">
        <v>147</v>
      </c>
      <c r="I745">
        <v>15671.64</v>
      </c>
      <c r="J745">
        <v>13239.89</v>
      </c>
      <c r="K745" t="s">
        <v>17</v>
      </c>
      <c r="L745" t="b">
        <v>0</v>
      </c>
      <c r="N745" s="2" t="b">
        <f t="shared" si="62"/>
        <v>1</v>
      </c>
      <c r="O745" t="b">
        <f t="shared" si="65"/>
        <v>0</v>
      </c>
      <c r="Q745" t="str">
        <f t="shared" si="63"/>
        <v/>
      </c>
    </row>
    <row r="746" spans="1:17" hidden="1">
      <c r="A746" t="s">
        <v>851</v>
      </c>
      <c r="B746" s="1">
        <v>45023</v>
      </c>
      <c r="C746">
        <v>2023</v>
      </c>
      <c r="D746">
        <v>4</v>
      </c>
      <c r="E746" t="s">
        <v>19</v>
      </c>
      <c r="F746" t="s">
        <v>14</v>
      </c>
      <c r="G746" t="s">
        <v>20</v>
      </c>
      <c r="H746" t="s">
        <v>136</v>
      </c>
      <c r="I746">
        <v>5170.2299999999996</v>
      </c>
      <c r="J746">
        <v>5532.78</v>
      </c>
      <c r="K746" t="s">
        <v>17</v>
      </c>
      <c r="L746" t="b">
        <v>0</v>
      </c>
      <c r="N746" s="2" t="str">
        <f t="shared" si="62"/>
        <v/>
      </c>
      <c r="Q746" t="str">
        <f t="shared" si="63"/>
        <v/>
      </c>
    </row>
    <row r="747" spans="1:17" hidden="1">
      <c r="A747" t="s">
        <v>852</v>
      </c>
      <c r="B747" s="1">
        <v>45023</v>
      </c>
      <c r="C747">
        <v>2023</v>
      </c>
      <c r="D747">
        <v>4</v>
      </c>
      <c r="E747" t="s">
        <v>19</v>
      </c>
      <c r="F747" t="s">
        <v>28</v>
      </c>
      <c r="G747" t="s">
        <v>132</v>
      </c>
      <c r="H747" t="s">
        <v>171</v>
      </c>
      <c r="I747">
        <v>5853.79</v>
      </c>
      <c r="J747">
        <v>5809.65</v>
      </c>
      <c r="K747" t="s">
        <v>17</v>
      </c>
      <c r="L747" t="b">
        <v>0</v>
      </c>
      <c r="N747" s="2" t="str">
        <f t="shared" si="62"/>
        <v/>
      </c>
      <c r="Q747" t="str">
        <f t="shared" si="63"/>
        <v/>
      </c>
    </row>
    <row r="748" spans="1:17" hidden="1">
      <c r="A748" t="s">
        <v>853</v>
      </c>
      <c r="B748" s="1">
        <v>45023</v>
      </c>
      <c r="C748">
        <v>2023</v>
      </c>
      <c r="D748">
        <v>4</v>
      </c>
      <c r="E748" t="s">
        <v>19</v>
      </c>
      <c r="F748" t="s">
        <v>28</v>
      </c>
      <c r="G748" t="s">
        <v>80</v>
      </c>
      <c r="H748" t="s">
        <v>150</v>
      </c>
      <c r="I748">
        <v>7421.45</v>
      </c>
      <c r="J748">
        <v>7982.26</v>
      </c>
      <c r="K748" t="s">
        <v>17</v>
      </c>
      <c r="L748" t="b">
        <v>0</v>
      </c>
      <c r="N748" s="2" t="str">
        <f t="shared" si="62"/>
        <v/>
      </c>
      <c r="Q748" t="str">
        <f t="shared" si="63"/>
        <v/>
      </c>
    </row>
    <row r="749" spans="1:17" hidden="1">
      <c r="A749" t="s">
        <v>854</v>
      </c>
      <c r="B749" s="1">
        <v>45023</v>
      </c>
      <c r="C749">
        <v>2023</v>
      </c>
      <c r="D749">
        <v>4</v>
      </c>
      <c r="E749" t="s">
        <v>23</v>
      </c>
      <c r="F749" t="s">
        <v>24</v>
      </c>
      <c r="G749" t="s">
        <v>141</v>
      </c>
      <c r="H749" t="s">
        <v>209</v>
      </c>
      <c r="I749">
        <v>4728.71</v>
      </c>
      <c r="J749">
        <v>5167.55</v>
      </c>
      <c r="K749" t="s">
        <v>17</v>
      </c>
      <c r="L749" t="b">
        <v>0</v>
      </c>
      <c r="N749" s="2" t="str">
        <f t="shared" si="62"/>
        <v/>
      </c>
      <c r="Q749" t="str">
        <f t="shared" si="63"/>
        <v/>
      </c>
    </row>
    <row r="750" spans="1:17" hidden="1">
      <c r="A750" t="s">
        <v>855</v>
      </c>
      <c r="B750" s="1">
        <v>45023</v>
      </c>
      <c r="C750">
        <v>2023</v>
      </c>
      <c r="D750">
        <v>4</v>
      </c>
      <c r="E750" t="s">
        <v>37</v>
      </c>
      <c r="F750" t="s">
        <v>14</v>
      </c>
      <c r="G750" t="s">
        <v>41</v>
      </c>
      <c r="H750" t="s">
        <v>42</v>
      </c>
      <c r="I750">
        <v>3672.01</v>
      </c>
      <c r="J750">
        <v>3952.5</v>
      </c>
      <c r="K750" t="s">
        <v>17</v>
      </c>
      <c r="L750" t="b">
        <v>0</v>
      </c>
      <c r="N750" s="2" t="str">
        <f t="shared" si="62"/>
        <v/>
      </c>
      <c r="Q750" t="str">
        <f t="shared" si="63"/>
        <v/>
      </c>
    </row>
    <row r="751" spans="1:17" hidden="1">
      <c r="A751" t="s">
        <v>856</v>
      </c>
      <c r="B751" s="1">
        <v>45024</v>
      </c>
      <c r="C751">
        <v>2023</v>
      </c>
      <c r="D751">
        <v>4</v>
      </c>
      <c r="E751" t="s">
        <v>13</v>
      </c>
      <c r="F751" t="s">
        <v>24</v>
      </c>
      <c r="G751" t="s">
        <v>15</v>
      </c>
      <c r="H751" t="s">
        <v>16</v>
      </c>
      <c r="I751">
        <v>2957.46</v>
      </c>
      <c r="J751">
        <v>2880.01</v>
      </c>
      <c r="K751" t="s">
        <v>17</v>
      </c>
      <c r="L751" t="b">
        <v>0</v>
      </c>
      <c r="N751" s="2" t="str">
        <f t="shared" si="62"/>
        <v/>
      </c>
      <c r="Q751" t="str">
        <f t="shared" si="63"/>
        <v/>
      </c>
    </row>
    <row r="752" spans="1:17" hidden="1">
      <c r="A752" t="s">
        <v>857</v>
      </c>
      <c r="B752" s="1">
        <v>45024</v>
      </c>
      <c r="C752">
        <v>2023</v>
      </c>
      <c r="D752">
        <v>4</v>
      </c>
      <c r="E752" t="s">
        <v>47</v>
      </c>
      <c r="F752" t="s">
        <v>14</v>
      </c>
      <c r="G752" t="s">
        <v>48</v>
      </c>
      <c r="H752" t="s">
        <v>191</v>
      </c>
      <c r="I752">
        <v>14695.51</v>
      </c>
      <c r="J752">
        <v>12621.95</v>
      </c>
      <c r="K752" t="s">
        <v>17</v>
      </c>
      <c r="L752" t="b">
        <v>0</v>
      </c>
      <c r="N752" s="2" t="b">
        <f t="shared" si="62"/>
        <v>1</v>
      </c>
      <c r="O752" t="b">
        <f>IF(AND(E741="HR",K741="EXPENSE"),I741&lt;J741,"")</f>
        <v>1</v>
      </c>
      <c r="Q752" t="str">
        <f t="shared" si="63"/>
        <v/>
      </c>
    </row>
    <row r="753" spans="1:17" hidden="1">
      <c r="A753" t="s">
        <v>858</v>
      </c>
      <c r="B753" s="1">
        <v>45024</v>
      </c>
      <c r="C753">
        <v>2023</v>
      </c>
      <c r="D753">
        <v>4</v>
      </c>
      <c r="E753" t="s">
        <v>19</v>
      </c>
      <c r="F753" t="s">
        <v>28</v>
      </c>
      <c r="G753" t="s">
        <v>20</v>
      </c>
      <c r="H753" t="s">
        <v>136</v>
      </c>
      <c r="I753">
        <v>5175.08</v>
      </c>
      <c r="J753">
        <v>5172.8100000000004</v>
      </c>
      <c r="K753" t="s">
        <v>17</v>
      </c>
      <c r="L753" t="b">
        <v>0</v>
      </c>
      <c r="N753" s="2" t="str">
        <f t="shared" si="62"/>
        <v/>
      </c>
      <c r="Q753" t="str">
        <f t="shared" si="63"/>
        <v/>
      </c>
    </row>
    <row r="754" spans="1:17" hidden="1">
      <c r="A754" t="s">
        <v>859</v>
      </c>
      <c r="B754" s="1">
        <v>45024</v>
      </c>
      <c r="C754">
        <v>2023</v>
      </c>
      <c r="D754">
        <v>4</v>
      </c>
      <c r="E754" t="s">
        <v>23</v>
      </c>
      <c r="F754" t="s">
        <v>24</v>
      </c>
      <c r="G754" t="s">
        <v>141</v>
      </c>
      <c r="H754" t="s">
        <v>153</v>
      </c>
      <c r="I754">
        <v>4463.5</v>
      </c>
      <c r="J754">
        <v>4287.04</v>
      </c>
      <c r="K754" t="s">
        <v>17</v>
      </c>
      <c r="L754" t="b">
        <v>0</v>
      </c>
      <c r="N754" s="2" t="str">
        <f t="shared" si="62"/>
        <v/>
      </c>
      <c r="Q754" t="str">
        <f t="shared" si="63"/>
        <v/>
      </c>
    </row>
    <row r="755" spans="1:17" hidden="1">
      <c r="A755" t="s">
        <v>860</v>
      </c>
      <c r="B755" s="1">
        <v>45025</v>
      </c>
      <c r="C755">
        <v>2023</v>
      </c>
      <c r="D755">
        <v>4</v>
      </c>
      <c r="E755" t="s">
        <v>13</v>
      </c>
      <c r="F755" t="s">
        <v>14</v>
      </c>
      <c r="G755" t="s">
        <v>68</v>
      </c>
      <c r="H755" t="s">
        <v>69</v>
      </c>
      <c r="I755">
        <v>4144.62</v>
      </c>
      <c r="J755">
        <v>4419.3100000000004</v>
      </c>
      <c r="K755" t="s">
        <v>17</v>
      </c>
      <c r="L755" t="b">
        <v>0</v>
      </c>
      <c r="N755" s="2" t="str">
        <f t="shared" si="62"/>
        <v/>
      </c>
      <c r="Q755" t="str">
        <f t="shared" si="63"/>
        <v/>
      </c>
    </row>
    <row r="756" spans="1:17" hidden="1">
      <c r="A756" t="s">
        <v>861</v>
      </c>
      <c r="B756" s="1">
        <v>45025</v>
      </c>
      <c r="C756">
        <v>2023</v>
      </c>
      <c r="D756">
        <v>4</v>
      </c>
      <c r="E756" t="s">
        <v>13</v>
      </c>
      <c r="F756" t="s">
        <v>24</v>
      </c>
      <c r="G756" t="s">
        <v>15</v>
      </c>
      <c r="H756" t="s">
        <v>89</v>
      </c>
      <c r="I756">
        <v>2320.1799999999998</v>
      </c>
      <c r="J756">
        <v>2092.87</v>
      </c>
      <c r="K756" t="s">
        <v>17</v>
      </c>
      <c r="L756" t="b">
        <v>0</v>
      </c>
      <c r="N756" s="2" t="str">
        <f t="shared" si="62"/>
        <v/>
      </c>
      <c r="Q756" t="str">
        <f t="shared" si="63"/>
        <v/>
      </c>
    </row>
    <row r="757" spans="1:17" hidden="1">
      <c r="A757" t="s">
        <v>862</v>
      </c>
      <c r="B757" s="1">
        <v>45025</v>
      </c>
      <c r="C757">
        <v>2023</v>
      </c>
      <c r="D757">
        <v>4</v>
      </c>
      <c r="E757" t="s">
        <v>47</v>
      </c>
      <c r="F757" t="s">
        <v>14</v>
      </c>
      <c r="G757" t="s">
        <v>77</v>
      </c>
      <c r="H757" t="s">
        <v>147</v>
      </c>
      <c r="I757">
        <v>12035.18</v>
      </c>
      <c r="J757">
        <v>10018.34</v>
      </c>
      <c r="K757" t="s">
        <v>17</v>
      </c>
      <c r="L757" t="b">
        <v>0</v>
      </c>
      <c r="N757" s="2" t="b">
        <f t="shared" si="62"/>
        <v>1</v>
      </c>
      <c r="O757" t="str">
        <f t="shared" ref="O757:O758" si="66">IF(AND(E746="HR",K746="EXPENSE"),I746&lt;J746,"")</f>
        <v/>
      </c>
      <c r="Q757" t="str">
        <f t="shared" si="63"/>
        <v/>
      </c>
    </row>
    <row r="758" spans="1:17" hidden="1">
      <c r="A758" t="s">
        <v>863</v>
      </c>
      <c r="B758" s="1">
        <v>45025</v>
      </c>
      <c r="C758">
        <v>2023</v>
      </c>
      <c r="D758">
        <v>4</v>
      </c>
      <c r="E758" t="s">
        <v>47</v>
      </c>
      <c r="F758" t="s">
        <v>28</v>
      </c>
      <c r="G758" t="s">
        <v>77</v>
      </c>
      <c r="H758" t="s">
        <v>78</v>
      </c>
      <c r="I758">
        <v>13834.31</v>
      </c>
      <c r="J758">
        <v>11729.09</v>
      </c>
      <c r="K758" t="s">
        <v>17</v>
      </c>
      <c r="L758" t="b">
        <v>0</v>
      </c>
      <c r="N758" s="2" t="b">
        <f t="shared" si="62"/>
        <v>1</v>
      </c>
      <c r="O758" t="str">
        <f t="shared" si="66"/>
        <v/>
      </c>
      <c r="Q758" t="str">
        <f t="shared" si="63"/>
        <v/>
      </c>
    </row>
    <row r="759" spans="1:17" hidden="1">
      <c r="A759" t="s">
        <v>864</v>
      </c>
      <c r="B759" s="1">
        <v>45025</v>
      </c>
      <c r="C759">
        <v>2023</v>
      </c>
      <c r="D759">
        <v>4</v>
      </c>
      <c r="E759" t="s">
        <v>19</v>
      </c>
      <c r="F759" t="s">
        <v>28</v>
      </c>
      <c r="G759" t="s">
        <v>20</v>
      </c>
      <c r="H759" t="s">
        <v>174</v>
      </c>
      <c r="I759">
        <v>3863.15</v>
      </c>
      <c r="J759">
        <v>3604.92</v>
      </c>
      <c r="K759" t="s">
        <v>17</v>
      </c>
      <c r="L759" t="b">
        <v>0</v>
      </c>
      <c r="N759" s="2" t="str">
        <f t="shared" si="62"/>
        <v/>
      </c>
      <c r="Q759" t="str">
        <f t="shared" si="63"/>
        <v/>
      </c>
    </row>
    <row r="760" spans="1:17" hidden="1">
      <c r="A760" t="s">
        <v>865</v>
      </c>
      <c r="B760" s="1">
        <v>45025</v>
      </c>
      <c r="C760">
        <v>2023</v>
      </c>
      <c r="D760">
        <v>4</v>
      </c>
      <c r="E760" t="s">
        <v>23</v>
      </c>
      <c r="F760" t="s">
        <v>14</v>
      </c>
      <c r="G760" t="s">
        <v>59</v>
      </c>
      <c r="H760" t="s">
        <v>60</v>
      </c>
      <c r="I760">
        <v>8580.75</v>
      </c>
      <c r="J760">
        <v>8877.59</v>
      </c>
      <c r="K760" t="s">
        <v>17</v>
      </c>
      <c r="L760" t="b">
        <v>0</v>
      </c>
      <c r="N760" s="2" t="str">
        <f t="shared" si="62"/>
        <v/>
      </c>
      <c r="Q760" t="str">
        <f t="shared" si="63"/>
        <v/>
      </c>
    </row>
    <row r="761" spans="1:17" hidden="1">
      <c r="A761" t="s">
        <v>866</v>
      </c>
      <c r="B761" s="1">
        <v>45025</v>
      </c>
      <c r="C761">
        <v>2023</v>
      </c>
      <c r="D761">
        <v>4</v>
      </c>
      <c r="E761" t="s">
        <v>23</v>
      </c>
      <c r="F761" t="s">
        <v>24</v>
      </c>
      <c r="G761" t="s">
        <v>59</v>
      </c>
      <c r="H761" t="s">
        <v>60</v>
      </c>
      <c r="I761">
        <v>2967.59</v>
      </c>
      <c r="J761">
        <v>2992.17</v>
      </c>
      <c r="K761" t="s">
        <v>17</v>
      </c>
      <c r="L761" t="b">
        <v>0</v>
      </c>
      <c r="N761" s="2" t="str">
        <f t="shared" si="62"/>
        <v/>
      </c>
      <c r="Q761" t="str">
        <f t="shared" si="63"/>
        <v/>
      </c>
    </row>
    <row r="762" spans="1:17" hidden="1">
      <c r="A762" t="s">
        <v>867</v>
      </c>
      <c r="B762" s="1">
        <v>45025</v>
      </c>
      <c r="C762">
        <v>2023</v>
      </c>
      <c r="D762">
        <v>4</v>
      </c>
      <c r="E762" t="s">
        <v>37</v>
      </c>
      <c r="F762" t="s">
        <v>14</v>
      </c>
      <c r="G762" t="s">
        <v>98</v>
      </c>
      <c r="H762" t="s">
        <v>185</v>
      </c>
      <c r="I762">
        <v>6621.24</v>
      </c>
      <c r="J762">
        <v>6403.02</v>
      </c>
      <c r="K762" t="s">
        <v>17</v>
      </c>
      <c r="L762" t="b">
        <v>0</v>
      </c>
      <c r="N762" s="2" t="str">
        <f t="shared" si="62"/>
        <v/>
      </c>
      <c r="Q762" t="str">
        <f t="shared" si="63"/>
        <v/>
      </c>
    </row>
    <row r="763" spans="1:17" hidden="1">
      <c r="A763" t="s">
        <v>868</v>
      </c>
      <c r="B763" s="1">
        <v>45026</v>
      </c>
      <c r="C763">
        <v>2023</v>
      </c>
      <c r="D763">
        <v>4</v>
      </c>
      <c r="E763" t="s">
        <v>13</v>
      </c>
      <c r="F763" t="s">
        <v>28</v>
      </c>
      <c r="G763" t="s">
        <v>68</v>
      </c>
      <c r="H763" t="s">
        <v>69</v>
      </c>
      <c r="I763">
        <v>3213.01</v>
      </c>
      <c r="J763">
        <v>3104.64</v>
      </c>
      <c r="K763" t="s">
        <v>17</v>
      </c>
      <c r="L763" t="b">
        <v>0</v>
      </c>
      <c r="N763" s="2" t="str">
        <f t="shared" si="62"/>
        <v/>
      </c>
      <c r="Q763" t="str">
        <f t="shared" si="63"/>
        <v/>
      </c>
    </row>
    <row r="764" spans="1:17" hidden="1">
      <c r="A764" t="s">
        <v>869</v>
      </c>
      <c r="B764" s="1">
        <v>45026</v>
      </c>
      <c r="C764">
        <v>2023</v>
      </c>
      <c r="D764">
        <v>4</v>
      </c>
      <c r="E764" t="s">
        <v>13</v>
      </c>
      <c r="F764" t="s">
        <v>28</v>
      </c>
      <c r="G764" t="s">
        <v>15</v>
      </c>
      <c r="H764" t="s">
        <v>16</v>
      </c>
      <c r="I764">
        <v>3069.97</v>
      </c>
      <c r="J764">
        <v>3080.14</v>
      </c>
      <c r="K764" t="s">
        <v>17</v>
      </c>
      <c r="L764" t="b">
        <v>0</v>
      </c>
      <c r="N764" s="2" t="str">
        <f t="shared" si="62"/>
        <v/>
      </c>
      <c r="Q764" t="str">
        <f t="shared" si="63"/>
        <v/>
      </c>
    </row>
    <row r="765" spans="1:17" hidden="1">
      <c r="A765" t="s">
        <v>870</v>
      </c>
      <c r="B765" s="1">
        <v>45026</v>
      </c>
      <c r="C765">
        <v>2023</v>
      </c>
      <c r="D765">
        <v>4</v>
      </c>
      <c r="E765" t="s">
        <v>47</v>
      </c>
      <c r="F765" t="s">
        <v>14</v>
      </c>
      <c r="G765" t="s">
        <v>48</v>
      </c>
      <c r="H765" t="s">
        <v>49</v>
      </c>
      <c r="I765">
        <v>16983.400000000001</v>
      </c>
      <c r="J765">
        <v>14763.48</v>
      </c>
      <c r="K765" t="s">
        <v>17</v>
      </c>
      <c r="L765" t="b">
        <v>0</v>
      </c>
      <c r="N765" s="2" t="b">
        <f t="shared" si="62"/>
        <v>1</v>
      </c>
      <c r="O765" t="str">
        <f>IF(AND(E754="HR",K754="EXPENSE"),I754&lt;J754,"")</f>
        <v/>
      </c>
      <c r="Q765" t="str">
        <f t="shared" si="63"/>
        <v/>
      </c>
    </row>
    <row r="766" spans="1:17" hidden="1">
      <c r="A766" t="s">
        <v>871</v>
      </c>
      <c r="B766" s="1">
        <v>45026</v>
      </c>
      <c r="C766">
        <v>2023</v>
      </c>
      <c r="D766">
        <v>4</v>
      </c>
      <c r="E766" t="s">
        <v>19</v>
      </c>
      <c r="F766" t="s">
        <v>28</v>
      </c>
      <c r="G766" t="s">
        <v>132</v>
      </c>
      <c r="H766" t="s">
        <v>138</v>
      </c>
      <c r="I766">
        <v>1423.22</v>
      </c>
      <c r="J766">
        <v>1550.08</v>
      </c>
      <c r="K766" t="s">
        <v>17</v>
      </c>
      <c r="L766" t="b">
        <v>0</v>
      </c>
      <c r="N766" s="2" t="str">
        <f t="shared" si="62"/>
        <v/>
      </c>
      <c r="Q766" t="str">
        <f t="shared" si="63"/>
        <v/>
      </c>
    </row>
    <row r="767" spans="1:17" hidden="1">
      <c r="A767" t="s">
        <v>872</v>
      </c>
      <c r="B767" s="1">
        <v>45026</v>
      </c>
      <c r="C767">
        <v>2023</v>
      </c>
      <c r="D767">
        <v>4</v>
      </c>
      <c r="E767" t="s">
        <v>19</v>
      </c>
      <c r="F767" t="s">
        <v>28</v>
      </c>
      <c r="G767" t="s">
        <v>132</v>
      </c>
      <c r="H767" t="s">
        <v>138</v>
      </c>
      <c r="I767">
        <v>7091.85</v>
      </c>
      <c r="J767">
        <v>7497.9</v>
      </c>
      <c r="K767" t="s">
        <v>17</v>
      </c>
      <c r="L767" t="b">
        <v>0</v>
      </c>
      <c r="N767" s="2" t="str">
        <f t="shared" si="62"/>
        <v/>
      </c>
      <c r="Q767" t="str">
        <f t="shared" si="63"/>
        <v/>
      </c>
    </row>
    <row r="768" spans="1:17" hidden="1">
      <c r="A768" t="s">
        <v>873</v>
      </c>
      <c r="B768" s="1">
        <v>45026</v>
      </c>
      <c r="C768">
        <v>2023</v>
      </c>
      <c r="D768">
        <v>4</v>
      </c>
      <c r="E768" t="s">
        <v>19</v>
      </c>
      <c r="F768" t="s">
        <v>24</v>
      </c>
      <c r="G768" t="s">
        <v>54</v>
      </c>
      <c r="H768" t="s">
        <v>57</v>
      </c>
      <c r="I768">
        <v>6826.8</v>
      </c>
      <c r="J768">
        <v>7464.6</v>
      </c>
      <c r="K768" t="s">
        <v>17</v>
      </c>
      <c r="L768" t="b">
        <v>0</v>
      </c>
      <c r="N768" s="2" t="str">
        <f t="shared" si="62"/>
        <v/>
      </c>
      <c r="Q768" t="str">
        <f t="shared" si="63"/>
        <v/>
      </c>
    </row>
    <row r="769" spans="1:17" hidden="1">
      <c r="A769" t="s">
        <v>874</v>
      </c>
      <c r="B769" s="1">
        <v>45026</v>
      </c>
      <c r="C769">
        <v>2023</v>
      </c>
      <c r="D769">
        <v>4</v>
      </c>
      <c r="E769" t="s">
        <v>23</v>
      </c>
      <c r="F769" t="s">
        <v>28</v>
      </c>
      <c r="G769" t="s">
        <v>59</v>
      </c>
      <c r="H769" t="s">
        <v>60</v>
      </c>
      <c r="I769">
        <v>5855.81</v>
      </c>
      <c r="J769">
        <v>5704.94</v>
      </c>
      <c r="K769" t="s">
        <v>17</v>
      </c>
      <c r="L769" t="b">
        <v>0</v>
      </c>
      <c r="N769" s="2" t="str">
        <f t="shared" si="62"/>
        <v/>
      </c>
      <c r="Q769" t="str">
        <f t="shared" si="63"/>
        <v/>
      </c>
    </row>
    <row r="770" spans="1:17" hidden="1">
      <c r="A770" t="s">
        <v>875</v>
      </c>
      <c r="B770" s="1">
        <v>45026</v>
      </c>
      <c r="C770">
        <v>2023</v>
      </c>
      <c r="D770">
        <v>4</v>
      </c>
      <c r="E770" t="s">
        <v>37</v>
      </c>
      <c r="F770" t="s">
        <v>14</v>
      </c>
      <c r="G770" t="s">
        <v>38</v>
      </c>
      <c r="H770" t="s">
        <v>118</v>
      </c>
      <c r="I770">
        <v>6050.78</v>
      </c>
      <c r="J770">
        <v>5567.48</v>
      </c>
      <c r="K770" t="s">
        <v>17</v>
      </c>
      <c r="L770" t="b">
        <v>0</v>
      </c>
      <c r="N770" s="2" t="str">
        <f t="shared" si="62"/>
        <v/>
      </c>
      <c r="Q770" t="str">
        <f t="shared" si="63"/>
        <v/>
      </c>
    </row>
    <row r="771" spans="1:17" hidden="1">
      <c r="A771" t="s">
        <v>876</v>
      </c>
      <c r="B771" s="1">
        <v>45026</v>
      </c>
      <c r="C771">
        <v>2023</v>
      </c>
      <c r="D771">
        <v>4</v>
      </c>
      <c r="E771" t="s">
        <v>37</v>
      </c>
      <c r="F771" t="s">
        <v>28</v>
      </c>
      <c r="G771" t="s">
        <v>62</v>
      </c>
      <c r="H771" t="s">
        <v>360</v>
      </c>
      <c r="I771">
        <v>4121.7700000000004</v>
      </c>
      <c r="J771">
        <v>4326.8900000000003</v>
      </c>
      <c r="K771" t="s">
        <v>17</v>
      </c>
      <c r="L771" t="b">
        <v>0</v>
      </c>
      <c r="N771" s="2" t="str">
        <f t="shared" ref="N771:N834" si="67">IF(AND(E771="IT",K771="EXPENSE"),I771&gt;J771,"")</f>
        <v/>
      </c>
      <c r="Q771" t="str">
        <f t="shared" ref="Q771:Q834" si="68">IF(L771=TRUE,OR(H771="Apex Solutions Inc",H771="Global Trade Partners",H771="NovaTech Services"),"")</f>
        <v/>
      </c>
    </row>
    <row r="772" spans="1:17" hidden="1">
      <c r="A772" t="s">
        <v>877</v>
      </c>
      <c r="B772" s="1">
        <v>45026</v>
      </c>
      <c r="C772">
        <v>2023</v>
      </c>
      <c r="D772">
        <v>4</v>
      </c>
      <c r="E772" t="s">
        <v>37</v>
      </c>
      <c r="F772" t="s">
        <v>24</v>
      </c>
      <c r="G772" t="s">
        <v>41</v>
      </c>
      <c r="H772" t="s">
        <v>42</v>
      </c>
      <c r="I772">
        <v>7358.52</v>
      </c>
      <c r="J772">
        <v>7052.73</v>
      </c>
      <c r="K772" t="s">
        <v>17</v>
      </c>
      <c r="L772" t="b">
        <v>0</v>
      </c>
      <c r="N772" s="2" t="str">
        <f t="shared" si="67"/>
        <v/>
      </c>
      <c r="Q772" t="str">
        <f t="shared" si="68"/>
        <v/>
      </c>
    </row>
    <row r="773" spans="1:17" hidden="1">
      <c r="A773" t="s">
        <v>878</v>
      </c>
      <c r="B773" s="1">
        <v>45027</v>
      </c>
      <c r="C773">
        <v>2023</v>
      </c>
      <c r="D773">
        <v>4</v>
      </c>
      <c r="E773" t="s">
        <v>13</v>
      </c>
      <c r="F773" t="s">
        <v>24</v>
      </c>
      <c r="G773" t="s">
        <v>102</v>
      </c>
      <c r="H773" t="s">
        <v>278</v>
      </c>
      <c r="I773">
        <v>4029.79</v>
      </c>
      <c r="J773">
        <v>4192.8</v>
      </c>
      <c r="K773" t="s">
        <v>17</v>
      </c>
      <c r="L773" t="b">
        <v>0</v>
      </c>
      <c r="N773" s="2" t="str">
        <f t="shared" si="67"/>
        <v/>
      </c>
      <c r="Q773" t="str">
        <f t="shared" si="68"/>
        <v/>
      </c>
    </row>
    <row r="774" spans="1:17" hidden="1">
      <c r="A774" t="s">
        <v>879</v>
      </c>
      <c r="B774" s="1">
        <v>45027</v>
      </c>
      <c r="C774">
        <v>2023</v>
      </c>
      <c r="D774">
        <v>4</v>
      </c>
      <c r="E774" t="s">
        <v>13</v>
      </c>
      <c r="F774" t="s">
        <v>24</v>
      </c>
      <c r="G774" t="s">
        <v>68</v>
      </c>
      <c r="H774" t="s">
        <v>69</v>
      </c>
      <c r="I774">
        <v>2427.1799999999998</v>
      </c>
      <c r="J774">
        <v>2387.83</v>
      </c>
      <c r="K774" t="s">
        <v>17</v>
      </c>
      <c r="L774" t="b">
        <v>0</v>
      </c>
      <c r="N774" s="2" t="str">
        <f t="shared" si="67"/>
        <v/>
      </c>
      <c r="Q774" t="str">
        <f t="shared" si="68"/>
        <v/>
      </c>
    </row>
    <row r="775" spans="1:17" hidden="1">
      <c r="A775" t="s">
        <v>880</v>
      </c>
      <c r="B775" s="1">
        <v>45027</v>
      </c>
      <c r="C775">
        <v>2023</v>
      </c>
      <c r="D775">
        <v>4</v>
      </c>
      <c r="E775" t="s">
        <v>47</v>
      </c>
      <c r="F775" t="s">
        <v>24</v>
      </c>
      <c r="G775" t="s">
        <v>48</v>
      </c>
      <c r="H775" t="s">
        <v>191</v>
      </c>
      <c r="I775">
        <v>15945.94</v>
      </c>
      <c r="J775">
        <v>13658.57</v>
      </c>
      <c r="K775" t="s">
        <v>17</v>
      </c>
      <c r="L775" t="b">
        <v>0</v>
      </c>
      <c r="N775" s="2" t="b">
        <f t="shared" si="67"/>
        <v>1</v>
      </c>
      <c r="O775" t="b">
        <f>IF(AND(E764="HR",K764="EXPENSE"),I764&lt;J764,"")</f>
        <v>1</v>
      </c>
      <c r="Q775" t="str">
        <f t="shared" si="68"/>
        <v/>
      </c>
    </row>
    <row r="776" spans="1:17" hidden="1">
      <c r="A776" t="s">
        <v>881</v>
      </c>
      <c r="B776" s="1">
        <v>45027</v>
      </c>
      <c r="C776">
        <v>2023</v>
      </c>
      <c r="D776">
        <v>4</v>
      </c>
      <c r="E776" t="s">
        <v>19</v>
      </c>
      <c r="F776" t="s">
        <v>24</v>
      </c>
      <c r="G776" t="s">
        <v>20</v>
      </c>
      <c r="H776" t="s">
        <v>21</v>
      </c>
      <c r="I776">
        <v>8617.94</v>
      </c>
      <c r="J776">
        <v>8438.6299999999992</v>
      </c>
      <c r="K776" t="s">
        <v>17</v>
      </c>
      <c r="L776" t="b">
        <v>0</v>
      </c>
      <c r="N776" s="2" t="str">
        <f t="shared" si="67"/>
        <v/>
      </c>
      <c r="Q776" t="str">
        <f t="shared" si="68"/>
        <v/>
      </c>
    </row>
    <row r="777" spans="1:17" hidden="1">
      <c r="A777" t="s">
        <v>882</v>
      </c>
      <c r="B777" s="1">
        <v>45027</v>
      </c>
      <c r="C777">
        <v>2023</v>
      </c>
      <c r="D777">
        <v>4</v>
      </c>
      <c r="E777" t="s">
        <v>23</v>
      </c>
      <c r="F777" t="s">
        <v>14</v>
      </c>
      <c r="G777" t="s">
        <v>141</v>
      </c>
      <c r="H777" t="s">
        <v>153</v>
      </c>
      <c r="I777">
        <v>8380.73</v>
      </c>
      <c r="J777">
        <v>8636</v>
      </c>
      <c r="K777" t="s">
        <v>17</v>
      </c>
      <c r="L777" t="b">
        <v>0</v>
      </c>
      <c r="N777" s="2" t="str">
        <f t="shared" si="67"/>
        <v/>
      </c>
      <c r="Q777" t="str">
        <f t="shared" si="68"/>
        <v/>
      </c>
    </row>
    <row r="778" spans="1:17" hidden="1">
      <c r="A778" t="s">
        <v>883</v>
      </c>
      <c r="B778" s="1">
        <v>45027</v>
      </c>
      <c r="C778">
        <v>2023</v>
      </c>
      <c r="D778">
        <v>4</v>
      </c>
      <c r="E778" t="s">
        <v>23</v>
      </c>
      <c r="F778" t="s">
        <v>28</v>
      </c>
      <c r="G778" t="s">
        <v>141</v>
      </c>
      <c r="H778" t="s">
        <v>209</v>
      </c>
      <c r="I778">
        <v>9891.25</v>
      </c>
      <c r="J778">
        <v>10263.959999999999</v>
      </c>
      <c r="K778" t="s">
        <v>17</v>
      </c>
      <c r="L778" t="b">
        <v>0</v>
      </c>
      <c r="N778" s="2" t="str">
        <f t="shared" si="67"/>
        <v/>
      </c>
      <c r="Q778" t="str">
        <f t="shared" si="68"/>
        <v/>
      </c>
    </row>
    <row r="779" spans="1:17" hidden="1">
      <c r="A779" t="s">
        <v>884</v>
      </c>
      <c r="B779" s="1">
        <v>45028</v>
      </c>
      <c r="C779">
        <v>2023</v>
      </c>
      <c r="D779">
        <v>4</v>
      </c>
      <c r="E779" t="s">
        <v>47</v>
      </c>
      <c r="F779" t="s">
        <v>28</v>
      </c>
      <c r="G779" t="s">
        <v>91</v>
      </c>
      <c r="H779" t="s">
        <v>254</v>
      </c>
      <c r="I779">
        <v>10686.45</v>
      </c>
      <c r="J779">
        <v>9008.91</v>
      </c>
      <c r="K779" t="s">
        <v>17</v>
      </c>
      <c r="L779" t="b">
        <v>0</v>
      </c>
      <c r="N779" s="2" t="b">
        <f t="shared" si="67"/>
        <v>1</v>
      </c>
      <c r="O779" t="str">
        <f>IF(AND(E768="HR",K768="EXPENSE"),I768&lt;J768,"")</f>
        <v/>
      </c>
      <c r="Q779" t="str">
        <f t="shared" si="68"/>
        <v/>
      </c>
    </row>
    <row r="780" spans="1:17" hidden="1">
      <c r="A780" t="s">
        <v>885</v>
      </c>
      <c r="B780" s="1">
        <v>45028</v>
      </c>
      <c r="C780">
        <v>2023</v>
      </c>
      <c r="D780">
        <v>4</v>
      </c>
      <c r="E780" t="s">
        <v>23</v>
      </c>
      <c r="F780" t="s">
        <v>14</v>
      </c>
      <c r="G780" t="s">
        <v>59</v>
      </c>
      <c r="H780" t="s">
        <v>155</v>
      </c>
      <c r="I780">
        <v>8018.45</v>
      </c>
      <c r="J780">
        <v>8591.8700000000008</v>
      </c>
      <c r="K780" t="s">
        <v>17</v>
      </c>
      <c r="L780" t="b">
        <v>0</v>
      </c>
      <c r="N780" s="2" t="str">
        <f t="shared" si="67"/>
        <v/>
      </c>
      <c r="Q780" t="str">
        <f t="shared" si="68"/>
        <v/>
      </c>
    </row>
    <row r="781" spans="1:17" hidden="1">
      <c r="A781" t="s">
        <v>886</v>
      </c>
      <c r="B781" s="1">
        <v>45028</v>
      </c>
      <c r="C781">
        <v>2023</v>
      </c>
      <c r="D781">
        <v>4</v>
      </c>
      <c r="E781" t="s">
        <v>23</v>
      </c>
      <c r="F781" t="s">
        <v>24</v>
      </c>
      <c r="G781" t="s">
        <v>30</v>
      </c>
      <c r="H781" t="s">
        <v>33</v>
      </c>
      <c r="I781">
        <v>4938.62</v>
      </c>
      <c r="J781">
        <v>4979.8100000000004</v>
      </c>
      <c r="K781" t="s">
        <v>17</v>
      </c>
      <c r="L781" t="b">
        <v>0</v>
      </c>
      <c r="N781" s="2" t="str">
        <f t="shared" si="67"/>
        <v/>
      </c>
      <c r="Q781" t="str">
        <f t="shared" si="68"/>
        <v/>
      </c>
    </row>
    <row r="782" spans="1:17" hidden="1">
      <c r="A782" t="s">
        <v>887</v>
      </c>
      <c r="B782" s="1">
        <v>45029</v>
      </c>
      <c r="C782">
        <v>2023</v>
      </c>
      <c r="D782">
        <v>4</v>
      </c>
      <c r="E782" t="s">
        <v>13</v>
      </c>
      <c r="F782" t="s">
        <v>14</v>
      </c>
      <c r="G782" t="s">
        <v>102</v>
      </c>
      <c r="H782" t="s">
        <v>278</v>
      </c>
      <c r="I782">
        <v>5230.34</v>
      </c>
      <c r="J782">
        <v>4901.17</v>
      </c>
      <c r="K782" t="s">
        <v>17</v>
      </c>
      <c r="L782" t="b">
        <v>0</v>
      </c>
      <c r="N782" s="2" t="str">
        <f t="shared" si="67"/>
        <v/>
      </c>
      <c r="Q782" t="str">
        <f t="shared" si="68"/>
        <v/>
      </c>
    </row>
    <row r="783" spans="1:17" hidden="1">
      <c r="A783" t="s">
        <v>888</v>
      </c>
      <c r="B783" s="1">
        <v>45029</v>
      </c>
      <c r="C783">
        <v>2023</v>
      </c>
      <c r="D783">
        <v>4</v>
      </c>
      <c r="E783" t="s">
        <v>47</v>
      </c>
      <c r="F783" t="s">
        <v>14</v>
      </c>
      <c r="G783" t="s">
        <v>91</v>
      </c>
      <c r="H783" t="s">
        <v>92</v>
      </c>
      <c r="I783">
        <v>18250.900000000001</v>
      </c>
      <c r="J783">
        <v>15167.65</v>
      </c>
      <c r="K783" t="s">
        <v>17</v>
      </c>
      <c r="L783" t="b">
        <v>0</v>
      </c>
      <c r="N783" s="2" t="b">
        <f t="shared" si="67"/>
        <v>1</v>
      </c>
      <c r="O783" t="str">
        <f t="shared" ref="O783:O785" si="69">IF(AND(E772="HR",K772="EXPENSE"),I772&lt;J772,"")</f>
        <v/>
      </c>
      <c r="Q783" t="str">
        <f t="shared" si="68"/>
        <v/>
      </c>
    </row>
    <row r="784" spans="1:17" hidden="1">
      <c r="A784" t="s">
        <v>889</v>
      </c>
      <c r="B784" s="1">
        <v>45029</v>
      </c>
      <c r="C784">
        <v>2023</v>
      </c>
      <c r="D784">
        <v>4</v>
      </c>
      <c r="E784" t="s">
        <v>47</v>
      </c>
      <c r="F784" t="s">
        <v>28</v>
      </c>
      <c r="G784" t="s">
        <v>91</v>
      </c>
      <c r="H784" t="s">
        <v>249</v>
      </c>
      <c r="I784">
        <v>16814.43</v>
      </c>
      <c r="J784">
        <v>13835.41</v>
      </c>
      <c r="K784" t="s">
        <v>17</v>
      </c>
      <c r="L784" t="b">
        <v>0</v>
      </c>
      <c r="N784" s="2" t="b">
        <f t="shared" si="67"/>
        <v>1</v>
      </c>
      <c r="O784" t="b">
        <f t="shared" si="69"/>
        <v>1</v>
      </c>
      <c r="Q784" t="str">
        <f t="shared" si="68"/>
        <v/>
      </c>
    </row>
    <row r="785" spans="1:17" hidden="1">
      <c r="A785" t="s">
        <v>890</v>
      </c>
      <c r="B785" s="1">
        <v>45029</v>
      </c>
      <c r="C785">
        <v>2023</v>
      </c>
      <c r="D785">
        <v>4</v>
      </c>
      <c r="E785" t="s">
        <v>47</v>
      </c>
      <c r="F785" t="s">
        <v>24</v>
      </c>
      <c r="G785" t="s">
        <v>91</v>
      </c>
      <c r="H785" t="s">
        <v>128</v>
      </c>
      <c r="I785">
        <v>24048.69</v>
      </c>
      <c r="J785">
        <v>20711.57</v>
      </c>
      <c r="K785" t="s">
        <v>17</v>
      </c>
      <c r="L785" t="b">
        <v>0</v>
      </c>
      <c r="N785" s="2" t="b">
        <f t="shared" si="67"/>
        <v>1</v>
      </c>
      <c r="O785" t="b">
        <f t="shared" si="69"/>
        <v>0</v>
      </c>
      <c r="Q785" t="str">
        <f t="shared" si="68"/>
        <v/>
      </c>
    </row>
    <row r="786" spans="1:17" hidden="1">
      <c r="A786" t="s">
        <v>891</v>
      </c>
      <c r="B786" s="1">
        <v>45029</v>
      </c>
      <c r="C786">
        <v>2023</v>
      </c>
      <c r="D786">
        <v>4</v>
      </c>
      <c r="E786" t="s">
        <v>23</v>
      </c>
      <c r="F786" t="s">
        <v>24</v>
      </c>
      <c r="G786" t="s">
        <v>25</v>
      </c>
      <c r="H786" t="s">
        <v>95</v>
      </c>
      <c r="I786">
        <v>3233</v>
      </c>
      <c r="J786">
        <v>3534.59</v>
      </c>
      <c r="K786" t="s">
        <v>17</v>
      </c>
      <c r="L786" t="b">
        <v>0</v>
      </c>
      <c r="N786" s="2" t="str">
        <f t="shared" si="67"/>
        <v/>
      </c>
      <c r="Q786" t="str">
        <f t="shared" si="68"/>
        <v/>
      </c>
    </row>
    <row r="787" spans="1:17" hidden="1">
      <c r="A787" t="s">
        <v>892</v>
      </c>
      <c r="B787" s="1">
        <v>45029</v>
      </c>
      <c r="C787">
        <v>2023</v>
      </c>
      <c r="D787">
        <v>4</v>
      </c>
      <c r="E787" t="s">
        <v>37</v>
      </c>
      <c r="F787" t="s">
        <v>14</v>
      </c>
      <c r="G787" t="s">
        <v>38</v>
      </c>
      <c r="H787" t="s">
        <v>39</v>
      </c>
      <c r="I787">
        <v>6647</v>
      </c>
      <c r="J787">
        <v>6400.19</v>
      </c>
      <c r="K787" t="s">
        <v>17</v>
      </c>
      <c r="L787" t="b">
        <v>0</v>
      </c>
      <c r="N787" s="2" t="str">
        <f t="shared" si="67"/>
        <v/>
      </c>
      <c r="Q787" t="str">
        <f t="shared" si="68"/>
        <v/>
      </c>
    </row>
    <row r="788" spans="1:17" hidden="1">
      <c r="A788" t="s">
        <v>893</v>
      </c>
      <c r="B788" s="1">
        <v>45029</v>
      </c>
      <c r="C788">
        <v>2023</v>
      </c>
      <c r="D788">
        <v>4</v>
      </c>
      <c r="E788" t="s">
        <v>37</v>
      </c>
      <c r="F788" t="s">
        <v>28</v>
      </c>
      <c r="G788" t="s">
        <v>83</v>
      </c>
      <c r="H788" t="s">
        <v>84</v>
      </c>
      <c r="I788">
        <v>157566.51999999999</v>
      </c>
      <c r="J788">
        <v>149688.20000000001</v>
      </c>
      <c r="K788" t="s">
        <v>85</v>
      </c>
      <c r="L788" t="b">
        <v>0</v>
      </c>
      <c r="N788" s="2" t="str">
        <f t="shared" si="67"/>
        <v/>
      </c>
      <c r="Q788" t="str">
        <f t="shared" si="68"/>
        <v/>
      </c>
    </row>
    <row r="789" spans="1:17" hidden="1">
      <c r="A789" t="s">
        <v>894</v>
      </c>
      <c r="B789" s="1">
        <v>45030</v>
      </c>
      <c r="C789">
        <v>2023</v>
      </c>
      <c r="D789">
        <v>4</v>
      </c>
      <c r="E789" t="s">
        <v>13</v>
      </c>
      <c r="F789" t="s">
        <v>24</v>
      </c>
      <c r="G789" t="s">
        <v>108</v>
      </c>
      <c r="H789" t="s">
        <v>109</v>
      </c>
      <c r="I789">
        <v>2762.78</v>
      </c>
      <c r="J789">
        <v>2519.39</v>
      </c>
      <c r="K789" t="s">
        <v>17</v>
      </c>
      <c r="L789" t="b">
        <v>0</v>
      </c>
      <c r="N789" s="2" t="str">
        <f t="shared" si="67"/>
        <v/>
      </c>
      <c r="Q789" t="str">
        <f t="shared" si="68"/>
        <v/>
      </c>
    </row>
    <row r="790" spans="1:17" hidden="1">
      <c r="A790" t="s">
        <v>895</v>
      </c>
      <c r="B790" s="1">
        <v>45030</v>
      </c>
      <c r="C790">
        <v>2023</v>
      </c>
      <c r="D790">
        <v>4</v>
      </c>
      <c r="E790" t="s">
        <v>47</v>
      </c>
      <c r="F790" t="s">
        <v>14</v>
      </c>
      <c r="G790" t="s">
        <v>77</v>
      </c>
      <c r="H790" t="s">
        <v>78</v>
      </c>
      <c r="I790">
        <v>12577.46</v>
      </c>
      <c r="J790">
        <v>10697.34</v>
      </c>
      <c r="K790" t="s">
        <v>17</v>
      </c>
      <c r="L790" t="b">
        <v>0</v>
      </c>
      <c r="N790" s="2" t="b">
        <f t="shared" si="67"/>
        <v>1</v>
      </c>
      <c r="O790" t="str">
        <f t="shared" ref="O790:O791" si="70">IF(AND(E779="HR",K779="EXPENSE"),I779&lt;J779,"")</f>
        <v/>
      </c>
      <c r="Q790" t="str">
        <f t="shared" si="68"/>
        <v/>
      </c>
    </row>
    <row r="791" spans="1:17" hidden="1">
      <c r="A791" t="s">
        <v>896</v>
      </c>
      <c r="B791" s="1">
        <v>45030</v>
      </c>
      <c r="C791">
        <v>2023</v>
      </c>
      <c r="D791">
        <v>4</v>
      </c>
      <c r="E791" t="s">
        <v>47</v>
      </c>
      <c r="F791" t="s">
        <v>28</v>
      </c>
      <c r="G791" t="s">
        <v>48</v>
      </c>
      <c r="H791" t="s">
        <v>49</v>
      </c>
      <c r="I791">
        <v>13603.96</v>
      </c>
      <c r="J791">
        <v>11774.3</v>
      </c>
      <c r="K791" t="s">
        <v>17</v>
      </c>
      <c r="L791" t="b">
        <v>0</v>
      </c>
      <c r="N791" s="2" t="b">
        <f t="shared" si="67"/>
        <v>1</v>
      </c>
      <c r="O791" t="str">
        <f t="shared" si="70"/>
        <v/>
      </c>
      <c r="Q791" t="str">
        <f t="shared" si="68"/>
        <v/>
      </c>
    </row>
    <row r="792" spans="1:17" hidden="1">
      <c r="A792" t="s">
        <v>897</v>
      </c>
      <c r="B792" s="1">
        <v>45030</v>
      </c>
      <c r="C792">
        <v>2023</v>
      </c>
      <c r="D792">
        <v>4</v>
      </c>
      <c r="E792" t="s">
        <v>19</v>
      </c>
      <c r="F792" t="s">
        <v>14</v>
      </c>
      <c r="G792" t="s">
        <v>80</v>
      </c>
      <c r="H792" t="s">
        <v>217</v>
      </c>
      <c r="I792">
        <v>7590.92</v>
      </c>
      <c r="J792">
        <v>7132.58</v>
      </c>
      <c r="K792" t="s">
        <v>17</v>
      </c>
      <c r="L792" t="b">
        <v>0</v>
      </c>
      <c r="N792" s="2" t="str">
        <f t="shared" si="67"/>
        <v/>
      </c>
      <c r="Q792" t="str">
        <f t="shared" si="68"/>
        <v/>
      </c>
    </row>
    <row r="793" spans="1:17" hidden="1">
      <c r="A793" t="s">
        <v>898</v>
      </c>
      <c r="B793" s="1">
        <v>45030</v>
      </c>
      <c r="C793">
        <v>2023</v>
      </c>
      <c r="D793">
        <v>4</v>
      </c>
      <c r="E793" t="s">
        <v>19</v>
      </c>
      <c r="F793" t="s">
        <v>28</v>
      </c>
      <c r="G793" t="s">
        <v>54</v>
      </c>
      <c r="H793" t="s">
        <v>55</v>
      </c>
      <c r="I793">
        <v>5671.97</v>
      </c>
      <c r="J793">
        <v>6037.36</v>
      </c>
      <c r="K793" t="s">
        <v>17</v>
      </c>
      <c r="L793" t="b">
        <v>0</v>
      </c>
      <c r="N793" s="2" t="str">
        <f t="shared" si="67"/>
        <v/>
      </c>
      <c r="Q793" t="str">
        <f t="shared" si="68"/>
        <v/>
      </c>
    </row>
    <row r="794" spans="1:17" hidden="1">
      <c r="A794" t="s">
        <v>899</v>
      </c>
      <c r="B794" s="1">
        <v>45030</v>
      </c>
      <c r="C794">
        <v>2023</v>
      </c>
      <c r="D794">
        <v>4</v>
      </c>
      <c r="E794" t="s">
        <v>19</v>
      </c>
      <c r="F794" t="s">
        <v>24</v>
      </c>
      <c r="G794" t="s">
        <v>54</v>
      </c>
      <c r="H794" t="s">
        <v>55</v>
      </c>
      <c r="I794">
        <v>8532.9699999999993</v>
      </c>
      <c r="J794">
        <v>9226.09</v>
      </c>
      <c r="K794" t="s">
        <v>17</v>
      </c>
      <c r="L794" t="b">
        <v>0</v>
      </c>
      <c r="N794" s="2" t="str">
        <f t="shared" si="67"/>
        <v/>
      </c>
      <c r="Q794" t="str">
        <f t="shared" si="68"/>
        <v/>
      </c>
    </row>
    <row r="795" spans="1:17" hidden="1">
      <c r="A795" t="s">
        <v>900</v>
      </c>
      <c r="B795" s="1">
        <v>45030</v>
      </c>
      <c r="C795">
        <v>2023</v>
      </c>
      <c r="D795">
        <v>4</v>
      </c>
      <c r="E795" t="s">
        <v>37</v>
      </c>
      <c r="F795" t="s">
        <v>24</v>
      </c>
      <c r="G795" t="s">
        <v>62</v>
      </c>
      <c r="H795" t="s">
        <v>66</v>
      </c>
      <c r="I795">
        <v>6061.9</v>
      </c>
      <c r="J795">
        <v>5916.9</v>
      </c>
      <c r="K795" t="s">
        <v>17</v>
      </c>
      <c r="L795" t="b">
        <v>0</v>
      </c>
      <c r="N795" s="2" t="str">
        <f t="shared" si="67"/>
        <v/>
      </c>
      <c r="Q795" t="str">
        <f t="shared" si="68"/>
        <v/>
      </c>
    </row>
    <row r="796" spans="1:17" hidden="1">
      <c r="A796" t="s">
        <v>901</v>
      </c>
      <c r="B796" s="1">
        <v>45031</v>
      </c>
      <c r="C796">
        <v>2023</v>
      </c>
      <c r="D796">
        <v>4</v>
      </c>
      <c r="E796" t="s">
        <v>13</v>
      </c>
      <c r="F796" t="s">
        <v>14</v>
      </c>
      <c r="G796" t="s">
        <v>108</v>
      </c>
      <c r="H796" t="s">
        <v>123</v>
      </c>
      <c r="I796">
        <v>3099.5</v>
      </c>
      <c r="J796">
        <v>3317.87</v>
      </c>
      <c r="K796" t="s">
        <v>17</v>
      </c>
      <c r="L796" t="b">
        <v>0</v>
      </c>
      <c r="N796" s="2" t="str">
        <f t="shared" si="67"/>
        <v/>
      </c>
      <c r="Q796" t="str">
        <f t="shared" si="68"/>
        <v/>
      </c>
    </row>
    <row r="797" spans="1:17" hidden="1">
      <c r="A797" t="s">
        <v>902</v>
      </c>
      <c r="B797" s="1">
        <v>45031</v>
      </c>
      <c r="C797">
        <v>2023</v>
      </c>
      <c r="D797">
        <v>4</v>
      </c>
      <c r="E797" t="s">
        <v>13</v>
      </c>
      <c r="F797" t="s">
        <v>14</v>
      </c>
      <c r="G797" t="s">
        <v>15</v>
      </c>
      <c r="H797" t="s">
        <v>89</v>
      </c>
      <c r="I797">
        <v>5819.28</v>
      </c>
      <c r="J797">
        <v>5516.11</v>
      </c>
      <c r="K797" t="s">
        <v>17</v>
      </c>
      <c r="L797" t="b">
        <v>0</v>
      </c>
      <c r="N797" s="2" t="str">
        <f t="shared" si="67"/>
        <v/>
      </c>
      <c r="Q797" t="str">
        <f t="shared" si="68"/>
        <v/>
      </c>
    </row>
    <row r="798" spans="1:17" hidden="1">
      <c r="A798" t="s">
        <v>903</v>
      </c>
      <c r="B798" s="1">
        <v>45031</v>
      </c>
      <c r="C798">
        <v>2023</v>
      </c>
      <c r="D798">
        <v>4</v>
      </c>
      <c r="E798" t="s">
        <v>13</v>
      </c>
      <c r="F798" t="s">
        <v>28</v>
      </c>
      <c r="G798" t="s">
        <v>108</v>
      </c>
      <c r="H798" t="s">
        <v>123</v>
      </c>
      <c r="I798">
        <v>2979.43</v>
      </c>
      <c r="J798">
        <v>3070.14</v>
      </c>
      <c r="K798" t="s">
        <v>17</v>
      </c>
      <c r="L798" t="b">
        <v>0</v>
      </c>
      <c r="N798" s="2" t="str">
        <f t="shared" si="67"/>
        <v/>
      </c>
      <c r="Q798" t="str">
        <f t="shared" si="68"/>
        <v/>
      </c>
    </row>
    <row r="799" spans="1:17" hidden="1">
      <c r="A799" t="s">
        <v>904</v>
      </c>
      <c r="B799" s="1">
        <v>45031</v>
      </c>
      <c r="C799">
        <v>2023</v>
      </c>
      <c r="D799">
        <v>4</v>
      </c>
      <c r="E799" t="s">
        <v>47</v>
      </c>
      <c r="F799" t="s">
        <v>14</v>
      </c>
      <c r="G799" t="s">
        <v>48</v>
      </c>
      <c r="H799" t="s">
        <v>189</v>
      </c>
      <c r="I799">
        <v>17072.68</v>
      </c>
      <c r="J799">
        <v>14655.34</v>
      </c>
      <c r="K799" t="s">
        <v>17</v>
      </c>
      <c r="L799" t="b">
        <v>0</v>
      </c>
      <c r="N799" s="2" t="b">
        <f t="shared" si="67"/>
        <v>1</v>
      </c>
      <c r="O799" t="str">
        <f t="shared" ref="O799:O800" si="71">IF(AND(E788="HR",K788="EXPENSE"),I788&lt;J788,"")</f>
        <v/>
      </c>
      <c r="Q799" t="str">
        <f t="shared" si="68"/>
        <v/>
      </c>
    </row>
    <row r="800" spans="1:17" hidden="1">
      <c r="A800" t="s">
        <v>905</v>
      </c>
      <c r="B800" s="1">
        <v>45031</v>
      </c>
      <c r="C800">
        <v>2023</v>
      </c>
      <c r="D800">
        <v>4</v>
      </c>
      <c r="E800" t="s">
        <v>47</v>
      </c>
      <c r="F800" t="s">
        <v>14</v>
      </c>
      <c r="G800" t="s">
        <v>77</v>
      </c>
      <c r="H800" t="s">
        <v>130</v>
      </c>
      <c r="I800">
        <v>12759.15</v>
      </c>
      <c r="J800">
        <v>10554.79</v>
      </c>
      <c r="K800" t="s">
        <v>17</v>
      </c>
      <c r="L800" t="b">
        <v>0</v>
      </c>
      <c r="N800" s="2" t="b">
        <f t="shared" si="67"/>
        <v>1</v>
      </c>
      <c r="O800" t="b">
        <f t="shared" si="71"/>
        <v>0</v>
      </c>
      <c r="Q800" t="str">
        <f t="shared" si="68"/>
        <v/>
      </c>
    </row>
    <row r="801" spans="1:17" hidden="1">
      <c r="A801" t="s">
        <v>906</v>
      </c>
      <c r="B801" s="1">
        <v>45031</v>
      </c>
      <c r="C801">
        <v>2023</v>
      </c>
      <c r="D801">
        <v>4</v>
      </c>
      <c r="E801" t="s">
        <v>23</v>
      </c>
      <c r="F801" t="s">
        <v>14</v>
      </c>
      <c r="G801" t="s">
        <v>59</v>
      </c>
      <c r="H801" t="s">
        <v>60</v>
      </c>
      <c r="I801">
        <v>7917.36</v>
      </c>
      <c r="J801">
        <v>7806.41</v>
      </c>
      <c r="K801" t="s">
        <v>17</v>
      </c>
      <c r="L801" t="b">
        <v>0</v>
      </c>
      <c r="N801" s="2" t="str">
        <f t="shared" si="67"/>
        <v/>
      </c>
      <c r="Q801" t="str">
        <f t="shared" si="68"/>
        <v/>
      </c>
    </row>
    <row r="802" spans="1:17" hidden="1">
      <c r="A802" t="s">
        <v>907</v>
      </c>
      <c r="B802" s="1">
        <v>45031</v>
      </c>
      <c r="C802">
        <v>2023</v>
      </c>
      <c r="D802">
        <v>4</v>
      </c>
      <c r="E802" t="s">
        <v>23</v>
      </c>
      <c r="F802" t="s">
        <v>14</v>
      </c>
      <c r="G802" t="s">
        <v>59</v>
      </c>
      <c r="H802" t="s">
        <v>60</v>
      </c>
      <c r="I802">
        <v>5411.93</v>
      </c>
      <c r="J802">
        <v>5724.72</v>
      </c>
      <c r="K802" t="s">
        <v>17</v>
      </c>
      <c r="L802" t="b">
        <v>0</v>
      </c>
      <c r="N802" s="2" t="str">
        <f t="shared" si="67"/>
        <v/>
      </c>
      <c r="Q802" t="str">
        <f t="shared" si="68"/>
        <v/>
      </c>
    </row>
    <row r="803" spans="1:17" hidden="1">
      <c r="A803" t="s">
        <v>908</v>
      </c>
      <c r="B803" s="1">
        <v>45031</v>
      </c>
      <c r="C803">
        <v>2023</v>
      </c>
      <c r="D803">
        <v>4</v>
      </c>
      <c r="E803" t="s">
        <v>37</v>
      </c>
      <c r="F803" t="s">
        <v>14</v>
      </c>
      <c r="G803" t="s">
        <v>41</v>
      </c>
      <c r="H803" t="s">
        <v>42</v>
      </c>
      <c r="I803">
        <v>4971.41</v>
      </c>
      <c r="J803">
        <v>4647.04</v>
      </c>
      <c r="K803" t="s">
        <v>17</v>
      </c>
      <c r="L803" t="b">
        <v>0</v>
      </c>
      <c r="N803" s="2" t="str">
        <f t="shared" si="67"/>
        <v/>
      </c>
      <c r="Q803" t="str">
        <f t="shared" si="68"/>
        <v/>
      </c>
    </row>
    <row r="804" spans="1:17" hidden="1">
      <c r="A804" t="s">
        <v>909</v>
      </c>
      <c r="B804" s="1">
        <v>45031</v>
      </c>
      <c r="C804">
        <v>2023</v>
      </c>
      <c r="D804">
        <v>4</v>
      </c>
      <c r="E804" t="s">
        <v>37</v>
      </c>
      <c r="F804" t="s">
        <v>28</v>
      </c>
      <c r="G804" t="s">
        <v>41</v>
      </c>
      <c r="H804" t="s">
        <v>42</v>
      </c>
      <c r="I804">
        <v>3778.07</v>
      </c>
      <c r="J804">
        <v>3918.86</v>
      </c>
      <c r="K804" t="s">
        <v>17</v>
      </c>
      <c r="L804" t="b">
        <v>0</v>
      </c>
      <c r="N804" s="2" t="str">
        <f t="shared" si="67"/>
        <v/>
      </c>
      <c r="Q804" t="str">
        <f t="shared" si="68"/>
        <v/>
      </c>
    </row>
    <row r="805" spans="1:17" hidden="1">
      <c r="A805" t="s">
        <v>910</v>
      </c>
      <c r="B805" s="1">
        <v>45031</v>
      </c>
      <c r="C805">
        <v>2023</v>
      </c>
      <c r="D805">
        <v>4</v>
      </c>
      <c r="E805" t="s">
        <v>37</v>
      </c>
      <c r="F805" t="s">
        <v>28</v>
      </c>
      <c r="G805" t="s">
        <v>38</v>
      </c>
      <c r="H805" t="s">
        <v>227</v>
      </c>
      <c r="I805">
        <v>4449.45</v>
      </c>
      <c r="J805">
        <v>4274.9799999999996</v>
      </c>
      <c r="K805" t="s">
        <v>17</v>
      </c>
      <c r="L805" t="b">
        <v>0</v>
      </c>
      <c r="N805" s="2" t="str">
        <f t="shared" si="67"/>
        <v/>
      </c>
      <c r="Q805" t="str">
        <f t="shared" si="68"/>
        <v/>
      </c>
    </row>
    <row r="806" spans="1:17" hidden="1">
      <c r="A806" t="s">
        <v>911</v>
      </c>
      <c r="B806" s="1">
        <v>45031</v>
      </c>
      <c r="C806">
        <v>2023</v>
      </c>
      <c r="D806">
        <v>4</v>
      </c>
      <c r="E806" t="s">
        <v>37</v>
      </c>
      <c r="F806" t="s">
        <v>24</v>
      </c>
      <c r="G806" t="s">
        <v>41</v>
      </c>
      <c r="H806" t="s">
        <v>42</v>
      </c>
      <c r="I806">
        <v>6530.6</v>
      </c>
      <c r="J806">
        <v>6878.11</v>
      </c>
      <c r="K806" t="s">
        <v>17</v>
      </c>
      <c r="L806" t="b">
        <v>0</v>
      </c>
      <c r="N806" s="2" t="str">
        <f t="shared" si="67"/>
        <v/>
      </c>
      <c r="Q806" t="str">
        <f t="shared" si="68"/>
        <v/>
      </c>
    </row>
    <row r="807" spans="1:17" hidden="1">
      <c r="A807" t="s">
        <v>912</v>
      </c>
      <c r="B807" s="1">
        <v>45031</v>
      </c>
      <c r="C807">
        <v>2023</v>
      </c>
      <c r="D807">
        <v>4</v>
      </c>
      <c r="E807" t="s">
        <v>37</v>
      </c>
      <c r="F807" t="s">
        <v>24</v>
      </c>
      <c r="G807" t="s">
        <v>98</v>
      </c>
      <c r="H807" t="s">
        <v>99</v>
      </c>
      <c r="I807">
        <v>7241.75</v>
      </c>
      <c r="J807">
        <v>6894.56</v>
      </c>
      <c r="K807" t="s">
        <v>17</v>
      </c>
      <c r="L807" t="b">
        <v>0</v>
      </c>
      <c r="N807" s="2" t="str">
        <f t="shared" si="67"/>
        <v/>
      </c>
      <c r="Q807" t="str">
        <f t="shared" si="68"/>
        <v/>
      </c>
    </row>
    <row r="808" spans="1:17" hidden="1">
      <c r="A808" t="s">
        <v>913</v>
      </c>
      <c r="B808" s="1">
        <v>45031</v>
      </c>
      <c r="C808">
        <v>2023</v>
      </c>
      <c r="D808">
        <v>4</v>
      </c>
      <c r="E808" t="s">
        <v>37</v>
      </c>
      <c r="F808" t="s">
        <v>24</v>
      </c>
      <c r="G808" t="s">
        <v>83</v>
      </c>
      <c r="H808" t="s">
        <v>84</v>
      </c>
      <c r="I808">
        <v>114307.96</v>
      </c>
      <c r="J808">
        <v>108592.56</v>
      </c>
      <c r="K808" t="s">
        <v>85</v>
      </c>
      <c r="L808" t="b">
        <v>0</v>
      </c>
      <c r="N808" s="2" t="str">
        <f t="shared" si="67"/>
        <v/>
      </c>
      <c r="Q808" t="str">
        <f t="shared" si="68"/>
        <v/>
      </c>
    </row>
    <row r="809" spans="1:17" hidden="1">
      <c r="A809" t="s">
        <v>914</v>
      </c>
      <c r="B809" s="1">
        <v>45032</v>
      </c>
      <c r="C809">
        <v>2023</v>
      </c>
      <c r="D809">
        <v>4</v>
      </c>
      <c r="E809" t="s">
        <v>13</v>
      </c>
      <c r="F809" t="s">
        <v>28</v>
      </c>
      <c r="G809" t="s">
        <v>102</v>
      </c>
      <c r="H809" t="s">
        <v>278</v>
      </c>
      <c r="I809">
        <v>2993.35</v>
      </c>
      <c r="J809">
        <v>3063.43</v>
      </c>
      <c r="K809" t="s">
        <v>17</v>
      </c>
      <c r="L809" t="b">
        <v>0</v>
      </c>
      <c r="N809" s="2" t="str">
        <f t="shared" si="67"/>
        <v/>
      </c>
      <c r="Q809" t="str">
        <f t="shared" si="68"/>
        <v/>
      </c>
    </row>
    <row r="810" spans="1:17" hidden="1">
      <c r="A810" t="s">
        <v>915</v>
      </c>
      <c r="B810" s="1">
        <v>45032</v>
      </c>
      <c r="C810">
        <v>2023</v>
      </c>
      <c r="D810">
        <v>4</v>
      </c>
      <c r="E810" t="s">
        <v>19</v>
      </c>
      <c r="F810" t="s">
        <v>14</v>
      </c>
      <c r="G810" t="s">
        <v>132</v>
      </c>
      <c r="H810" t="s">
        <v>171</v>
      </c>
      <c r="I810">
        <v>5050.43</v>
      </c>
      <c r="J810">
        <v>5112.2700000000004</v>
      </c>
      <c r="K810" t="s">
        <v>17</v>
      </c>
      <c r="L810" t="b">
        <v>0</v>
      </c>
      <c r="N810" s="2" t="str">
        <f t="shared" si="67"/>
        <v/>
      </c>
      <c r="Q810" t="str">
        <f t="shared" si="68"/>
        <v/>
      </c>
    </row>
    <row r="811" spans="1:17" hidden="1">
      <c r="A811" t="s">
        <v>916</v>
      </c>
      <c r="B811" s="1">
        <v>45032</v>
      </c>
      <c r="C811">
        <v>2023</v>
      </c>
      <c r="D811">
        <v>4</v>
      </c>
      <c r="E811" t="s">
        <v>19</v>
      </c>
      <c r="F811" t="s">
        <v>28</v>
      </c>
      <c r="G811" t="s">
        <v>132</v>
      </c>
      <c r="H811" t="s">
        <v>171</v>
      </c>
      <c r="I811">
        <v>4793.5</v>
      </c>
      <c r="J811">
        <v>4392.5</v>
      </c>
      <c r="K811" t="s">
        <v>17</v>
      </c>
      <c r="L811" t="b">
        <v>0</v>
      </c>
      <c r="N811" s="2" t="str">
        <f t="shared" si="67"/>
        <v/>
      </c>
      <c r="Q811" t="str">
        <f t="shared" si="68"/>
        <v/>
      </c>
    </row>
    <row r="812" spans="1:17" hidden="1">
      <c r="A812" t="s">
        <v>917</v>
      </c>
      <c r="B812" s="1">
        <v>45032</v>
      </c>
      <c r="C812">
        <v>2023</v>
      </c>
      <c r="D812">
        <v>4</v>
      </c>
      <c r="E812" t="s">
        <v>19</v>
      </c>
      <c r="F812" t="s">
        <v>28</v>
      </c>
      <c r="G812" t="s">
        <v>80</v>
      </c>
      <c r="H812" t="s">
        <v>217</v>
      </c>
      <c r="I812">
        <v>6470.47</v>
      </c>
      <c r="J812">
        <v>6356.29</v>
      </c>
      <c r="K812" t="s">
        <v>17</v>
      </c>
      <c r="L812" t="b">
        <v>0</v>
      </c>
      <c r="N812" s="2" t="str">
        <f t="shared" si="67"/>
        <v/>
      </c>
      <c r="Q812" t="str">
        <f t="shared" si="68"/>
        <v/>
      </c>
    </row>
    <row r="813" spans="1:17" hidden="1">
      <c r="A813" t="s">
        <v>918</v>
      </c>
      <c r="B813" s="1">
        <v>45032</v>
      </c>
      <c r="C813">
        <v>2023</v>
      </c>
      <c r="D813">
        <v>4</v>
      </c>
      <c r="E813" t="s">
        <v>23</v>
      </c>
      <c r="F813" t="s">
        <v>14</v>
      </c>
      <c r="G813" t="s">
        <v>25</v>
      </c>
      <c r="H813" t="s">
        <v>35</v>
      </c>
      <c r="I813">
        <v>5145</v>
      </c>
      <c r="J813">
        <v>5089.87</v>
      </c>
      <c r="K813" t="s">
        <v>17</v>
      </c>
      <c r="L813" t="b">
        <v>0</v>
      </c>
      <c r="N813" s="2" t="str">
        <f t="shared" si="67"/>
        <v/>
      </c>
      <c r="Q813" t="str">
        <f t="shared" si="68"/>
        <v/>
      </c>
    </row>
    <row r="814" spans="1:17" hidden="1">
      <c r="A814" t="s">
        <v>919</v>
      </c>
      <c r="B814" s="1">
        <v>45032</v>
      </c>
      <c r="C814">
        <v>2023</v>
      </c>
      <c r="D814">
        <v>4</v>
      </c>
      <c r="E814" t="s">
        <v>23</v>
      </c>
      <c r="F814" t="s">
        <v>24</v>
      </c>
      <c r="G814" t="s">
        <v>30</v>
      </c>
      <c r="H814" t="s">
        <v>106</v>
      </c>
      <c r="I814">
        <v>3425.8</v>
      </c>
      <c r="J814">
        <v>3099.22</v>
      </c>
      <c r="K814" t="s">
        <v>17</v>
      </c>
      <c r="L814" t="b">
        <v>0</v>
      </c>
      <c r="N814" s="2" t="str">
        <f t="shared" si="67"/>
        <v/>
      </c>
      <c r="Q814" t="str">
        <f t="shared" si="68"/>
        <v/>
      </c>
    </row>
    <row r="815" spans="1:17" hidden="1">
      <c r="A815" t="s">
        <v>920</v>
      </c>
      <c r="B815" s="1">
        <v>45033</v>
      </c>
      <c r="C815">
        <v>2023</v>
      </c>
      <c r="D815">
        <v>4</v>
      </c>
      <c r="E815" t="s">
        <v>13</v>
      </c>
      <c r="F815" t="s">
        <v>28</v>
      </c>
      <c r="G815" t="s">
        <v>108</v>
      </c>
      <c r="H815" t="s">
        <v>126</v>
      </c>
      <c r="I815">
        <v>3230.23</v>
      </c>
      <c r="J815">
        <v>2953.04</v>
      </c>
      <c r="K815" t="s">
        <v>17</v>
      </c>
      <c r="L815" t="b">
        <v>0</v>
      </c>
      <c r="N815" s="2" t="str">
        <f t="shared" si="67"/>
        <v/>
      </c>
      <c r="Q815" t="str">
        <f t="shared" si="68"/>
        <v/>
      </c>
    </row>
    <row r="816" spans="1:17" hidden="1">
      <c r="A816" t="s">
        <v>921</v>
      </c>
      <c r="B816" s="1">
        <v>45033</v>
      </c>
      <c r="C816">
        <v>2023</v>
      </c>
      <c r="D816">
        <v>4</v>
      </c>
      <c r="E816" t="s">
        <v>13</v>
      </c>
      <c r="F816" t="s">
        <v>28</v>
      </c>
      <c r="G816" t="s">
        <v>15</v>
      </c>
      <c r="H816" t="s">
        <v>45</v>
      </c>
      <c r="I816">
        <v>2069.83</v>
      </c>
      <c r="J816">
        <v>1979.04</v>
      </c>
      <c r="K816" t="s">
        <v>17</v>
      </c>
      <c r="L816" t="b">
        <v>0</v>
      </c>
      <c r="N816" s="2" t="str">
        <f t="shared" si="67"/>
        <v/>
      </c>
      <c r="Q816" t="str">
        <f t="shared" si="68"/>
        <v/>
      </c>
    </row>
    <row r="817" spans="1:17" hidden="1">
      <c r="A817" t="s">
        <v>922</v>
      </c>
      <c r="B817" s="1">
        <v>45033</v>
      </c>
      <c r="C817">
        <v>2023</v>
      </c>
      <c r="D817">
        <v>4</v>
      </c>
      <c r="E817" t="s">
        <v>13</v>
      </c>
      <c r="F817" t="s">
        <v>24</v>
      </c>
      <c r="G817" t="s">
        <v>102</v>
      </c>
      <c r="H817" t="s">
        <v>278</v>
      </c>
      <c r="I817">
        <v>3308.23</v>
      </c>
      <c r="J817">
        <v>3431.69</v>
      </c>
      <c r="K817" t="s">
        <v>17</v>
      </c>
      <c r="L817" t="b">
        <v>0</v>
      </c>
      <c r="N817" s="2" t="str">
        <f t="shared" si="67"/>
        <v/>
      </c>
      <c r="Q817" t="str">
        <f t="shared" si="68"/>
        <v/>
      </c>
    </row>
    <row r="818" spans="1:17" hidden="1">
      <c r="A818" t="s">
        <v>923</v>
      </c>
      <c r="B818" s="1">
        <v>45033</v>
      </c>
      <c r="C818">
        <v>2023</v>
      </c>
      <c r="D818">
        <v>4</v>
      </c>
      <c r="E818" t="s">
        <v>47</v>
      </c>
      <c r="F818" t="s">
        <v>14</v>
      </c>
      <c r="G818" t="s">
        <v>51</v>
      </c>
      <c r="H818" t="s">
        <v>52</v>
      </c>
      <c r="I818">
        <v>16352.43</v>
      </c>
      <c r="J818">
        <v>13830.93</v>
      </c>
      <c r="K818" t="s">
        <v>17</v>
      </c>
      <c r="L818" t="b">
        <v>0</v>
      </c>
      <c r="N818" s="2" t="b">
        <f t="shared" si="67"/>
        <v>1</v>
      </c>
      <c r="O818" t="str">
        <f t="shared" ref="O818:O823" si="72">IF(AND(E807="HR",K807="EXPENSE"),I807&lt;J807,"")</f>
        <v/>
      </c>
      <c r="Q818" t="str">
        <f t="shared" si="68"/>
        <v/>
      </c>
    </row>
    <row r="819" spans="1:17" hidden="1">
      <c r="A819" t="s">
        <v>924</v>
      </c>
      <c r="B819" s="1">
        <v>45033</v>
      </c>
      <c r="C819">
        <v>2023</v>
      </c>
      <c r="D819">
        <v>4</v>
      </c>
      <c r="E819" t="s">
        <v>47</v>
      </c>
      <c r="F819" t="s">
        <v>28</v>
      </c>
      <c r="G819" t="s">
        <v>51</v>
      </c>
      <c r="H819" t="s">
        <v>52</v>
      </c>
      <c r="I819">
        <v>10712.86</v>
      </c>
      <c r="J819">
        <v>8923.33</v>
      </c>
      <c r="K819" t="s">
        <v>17</v>
      </c>
      <c r="L819" t="b">
        <v>0</v>
      </c>
      <c r="N819" s="2" t="b">
        <f t="shared" si="67"/>
        <v>1</v>
      </c>
      <c r="O819" t="str">
        <f t="shared" si="72"/>
        <v/>
      </c>
      <c r="Q819" t="str">
        <f t="shared" si="68"/>
        <v/>
      </c>
    </row>
    <row r="820" spans="1:17" hidden="1">
      <c r="A820" t="s">
        <v>925</v>
      </c>
      <c r="B820" s="1">
        <v>45033</v>
      </c>
      <c r="C820">
        <v>2023</v>
      </c>
      <c r="D820">
        <v>4</v>
      </c>
      <c r="E820" t="s">
        <v>47</v>
      </c>
      <c r="F820" t="s">
        <v>28</v>
      </c>
      <c r="G820" t="s">
        <v>48</v>
      </c>
      <c r="H820" t="s">
        <v>75</v>
      </c>
      <c r="I820">
        <v>7457.63</v>
      </c>
      <c r="J820">
        <v>6448.4</v>
      </c>
      <c r="K820" t="s">
        <v>17</v>
      </c>
      <c r="L820" t="b">
        <v>0</v>
      </c>
      <c r="N820" s="2" t="b">
        <f t="shared" si="67"/>
        <v>1</v>
      </c>
      <c r="O820" t="b">
        <f t="shared" si="72"/>
        <v>1</v>
      </c>
      <c r="Q820" t="str">
        <f t="shared" si="68"/>
        <v/>
      </c>
    </row>
    <row r="821" spans="1:17" hidden="1">
      <c r="A821" t="s">
        <v>926</v>
      </c>
      <c r="B821" s="1">
        <v>45033</v>
      </c>
      <c r="C821">
        <v>2023</v>
      </c>
      <c r="D821">
        <v>4</v>
      </c>
      <c r="E821" t="s">
        <v>47</v>
      </c>
      <c r="F821" t="s">
        <v>24</v>
      </c>
      <c r="G821" t="s">
        <v>51</v>
      </c>
      <c r="H821" t="s">
        <v>72</v>
      </c>
      <c r="I821">
        <v>22515.68</v>
      </c>
      <c r="J821">
        <v>19547.68</v>
      </c>
      <c r="K821" t="s">
        <v>17</v>
      </c>
      <c r="L821" t="b">
        <v>0</v>
      </c>
      <c r="N821" s="2" t="b">
        <f t="shared" si="67"/>
        <v>1</v>
      </c>
      <c r="O821" t="str">
        <f t="shared" si="72"/>
        <v/>
      </c>
      <c r="Q821" t="str">
        <f t="shared" si="68"/>
        <v/>
      </c>
    </row>
    <row r="822" spans="1:17" hidden="1">
      <c r="A822" t="s">
        <v>927</v>
      </c>
      <c r="B822" s="1">
        <v>45033</v>
      </c>
      <c r="C822">
        <v>2023</v>
      </c>
      <c r="D822">
        <v>4</v>
      </c>
      <c r="E822" t="s">
        <v>47</v>
      </c>
      <c r="F822" t="s">
        <v>24</v>
      </c>
      <c r="G822" t="s">
        <v>91</v>
      </c>
      <c r="H822" t="s">
        <v>254</v>
      </c>
      <c r="I822">
        <v>18468.71</v>
      </c>
      <c r="J822">
        <v>15601.11</v>
      </c>
      <c r="K822" t="s">
        <v>17</v>
      </c>
      <c r="L822" t="b">
        <v>0</v>
      </c>
      <c r="N822" s="2" t="b">
        <f t="shared" si="67"/>
        <v>1</v>
      </c>
      <c r="O822" t="str">
        <f t="shared" si="72"/>
        <v/>
      </c>
      <c r="Q822" t="str">
        <f t="shared" si="68"/>
        <v/>
      </c>
    </row>
    <row r="823" spans="1:17" hidden="1">
      <c r="A823" t="s">
        <v>928</v>
      </c>
      <c r="B823" s="1">
        <v>45033</v>
      </c>
      <c r="C823">
        <v>2023</v>
      </c>
      <c r="D823">
        <v>4</v>
      </c>
      <c r="E823" t="s">
        <v>47</v>
      </c>
      <c r="F823" t="s">
        <v>24</v>
      </c>
      <c r="G823" t="s">
        <v>91</v>
      </c>
      <c r="H823" t="s">
        <v>92</v>
      </c>
      <c r="I823">
        <v>12495.22</v>
      </c>
      <c r="J823">
        <v>10447.620000000001</v>
      </c>
      <c r="K823" t="s">
        <v>17</v>
      </c>
      <c r="L823" t="b">
        <v>0</v>
      </c>
      <c r="N823" s="2" t="b">
        <f t="shared" si="67"/>
        <v>1</v>
      </c>
      <c r="O823" t="str">
        <f t="shared" si="72"/>
        <v/>
      </c>
      <c r="Q823" t="str">
        <f t="shared" si="68"/>
        <v/>
      </c>
    </row>
    <row r="824" spans="1:17" hidden="1">
      <c r="A824" t="s">
        <v>929</v>
      </c>
      <c r="B824" s="1">
        <v>45033</v>
      </c>
      <c r="C824">
        <v>2023</v>
      </c>
      <c r="D824">
        <v>4</v>
      </c>
      <c r="E824" t="s">
        <v>19</v>
      </c>
      <c r="F824" t="s">
        <v>14</v>
      </c>
      <c r="G824" t="s">
        <v>80</v>
      </c>
      <c r="H824" t="s">
        <v>150</v>
      </c>
      <c r="I824">
        <v>6439.4</v>
      </c>
      <c r="J824">
        <v>7001.98</v>
      </c>
      <c r="K824" t="s">
        <v>17</v>
      </c>
      <c r="L824" t="b">
        <v>0</v>
      </c>
      <c r="N824" s="2" t="str">
        <f t="shared" si="67"/>
        <v/>
      </c>
      <c r="Q824" t="str">
        <f t="shared" si="68"/>
        <v/>
      </c>
    </row>
    <row r="825" spans="1:17" hidden="1">
      <c r="A825" t="s">
        <v>930</v>
      </c>
      <c r="B825" s="1">
        <v>45033</v>
      </c>
      <c r="C825">
        <v>2023</v>
      </c>
      <c r="D825">
        <v>4</v>
      </c>
      <c r="E825" t="s">
        <v>19</v>
      </c>
      <c r="F825" t="s">
        <v>14</v>
      </c>
      <c r="G825" t="s">
        <v>20</v>
      </c>
      <c r="H825" t="s">
        <v>21</v>
      </c>
      <c r="I825">
        <v>7071.85</v>
      </c>
      <c r="J825">
        <v>7225.35</v>
      </c>
      <c r="K825" t="s">
        <v>17</v>
      </c>
      <c r="L825" t="b">
        <v>0</v>
      </c>
      <c r="N825" s="2" t="str">
        <f t="shared" si="67"/>
        <v/>
      </c>
      <c r="Q825" t="str">
        <f t="shared" si="68"/>
        <v/>
      </c>
    </row>
    <row r="826" spans="1:17" hidden="1">
      <c r="A826" t="s">
        <v>931</v>
      </c>
      <c r="B826" s="1">
        <v>45033</v>
      </c>
      <c r="C826">
        <v>2023</v>
      </c>
      <c r="D826">
        <v>4</v>
      </c>
      <c r="E826" t="s">
        <v>37</v>
      </c>
      <c r="F826" t="s">
        <v>14</v>
      </c>
      <c r="G826" t="s">
        <v>41</v>
      </c>
      <c r="H826" t="s">
        <v>42</v>
      </c>
      <c r="I826">
        <v>5210.58</v>
      </c>
      <c r="J826">
        <v>5429.67</v>
      </c>
      <c r="K826" t="s">
        <v>17</v>
      </c>
      <c r="L826" t="b">
        <v>0</v>
      </c>
      <c r="N826" s="2" t="str">
        <f t="shared" si="67"/>
        <v/>
      </c>
      <c r="Q826" t="str">
        <f t="shared" si="68"/>
        <v/>
      </c>
    </row>
    <row r="827" spans="1:17" hidden="1">
      <c r="A827" t="s">
        <v>932</v>
      </c>
      <c r="B827" s="1">
        <v>45033</v>
      </c>
      <c r="C827">
        <v>2023</v>
      </c>
      <c r="D827">
        <v>4</v>
      </c>
      <c r="E827" t="s">
        <v>37</v>
      </c>
      <c r="F827" t="s">
        <v>28</v>
      </c>
      <c r="G827" t="s">
        <v>98</v>
      </c>
      <c r="H827" t="s">
        <v>185</v>
      </c>
      <c r="I827">
        <v>5010.3999999999996</v>
      </c>
      <c r="J827">
        <v>5348.14</v>
      </c>
      <c r="K827" t="s">
        <v>17</v>
      </c>
      <c r="L827" t="b">
        <v>0</v>
      </c>
      <c r="N827" s="2" t="str">
        <f t="shared" si="67"/>
        <v/>
      </c>
      <c r="Q827" t="str">
        <f t="shared" si="68"/>
        <v/>
      </c>
    </row>
    <row r="828" spans="1:17" hidden="1">
      <c r="A828" t="s">
        <v>933</v>
      </c>
      <c r="B828" s="1">
        <v>45034</v>
      </c>
      <c r="C828">
        <v>2023</v>
      </c>
      <c r="D828">
        <v>4</v>
      </c>
      <c r="E828" t="s">
        <v>13</v>
      </c>
      <c r="F828" t="s">
        <v>28</v>
      </c>
      <c r="G828" t="s">
        <v>68</v>
      </c>
      <c r="H828" t="s">
        <v>69</v>
      </c>
      <c r="I828">
        <v>2970.34</v>
      </c>
      <c r="J828">
        <v>3013.14</v>
      </c>
      <c r="K828" t="s">
        <v>17</v>
      </c>
      <c r="L828" t="b">
        <v>0</v>
      </c>
      <c r="N828" s="2" t="str">
        <f t="shared" si="67"/>
        <v/>
      </c>
      <c r="Q828" t="str">
        <f t="shared" si="68"/>
        <v/>
      </c>
    </row>
    <row r="829" spans="1:17" hidden="1">
      <c r="A829" t="s">
        <v>934</v>
      </c>
      <c r="B829" s="1">
        <v>45034</v>
      </c>
      <c r="C829">
        <v>2023</v>
      </c>
      <c r="D829">
        <v>4</v>
      </c>
      <c r="E829" t="s">
        <v>13</v>
      </c>
      <c r="F829" t="s">
        <v>24</v>
      </c>
      <c r="G829" t="s">
        <v>68</v>
      </c>
      <c r="H829" t="s">
        <v>69</v>
      </c>
      <c r="I829">
        <v>3301.06</v>
      </c>
      <c r="J829">
        <v>3412.35</v>
      </c>
      <c r="K829" t="s">
        <v>17</v>
      </c>
      <c r="L829" t="b">
        <v>0</v>
      </c>
      <c r="N829" s="2" t="str">
        <f t="shared" si="67"/>
        <v/>
      </c>
      <c r="Q829" t="str">
        <f t="shared" si="68"/>
        <v/>
      </c>
    </row>
    <row r="830" spans="1:17" hidden="1">
      <c r="A830" t="s">
        <v>935</v>
      </c>
      <c r="B830" s="1">
        <v>45034</v>
      </c>
      <c r="C830">
        <v>2023</v>
      </c>
      <c r="D830">
        <v>4</v>
      </c>
      <c r="E830" t="s">
        <v>47</v>
      </c>
      <c r="F830" t="s">
        <v>28</v>
      </c>
      <c r="G830" t="s">
        <v>77</v>
      </c>
      <c r="H830" t="s">
        <v>130</v>
      </c>
      <c r="I830">
        <v>14681.41</v>
      </c>
      <c r="J830">
        <v>12155.97</v>
      </c>
      <c r="K830" t="s">
        <v>17</v>
      </c>
      <c r="L830" t="b">
        <v>0</v>
      </c>
      <c r="N830" s="2" t="b">
        <f t="shared" si="67"/>
        <v>1</v>
      </c>
      <c r="O830" t="str">
        <f t="shared" ref="O830:O831" si="73">IF(AND(E819="HR",K819="EXPENSE"),I819&lt;J819,"")</f>
        <v/>
      </c>
      <c r="Q830" t="str">
        <f t="shared" si="68"/>
        <v/>
      </c>
    </row>
    <row r="831" spans="1:17" hidden="1">
      <c r="A831" t="s">
        <v>936</v>
      </c>
      <c r="B831" s="1">
        <v>45034</v>
      </c>
      <c r="C831">
        <v>2023</v>
      </c>
      <c r="D831">
        <v>4</v>
      </c>
      <c r="E831" t="s">
        <v>47</v>
      </c>
      <c r="F831" t="s">
        <v>28</v>
      </c>
      <c r="G831" t="s">
        <v>51</v>
      </c>
      <c r="H831" t="s">
        <v>52</v>
      </c>
      <c r="I831">
        <v>11002.25</v>
      </c>
      <c r="J831">
        <v>9440.4</v>
      </c>
      <c r="K831" t="s">
        <v>17</v>
      </c>
      <c r="L831" t="b">
        <v>0</v>
      </c>
      <c r="N831" s="2" t="b">
        <f t="shared" si="67"/>
        <v>1</v>
      </c>
      <c r="O831" t="str">
        <f t="shared" si="73"/>
        <v/>
      </c>
      <c r="Q831" t="str">
        <f t="shared" si="68"/>
        <v/>
      </c>
    </row>
    <row r="832" spans="1:17" hidden="1">
      <c r="A832" t="s">
        <v>937</v>
      </c>
      <c r="B832" s="1">
        <v>45034</v>
      </c>
      <c r="C832">
        <v>2023</v>
      </c>
      <c r="D832">
        <v>4</v>
      </c>
      <c r="E832" t="s">
        <v>19</v>
      </c>
      <c r="F832" t="s">
        <v>14</v>
      </c>
      <c r="G832" t="s">
        <v>80</v>
      </c>
      <c r="H832" t="s">
        <v>217</v>
      </c>
      <c r="I832">
        <v>6430.99</v>
      </c>
      <c r="J832">
        <v>6717.58</v>
      </c>
      <c r="K832" t="s">
        <v>17</v>
      </c>
      <c r="L832" t="b">
        <v>0</v>
      </c>
      <c r="N832" s="2" t="str">
        <f t="shared" si="67"/>
        <v/>
      </c>
      <c r="Q832" t="str">
        <f t="shared" si="68"/>
        <v/>
      </c>
    </row>
    <row r="833" spans="1:17" hidden="1">
      <c r="A833" t="s">
        <v>938</v>
      </c>
      <c r="B833" s="1">
        <v>45034</v>
      </c>
      <c r="C833">
        <v>2023</v>
      </c>
      <c r="D833">
        <v>4</v>
      </c>
      <c r="E833" t="s">
        <v>19</v>
      </c>
      <c r="F833" t="s">
        <v>24</v>
      </c>
      <c r="G833" t="s">
        <v>20</v>
      </c>
      <c r="H833" t="s">
        <v>174</v>
      </c>
      <c r="I833">
        <v>6977.87</v>
      </c>
      <c r="J833">
        <v>6680.8</v>
      </c>
      <c r="K833" t="s">
        <v>17</v>
      </c>
      <c r="L833" t="b">
        <v>0</v>
      </c>
      <c r="N833" s="2" t="str">
        <f t="shared" si="67"/>
        <v/>
      </c>
      <c r="Q833" t="str">
        <f t="shared" si="68"/>
        <v/>
      </c>
    </row>
    <row r="834" spans="1:17" hidden="1">
      <c r="A834" t="s">
        <v>939</v>
      </c>
      <c r="B834" s="1">
        <v>45034</v>
      </c>
      <c r="C834">
        <v>2023</v>
      </c>
      <c r="D834">
        <v>4</v>
      </c>
      <c r="E834" t="s">
        <v>23</v>
      </c>
      <c r="F834" t="s">
        <v>28</v>
      </c>
      <c r="G834" t="s">
        <v>141</v>
      </c>
      <c r="H834" t="s">
        <v>142</v>
      </c>
      <c r="I834">
        <v>6634.86</v>
      </c>
      <c r="J834">
        <v>6160.59</v>
      </c>
      <c r="K834" t="s">
        <v>17</v>
      </c>
      <c r="L834" t="b">
        <v>0</v>
      </c>
      <c r="N834" s="2" t="str">
        <f t="shared" si="67"/>
        <v/>
      </c>
      <c r="Q834" t="str">
        <f t="shared" si="68"/>
        <v/>
      </c>
    </row>
    <row r="835" spans="1:17" hidden="1">
      <c r="A835" t="s">
        <v>940</v>
      </c>
      <c r="B835" s="1">
        <v>45034</v>
      </c>
      <c r="C835">
        <v>2023</v>
      </c>
      <c r="D835">
        <v>4</v>
      </c>
      <c r="E835" t="s">
        <v>23</v>
      </c>
      <c r="F835" t="s">
        <v>24</v>
      </c>
      <c r="G835" t="s">
        <v>25</v>
      </c>
      <c r="H835" t="s">
        <v>95</v>
      </c>
      <c r="I835">
        <v>4295.08</v>
      </c>
      <c r="J835">
        <v>4515.18</v>
      </c>
      <c r="K835" t="s">
        <v>17</v>
      </c>
      <c r="L835" t="b">
        <v>0</v>
      </c>
      <c r="N835" s="2" t="str">
        <f t="shared" ref="N835:N898" si="74">IF(AND(E835="IT",K835="EXPENSE"),I835&gt;J835,"")</f>
        <v/>
      </c>
      <c r="Q835" t="str">
        <f t="shared" ref="Q835:Q898" si="75">IF(L835=TRUE,OR(H835="Apex Solutions Inc",H835="Global Trade Partners",H835="NovaTech Services"),"")</f>
        <v/>
      </c>
    </row>
    <row r="836" spans="1:17" hidden="1">
      <c r="A836" t="s">
        <v>941</v>
      </c>
      <c r="B836" s="1">
        <v>45034</v>
      </c>
      <c r="C836">
        <v>2023</v>
      </c>
      <c r="D836">
        <v>4</v>
      </c>
      <c r="E836" t="s">
        <v>23</v>
      </c>
      <c r="F836" t="s">
        <v>24</v>
      </c>
      <c r="G836" t="s">
        <v>30</v>
      </c>
      <c r="H836" t="s">
        <v>31</v>
      </c>
      <c r="I836">
        <v>3701</v>
      </c>
      <c r="J836">
        <v>3743.71</v>
      </c>
      <c r="K836" t="s">
        <v>17</v>
      </c>
      <c r="L836" t="b">
        <v>0</v>
      </c>
      <c r="N836" s="2" t="str">
        <f t="shared" si="74"/>
        <v/>
      </c>
      <c r="Q836" t="str">
        <f t="shared" si="75"/>
        <v/>
      </c>
    </row>
    <row r="837" spans="1:17" hidden="1">
      <c r="A837" t="s">
        <v>942</v>
      </c>
      <c r="B837" s="1">
        <v>45034</v>
      </c>
      <c r="C837">
        <v>2023</v>
      </c>
      <c r="D837">
        <v>4</v>
      </c>
      <c r="E837" t="s">
        <v>37</v>
      </c>
      <c r="F837" t="s">
        <v>14</v>
      </c>
      <c r="G837" t="s">
        <v>83</v>
      </c>
      <c r="H837" t="s">
        <v>84</v>
      </c>
      <c r="I837">
        <v>234906.04</v>
      </c>
      <c r="J837">
        <v>223160.74</v>
      </c>
      <c r="K837" t="s">
        <v>85</v>
      </c>
      <c r="L837" t="b">
        <v>0</v>
      </c>
      <c r="N837" s="2" t="str">
        <f t="shared" si="74"/>
        <v/>
      </c>
      <c r="Q837" t="str">
        <f t="shared" si="75"/>
        <v/>
      </c>
    </row>
    <row r="838" spans="1:17" hidden="1">
      <c r="A838" t="s">
        <v>943</v>
      </c>
      <c r="B838" s="1">
        <v>45035</v>
      </c>
      <c r="C838">
        <v>2023</v>
      </c>
      <c r="D838">
        <v>4</v>
      </c>
      <c r="E838" t="s">
        <v>47</v>
      </c>
      <c r="F838" t="s">
        <v>24</v>
      </c>
      <c r="G838" t="s">
        <v>77</v>
      </c>
      <c r="H838" t="s">
        <v>78</v>
      </c>
      <c r="I838">
        <v>18121.580000000002</v>
      </c>
      <c r="J838">
        <v>15692.02</v>
      </c>
      <c r="K838" t="s">
        <v>17</v>
      </c>
      <c r="L838" t="b">
        <v>0</v>
      </c>
      <c r="N838" s="2" t="b">
        <f t="shared" si="74"/>
        <v>1</v>
      </c>
      <c r="O838" t="str">
        <f t="shared" ref="O838:O839" si="76">IF(AND(E827="HR",K827="EXPENSE"),I827&lt;J827,"")</f>
        <v/>
      </c>
      <c r="Q838" t="str">
        <f t="shared" si="75"/>
        <v/>
      </c>
    </row>
    <row r="839" spans="1:17" hidden="1">
      <c r="A839" t="s">
        <v>944</v>
      </c>
      <c r="B839" s="1">
        <v>45035</v>
      </c>
      <c r="C839">
        <v>2023</v>
      </c>
      <c r="D839">
        <v>4</v>
      </c>
      <c r="E839" t="s">
        <v>47</v>
      </c>
      <c r="F839" t="s">
        <v>24</v>
      </c>
      <c r="G839" t="s">
        <v>48</v>
      </c>
      <c r="H839" t="s">
        <v>75</v>
      </c>
      <c r="I839">
        <v>20095.310000000001</v>
      </c>
      <c r="J839">
        <v>16685.330000000002</v>
      </c>
      <c r="K839" t="s">
        <v>17</v>
      </c>
      <c r="L839" t="b">
        <v>0</v>
      </c>
      <c r="N839" s="2" t="b">
        <f t="shared" si="74"/>
        <v>1</v>
      </c>
      <c r="O839" t="b">
        <f t="shared" si="76"/>
        <v>1</v>
      </c>
      <c r="Q839" t="str">
        <f t="shared" si="75"/>
        <v/>
      </c>
    </row>
    <row r="840" spans="1:17" hidden="1">
      <c r="A840" t="s">
        <v>945</v>
      </c>
      <c r="B840" s="1">
        <v>45035</v>
      </c>
      <c r="C840">
        <v>2023</v>
      </c>
      <c r="D840">
        <v>4</v>
      </c>
      <c r="E840" t="s">
        <v>19</v>
      </c>
      <c r="F840" t="s">
        <v>14</v>
      </c>
      <c r="G840" t="s">
        <v>20</v>
      </c>
      <c r="H840" t="s">
        <v>174</v>
      </c>
      <c r="I840">
        <v>3859.3</v>
      </c>
      <c r="J840">
        <v>4037.46</v>
      </c>
      <c r="K840" t="s">
        <v>17</v>
      </c>
      <c r="L840" t="b">
        <v>0</v>
      </c>
      <c r="N840" s="2" t="str">
        <f t="shared" si="74"/>
        <v/>
      </c>
      <c r="Q840" t="str">
        <f t="shared" si="75"/>
        <v/>
      </c>
    </row>
    <row r="841" spans="1:17" hidden="1">
      <c r="A841" t="s">
        <v>946</v>
      </c>
      <c r="B841" s="1">
        <v>45035</v>
      </c>
      <c r="C841">
        <v>2023</v>
      </c>
      <c r="D841">
        <v>4</v>
      </c>
      <c r="E841" t="s">
        <v>19</v>
      </c>
      <c r="F841" t="s">
        <v>24</v>
      </c>
      <c r="G841" t="s">
        <v>54</v>
      </c>
      <c r="H841" t="s">
        <v>163</v>
      </c>
      <c r="I841">
        <v>8232.3799999999992</v>
      </c>
      <c r="J841">
        <v>8554.93</v>
      </c>
      <c r="K841" t="s">
        <v>17</v>
      </c>
      <c r="L841" t="b">
        <v>0</v>
      </c>
      <c r="N841" s="2" t="str">
        <f t="shared" si="74"/>
        <v/>
      </c>
      <c r="Q841" t="str">
        <f t="shared" si="75"/>
        <v/>
      </c>
    </row>
    <row r="842" spans="1:17" hidden="1">
      <c r="A842" t="s">
        <v>947</v>
      </c>
      <c r="B842" s="1">
        <v>45035</v>
      </c>
      <c r="C842">
        <v>2023</v>
      </c>
      <c r="D842">
        <v>4</v>
      </c>
      <c r="E842" t="s">
        <v>23</v>
      </c>
      <c r="F842" t="s">
        <v>28</v>
      </c>
      <c r="G842" t="s">
        <v>141</v>
      </c>
      <c r="H842" t="s">
        <v>142</v>
      </c>
      <c r="I842">
        <v>8463.82</v>
      </c>
      <c r="J842">
        <v>8251.4599999999991</v>
      </c>
      <c r="K842" t="s">
        <v>17</v>
      </c>
      <c r="L842" t="b">
        <v>0</v>
      </c>
      <c r="N842" s="2" t="str">
        <f t="shared" si="74"/>
        <v/>
      </c>
      <c r="Q842" t="str">
        <f t="shared" si="75"/>
        <v/>
      </c>
    </row>
    <row r="843" spans="1:17" hidden="1">
      <c r="A843" t="s">
        <v>948</v>
      </c>
      <c r="B843" s="1">
        <v>45035</v>
      </c>
      <c r="C843">
        <v>2023</v>
      </c>
      <c r="D843">
        <v>4</v>
      </c>
      <c r="E843" t="s">
        <v>23</v>
      </c>
      <c r="F843" t="s">
        <v>24</v>
      </c>
      <c r="G843" t="s">
        <v>30</v>
      </c>
      <c r="H843" t="s">
        <v>31</v>
      </c>
      <c r="I843">
        <v>3328.82</v>
      </c>
      <c r="J843">
        <v>3503.19</v>
      </c>
      <c r="K843" t="s">
        <v>17</v>
      </c>
      <c r="L843" t="b">
        <v>0</v>
      </c>
      <c r="N843" s="2" t="str">
        <f t="shared" si="74"/>
        <v/>
      </c>
      <c r="Q843" t="str">
        <f t="shared" si="75"/>
        <v/>
      </c>
    </row>
    <row r="844" spans="1:17" hidden="1">
      <c r="A844" t="s">
        <v>949</v>
      </c>
      <c r="B844" s="1">
        <v>45035</v>
      </c>
      <c r="C844">
        <v>2023</v>
      </c>
      <c r="D844">
        <v>4</v>
      </c>
      <c r="E844" t="s">
        <v>37</v>
      </c>
      <c r="F844" t="s">
        <v>14</v>
      </c>
      <c r="G844" t="s">
        <v>38</v>
      </c>
      <c r="H844" t="s">
        <v>118</v>
      </c>
      <c r="I844">
        <v>5242.98</v>
      </c>
      <c r="J844">
        <v>4915.2</v>
      </c>
      <c r="K844" t="s">
        <v>17</v>
      </c>
      <c r="L844" t="b">
        <v>0</v>
      </c>
      <c r="N844" s="2" t="str">
        <f t="shared" si="74"/>
        <v/>
      </c>
      <c r="Q844" t="str">
        <f t="shared" si="75"/>
        <v/>
      </c>
    </row>
    <row r="845" spans="1:17" hidden="1">
      <c r="A845" t="s">
        <v>950</v>
      </c>
      <c r="B845" s="1">
        <v>45035</v>
      </c>
      <c r="C845">
        <v>2023</v>
      </c>
      <c r="D845">
        <v>4</v>
      </c>
      <c r="E845" t="s">
        <v>37</v>
      </c>
      <c r="F845" t="s">
        <v>24</v>
      </c>
      <c r="G845" t="s">
        <v>62</v>
      </c>
      <c r="H845" t="s">
        <v>63</v>
      </c>
      <c r="I845">
        <v>7979.81</v>
      </c>
      <c r="J845">
        <v>8054.26</v>
      </c>
      <c r="K845" t="s">
        <v>17</v>
      </c>
      <c r="L845" t="b">
        <v>0</v>
      </c>
      <c r="N845" s="2" t="str">
        <f t="shared" si="74"/>
        <v/>
      </c>
      <c r="Q845" t="str">
        <f t="shared" si="75"/>
        <v/>
      </c>
    </row>
    <row r="846" spans="1:17" hidden="1">
      <c r="A846" t="s">
        <v>951</v>
      </c>
      <c r="B846" s="1">
        <v>45036</v>
      </c>
      <c r="C846">
        <v>2023</v>
      </c>
      <c r="D846">
        <v>4</v>
      </c>
      <c r="E846" t="s">
        <v>13</v>
      </c>
      <c r="F846" t="s">
        <v>28</v>
      </c>
      <c r="G846" t="s">
        <v>108</v>
      </c>
      <c r="H846" t="s">
        <v>126</v>
      </c>
      <c r="I846">
        <v>1752.79</v>
      </c>
      <c r="J846">
        <v>1732.94</v>
      </c>
      <c r="K846" t="s">
        <v>17</v>
      </c>
      <c r="L846" t="b">
        <v>0</v>
      </c>
      <c r="N846" s="2" t="str">
        <f t="shared" si="74"/>
        <v/>
      </c>
      <c r="Q846" t="str">
        <f t="shared" si="75"/>
        <v/>
      </c>
    </row>
    <row r="847" spans="1:17" hidden="1">
      <c r="A847" t="s">
        <v>952</v>
      </c>
      <c r="B847" s="1">
        <v>45036</v>
      </c>
      <c r="C847">
        <v>2023</v>
      </c>
      <c r="D847">
        <v>4</v>
      </c>
      <c r="E847" t="s">
        <v>13</v>
      </c>
      <c r="F847" t="s">
        <v>28</v>
      </c>
      <c r="G847" t="s">
        <v>108</v>
      </c>
      <c r="H847" t="s">
        <v>123</v>
      </c>
      <c r="I847">
        <v>4474.97</v>
      </c>
      <c r="J847">
        <v>4656.33</v>
      </c>
      <c r="K847" t="s">
        <v>17</v>
      </c>
      <c r="L847" t="b">
        <v>0</v>
      </c>
      <c r="N847" s="2" t="str">
        <f t="shared" si="74"/>
        <v/>
      </c>
      <c r="Q847" t="str">
        <f t="shared" si="75"/>
        <v/>
      </c>
    </row>
    <row r="848" spans="1:17" hidden="1">
      <c r="A848" t="s">
        <v>953</v>
      </c>
      <c r="B848" s="1">
        <v>45036</v>
      </c>
      <c r="C848">
        <v>2023</v>
      </c>
      <c r="D848">
        <v>4</v>
      </c>
      <c r="E848" t="s">
        <v>13</v>
      </c>
      <c r="F848" t="s">
        <v>28</v>
      </c>
      <c r="G848" t="s">
        <v>68</v>
      </c>
      <c r="H848" t="s">
        <v>87</v>
      </c>
      <c r="I848">
        <v>2647.61</v>
      </c>
      <c r="J848">
        <v>2529.42</v>
      </c>
      <c r="K848" t="s">
        <v>17</v>
      </c>
      <c r="L848" t="b">
        <v>0</v>
      </c>
      <c r="N848" s="2" t="str">
        <f t="shared" si="74"/>
        <v/>
      </c>
      <c r="Q848" t="str">
        <f t="shared" si="75"/>
        <v/>
      </c>
    </row>
    <row r="849" spans="1:17" hidden="1">
      <c r="A849" t="s">
        <v>954</v>
      </c>
      <c r="B849" s="1">
        <v>45036</v>
      </c>
      <c r="C849">
        <v>2023</v>
      </c>
      <c r="D849">
        <v>4</v>
      </c>
      <c r="E849" t="s">
        <v>13</v>
      </c>
      <c r="F849" t="s">
        <v>24</v>
      </c>
      <c r="G849" t="s">
        <v>102</v>
      </c>
      <c r="H849" t="s">
        <v>278</v>
      </c>
      <c r="I849">
        <v>4322.91</v>
      </c>
      <c r="J849">
        <v>4680.2299999999996</v>
      </c>
      <c r="K849" t="s">
        <v>17</v>
      </c>
      <c r="L849" t="b">
        <v>0</v>
      </c>
      <c r="N849" s="2" t="str">
        <f t="shared" si="74"/>
        <v/>
      </c>
      <c r="Q849" t="str">
        <f t="shared" si="75"/>
        <v/>
      </c>
    </row>
    <row r="850" spans="1:17" hidden="1">
      <c r="A850" t="s">
        <v>955</v>
      </c>
      <c r="B850" s="1">
        <v>45036</v>
      </c>
      <c r="C850">
        <v>2023</v>
      </c>
      <c r="D850">
        <v>4</v>
      </c>
      <c r="E850" t="s">
        <v>47</v>
      </c>
      <c r="F850" t="s">
        <v>14</v>
      </c>
      <c r="G850" t="s">
        <v>51</v>
      </c>
      <c r="H850" t="s">
        <v>52</v>
      </c>
      <c r="I850">
        <v>16499.63</v>
      </c>
      <c r="J850">
        <v>13916.86</v>
      </c>
      <c r="K850" t="s">
        <v>17</v>
      </c>
      <c r="L850" t="b">
        <v>0</v>
      </c>
      <c r="N850" s="2" t="b">
        <f t="shared" si="74"/>
        <v>1</v>
      </c>
      <c r="O850" t="str">
        <f t="shared" ref="O850:O853" si="77">IF(AND(E839="HR",K839="EXPENSE"),I839&lt;J839,"")</f>
        <v/>
      </c>
      <c r="Q850" t="str">
        <f t="shared" si="75"/>
        <v/>
      </c>
    </row>
    <row r="851" spans="1:17" hidden="1">
      <c r="A851" t="s">
        <v>956</v>
      </c>
      <c r="B851" s="1">
        <v>45036</v>
      </c>
      <c r="C851">
        <v>2023</v>
      </c>
      <c r="D851">
        <v>4</v>
      </c>
      <c r="E851" t="s">
        <v>47</v>
      </c>
      <c r="F851" t="s">
        <v>28</v>
      </c>
      <c r="G851" t="s">
        <v>91</v>
      </c>
      <c r="H851" t="s">
        <v>254</v>
      </c>
      <c r="I851">
        <v>12441.15</v>
      </c>
      <c r="J851">
        <v>10435.07</v>
      </c>
      <c r="K851" t="s">
        <v>17</v>
      </c>
      <c r="L851" t="b">
        <v>0</v>
      </c>
      <c r="N851" s="2" t="b">
        <f t="shared" si="74"/>
        <v>1</v>
      </c>
      <c r="O851" t="str">
        <f t="shared" si="77"/>
        <v/>
      </c>
      <c r="Q851" t="str">
        <f t="shared" si="75"/>
        <v/>
      </c>
    </row>
    <row r="852" spans="1:17" hidden="1">
      <c r="A852" t="s">
        <v>957</v>
      </c>
      <c r="B852" s="1">
        <v>45036</v>
      </c>
      <c r="C852">
        <v>2023</v>
      </c>
      <c r="D852">
        <v>4</v>
      </c>
      <c r="E852" t="s">
        <v>47</v>
      </c>
      <c r="F852" t="s">
        <v>24</v>
      </c>
      <c r="G852" t="s">
        <v>77</v>
      </c>
      <c r="H852" t="s">
        <v>147</v>
      </c>
      <c r="I852">
        <v>13914.66</v>
      </c>
      <c r="J852">
        <v>12040.63</v>
      </c>
      <c r="K852" t="s">
        <v>17</v>
      </c>
      <c r="L852" t="b">
        <v>0</v>
      </c>
      <c r="N852" s="2" t="b">
        <f t="shared" si="74"/>
        <v>1</v>
      </c>
      <c r="O852" t="str">
        <f t="shared" si="77"/>
        <v/>
      </c>
      <c r="Q852" t="str">
        <f t="shared" si="75"/>
        <v/>
      </c>
    </row>
    <row r="853" spans="1:17" hidden="1">
      <c r="A853" t="s">
        <v>958</v>
      </c>
      <c r="B853" s="1">
        <v>45036</v>
      </c>
      <c r="C853">
        <v>2023</v>
      </c>
      <c r="D853">
        <v>4</v>
      </c>
      <c r="E853" t="s">
        <v>47</v>
      </c>
      <c r="F853" t="s">
        <v>24</v>
      </c>
      <c r="G853" t="s">
        <v>91</v>
      </c>
      <c r="H853" t="s">
        <v>249</v>
      </c>
      <c r="I853">
        <v>12776.44</v>
      </c>
      <c r="J853">
        <v>10789.73</v>
      </c>
      <c r="K853" t="s">
        <v>17</v>
      </c>
      <c r="L853" t="b">
        <v>0</v>
      </c>
      <c r="N853" s="2" t="b">
        <f t="shared" si="74"/>
        <v>1</v>
      </c>
      <c r="O853" t="str">
        <f t="shared" si="77"/>
        <v/>
      </c>
      <c r="Q853" t="str">
        <f t="shared" si="75"/>
        <v/>
      </c>
    </row>
    <row r="854" spans="1:17" hidden="1">
      <c r="A854" t="s">
        <v>959</v>
      </c>
      <c r="B854" s="1">
        <v>45036</v>
      </c>
      <c r="C854">
        <v>2023</v>
      </c>
      <c r="D854">
        <v>4</v>
      </c>
      <c r="E854" t="s">
        <v>19</v>
      </c>
      <c r="F854" t="s">
        <v>24</v>
      </c>
      <c r="G854" t="s">
        <v>132</v>
      </c>
      <c r="H854" t="s">
        <v>171</v>
      </c>
      <c r="I854">
        <v>7504.32</v>
      </c>
      <c r="J854">
        <v>7677.37</v>
      </c>
      <c r="K854" t="s">
        <v>17</v>
      </c>
      <c r="L854" t="b">
        <v>0</v>
      </c>
      <c r="N854" s="2" t="str">
        <f t="shared" si="74"/>
        <v/>
      </c>
      <c r="Q854" t="str">
        <f t="shared" si="75"/>
        <v/>
      </c>
    </row>
    <row r="855" spans="1:17" hidden="1">
      <c r="A855" t="s">
        <v>960</v>
      </c>
      <c r="B855" s="1">
        <v>45036</v>
      </c>
      <c r="C855">
        <v>2023</v>
      </c>
      <c r="D855">
        <v>4</v>
      </c>
      <c r="E855" t="s">
        <v>23</v>
      </c>
      <c r="F855" t="s">
        <v>24</v>
      </c>
      <c r="G855" t="s">
        <v>141</v>
      </c>
      <c r="H855" t="s">
        <v>209</v>
      </c>
      <c r="I855">
        <v>2904.56</v>
      </c>
      <c r="J855">
        <v>2811.84</v>
      </c>
      <c r="K855" t="s">
        <v>17</v>
      </c>
      <c r="L855" t="b">
        <v>0</v>
      </c>
      <c r="N855" s="2" t="str">
        <f t="shared" si="74"/>
        <v/>
      </c>
      <c r="Q855" t="str">
        <f t="shared" si="75"/>
        <v/>
      </c>
    </row>
    <row r="856" spans="1:17" hidden="1">
      <c r="A856" t="s">
        <v>961</v>
      </c>
      <c r="B856" s="1">
        <v>45036</v>
      </c>
      <c r="C856">
        <v>2023</v>
      </c>
      <c r="D856">
        <v>4</v>
      </c>
      <c r="E856" t="s">
        <v>37</v>
      </c>
      <c r="F856" t="s">
        <v>14</v>
      </c>
      <c r="G856" t="s">
        <v>98</v>
      </c>
      <c r="H856" t="s">
        <v>185</v>
      </c>
      <c r="I856">
        <v>4558.54</v>
      </c>
      <c r="J856">
        <v>4885.1000000000004</v>
      </c>
      <c r="K856" t="s">
        <v>17</v>
      </c>
      <c r="L856" t="b">
        <v>0</v>
      </c>
      <c r="N856" s="2" t="str">
        <f t="shared" si="74"/>
        <v/>
      </c>
      <c r="Q856" t="str">
        <f t="shared" si="75"/>
        <v/>
      </c>
    </row>
    <row r="857" spans="1:17" hidden="1">
      <c r="A857" t="s">
        <v>962</v>
      </c>
      <c r="B857" s="1">
        <v>45036</v>
      </c>
      <c r="C857">
        <v>2023</v>
      </c>
      <c r="D857">
        <v>4</v>
      </c>
      <c r="E857" t="s">
        <v>37</v>
      </c>
      <c r="F857" t="s">
        <v>28</v>
      </c>
      <c r="G857" t="s">
        <v>38</v>
      </c>
      <c r="H857" t="s">
        <v>118</v>
      </c>
      <c r="I857">
        <v>5897.85</v>
      </c>
      <c r="J857">
        <v>6056.08</v>
      </c>
      <c r="K857" t="s">
        <v>17</v>
      </c>
      <c r="L857" t="b">
        <v>0</v>
      </c>
      <c r="N857" s="2" t="str">
        <f t="shared" si="74"/>
        <v/>
      </c>
      <c r="Q857" t="str">
        <f t="shared" si="75"/>
        <v/>
      </c>
    </row>
    <row r="858" spans="1:17" hidden="1">
      <c r="A858" t="s">
        <v>963</v>
      </c>
      <c r="B858" s="1">
        <v>45037</v>
      </c>
      <c r="C858">
        <v>2023</v>
      </c>
      <c r="D858">
        <v>4</v>
      </c>
      <c r="E858" t="s">
        <v>13</v>
      </c>
      <c r="F858" t="s">
        <v>28</v>
      </c>
      <c r="G858" t="s">
        <v>108</v>
      </c>
      <c r="H858" t="s">
        <v>123</v>
      </c>
      <c r="I858">
        <v>3645.93</v>
      </c>
      <c r="J858">
        <v>3533.07</v>
      </c>
      <c r="K858" t="s">
        <v>17</v>
      </c>
      <c r="L858" t="b">
        <v>0</v>
      </c>
      <c r="N858" s="2" t="str">
        <f t="shared" si="74"/>
        <v/>
      </c>
      <c r="Q858" t="str">
        <f t="shared" si="75"/>
        <v/>
      </c>
    </row>
    <row r="859" spans="1:17" hidden="1">
      <c r="A859" t="s">
        <v>964</v>
      </c>
      <c r="B859" s="1">
        <v>45037</v>
      </c>
      <c r="C859">
        <v>2023</v>
      </c>
      <c r="D859">
        <v>4</v>
      </c>
      <c r="E859" t="s">
        <v>19</v>
      </c>
      <c r="F859" t="s">
        <v>24</v>
      </c>
      <c r="G859" t="s">
        <v>20</v>
      </c>
      <c r="H859" t="s">
        <v>21</v>
      </c>
      <c r="I859">
        <v>4345.78</v>
      </c>
      <c r="J859">
        <v>4600.3100000000004</v>
      </c>
      <c r="K859" t="s">
        <v>17</v>
      </c>
      <c r="L859" t="b">
        <v>0</v>
      </c>
      <c r="N859" s="2" t="str">
        <f t="shared" si="74"/>
        <v/>
      </c>
      <c r="Q859" t="str">
        <f t="shared" si="75"/>
        <v/>
      </c>
    </row>
    <row r="860" spans="1:17" hidden="1">
      <c r="A860" t="s">
        <v>965</v>
      </c>
      <c r="B860" s="1">
        <v>45037</v>
      </c>
      <c r="C860">
        <v>2023</v>
      </c>
      <c r="D860">
        <v>4</v>
      </c>
      <c r="E860" t="s">
        <v>19</v>
      </c>
      <c r="F860" t="s">
        <v>24</v>
      </c>
      <c r="G860" t="s">
        <v>80</v>
      </c>
      <c r="H860" t="s">
        <v>113</v>
      </c>
      <c r="I860">
        <v>9963.6299999999992</v>
      </c>
      <c r="J860">
        <v>10557.29</v>
      </c>
      <c r="K860" t="s">
        <v>17</v>
      </c>
      <c r="L860" t="b">
        <v>0</v>
      </c>
      <c r="N860" s="2" t="str">
        <f t="shared" si="74"/>
        <v/>
      </c>
      <c r="Q860" t="str">
        <f t="shared" si="75"/>
        <v/>
      </c>
    </row>
    <row r="861" spans="1:17" hidden="1">
      <c r="A861" t="s">
        <v>966</v>
      </c>
      <c r="B861" s="1">
        <v>45037</v>
      </c>
      <c r="C861">
        <v>2023</v>
      </c>
      <c r="D861">
        <v>4</v>
      </c>
      <c r="E861" t="s">
        <v>23</v>
      </c>
      <c r="F861" t="s">
        <v>28</v>
      </c>
      <c r="G861" t="s">
        <v>30</v>
      </c>
      <c r="H861" t="s">
        <v>106</v>
      </c>
      <c r="I861">
        <v>5375.53</v>
      </c>
      <c r="J861">
        <v>4865.34</v>
      </c>
      <c r="K861" t="s">
        <v>17</v>
      </c>
      <c r="L861" t="b">
        <v>0</v>
      </c>
      <c r="N861" s="2" t="str">
        <f t="shared" si="74"/>
        <v/>
      </c>
      <c r="Q861" t="str">
        <f t="shared" si="75"/>
        <v/>
      </c>
    </row>
    <row r="862" spans="1:17" hidden="1">
      <c r="A862" t="s">
        <v>967</v>
      </c>
      <c r="B862" s="1">
        <v>45037</v>
      </c>
      <c r="C862">
        <v>2023</v>
      </c>
      <c r="D862">
        <v>4</v>
      </c>
      <c r="E862" t="s">
        <v>23</v>
      </c>
      <c r="F862" t="s">
        <v>24</v>
      </c>
      <c r="G862" t="s">
        <v>59</v>
      </c>
      <c r="H862" t="s">
        <v>155</v>
      </c>
      <c r="I862">
        <v>6171.61</v>
      </c>
      <c r="J862">
        <v>5874.56</v>
      </c>
      <c r="K862" t="s">
        <v>17</v>
      </c>
      <c r="L862" t="b">
        <v>0</v>
      </c>
      <c r="N862" s="2" t="str">
        <f t="shared" si="74"/>
        <v/>
      </c>
      <c r="Q862" t="str">
        <f t="shared" si="75"/>
        <v/>
      </c>
    </row>
    <row r="863" spans="1:17" hidden="1">
      <c r="A863" t="s">
        <v>968</v>
      </c>
      <c r="B863" s="1">
        <v>45037</v>
      </c>
      <c r="C863">
        <v>2023</v>
      </c>
      <c r="D863">
        <v>4</v>
      </c>
      <c r="E863" t="s">
        <v>23</v>
      </c>
      <c r="F863" t="s">
        <v>24</v>
      </c>
      <c r="G863" t="s">
        <v>30</v>
      </c>
      <c r="H863" t="s">
        <v>33</v>
      </c>
      <c r="I863">
        <v>5857.23</v>
      </c>
      <c r="J863">
        <v>5434.57</v>
      </c>
      <c r="K863" t="s">
        <v>17</v>
      </c>
      <c r="L863" t="b">
        <v>0</v>
      </c>
      <c r="N863" s="2" t="str">
        <f t="shared" si="74"/>
        <v/>
      </c>
      <c r="Q863" t="str">
        <f t="shared" si="75"/>
        <v/>
      </c>
    </row>
    <row r="864" spans="1:17" hidden="1">
      <c r="A864" t="s">
        <v>969</v>
      </c>
      <c r="B864" s="1">
        <v>45037</v>
      </c>
      <c r="C864">
        <v>2023</v>
      </c>
      <c r="D864">
        <v>4</v>
      </c>
      <c r="E864" t="s">
        <v>37</v>
      </c>
      <c r="F864" t="s">
        <v>14</v>
      </c>
      <c r="G864" t="s">
        <v>62</v>
      </c>
      <c r="H864" t="s">
        <v>121</v>
      </c>
      <c r="I864">
        <v>5683.42</v>
      </c>
      <c r="J864">
        <v>5387.74</v>
      </c>
      <c r="K864" t="s">
        <v>17</v>
      </c>
      <c r="L864" t="b">
        <v>0</v>
      </c>
      <c r="N864" s="2" t="str">
        <f t="shared" si="74"/>
        <v/>
      </c>
      <c r="Q864" t="str">
        <f t="shared" si="75"/>
        <v/>
      </c>
    </row>
    <row r="865" spans="1:17" hidden="1">
      <c r="A865" t="s">
        <v>970</v>
      </c>
      <c r="B865" s="1">
        <v>45038</v>
      </c>
      <c r="C865">
        <v>2023</v>
      </c>
      <c r="D865">
        <v>4</v>
      </c>
      <c r="E865" t="s">
        <v>13</v>
      </c>
      <c r="F865" t="s">
        <v>28</v>
      </c>
      <c r="G865" t="s">
        <v>15</v>
      </c>
      <c r="H865" t="s">
        <v>45</v>
      </c>
      <c r="I865">
        <v>2580.62</v>
      </c>
      <c r="J865">
        <v>2474.04</v>
      </c>
      <c r="K865" t="s">
        <v>17</v>
      </c>
      <c r="L865" t="b">
        <v>0</v>
      </c>
      <c r="N865" s="2" t="str">
        <f t="shared" si="74"/>
        <v/>
      </c>
      <c r="Q865" t="str">
        <f t="shared" si="75"/>
        <v/>
      </c>
    </row>
    <row r="866" spans="1:17" hidden="1">
      <c r="A866" t="s">
        <v>971</v>
      </c>
      <c r="B866" s="1">
        <v>45038</v>
      </c>
      <c r="C866">
        <v>2023</v>
      </c>
      <c r="D866">
        <v>4</v>
      </c>
      <c r="E866" t="s">
        <v>19</v>
      </c>
      <c r="F866" t="s">
        <v>24</v>
      </c>
      <c r="G866" t="s">
        <v>80</v>
      </c>
      <c r="H866" t="s">
        <v>81</v>
      </c>
      <c r="I866">
        <v>5510.35</v>
      </c>
      <c r="J866">
        <v>5378.57</v>
      </c>
      <c r="K866" t="s">
        <v>17</v>
      </c>
      <c r="L866" t="b">
        <v>0</v>
      </c>
      <c r="N866" s="2" t="str">
        <f t="shared" si="74"/>
        <v/>
      </c>
      <c r="Q866" t="str">
        <f t="shared" si="75"/>
        <v/>
      </c>
    </row>
    <row r="867" spans="1:17" hidden="1">
      <c r="A867" t="s">
        <v>972</v>
      </c>
      <c r="B867" s="1">
        <v>45038</v>
      </c>
      <c r="C867">
        <v>2023</v>
      </c>
      <c r="D867">
        <v>4</v>
      </c>
      <c r="E867" t="s">
        <v>37</v>
      </c>
      <c r="F867" t="s">
        <v>28</v>
      </c>
      <c r="G867" t="s">
        <v>98</v>
      </c>
      <c r="H867" t="s">
        <v>185</v>
      </c>
      <c r="I867">
        <v>4832.47</v>
      </c>
      <c r="J867">
        <v>4784.4799999999996</v>
      </c>
      <c r="K867" t="s">
        <v>17</v>
      </c>
      <c r="L867" t="b">
        <v>0</v>
      </c>
      <c r="N867" s="2" t="str">
        <f t="shared" si="74"/>
        <v/>
      </c>
      <c r="Q867" t="str">
        <f t="shared" si="75"/>
        <v/>
      </c>
    </row>
    <row r="868" spans="1:17" hidden="1">
      <c r="A868" t="s">
        <v>973</v>
      </c>
      <c r="B868" s="1">
        <v>45038</v>
      </c>
      <c r="C868">
        <v>2023</v>
      </c>
      <c r="D868">
        <v>4</v>
      </c>
      <c r="E868" t="s">
        <v>37</v>
      </c>
      <c r="F868" t="s">
        <v>28</v>
      </c>
      <c r="G868" t="s">
        <v>98</v>
      </c>
      <c r="H868" t="s">
        <v>99</v>
      </c>
      <c r="I868">
        <v>6987.27</v>
      </c>
      <c r="J868">
        <v>6780.97</v>
      </c>
      <c r="K868" t="s">
        <v>17</v>
      </c>
      <c r="L868" t="b">
        <v>0</v>
      </c>
      <c r="N868" s="2" t="str">
        <f t="shared" si="74"/>
        <v/>
      </c>
      <c r="Q868" t="str">
        <f t="shared" si="75"/>
        <v/>
      </c>
    </row>
    <row r="869" spans="1:17" hidden="1">
      <c r="A869" t="s">
        <v>974</v>
      </c>
      <c r="B869" s="1">
        <v>45038</v>
      </c>
      <c r="C869">
        <v>2023</v>
      </c>
      <c r="D869">
        <v>4</v>
      </c>
      <c r="E869" t="s">
        <v>37</v>
      </c>
      <c r="F869" t="s">
        <v>24</v>
      </c>
      <c r="G869" t="s">
        <v>62</v>
      </c>
      <c r="H869" t="s">
        <v>360</v>
      </c>
      <c r="I869">
        <v>7983.91</v>
      </c>
      <c r="J869">
        <v>8634.11</v>
      </c>
      <c r="K869" t="s">
        <v>17</v>
      </c>
      <c r="L869" t="b">
        <v>0</v>
      </c>
      <c r="N869" s="2" t="str">
        <f t="shared" si="74"/>
        <v/>
      </c>
      <c r="Q869" t="str">
        <f t="shared" si="75"/>
        <v/>
      </c>
    </row>
    <row r="870" spans="1:17" hidden="1">
      <c r="A870" t="s">
        <v>975</v>
      </c>
      <c r="B870" s="1">
        <v>45039</v>
      </c>
      <c r="C870">
        <v>2023</v>
      </c>
      <c r="D870">
        <v>4</v>
      </c>
      <c r="E870" t="s">
        <v>47</v>
      </c>
      <c r="F870" t="s">
        <v>14</v>
      </c>
      <c r="G870" t="s">
        <v>77</v>
      </c>
      <c r="H870" t="s">
        <v>147</v>
      </c>
      <c r="I870">
        <v>17689.560000000001</v>
      </c>
      <c r="J870">
        <v>14888.3</v>
      </c>
      <c r="K870" t="s">
        <v>17</v>
      </c>
      <c r="L870" t="b">
        <v>0</v>
      </c>
      <c r="N870" s="2" t="b">
        <f t="shared" si="74"/>
        <v>1</v>
      </c>
      <c r="O870" t="str">
        <f>IF(AND(E859="HR",K859="EXPENSE"),I859&lt;J859,"")</f>
        <v/>
      </c>
      <c r="Q870" t="str">
        <f t="shared" si="75"/>
        <v/>
      </c>
    </row>
    <row r="871" spans="1:17" hidden="1">
      <c r="A871" t="s">
        <v>976</v>
      </c>
      <c r="B871" s="1">
        <v>45039</v>
      </c>
      <c r="C871">
        <v>2023</v>
      </c>
      <c r="D871">
        <v>4</v>
      </c>
      <c r="E871" t="s">
        <v>19</v>
      </c>
      <c r="F871" t="s">
        <v>14</v>
      </c>
      <c r="G871" t="s">
        <v>20</v>
      </c>
      <c r="H871" t="s">
        <v>21</v>
      </c>
      <c r="I871">
        <v>4347.38</v>
      </c>
      <c r="J871">
        <v>4404.18</v>
      </c>
      <c r="K871" t="s">
        <v>17</v>
      </c>
      <c r="L871" t="b">
        <v>0</v>
      </c>
      <c r="N871" s="2" t="str">
        <f t="shared" si="74"/>
        <v/>
      </c>
      <c r="Q871" t="str">
        <f t="shared" si="75"/>
        <v/>
      </c>
    </row>
    <row r="872" spans="1:17" hidden="1">
      <c r="A872" t="s">
        <v>977</v>
      </c>
      <c r="B872" s="1">
        <v>45039</v>
      </c>
      <c r="C872">
        <v>2023</v>
      </c>
      <c r="D872">
        <v>4</v>
      </c>
      <c r="E872" t="s">
        <v>19</v>
      </c>
      <c r="F872" t="s">
        <v>14</v>
      </c>
      <c r="G872" t="s">
        <v>80</v>
      </c>
      <c r="H872" t="s">
        <v>81</v>
      </c>
      <c r="I872">
        <v>6276.9</v>
      </c>
      <c r="J872">
        <v>6087.97</v>
      </c>
      <c r="K872" t="s">
        <v>17</v>
      </c>
      <c r="L872" t="b">
        <v>0</v>
      </c>
      <c r="N872" s="2" t="str">
        <f t="shared" si="74"/>
        <v/>
      </c>
      <c r="Q872" t="str">
        <f t="shared" si="75"/>
        <v/>
      </c>
    </row>
    <row r="873" spans="1:17" hidden="1">
      <c r="A873" t="s">
        <v>978</v>
      </c>
      <c r="B873" s="1">
        <v>45039</v>
      </c>
      <c r="C873">
        <v>2023</v>
      </c>
      <c r="D873">
        <v>4</v>
      </c>
      <c r="E873" t="s">
        <v>19</v>
      </c>
      <c r="F873" t="s">
        <v>28</v>
      </c>
      <c r="G873" t="s">
        <v>54</v>
      </c>
      <c r="H873" t="s">
        <v>57</v>
      </c>
      <c r="I873">
        <v>4425.46</v>
      </c>
      <c r="J873">
        <v>4128.7</v>
      </c>
      <c r="K873" t="s">
        <v>17</v>
      </c>
      <c r="L873" t="b">
        <v>0</v>
      </c>
      <c r="N873" s="2" t="str">
        <f t="shared" si="74"/>
        <v/>
      </c>
      <c r="Q873" t="str">
        <f t="shared" si="75"/>
        <v/>
      </c>
    </row>
    <row r="874" spans="1:17" hidden="1">
      <c r="A874" t="s">
        <v>979</v>
      </c>
      <c r="B874" s="1">
        <v>45039</v>
      </c>
      <c r="C874">
        <v>2023</v>
      </c>
      <c r="D874">
        <v>4</v>
      </c>
      <c r="E874" t="s">
        <v>19</v>
      </c>
      <c r="F874" t="s">
        <v>28</v>
      </c>
      <c r="G874" t="s">
        <v>132</v>
      </c>
      <c r="H874" t="s">
        <v>171</v>
      </c>
      <c r="I874">
        <v>4892.75</v>
      </c>
      <c r="J874">
        <v>5367.34</v>
      </c>
      <c r="K874" t="s">
        <v>17</v>
      </c>
      <c r="L874" t="b">
        <v>0</v>
      </c>
      <c r="N874" s="2" t="str">
        <f t="shared" si="74"/>
        <v/>
      </c>
      <c r="Q874" t="str">
        <f t="shared" si="75"/>
        <v/>
      </c>
    </row>
    <row r="875" spans="1:17" hidden="1">
      <c r="A875" t="s">
        <v>980</v>
      </c>
      <c r="B875" s="1">
        <v>45039</v>
      </c>
      <c r="C875">
        <v>2023</v>
      </c>
      <c r="D875">
        <v>4</v>
      </c>
      <c r="E875" t="s">
        <v>23</v>
      </c>
      <c r="F875" t="s">
        <v>14</v>
      </c>
      <c r="G875" t="s">
        <v>30</v>
      </c>
      <c r="H875" t="s">
        <v>33</v>
      </c>
      <c r="I875">
        <v>6223.33</v>
      </c>
      <c r="J875">
        <v>5754.09</v>
      </c>
      <c r="K875" t="s">
        <v>17</v>
      </c>
      <c r="L875" t="b">
        <v>0</v>
      </c>
      <c r="N875" s="2" t="str">
        <f t="shared" si="74"/>
        <v/>
      </c>
      <c r="Q875" t="str">
        <f t="shared" si="75"/>
        <v/>
      </c>
    </row>
    <row r="876" spans="1:17" hidden="1">
      <c r="A876" t="s">
        <v>981</v>
      </c>
      <c r="B876" s="1">
        <v>45039</v>
      </c>
      <c r="C876">
        <v>2023</v>
      </c>
      <c r="D876">
        <v>4</v>
      </c>
      <c r="E876" t="s">
        <v>23</v>
      </c>
      <c r="F876" t="s">
        <v>24</v>
      </c>
      <c r="G876" t="s">
        <v>141</v>
      </c>
      <c r="H876" t="s">
        <v>209</v>
      </c>
      <c r="I876">
        <v>4176.6899999999996</v>
      </c>
      <c r="J876">
        <v>4164.6499999999996</v>
      </c>
      <c r="K876" t="s">
        <v>17</v>
      </c>
      <c r="L876" t="b">
        <v>0</v>
      </c>
      <c r="N876" s="2" t="str">
        <f t="shared" si="74"/>
        <v/>
      </c>
      <c r="Q876" t="str">
        <f t="shared" si="75"/>
        <v/>
      </c>
    </row>
    <row r="877" spans="1:17" hidden="1">
      <c r="A877" t="s">
        <v>982</v>
      </c>
      <c r="B877" s="1">
        <v>45039</v>
      </c>
      <c r="C877">
        <v>2023</v>
      </c>
      <c r="D877">
        <v>4</v>
      </c>
      <c r="E877" t="s">
        <v>37</v>
      </c>
      <c r="F877" t="s">
        <v>14</v>
      </c>
      <c r="G877" t="s">
        <v>41</v>
      </c>
      <c r="H877" t="s">
        <v>42</v>
      </c>
      <c r="I877">
        <v>6484.23</v>
      </c>
      <c r="J877">
        <v>6768.7</v>
      </c>
      <c r="K877" t="s">
        <v>17</v>
      </c>
      <c r="L877" t="b">
        <v>0</v>
      </c>
      <c r="N877" s="2" t="str">
        <f t="shared" si="74"/>
        <v/>
      </c>
      <c r="Q877" t="str">
        <f t="shared" si="75"/>
        <v/>
      </c>
    </row>
    <row r="878" spans="1:17" hidden="1">
      <c r="A878" t="s">
        <v>983</v>
      </c>
      <c r="B878" s="1">
        <v>45039</v>
      </c>
      <c r="C878">
        <v>2023</v>
      </c>
      <c r="D878">
        <v>4</v>
      </c>
      <c r="E878" t="s">
        <v>37</v>
      </c>
      <c r="F878" t="s">
        <v>28</v>
      </c>
      <c r="G878" t="s">
        <v>38</v>
      </c>
      <c r="H878" t="s">
        <v>118</v>
      </c>
      <c r="I878">
        <v>6947.78</v>
      </c>
      <c r="J878">
        <v>6349.78</v>
      </c>
      <c r="K878" t="s">
        <v>17</v>
      </c>
      <c r="L878" t="b">
        <v>0</v>
      </c>
      <c r="N878" s="2" t="str">
        <f t="shared" si="74"/>
        <v/>
      </c>
      <c r="Q878" t="str">
        <f t="shared" si="75"/>
        <v/>
      </c>
    </row>
    <row r="879" spans="1:17" hidden="1">
      <c r="A879" t="s">
        <v>984</v>
      </c>
      <c r="B879" s="1">
        <v>45040</v>
      </c>
      <c r="C879">
        <v>2023</v>
      </c>
      <c r="D879">
        <v>4</v>
      </c>
      <c r="E879" t="s">
        <v>13</v>
      </c>
      <c r="F879" t="s">
        <v>28</v>
      </c>
      <c r="G879" t="s">
        <v>108</v>
      </c>
      <c r="H879" t="s">
        <v>126</v>
      </c>
      <c r="I879">
        <v>4171.41</v>
      </c>
      <c r="J879">
        <v>4181.7299999999996</v>
      </c>
      <c r="K879" t="s">
        <v>17</v>
      </c>
      <c r="L879" t="b">
        <v>0</v>
      </c>
      <c r="N879" s="2" t="str">
        <f t="shared" si="74"/>
        <v/>
      </c>
      <c r="Q879" t="str">
        <f t="shared" si="75"/>
        <v/>
      </c>
    </row>
    <row r="880" spans="1:17" hidden="1">
      <c r="A880" t="s">
        <v>985</v>
      </c>
      <c r="B880" s="1">
        <v>45040</v>
      </c>
      <c r="C880">
        <v>2023</v>
      </c>
      <c r="D880">
        <v>4</v>
      </c>
      <c r="E880" t="s">
        <v>47</v>
      </c>
      <c r="F880" t="s">
        <v>28</v>
      </c>
      <c r="G880" t="s">
        <v>51</v>
      </c>
      <c r="H880" t="s">
        <v>52</v>
      </c>
      <c r="I880">
        <v>11536.77</v>
      </c>
      <c r="J880">
        <v>9617.68</v>
      </c>
      <c r="K880" t="s">
        <v>17</v>
      </c>
      <c r="L880" t="b">
        <v>0</v>
      </c>
      <c r="N880" s="2" t="b">
        <f t="shared" si="74"/>
        <v>1</v>
      </c>
      <c r="O880" t="str">
        <f>IF(AND(E869="HR",K869="EXPENSE"),I869&lt;J869,"")</f>
        <v/>
      </c>
      <c r="Q880" t="str">
        <f t="shared" si="75"/>
        <v/>
      </c>
    </row>
    <row r="881" spans="1:17" hidden="1">
      <c r="A881" t="s">
        <v>986</v>
      </c>
      <c r="B881" s="1">
        <v>45040</v>
      </c>
      <c r="C881">
        <v>2023</v>
      </c>
      <c r="D881">
        <v>4</v>
      </c>
      <c r="E881" t="s">
        <v>19</v>
      </c>
      <c r="F881" t="s">
        <v>28</v>
      </c>
      <c r="G881" t="s">
        <v>80</v>
      </c>
      <c r="H881" t="s">
        <v>217</v>
      </c>
      <c r="I881">
        <v>5439.63</v>
      </c>
      <c r="J881">
        <v>5118.57</v>
      </c>
      <c r="K881" t="s">
        <v>17</v>
      </c>
      <c r="L881" t="b">
        <v>0</v>
      </c>
      <c r="N881" s="2" t="str">
        <f t="shared" si="74"/>
        <v/>
      </c>
      <c r="Q881" t="str">
        <f t="shared" si="75"/>
        <v/>
      </c>
    </row>
    <row r="882" spans="1:17" hidden="1">
      <c r="A882" t="s">
        <v>987</v>
      </c>
      <c r="B882" s="1">
        <v>45040</v>
      </c>
      <c r="C882">
        <v>2023</v>
      </c>
      <c r="D882">
        <v>4</v>
      </c>
      <c r="E882" t="s">
        <v>19</v>
      </c>
      <c r="F882" t="s">
        <v>24</v>
      </c>
      <c r="G882" t="s">
        <v>20</v>
      </c>
      <c r="H882" t="s">
        <v>136</v>
      </c>
      <c r="I882">
        <v>5693.98</v>
      </c>
      <c r="J882">
        <v>6100.73</v>
      </c>
      <c r="K882" t="s">
        <v>17</v>
      </c>
      <c r="L882" t="b">
        <v>0</v>
      </c>
      <c r="N882" s="2" t="str">
        <f t="shared" si="74"/>
        <v/>
      </c>
      <c r="Q882" t="str">
        <f t="shared" si="75"/>
        <v/>
      </c>
    </row>
    <row r="883" spans="1:17" hidden="1">
      <c r="A883" t="s">
        <v>988</v>
      </c>
      <c r="B883" s="1">
        <v>45040</v>
      </c>
      <c r="C883">
        <v>2023</v>
      </c>
      <c r="D883">
        <v>4</v>
      </c>
      <c r="E883" t="s">
        <v>23</v>
      </c>
      <c r="F883" t="s">
        <v>14</v>
      </c>
      <c r="G883" t="s">
        <v>141</v>
      </c>
      <c r="H883" t="s">
        <v>209</v>
      </c>
      <c r="I883">
        <v>7275.57</v>
      </c>
      <c r="J883">
        <v>6977.34</v>
      </c>
      <c r="K883" t="s">
        <v>17</v>
      </c>
      <c r="L883" t="b">
        <v>0</v>
      </c>
      <c r="N883" s="2" t="str">
        <f t="shared" si="74"/>
        <v/>
      </c>
      <c r="Q883" t="str">
        <f t="shared" si="75"/>
        <v/>
      </c>
    </row>
    <row r="884" spans="1:17" hidden="1">
      <c r="A884" t="s">
        <v>989</v>
      </c>
      <c r="B884" s="1">
        <v>45040</v>
      </c>
      <c r="C884">
        <v>2023</v>
      </c>
      <c r="D884">
        <v>4</v>
      </c>
      <c r="E884" t="s">
        <v>37</v>
      </c>
      <c r="F884" t="s">
        <v>14</v>
      </c>
      <c r="G884" t="s">
        <v>98</v>
      </c>
      <c r="H884" t="s">
        <v>185</v>
      </c>
      <c r="I884">
        <v>8236.9500000000007</v>
      </c>
      <c r="J884">
        <v>8879.86</v>
      </c>
      <c r="K884" t="s">
        <v>17</v>
      </c>
      <c r="L884" t="b">
        <v>0</v>
      </c>
      <c r="N884" s="2" t="str">
        <f t="shared" si="74"/>
        <v/>
      </c>
      <c r="Q884" t="str">
        <f t="shared" si="75"/>
        <v/>
      </c>
    </row>
    <row r="885" spans="1:17" hidden="1">
      <c r="A885" t="s">
        <v>990</v>
      </c>
      <c r="B885" s="1">
        <v>45041</v>
      </c>
      <c r="C885">
        <v>2023</v>
      </c>
      <c r="D885">
        <v>4</v>
      </c>
      <c r="E885" t="s">
        <v>13</v>
      </c>
      <c r="F885" t="s">
        <v>14</v>
      </c>
      <c r="G885" t="s">
        <v>15</v>
      </c>
      <c r="H885" t="s">
        <v>89</v>
      </c>
      <c r="I885">
        <v>3092.71</v>
      </c>
      <c r="J885">
        <v>2813.22</v>
      </c>
      <c r="K885" t="s">
        <v>17</v>
      </c>
      <c r="L885" t="b">
        <v>0</v>
      </c>
      <c r="N885" s="2" t="str">
        <f t="shared" si="74"/>
        <v/>
      </c>
      <c r="Q885" t="str">
        <f t="shared" si="75"/>
        <v/>
      </c>
    </row>
    <row r="886" spans="1:17" hidden="1">
      <c r="A886" t="s">
        <v>991</v>
      </c>
      <c r="B886" s="1">
        <v>45041</v>
      </c>
      <c r="C886">
        <v>2023</v>
      </c>
      <c r="D886">
        <v>4</v>
      </c>
      <c r="E886" t="s">
        <v>13</v>
      </c>
      <c r="F886" t="s">
        <v>14</v>
      </c>
      <c r="G886" t="s">
        <v>15</v>
      </c>
      <c r="H886" t="s">
        <v>45</v>
      </c>
      <c r="I886">
        <v>5383.99</v>
      </c>
      <c r="J886">
        <v>4969.3500000000004</v>
      </c>
      <c r="K886" t="s">
        <v>17</v>
      </c>
      <c r="L886" t="b">
        <v>0</v>
      </c>
      <c r="N886" s="2" t="str">
        <f t="shared" si="74"/>
        <v/>
      </c>
      <c r="Q886" t="str">
        <f t="shared" si="75"/>
        <v/>
      </c>
    </row>
    <row r="887" spans="1:17" hidden="1">
      <c r="A887" t="s">
        <v>992</v>
      </c>
      <c r="B887" s="1">
        <v>45041</v>
      </c>
      <c r="C887">
        <v>2023</v>
      </c>
      <c r="D887">
        <v>4</v>
      </c>
      <c r="E887" t="s">
        <v>13</v>
      </c>
      <c r="F887" t="s">
        <v>28</v>
      </c>
      <c r="G887" t="s">
        <v>102</v>
      </c>
      <c r="H887" t="s">
        <v>278</v>
      </c>
      <c r="I887">
        <v>3577.17</v>
      </c>
      <c r="J887">
        <v>3527.4</v>
      </c>
      <c r="K887" t="s">
        <v>17</v>
      </c>
      <c r="L887" t="b">
        <v>0</v>
      </c>
      <c r="N887" s="2" t="str">
        <f t="shared" si="74"/>
        <v/>
      </c>
      <c r="Q887" t="str">
        <f t="shared" si="75"/>
        <v/>
      </c>
    </row>
    <row r="888" spans="1:17" hidden="1">
      <c r="A888" t="s">
        <v>993</v>
      </c>
      <c r="B888" s="1">
        <v>45041</v>
      </c>
      <c r="C888">
        <v>2023</v>
      </c>
      <c r="D888">
        <v>4</v>
      </c>
      <c r="E888" t="s">
        <v>47</v>
      </c>
      <c r="F888" t="s">
        <v>28</v>
      </c>
      <c r="G888" t="s">
        <v>91</v>
      </c>
      <c r="H888" t="s">
        <v>92</v>
      </c>
      <c r="I888">
        <v>17108.16</v>
      </c>
      <c r="J888">
        <v>14555.72</v>
      </c>
      <c r="K888" t="s">
        <v>17</v>
      </c>
      <c r="L888" t="b">
        <v>0</v>
      </c>
      <c r="N888" s="2" t="b">
        <f t="shared" si="74"/>
        <v>1</v>
      </c>
      <c r="O888" t="str">
        <f>IF(AND(E877="HR",K877="EXPENSE"),I877&lt;J877,"")</f>
        <v/>
      </c>
      <c r="Q888" t="str">
        <f t="shared" si="75"/>
        <v/>
      </c>
    </row>
    <row r="889" spans="1:17" hidden="1">
      <c r="A889" t="s">
        <v>994</v>
      </c>
      <c r="B889" s="1">
        <v>45041</v>
      </c>
      <c r="C889">
        <v>2023</v>
      </c>
      <c r="D889">
        <v>4</v>
      </c>
      <c r="E889" t="s">
        <v>19</v>
      </c>
      <c r="F889" t="s">
        <v>14</v>
      </c>
      <c r="G889" t="s">
        <v>132</v>
      </c>
      <c r="H889" t="s">
        <v>171</v>
      </c>
      <c r="I889">
        <v>6612.7</v>
      </c>
      <c r="J889">
        <v>6670.28</v>
      </c>
      <c r="K889" t="s">
        <v>17</v>
      </c>
      <c r="L889" t="b">
        <v>0</v>
      </c>
      <c r="N889" s="2" t="str">
        <f t="shared" si="74"/>
        <v/>
      </c>
      <c r="Q889" t="str">
        <f t="shared" si="75"/>
        <v/>
      </c>
    </row>
    <row r="890" spans="1:17" hidden="1">
      <c r="A890" t="s">
        <v>995</v>
      </c>
      <c r="B890" s="1">
        <v>45041</v>
      </c>
      <c r="C890">
        <v>2023</v>
      </c>
      <c r="D890">
        <v>4</v>
      </c>
      <c r="E890" t="s">
        <v>23</v>
      </c>
      <c r="F890" t="s">
        <v>14</v>
      </c>
      <c r="G890" t="s">
        <v>25</v>
      </c>
      <c r="H890" t="s">
        <v>35</v>
      </c>
      <c r="I890">
        <v>11825.82</v>
      </c>
      <c r="J890">
        <v>10746.69</v>
      </c>
      <c r="K890" t="s">
        <v>17</v>
      </c>
      <c r="L890" t="b">
        <v>0</v>
      </c>
      <c r="N890" s="2" t="str">
        <f t="shared" si="74"/>
        <v/>
      </c>
      <c r="Q890" t="str">
        <f t="shared" si="75"/>
        <v/>
      </c>
    </row>
    <row r="891" spans="1:17" hidden="1">
      <c r="A891" t="s">
        <v>996</v>
      </c>
      <c r="B891" s="1">
        <v>45041</v>
      </c>
      <c r="C891">
        <v>2023</v>
      </c>
      <c r="D891">
        <v>4</v>
      </c>
      <c r="E891" t="s">
        <v>23</v>
      </c>
      <c r="F891" t="s">
        <v>28</v>
      </c>
      <c r="G891" t="s">
        <v>59</v>
      </c>
      <c r="H891" t="s">
        <v>60</v>
      </c>
      <c r="I891">
        <v>4932.7299999999996</v>
      </c>
      <c r="J891">
        <v>5317.58</v>
      </c>
      <c r="K891" t="s">
        <v>17</v>
      </c>
      <c r="L891" t="b">
        <v>0</v>
      </c>
      <c r="N891" s="2" t="str">
        <f t="shared" si="74"/>
        <v/>
      </c>
      <c r="Q891" t="str">
        <f t="shared" si="75"/>
        <v/>
      </c>
    </row>
    <row r="892" spans="1:17" hidden="1">
      <c r="A892" t="s">
        <v>997</v>
      </c>
      <c r="B892" s="1">
        <v>45041</v>
      </c>
      <c r="C892">
        <v>2023</v>
      </c>
      <c r="D892">
        <v>4</v>
      </c>
      <c r="E892" t="s">
        <v>37</v>
      </c>
      <c r="F892" t="s">
        <v>28</v>
      </c>
      <c r="G892" t="s">
        <v>41</v>
      </c>
      <c r="H892" t="s">
        <v>42</v>
      </c>
      <c r="I892">
        <v>5736.55</v>
      </c>
      <c r="J892">
        <v>5423.54</v>
      </c>
      <c r="K892" t="s">
        <v>17</v>
      </c>
      <c r="L892" t="b">
        <v>0</v>
      </c>
      <c r="N892" s="2" t="str">
        <f t="shared" si="74"/>
        <v/>
      </c>
      <c r="Q892" t="str">
        <f t="shared" si="75"/>
        <v/>
      </c>
    </row>
    <row r="893" spans="1:17" hidden="1">
      <c r="A893" t="s">
        <v>998</v>
      </c>
      <c r="B893" s="1">
        <v>45041</v>
      </c>
      <c r="C893">
        <v>2023</v>
      </c>
      <c r="D893">
        <v>4</v>
      </c>
      <c r="E893" t="s">
        <v>37</v>
      </c>
      <c r="F893" t="s">
        <v>24</v>
      </c>
      <c r="G893" t="s">
        <v>41</v>
      </c>
      <c r="H893" t="s">
        <v>42</v>
      </c>
      <c r="I893">
        <v>5569.55</v>
      </c>
      <c r="J893">
        <v>6027.11</v>
      </c>
      <c r="K893" t="s">
        <v>17</v>
      </c>
      <c r="L893" t="b">
        <v>0</v>
      </c>
      <c r="N893" s="2" t="str">
        <f t="shared" si="74"/>
        <v/>
      </c>
      <c r="Q893" t="str">
        <f t="shared" si="75"/>
        <v/>
      </c>
    </row>
    <row r="894" spans="1:17" hidden="1">
      <c r="A894" t="s">
        <v>999</v>
      </c>
      <c r="B894" s="1">
        <v>45042</v>
      </c>
      <c r="C894">
        <v>2023</v>
      </c>
      <c r="D894">
        <v>4</v>
      </c>
      <c r="E894" t="s">
        <v>13</v>
      </c>
      <c r="F894" t="s">
        <v>14</v>
      </c>
      <c r="G894" t="s">
        <v>108</v>
      </c>
      <c r="H894" t="s">
        <v>126</v>
      </c>
      <c r="I894">
        <v>5253.57</v>
      </c>
      <c r="J894">
        <v>5328.99</v>
      </c>
      <c r="K894" t="s">
        <v>17</v>
      </c>
      <c r="L894" t="b">
        <v>0</v>
      </c>
      <c r="N894" s="2" t="str">
        <f t="shared" si="74"/>
        <v/>
      </c>
      <c r="Q894" t="str">
        <f t="shared" si="75"/>
        <v/>
      </c>
    </row>
    <row r="895" spans="1:17" hidden="1">
      <c r="A895" t="s">
        <v>1000</v>
      </c>
      <c r="B895" s="1">
        <v>45042</v>
      </c>
      <c r="C895">
        <v>2023</v>
      </c>
      <c r="D895">
        <v>4</v>
      </c>
      <c r="E895" t="s">
        <v>47</v>
      </c>
      <c r="F895" t="s">
        <v>28</v>
      </c>
      <c r="G895" t="s">
        <v>77</v>
      </c>
      <c r="H895" t="s">
        <v>130</v>
      </c>
      <c r="I895">
        <v>13846.94</v>
      </c>
      <c r="J895">
        <v>11765.92</v>
      </c>
      <c r="K895" t="s">
        <v>17</v>
      </c>
      <c r="L895" t="b">
        <v>0</v>
      </c>
      <c r="N895" s="2" t="b">
        <f t="shared" si="74"/>
        <v>1</v>
      </c>
      <c r="O895" t="str">
        <f>IF(AND(E884="HR",K884="EXPENSE"),I884&lt;J884,"")</f>
        <v/>
      </c>
      <c r="Q895" t="str">
        <f t="shared" si="75"/>
        <v/>
      </c>
    </row>
    <row r="896" spans="1:17" hidden="1">
      <c r="A896" t="s">
        <v>1001</v>
      </c>
      <c r="B896" s="1">
        <v>45042</v>
      </c>
      <c r="C896">
        <v>2023</v>
      </c>
      <c r="D896">
        <v>4</v>
      </c>
      <c r="E896" t="s">
        <v>19</v>
      </c>
      <c r="F896" t="s">
        <v>14</v>
      </c>
      <c r="G896" t="s">
        <v>132</v>
      </c>
      <c r="H896" t="s">
        <v>171</v>
      </c>
      <c r="I896">
        <v>2494.9499999999998</v>
      </c>
      <c r="J896">
        <v>2418.7800000000002</v>
      </c>
      <c r="K896" t="s">
        <v>17</v>
      </c>
      <c r="L896" t="b">
        <v>0</v>
      </c>
      <c r="N896" s="2" t="str">
        <f t="shared" si="74"/>
        <v/>
      </c>
      <c r="Q896" t="str">
        <f t="shared" si="75"/>
        <v/>
      </c>
    </row>
    <row r="897" spans="1:17" hidden="1">
      <c r="A897" t="s">
        <v>1002</v>
      </c>
      <c r="B897" s="1">
        <v>45043</v>
      </c>
      <c r="C897">
        <v>2023</v>
      </c>
      <c r="D897">
        <v>4</v>
      </c>
      <c r="E897" t="s">
        <v>13</v>
      </c>
      <c r="F897" t="s">
        <v>28</v>
      </c>
      <c r="G897" t="s">
        <v>68</v>
      </c>
      <c r="H897" t="s">
        <v>69</v>
      </c>
      <c r="I897">
        <v>4473.17</v>
      </c>
      <c r="J897">
        <v>4349.58</v>
      </c>
      <c r="K897" t="s">
        <v>17</v>
      </c>
      <c r="L897" t="b">
        <v>0</v>
      </c>
      <c r="N897" s="2" t="str">
        <f t="shared" si="74"/>
        <v/>
      </c>
      <c r="Q897" t="str">
        <f t="shared" si="75"/>
        <v/>
      </c>
    </row>
    <row r="898" spans="1:17" hidden="1">
      <c r="A898" t="s">
        <v>1003</v>
      </c>
      <c r="B898" s="1">
        <v>45043</v>
      </c>
      <c r="C898">
        <v>2023</v>
      </c>
      <c r="D898">
        <v>4</v>
      </c>
      <c r="E898" t="s">
        <v>47</v>
      </c>
      <c r="F898" t="s">
        <v>14</v>
      </c>
      <c r="G898" t="s">
        <v>51</v>
      </c>
      <c r="H898" t="s">
        <v>189</v>
      </c>
      <c r="I898">
        <v>17523.96</v>
      </c>
      <c r="J898">
        <v>15101.37</v>
      </c>
      <c r="K898" t="s">
        <v>17</v>
      </c>
      <c r="L898" t="b">
        <v>0</v>
      </c>
      <c r="N898" s="2" t="b">
        <f t="shared" si="74"/>
        <v>1</v>
      </c>
      <c r="O898" t="b">
        <f t="shared" ref="O898:O899" si="78">IF(AND(E887="HR",K887="EXPENSE"),I887&lt;J887,"")</f>
        <v>0</v>
      </c>
      <c r="Q898" t="str">
        <f t="shared" si="75"/>
        <v/>
      </c>
    </row>
    <row r="899" spans="1:17" hidden="1">
      <c r="A899" t="s">
        <v>1004</v>
      </c>
      <c r="B899" s="1">
        <v>45043</v>
      </c>
      <c r="C899">
        <v>2023</v>
      </c>
      <c r="D899">
        <v>4</v>
      </c>
      <c r="E899" t="s">
        <v>47</v>
      </c>
      <c r="F899" t="s">
        <v>24</v>
      </c>
      <c r="G899" t="s">
        <v>91</v>
      </c>
      <c r="H899" t="s">
        <v>254</v>
      </c>
      <c r="I899">
        <v>15771.69</v>
      </c>
      <c r="J899">
        <v>13511.39</v>
      </c>
      <c r="K899" t="s">
        <v>17</v>
      </c>
      <c r="L899" t="b">
        <v>0</v>
      </c>
      <c r="N899" s="2" t="b">
        <f t="shared" ref="N899:N962" si="79">IF(AND(E899="IT",K899="EXPENSE"),I899&gt;J899,"")</f>
        <v>1</v>
      </c>
      <c r="O899" t="str">
        <f t="shared" si="78"/>
        <v/>
      </c>
      <c r="Q899" t="str">
        <f t="shared" ref="Q899:Q962" si="80">IF(L899=TRUE,OR(H899="Apex Solutions Inc",H899="Global Trade Partners",H899="NovaTech Services"),"")</f>
        <v/>
      </c>
    </row>
    <row r="900" spans="1:17" hidden="1">
      <c r="A900" t="s">
        <v>1005</v>
      </c>
      <c r="B900" s="1">
        <v>45043</v>
      </c>
      <c r="C900">
        <v>2023</v>
      </c>
      <c r="D900">
        <v>4</v>
      </c>
      <c r="E900" t="s">
        <v>19</v>
      </c>
      <c r="F900" t="s">
        <v>14</v>
      </c>
      <c r="G900" t="s">
        <v>80</v>
      </c>
      <c r="H900" t="s">
        <v>150</v>
      </c>
      <c r="I900">
        <v>7150.24</v>
      </c>
      <c r="J900">
        <v>6509.94</v>
      </c>
      <c r="K900" t="s">
        <v>17</v>
      </c>
      <c r="L900" t="b">
        <v>0</v>
      </c>
      <c r="N900" s="2" t="str">
        <f t="shared" si="79"/>
        <v/>
      </c>
      <c r="Q900" t="str">
        <f t="shared" si="80"/>
        <v/>
      </c>
    </row>
    <row r="901" spans="1:17" hidden="1">
      <c r="A901" t="s">
        <v>1006</v>
      </c>
      <c r="B901" s="1">
        <v>45043</v>
      </c>
      <c r="C901">
        <v>2023</v>
      </c>
      <c r="D901">
        <v>4</v>
      </c>
      <c r="E901" t="s">
        <v>19</v>
      </c>
      <c r="F901" t="s">
        <v>28</v>
      </c>
      <c r="G901" t="s">
        <v>80</v>
      </c>
      <c r="H901" t="s">
        <v>113</v>
      </c>
      <c r="I901">
        <v>5036.46</v>
      </c>
      <c r="J901">
        <v>4585.1499999999996</v>
      </c>
      <c r="K901" t="s">
        <v>17</v>
      </c>
      <c r="L901" t="b">
        <v>0</v>
      </c>
      <c r="N901" s="2" t="str">
        <f t="shared" si="79"/>
        <v/>
      </c>
      <c r="Q901" t="str">
        <f t="shared" si="80"/>
        <v/>
      </c>
    </row>
    <row r="902" spans="1:17" hidden="1">
      <c r="A902" t="s">
        <v>1007</v>
      </c>
      <c r="B902" s="1">
        <v>45043</v>
      </c>
      <c r="C902">
        <v>2023</v>
      </c>
      <c r="D902">
        <v>4</v>
      </c>
      <c r="E902" t="s">
        <v>19</v>
      </c>
      <c r="F902" t="s">
        <v>24</v>
      </c>
      <c r="G902" t="s">
        <v>20</v>
      </c>
      <c r="H902" t="s">
        <v>174</v>
      </c>
      <c r="I902">
        <v>6217.79</v>
      </c>
      <c r="J902">
        <v>5825.11</v>
      </c>
      <c r="K902" t="s">
        <v>17</v>
      </c>
      <c r="L902" t="b">
        <v>0</v>
      </c>
      <c r="N902" s="2" t="str">
        <f t="shared" si="79"/>
        <v/>
      </c>
      <c r="Q902" t="str">
        <f t="shared" si="80"/>
        <v/>
      </c>
    </row>
    <row r="903" spans="1:17" hidden="1">
      <c r="A903" t="s">
        <v>1008</v>
      </c>
      <c r="B903" s="1">
        <v>45043</v>
      </c>
      <c r="C903">
        <v>2023</v>
      </c>
      <c r="D903">
        <v>4</v>
      </c>
      <c r="E903" t="s">
        <v>37</v>
      </c>
      <c r="F903" t="s">
        <v>28</v>
      </c>
      <c r="G903" t="s">
        <v>62</v>
      </c>
      <c r="H903" t="s">
        <v>66</v>
      </c>
      <c r="I903">
        <v>3554.49</v>
      </c>
      <c r="J903">
        <v>3563.49</v>
      </c>
      <c r="K903" t="s">
        <v>17</v>
      </c>
      <c r="L903" t="b">
        <v>0</v>
      </c>
      <c r="N903" s="2" t="str">
        <f t="shared" si="79"/>
        <v/>
      </c>
      <c r="Q903" t="str">
        <f t="shared" si="80"/>
        <v/>
      </c>
    </row>
    <row r="904" spans="1:17" hidden="1">
      <c r="A904" t="s">
        <v>1009</v>
      </c>
      <c r="B904" s="1">
        <v>45043</v>
      </c>
      <c r="C904">
        <v>2023</v>
      </c>
      <c r="D904">
        <v>4</v>
      </c>
      <c r="E904" t="s">
        <v>37</v>
      </c>
      <c r="F904" t="s">
        <v>24</v>
      </c>
      <c r="G904" t="s">
        <v>41</v>
      </c>
      <c r="H904" t="s">
        <v>42</v>
      </c>
      <c r="I904">
        <v>9218.57</v>
      </c>
      <c r="J904">
        <v>9120.9500000000007</v>
      </c>
      <c r="K904" t="s">
        <v>17</v>
      </c>
      <c r="L904" t="b">
        <v>0</v>
      </c>
      <c r="N904" s="2" t="str">
        <f t="shared" si="79"/>
        <v/>
      </c>
      <c r="Q904" t="str">
        <f t="shared" si="80"/>
        <v/>
      </c>
    </row>
    <row r="905" spans="1:17" hidden="1">
      <c r="A905" t="s">
        <v>1010</v>
      </c>
      <c r="B905" s="1">
        <v>45044</v>
      </c>
      <c r="C905">
        <v>2023</v>
      </c>
      <c r="D905">
        <v>4</v>
      </c>
      <c r="E905" t="s">
        <v>13</v>
      </c>
      <c r="F905" t="s">
        <v>14</v>
      </c>
      <c r="G905" t="s">
        <v>102</v>
      </c>
      <c r="H905" t="s">
        <v>145</v>
      </c>
      <c r="I905">
        <v>4841.17</v>
      </c>
      <c r="J905">
        <v>4652.12</v>
      </c>
      <c r="K905" t="s">
        <v>17</v>
      </c>
      <c r="L905" t="b">
        <v>0</v>
      </c>
      <c r="N905" s="2" t="str">
        <f t="shared" si="79"/>
        <v/>
      </c>
      <c r="Q905" t="str">
        <f t="shared" si="80"/>
        <v/>
      </c>
    </row>
    <row r="906" spans="1:17" hidden="1">
      <c r="A906" t="s">
        <v>1011</v>
      </c>
      <c r="B906" s="1">
        <v>45044</v>
      </c>
      <c r="C906">
        <v>2023</v>
      </c>
      <c r="D906">
        <v>4</v>
      </c>
      <c r="E906" t="s">
        <v>13</v>
      </c>
      <c r="F906" t="s">
        <v>14</v>
      </c>
      <c r="G906" t="s">
        <v>15</v>
      </c>
      <c r="H906" t="s">
        <v>45</v>
      </c>
      <c r="I906">
        <v>5038.18</v>
      </c>
      <c r="J906">
        <v>5079.1899999999996</v>
      </c>
      <c r="K906" t="s">
        <v>17</v>
      </c>
      <c r="L906" t="b">
        <v>0</v>
      </c>
      <c r="N906" s="2" t="str">
        <f t="shared" si="79"/>
        <v/>
      </c>
      <c r="Q906" t="str">
        <f t="shared" si="80"/>
        <v/>
      </c>
    </row>
    <row r="907" spans="1:17" hidden="1">
      <c r="A907" t="s">
        <v>1012</v>
      </c>
      <c r="B907" s="1">
        <v>45044</v>
      </c>
      <c r="C907">
        <v>2023</v>
      </c>
      <c r="D907">
        <v>4</v>
      </c>
      <c r="E907" t="s">
        <v>13</v>
      </c>
      <c r="F907" t="s">
        <v>24</v>
      </c>
      <c r="G907" t="s">
        <v>102</v>
      </c>
      <c r="H907" t="s">
        <v>103</v>
      </c>
      <c r="I907">
        <v>2010.17</v>
      </c>
      <c r="J907">
        <v>2096.2199999999998</v>
      </c>
      <c r="K907" t="s">
        <v>17</v>
      </c>
      <c r="L907" t="b">
        <v>0</v>
      </c>
      <c r="N907" s="2" t="str">
        <f t="shared" si="79"/>
        <v/>
      </c>
      <c r="Q907" t="str">
        <f t="shared" si="80"/>
        <v/>
      </c>
    </row>
    <row r="908" spans="1:17" hidden="1">
      <c r="A908" t="s">
        <v>1013</v>
      </c>
      <c r="B908" s="1">
        <v>45044</v>
      </c>
      <c r="C908">
        <v>2023</v>
      </c>
      <c r="D908">
        <v>4</v>
      </c>
      <c r="E908" t="s">
        <v>13</v>
      </c>
      <c r="F908" t="s">
        <v>24</v>
      </c>
      <c r="G908" t="s">
        <v>15</v>
      </c>
      <c r="H908" t="s">
        <v>16</v>
      </c>
      <c r="I908">
        <v>1948.46</v>
      </c>
      <c r="J908">
        <v>2125.79</v>
      </c>
      <c r="K908" t="s">
        <v>17</v>
      </c>
      <c r="L908" t="b">
        <v>0</v>
      </c>
      <c r="N908" s="2" t="str">
        <f t="shared" si="79"/>
        <v/>
      </c>
      <c r="Q908" t="str">
        <f t="shared" si="80"/>
        <v/>
      </c>
    </row>
    <row r="909" spans="1:17" hidden="1">
      <c r="A909" t="s">
        <v>1014</v>
      </c>
      <c r="B909" s="1">
        <v>45044</v>
      </c>
      <c r="C909">
        <v>2023</v>
      </c>
      <c r="D909">
        <v>4</v>
      </c>
      <c r="E909" t="s">
        <v>13</v>
      </c>
      <c r="F909" t="s">
        <v>24</v>
      </c>
      <c r="G909" t="s">
        <v>108</v>
      </c>
      <c r="H909" t="s">
        <v>123</v>
      </c>
      <c r="I909">
        <v>3014.91</v>
      </c>
      <c r="J909">
        <v>2927.34</v>
      </c>
      <c r="K909" t="s">
        <v>17</v>
      </c>
      <c r="L909" t="b">
        <v>0</v>
      </c>
      <c r="N909" s="2" t="str">
        <f t="shared" si="79"/>
        <v/>
      </c>
      <c r="Q909" t="str">
        <f t="shared" si="80"/>
        <v/>
      </c>
    </row>
    <row r="910" spans="1:17" hidden="1">
      <c r="A910" t="s">
        <v>1015</v>
      </c>
      <c r="B910" s="1">
        <v>45044</v>
      </c>
      <c r="C910">
        <v>2023</v>
      </c>
      <c r="D910">
        <v>4</v>
      </c>
      <c r="E910" t="s">
        <v>47</v>
      </c>
      <c r="F910" t="s">
        <v>14</v>
      </c>
      <c r="G910" t="s">
        <v>51</v>
      </c>
      <c r="H910" t="s">
        <v>52</v>
      </c>
      <c r="I910">
        <v>21459.58</v>
      </c>
      <c r="J910">
        <v>18040.060000000001</v>
      </c>
      <c r="K910" t="s">
        <v>17</v>
      </c>
      <c r="L910" t="b">
        <v>0</v>
      </c>
      <c r="N910" s="2" t="b">
        <f t="shared" si="79"/>
        <v>1</v>
      </c>
      <c r="O910" t="str">
        <f>IF(AND(E899="HR",K899="EXPENSE"),I899&lt;J899,"")</f>
        <v/>
      </c>
      <c r="Q910" t="str">
        <f t="shared" si="80"/>
        <v/>
      </c>
    </row>
    <row r="911" spans="1:17" hidden="1">
      <c r="A911" t="s">
        <v>1016</v>
      </c>
      <c r="B911" s="1">
        <v>45044</v>
      </c>
      <c r="C911">
        <v>2023</v>
      </c>
      <c r="D911">
        <v>4</v>
      </c>
      <c r="E911" t="s">
        <v>37</v>
      </c>
      <c r="F911" t="s">
        <v>14</v>
      </c>
      <c r="G911" t="s">
        <v>41</v>
      </c>
      <c r="H911" t="s">
        <v>42</v>
      </c>
      <c r="I911">
        <v>6765.28</v>
      </c>
      <c r="J911">
        <v>6654</v>
      </c>
      <c r="K911" t="s">
        <v>17</v>
      </c>
      <c r="L911" t="b">
        <v>0</v>
      </c>
      <c r="N911" s="2" t="str">
        <f t="shared" si="79"/>
        <v/>
      </c>
      <c r="Q911" t="str">
        <f t="shared" si="80"/>
        <v/>
      </c>
    </row>
    <row r="912" spans="1:17" hidden="1">
      <c r="A912" t="s">
        <v>1017</v>
      </c>
      <c r="B912" s="1">
        <v>45045</v>
      </c>
      <c r="C912">
        <v>2023</v>
      </c>
      <c r="D912">
        <v>4</v>
      </c>
      <c r="E912" t="s">
        <v>13</v>
      </c>
      <c r="F912" t="s">
        <v>14</v>
      </c>
      <c r="G912" t="s">
        <v>102</v>
      </c>
      <c r="H912" t="s">
        <v>145</v>
      </c>
      <c r="I912">
        <v>4815.6499999999996</v>
      </c>
      <c r="J912">
        <v>5261.4</v>
      </c>
      <c r="K912" t="s">
        <v>17</v>
      </c>
      <c r="L912" t="b">
        <v>0</v>
      </c>
      <c r="N912" s="2" t="str">
        <f t="shared" si="79"/>
        <v/>
      </c>
      <c r="Q912" t="str">
        <f t="shared" si="80"/>
        <v/>
      </c>
    </row>
    <row r="913" spans="1:17" hidden="1">
      <c r="A913" t="s">
        <v>1018</v>
      </c>
      <c r="B913" s="1">
        <v>45045</v>
      </c>
      <c r="C913">
        <v>2023</v>
      </c>
      <c r="D913">
        <v>4</v>
      </c>
      <c r="E913" t="s">
        <v>47</v>
      </c>
      <c r="F913" t="s">
        <v>28</v>
      </c>
      <c r="G913" t="s">
        <v>77</v>
      </c>
      <c r="H913" t="s">
        <v>130</v>
      </c>
      <c r="I913">
        <v>12435.43</v>
      </c>
      <c r="J913">
        <v>10548.48</v>
      </c>
      <c r="K913" t="s">
        <v>17</v>
      </c>
      <c r="L913" t="b">
        <v>0</v>
      </c>
      <c r="N913" s="2" t="b">
        <f t="shared" si="79"/>
        <v>1</v>
      </c>
      <c r="O913" t="str">
        <f>IF(AND(E902="HR",K902="EXPENSE"),I902&lt;J902,"")</f>
        <v/>
      </c>
      <c r="Q913" t="str">
        <f t="shared" si="80"/>
        <v/>
      </c>
    </row>
    <row r="914" spans="1:17" hidden="1">
      <c r="A914" t="s">
        <v>1019</v>
      </c>
      <c r="B914" s="1">
        <v>45046</v>
      </c>
      <c r="C914">
        <v>2023</v>
      </c>
      <c r="D914">
        <v>4</v>
      </c>
      <c r="E914" t="s">
        <v>13</v>
      </c>
      <c r="F914" t="s">
        <v>24</v>
      </c>
      <c r="G914" t="s">
        <v>15</v>
      </c>
      <c r="H914" t="s">
        <v>16</v>
      </c>
      <c r="I914">
        <v>3942.73</v>
      </c>
      <c r="J914">
        <v>3549.69</v>
      </c>
      <c r="K914" t="s">
        <v>17</v>
      </c>
      <c r="L914" t="b">
        <v>0</v>
      </c>
      <c r="N914" s="2" t="str">
        <f t="shared" si="79"/>
        <v/>
      </c>
      <c r="Q914" t="str">
        <f t="shared" si="80"/>
        <v/>
      </c>
    </row>
    <row r="915" spans="1:17" hidden="1">
      <c r="A915" t="s">
        <v>1020</v>
      </c>
      <c r="B915" s="1">
        <v>45046</v>
      </c>
      <c r="C915">
        <v>2023</v>
      </c>
      <c r="D915">
        <v>4</v>
      </c>
      <c r="E915" t="s">
        <v>13</v>
      </c>
      <c r="F915" t="s">
        <v>24</v>
      </c>
      <c r="G915" t="s">
        <v>68</v>
      </c>
      <c r="H915" t="s">
        <v>213</v>
      </c>
      <c r="I915">
        <v>2218.9899999999998</v>
      </c>
      <c r="J915">
        <v>2184.39</v>
      </c>
      <c r="K915" t="s">
        <v>17</v>
      </c>
      <c r="L915" t="b">
        <v>0</v>
      </c>
      <c r="N915" s="2" t="str">
        <f t="shared" si="79"/>
        <v/>
      </c>
      <c r="Q915" t="str">
        <f t="shared" si="80"/>
        <v/>
      </c>
    </row>
    <row r="916" spans="1:17" hidden="1">
      <c r="A916" t="s">
        <v>1021</v>
      </c>
      <c r="B916" s="1">
        <v>45046</v>
      </c>
      <c r="C916">
        <v>2023</v>
      </c>
      <c r="D916">
        <v>4</v>
      </c>
      <c r="E916" t="s">
        <v>47</v>
      </c>
      <c r="F916" t="s">
        <v>24</v>
      </c>
      <c r="G916" t="s">
        <v>51</v>
      </c>
      <c r="H916" t="s">
        <v>52</v>
      </c>
      <c r="I916">
        <v>16234.04</v>
      </c>
      <c r="J916">
        <v>13516.37</v>
      </c>
      <c r="K916" t="s">
        <v>17</v>
      </c>
      <c r="L916" t="b">
        <v>0</v>
      </c>
      <c r="N916" s="2" t="b">
        <f t="shared" si="79"/>
        <v>1</v>
      </c>
      <c r="O916" t="b">
        <f>IF(AND(E905="HR",K905="EXPENSE"),I905&lt;J905,"")</f>
        <v>0</v>
      </c>
      <c r="Q916" t="str">
        <f t="shared" si="80"/>
        <v/>
      </c>
    </row>
    <row r="917" spans="1:17" hidden="1">
      <c r="A917" t="s">
        <v>1022</v>
      </c>
      <c r="B917" s="1">
        <v>45046</v>
      </c>
      <c r="C917">
        <v>2023</v>
      </c>
      <c r="D917">
        <v>4</v>
      </c>
      <c r="E917" t="s">
        <v>19</v>
      </c>
      <c r="F917" t="s">
        <v>28</v>
      </c>
      <c r="G917" t="s">
        <v>132</v>
      </c>
      <c r="H917" t="s">
        <v>171</v>
      </c>
      <c r="I917">
        <v>6094.72</v>
      </c>
      <c r="J917">
        <v>5561.15</v>
      </c>
      <c r="K917" t="s">
        <v>17</v>
      </c>
      <c r="L917" t="b">
        <v>0</v>
      </c>
      <c r="N917" s="2" t="str">
        <f t="shared" si="79"/>
        <v/>
      </c>
      <c r="Q917" t="str">
        <f t="shared" si="80"/>
        <v/>
      </c>
    </row>
    <row r="918" spans="1:17" hidden="1">
      <c r="A918" t="s">
        <v>1023</v>
      </c>
      <c r="B918" s="1">
        <v>45046</v>
      </c>
      <c r="C918">
        <v>2023</v>
      </c>
      <c r="D918">
        <v>4</v>
      </c>
      <c r="E918" t="s">
        <v>19</v>
      </c>
      <c r="F918" t="s">
        <v>28</v>
      </c>
      <c r="G918" t="s">
        <v>54</v>
      </c>
      <c r="H918" t="s">
        <v>57</v>
      </c>
      <c r="I918">
        <v>4223.29</v>
      </c>
      <c r="J918">
        <v>4079.88</v>
      </c>
      <c r="K918" t="s">
        <v>17</v>
      </c>
      <c r="L918" t="b">
        <v>0</v>
      </c>
      <c r="N918" s="2" t="str">
        <f t="shared" si="79"/>
        <v/>
      </c>
      <c r="Q918" t="str">
        <f t="shared" si="80"/>
        <v/>
      </c>
    </row>
    <row r="919" spans="1:17" hidden="1">
      <c r="A919" t="s">
        <v>1024</v>
      </c>
      <c r="B919" s="1">
        <v>45046</v>
      </c>
      <c r="C919">
        <v>2023</v>
      </c>
      <c r="D919">
        <v>4</v>
      </c>
      <c r="E919" t="s">
        <v>23</v>
      </c>
      <c r="F919" t="s">
        <v>14</v>
      </c>
      <c r="G919" t="s">
        <v>141</v>
      </c>
      <c r="H919" t="s">
        <v>142</v>
      </c>
      <c r="I919">
        <v>3613.58</v>
      </c>
      <c r="J919">
        <v>3779.21</v>
      </c>
      <c r="K919" t="s">
        <v>17</v>
      </c>
      <c r="L919" t="b">
        <v>0</v>
      </c>
      <c r="N919" s="2" t="str">
        <f t="shared" si="79"/>
        <v/>
      </c>
      <c r="Q919" t="str">
        <f t="shared" si="80"/>
        <v/>
      </c>
    </row>
    <row r="920" spans="1:17" hidden="1">
      <c r="A920" t="s">
        <v>1025</v>
      </c>
      <c r="B920" s="1">
        <v>45046</v>
      </c>
      <c r="C920">
        <v>2023</v>
      </c>
      <c r="D920">
        <v>4</v>
      </c>
      <c r="E920" t="s">
        <v>23</v>
      </c>
      <c r="F920" t="s">
        <v>28</v>
      </c>
      <c r="G920" t="s">
        <v>30</v>
      </c>
      <c r="H920" t="s">
        <v>33</v>
      </c>
      <c r="I920">
        <v>9231.91</v>
      </c>
      <c r="J920">
        <v>9065.0499999999993</v>
      </c>
      <c r="K920" t="s">
        <v>17</v>
      </c>
      <c r="L920" t="b">
        <v>0</v>
      </c>
      <c r="N920" s="2" t="str">
        <f t="shared" si="79"/>
        <v/>
      </c>
      <c r="Q920" t="str">
        <f t="shared" si="80"/>
        <v/>
      </c>
    </row>
    <row r="921" spans="1:17" hidden="1">
      <c r="A921" t="s">
        <v>1026</v>
      </c>
      <c r="B921" s="1">
        <v>45046</v>
      </c>
      <c r="C921">
        <v>2023</v>
      </c>
      <c r="D921">
        <v>4</v>
      </c>
      <c r="E921" t="s">
        <v>37</v>
      </c>
      <c r="F921" t="s">
        <v>14</v>
      </c>
      <c r="G921" t="s">
        <v>41</v>
      </c>
      <c r="H921" t="s">
        <v>42</v>
      </c>
      <c r="I921">
        <v>4852.41</v>
      </c>
      <c r="J921">
        <v>4714.41</v>
      </c>
      <c r="K921" t="s">
        <v>17</v>
      </c>
      <c r="L921" t="b">
        <v>0</v>
      </c>
      <c r="N921" s="2" t="str">
        <f t="shared" si="79"/>
        <v/>
      </c>
      <c r="Q921" t="str">
        <f t="shared" si="80"/>
        <v/>
      </c>
    </row>
    <row r="922" spans="1:17" hidden="1">
      <c r="A922" t="s">
        <v>1027</v>
      </c>
      <c r="B922" s="1">
        <v>45046</v>
      </c>
      <c r="C922">
        <v>2023</v>
      </c>
      <c r="D922">
        <v>4</v>
      </c>
      <c r="E922" t="s">
        <v>37</v>
      </c>
      <c r="F922" t="s">
        <v>24</v>
      </c>
      <c r="G922" t="s">
        <v>62</v>
      </c>
      <c r="H922" t="s">
        <v>66</v>
      </c>
      <c r="I922">
        <v>6108.54</v>
      </c>
      <c r="J922">
        <v>6619.31</v>
      </c>
      <c r="K922" t="s">
        <v>17</v>
      </c>
      <c r="L922" t="b">
        <v>0</v>
      </c>
      <c r="N922" s="2" t="str">
        <f t="shared" si="79"/>
        <v/>
      </c>
      <c r="Q922" t="str">
        <f t="shared" si="80"/>
        <v/>
      </c>
    </row>
    <row r="923" spans="1:17" hidden="1">
      <c r="A923" t="s">
        <v>1028</v>
      </c>
      <c r="B923" s="1">
        <v>45047</v>
      </c>
      <c r="C923">
        <v>2023</v>
      </c>
      <c r="D923">
        <v>5</v>
      </c>
      <c r="E923" t="s">
        <v>13</v>
      </c>
      <c r="F923" t="s">
        <v>24</v>
      </c>
      <c r="G923" t="s">
        <v>102</v>
      </c>
      <c r="H923" t="s">
        <v>103</v>
      </c>
      <c r="I923">
        <v>1368.54</v>
      </c>
      <c r="J923">
        <v>1458.18</v>
      </c>
      <c r="K923" t="s">
        <v>17</v>
      </c>
      <c r="L923" t="b">
        <v>0</v>
      </c>
      <c r="N923" s="2" t="str">
        <f t="shared" si="79"/>
        <v/>
      </c>
      <c r="Q923" t="str">
        <f t="shared" si="80"/>
        <v/>
      </c>
    </row>
    <row r="924" spans="1:17" hidden="1">
      <c r="A924" t="s">
        <v>1029</v>
      </c>
      <c r="B924" s="1">
        <v>45047</v>
      </c>
      <c r="C924">
        <v>2023</v>
      </c>
      <c r="D924">
        <v>5</v>
      </c>
      <c r="E924" t="s">
        <v>47</v>
      </c>
      <c r="F924" t="s">
        <v>28</v>
      </c>
      <c r="G924" t="s">
        <v>77</v>
      </c>
      <c r="H924" t="s">
        <v>130</v>
      </c>
      <c r="I924">
        <v>3431.17</v>
      </c>
      <c r="J924">
        <v>2899.47</v>
      </c>
      <c r="K924" t="s">
        <v>17</v>
      </c>
      <c r="L924" t="b">
        <v>0</v>
      </c>
      <c r="N924" s="2" t="b">
        <f t="shared" si="79"/>
        <v>1</v>
      </c>
      <c r="O924" t="str">
        <f t="shared" ref="O924:O926" si="81">IF(AND(E913="HR",K913="EXPENSE"),I913&lt;J913,"")</f>
        <v/>
      </c>
      <c r="Q924" t="str">
        <f t="shared" si="80"/>
        <v/>
      </c>
    </row>
    <row r="925" spans="1:17" hidden="1">
      <c r="A925" t="s">
        <v>1030</v>
      </c>
      <c r="B925" s="1">
        <v>45047</v>
      </c>
      <c r="C925">
        <v>2023</v>
      </c>
      <c r="D925">
        <v>5</v>
      </c>
      <c r="E925" t="s">
        <v>47</v>
      </c>
      <c r="F925" t="s">
        <v>24</v>
      </c>
      <c r="G925" t="s">
        <v>77</v>
      </c>
      <c r="H925" t="s">
        <v>147</v>
      </c>
      <c r="I925">
        <v>19048.560000000001</v>
      </c>
      <c r="J925">
        <v>15880.46</v>
      </c>
      <c r="K925" t="s">
        <v>17</v>
      </c>
      <c r="L925" t="b">
        <v>0</v>
      </c>
      <c r="N925" s="2" t="b">
        <f t="shared" si="79"/>
        <v>1</v>
      </c>
      <c r="O925" t="b">
        <f t="shared" si="81"/>
        <v>0</v>
      </c>
      <c r="Q925" t="str">
        <f t="shared" si="80"/>
        <v/>
      </c>
    </row>
    <row r="926" spans="1:17" hidden="1">
      <c r="A926" t="s">
        <v>1031</v>
      </c>
      <c r="B926" s="1">
        <v>45047</v>
      </c>
      <c r="C926">
        <v>2023</v>
      </c>
      <c r="D926">
        <v>5</v>
      </c>
      <c r="E926" t="s">
        <v>47</v>
      </c>
      <c r="F926" t="s">
        <v>24</v>
      </c>
      <c r="G926" t="s">
        <v>91</v>
      </c>
      <c r="H926" t="s">
        <v>254</v>
      </c>
      <c r="I926">
        <v>21234.68</v>
      </c>
      <c r="J926">
        <v>17944.54</v>
      </c>
      <c r="K926" t="s">
        <v>17</v>
      </c>
      <c r="L926" t="b">
        <v>0</v>
      </c>
      <c r="N926" s="2" t="b">
        <f t="shared" si="79"/>
        <v>1</v>
      </c>
      <c r="O926" t="b">
        <f t="shared" si="81"/>
        <v>0</v>
      </c>
      <c r="Q926" t="str">
        <f t="shared" si="80"/>
        <v/>
      </c>
    </row>
    <row r="927" spans="1:17" hidden="1">
      <c r="A927" t="s">
        <v>1032</v>
      </c>
      <c r="B927" s="1">
        <v>45047</v>
      </c>
      <c r="C927">
        <v>2023</v>
      </c>
      <c r="D927">
        <v>5</v>
      </c>
      <c r="E927" t="s">
        <v>19</v>
      </c>
      <c r="F927" t="s">
        <v>24</v>
      </c>
      <c r="G927" t="s">
        <v>80</v>
      </c>
      <c r="H927" t="s">
        <v>81</v>
      </c>
      <c r="I927">
        <v>8315.84</v>
      </c>
      <c r="J927">
        <v>7711.45</v>
      </c>
      <c r="K927" t="s">
        <v>17</v>
      </c>
      <c r="L927" t="b">
        <v>0</v>
      </c>
      <c r="N927" s="2" t="str">
        <f t="shared" si="79"/>
        <v/>
      </c>
      <c r="Q927" t="str">
        <f t="shared" si="80"/>
        <v/>
      </c>
    </row>
    <row r="928" spans="1:17" hidden="1">
      <c r="A928" t="s">
        <v>1033</v>
      </c>
      <c r="B928" s="1">
        <v>45047</v>
      </c>
      <c r="C928">
        <v>2023</v>
      </c>
      <c r="D928">
        <v>5</v>
      </c>
      <c r="E928" t="s">
        <v>19</v>
      </c>
      <c r="F928" t="s">
        <v>24</v>
      </c>
      <c r="G928" t="s">
        <v>20</v>
      </c>
      <c r="H928" t="s">
        <v>21</v>
      </c>
      <c r="I928">
        <v>4807.29</v>
      </c>
      <c r="J928">
        <v>5182.46</v>
      </c>
      <c r="K928" t="s">
        <v>17</v>
      </c>
      <c r="L928" t="b">
        <v>0</v>
      </c>
      <c r="N928" s="2" t="str">
        <f t="shared" si="79"/>
        <v/>
      </c>
      <c r="Q928" t="str">
        <f t="shared" si="80"/>
        <v/>
      </c>
    </row>
    <row r="929" spans="1:17" hidden="1">
      <c r="A929" t="s">
        <v>1034</v>
      </c>
      <c r="B929" s="1">
        <v>45047</v>
      </c>
      <c r="C929">
        <v>2023</v>
      </c>
      <c r="D929">
        <v>5</v>
      </c>
      <c r="E929" t="s">
        <v>23</v>
      </c>
      <c r="F929" t="s">
        <v>24</v>
      </c>
      <c r="G929" t="s">
        <v>141</v>
      </c>
      <c r="H929" t="s">
        <v>209</v>
      </c>
      <c r="I929">
        <v>2659.26</v>
      </c>
      <c r="J929">
        <v>2546.2199999999998</v>
      </c>
      <c r="K929" t="s">
        <v>17</v>
      </c>
      <c r="L929" t="b">
        <v>0</v>
      </c>
      <c r="N929" s="2" t="str">
        <f t="shared" si="79"/>
        <v/>
      </c>
      <c r="Q929" t="str">
        <f t="shared" si="80"/>
        <v/>
      </c>
    </row>
    <row r="930" spans="1:17" hidden="1">
      <c r="A930" t="s">
        <v>1035</v>
      </c>
      <c r="B930" s="1">
        <v>45047</v>
      </c>
      <c r="C930">
        <v>2023</v>
      </c>
      <c r="D930">
        <v>5</v>
      </c>
      <c r="E930" t="s">
        <v>23</v>
      </c>
      <c r="F930" t="s">
        <v>24</v>
      </c>
      <c r="G930" t="s">
        <v>141</v>
      </c>
      <c r="H930" t="s">
        <v>153</v>
      </c>
      <c r="I930">
        <v>4571.0600000000004</v>
      </c>
      <c r="J930">
        <v>4714.37</v>
      </c>
      <c r="K930" t="s">
        <v>17</v>
      </c>
      <c r="L930" t="b">
        <v>0</v>
      </c>
      <c r="N930" s="2" t="str">
        <f t="shared" si="79"/>
        <v/>
      </c>
      <c r="Q930" t="str">
        <f t="shared" si="80"/>
        <v/>
      </c>
    </row>
    <row r="931" spans="1:17" hidden="1">
      <c r="A931" t="s">
        <v>1036</v>
      </c>
      <c r="B931" s="1">
        <v>45047</v>
      </c>
      <c r="C931">
        <v>2023</v>
      </c>
      <c r="D931">
        <v>5</v>
      </c>
      <c r="E931" t="s">
        <v>37</v>
      </c>
      <c r="F931" t="s">
        <v>14</v>
      </c>
      <c r="G931" t="s">
        <v>41</v>
      </c>
      <c r="H931" t="s">
        <v>42</v>
      </c>
      <c r="I931">
        <v>5038.8</v>
      </c>
      <c r="J931">
        <v>4802.5600000000004</v>
      </c>
      <c r="K931" t="s">
        <v>17</v>
      </c>
      <c r="L931" t="b">
        <v>0</v>
      </c>
      <c r="N931" s="2" t="str">
        <f t="shared" si="79"/>
        <v/>
      </c>
      <c r="Q931" t="str">
        <f t="shared" si="80"/>
        <v/>
      </c>
    </row>
    <row r="932" spans="1:17" hidden="1">
      <c r="A932" t="s">
        <v>1037</v>
      </c>
      <c r="B932" s="1">
        <v>45047</v>
      </c>
      <c r="C932">
        <v>2023</v>
      </c>
      <c r="D932">
        <v>5</v>
      </c>
      <c r="E932" t="s">
        <v>37</v>
      </c>
      <c r="F932" t="s">
        <v>14</v>
      </c>
      <c r="G932" t="s">
        <v>41</v>
      </c>
      <c r="H932" t="s">
        <v>42</v>
      </c>
      <c r="I932">
        <v>6670.79</v>
      </c>
      <c r="J932">
        <v>6694.75</v>
      </c>
      <c r="K932" t="s">
        <v>17</v>
      </c>
      <c r="L932" t="b">
        <v>0</v>
      </c>
      <c r="N932" s="2" t="str">
        <f t="shared" si="79"/>
        <v/>
      </c>
      <c r="Q932" t="str">
        <f t="shared" si="80"/>
        <v/>
      </c>
    </row>
    <row r="933" spans="1:17" hidden="1">
      <c r="A933" t="s">
        <v>1038</v>
      </c>
      <c r="B933" s="1">
        <v>45048</v>
      </c>
      <c r="C933">
        <v>2023</v>
      </c>
      <c r="D933">
        <v>5</v>
      </c>
      <c r="E933" t="s">
        <v>47</v>
      </c>
      <c r="F933" t="s">
        <v>14</v>
      </c>
      <c r="G933" t="s">
        <v>77</v>
      </c>
      <c r="H933" t="s">
        <v>130</v>
      </c>
      <c r="I933">
        <v>19953.34</v>
      </c>
      <c r="J933">
        <v>16795.580000000002</v>
      </c>
      <c r="K933" t="s">
        <v>17</v>
      </c>
      <c r="L933" t="b">
        <v>0</v>
      </c>
      <c r="N933" s="2" t="b">
        <f t="shared" si="79"/>
        <v>1</v>
      </c>
      <c r="O933" t="str">
        <f>IF(AND(E922="HR",K922="EXPENSE"),I922&lt;J922,"")</f>
        <v/>
      </c>
      <c r="Q933" t="str">
        <f t="shared" si="80"/>
        <v/>
      </c>
    </row>
    <row r="934" spans="1:17" hidden="1">
      <c r="A934" t="s">
        <v>1039</v>
      </c>
      <c r="B934" s="1">
        <v>45048</v>
      </c>
      <c r="C934">
        <v>2023</v>
      </c>
      <c r="D934">
        <v>5</v>
      </c>
      <c r="E934" t="s">
        <v>37</v>
      </c>
      <c r="F934" t="s">
        <v>24</v>
      </c>
      <c r="G934" t="s">
        <v>98</v>
      </c>
      <c r="H934" t="s">
        <v>99</v>
      </c>
      <c r="I934">
        <v>6484.19</v>
      </c>
      <c r="J934">
        <v>6431.88</v>
      </c>
      <c r="K934" t="s">
        <v>17</v>
      </c>
      <c r="L934" t="b">
        <v>0</v>
      </c>
      <c r="N934" s="2" t="str">
        <f t="shared" si="79"/>
        <v/>
      </c>
      <c r="Q934" t="str">
        <f t="shared" si="80"/>
        <v/>
      </c>
    </row>
    <row r="935" spans="1:17" hidden="1">
      <c r="A935" t="s">
        <v>1040</v>
      </c>
      <c r="B935" s="1">
        <v>45049</v>
      </c>
      <c r="C935">
        <v>2023</v>
      </c>
      <c r="D935">
        <v>5</v>
      </c>
      <c r="E935" t="s">
        <v>13</v>
      </c>
      <c r="F935" t="s">
        <v>28</v>
      </c>
      <c r="G935" t="s">
        <v>102</v>
      </c>
      <c r="H935" t="s">
        <v>145</v>
      </c>
      <c r="I935">
        <v>2702.53</v>
      </c>
      <c r="J935">
        <v>2551.65</v>
      </c>
      <c r="K935" t="s">
        <v>17</v>
      </c>
      <c r="L935" t="b">
        <v>0</v>
      </c>
      <c r="N935" s="2" t="str">
        <f t="shared" si="79"/>
        <v/>
      </c>
      <c r="Q935" t="str">
        <f t="shared" si="80"/>
        <v/>
      </c>
    </row>
    <row r="936" spans="1:17" hidden="1">
      <c r="A936" t="s">
        <v>1041</v>
      </c>
      <c r="B936" s="1">
        <v>45049</v>
      </c>
      <c r="C936">
        <v>2023</v>
      </c>
      <c r="D936">
        <v>5</v>
      </c>
      <c r="E936" t="s">
        <v>13</v>
      </c>
      <c r="F936" t="s">
        <v>28</v>
      </c>
      <c r="G936" t="s">
        <v>108</v>
      </c>
      <c r="H936" t="s">
        <v>109</v>
      </c>
      <c r="I936">
        <v>4292.49</v>
      </c>
      <c r="J936">
        <v>4290.38</v>
      </c>
      <c r="K936" t="s">
        <v>17</v>
      </c>
      <c r="L936" t="b">
        <v>0</v>
      </c>
      <c r="N936" s="2" t="str">
        <f t="shared" si="79"/>
        <v/>
      </c>
      <c r="Q936" t="str">
        <f t="shared" si="80"/>
        <v/>
      </c>
    </row>
    <row r="937" spans="1:17" hidden="1">
      <c r="A937" t="s">
        <v>1042</v>
      </c>
      <c r="B937" s="1">
        <v>45049</v>
      </c>
      <c r="C937">
        <v>2023</v>
      </c>
      <c r="D937">
        <v>5</v>
      </c>
      <c r="E937" t="s">
        <v>13</v>
      </c>
      <c r="F937" t="s">
        <v>24</v>
      </c>
      <c r="G937" t="s">
        <v>15</v>
      </c>
      <c r="H937" t="s">
        <v>16</v>
      </c>
      <c r="I937">
        <v>4207.37</v>
      </c>
      <c r="J937">
        <v>4142.26</v>
      </c>
      <c r="K937" t="s">
        <v>17</v>
      </c>
      <c r="L937" t="b">
        <v>0</v>
      </c>
      <c r="N937" s="2" t="str">
        <f t="shared" si="79"/>
        <v/>
      </c>
      <c r="Q937" t="str">
        <f t="shared" si="80"/>
        <v/>
      </c>
    </row>
    <row r="938" spans="1:17" hidden="1">
      <c r="A938" t="s">
        <v>1043</v>
      </c>
      <c r="B938" s="1">
        <v>45049</v>
      </c>
      <c r="C938">
        <v>2023</v>
      </c>
      <c r="D938">
        <v>5</v>
      </c>
      <c r="E938" t="s">
        <v>13</v>
      </c>
      <c r="F938" t="s">
        <v>24</v>
      </c>
      <c r="G938" t="s">
        <v>68</v>
      </c>
      <c r="H938" t="s">
        <v>213</v>
      </c>
      <c r="I938">
        <v>3794.56</v>
      </c>
      <c r="J938">
        <v>3661.97</v>
      </c>
      <c r="K938" t="s">
        <v>17</v>
      </c>
      <c r="L938" t="b">
        <v>0</v>
      </c>
      <c r="N938" s="2" t="str">
        <f t="shared" si="79"/>
        <v/>
      </c>
      <c r="Q938" t="str">
        <f t="shared" si="80"/>
        <v/>
      </c>
    </row>
    <row r="939" spans="1:17" hidden="1">
      <c r="A939" t="s">
        <v>1044</v>
      </c>
      <c r="B939" s="1">
        <v>45049</v>
      </c>
      <c r="C939">
        <v>2023</v>
      </c>
      <c r="D939">
        <v>5</v>
      </c>
      <c r="E939" t="s">
        <v>19</v>
      </c>
      <c r="F939" t="s">
        <v>28</v>
      </c>
      <c r="G939" t="s">
        <v>132</v>
      </c>
      <c r="H939" t="s">
        <v>171</v>
      </c>
      <c r="I939">
        <v>5379.58</v>
      </c>
      <c r="J939">
        <v>4954.99</v>
      </c>
      <c r="K939" t="s">
        <v>17</v>
      </c>
      <c r="L939" t="b">
        <v>0</v>
      </c>
      <c r="N939" s="2" t="str">
        <f t="shared" si="79"/>
        <v/>
      </c>
      <c r="Q939" t="str">
        <f t="shared" si="80"/>
        <v/>
      </c>
    </row>
    <row r="940" spans="1:17" hidden="1">
      <c r="A940" t="s">
        <v>1045</v>
      </c>
      <c r="B940" s="1">
        <v>45049</v>
      </c>
      <c r="C940">
        <v>2023</v>
      </c>
      <c r="D940">
        <v>5</v>
      </c>
      <c r="E940" t="s">
        <v>23</v>
      </c>
      <c r="F940" t="s">
        <v>14</v>
      </c>
      <c r="G940" t="s">
        <v>141</v>
      </c>
      <c r="H940" t="s">
        <v>142</v>
      </c>
      <c r="I940">
        <v>6822.77</v>
      </c>
      <c r="J940">
        <v>7088.31</v>
      </c>
      <c r="K940" t="s">
        <v>17</v>
      </c>
      <c r="L940" t="b">
        <v>0</v>
      </c>
      <c r="N940" s="2" t="str">
        <f t="shared" si="79"/>
        <v/>
      </c>
      <c r="Q940" t="str">
        <f t="shared" si="80"/>
        <v/>
      </c>
    </row>
    <row r="941" spans="1:17" hidden="1">
      <c r="A941" t="s">
        <v>1046</v>
      </c>
      <c r="B941" s="1">
        <v>45049</v>
      </c>
      <c r="C941">
        <v>2023</v>
      </c>
      <c r="D941">
        <v>5</v>
      </c>
      <c r="E941" t="s">
        <v>23</v>
      </c>
      <c r="F941" t="s">
        <v>14</v>
      </c>
      <c r="G941" t="s">
        <v>141</v>
      </c>
      <c r="H941" t="s">
        <v>142</v>
      </c>
      <c r="I941">
        <v>5561.53</v>
      </c>
      <c r="J941">
        <v>5816.23</v>
      </c>
      <c r="K941" t="s">
        <v>17</v>
      </c>
      <c r="L941" t="b">
        <v>0</v>
      </c>
      <c r="N941" s="2" t="str">
        <f t="shared" si="79"/>
        <v/>
      </c>
      <c r="Q941" t="str">
        <f t="shared" si="80"/>
        <v/>
      </c>
    </row>
    <row r="942" spans="1:17" hidden="1">
      <c r="A942" t="s">
        <v>1047</v>
      </c>
      <c r="B942" s="1">
        <v>45049</v>
      </c>
      <c r="C942">
        <v>2023</v>
      </c>
      <c r="D942">
        <v>5</v>
      </c>
      <c r="E942" t="s">
        <v>23</v>
      </c>
      <c r="F942" t="s">
        <v>14</v>
      </c>
      <c r="G942" t="s">
        <v>30</v>
      </c>
      <c r="H942" t="s">
        <v>33</v>
      </c>
      <c r="I942">
        <v>4657.3</v>
      </c>
      <c r="J942">
        <v>4215.04</v>
      </c>
      <c r="K942" t="s">
        <v>17</v>
      </c>
      <c r="L942" t="b">
        <v>0</v>
      </c>
      <c r="N942" s="2" t="str">
        <f t="shared" si="79"/>
        <v/>
      </c>
      <c r="Q942" t="str">
        <f t="shared" si="80"/>
        <v/>
      </c>
    </row>
    <row r="943" spans="1:17" hidden="1">
      <c r="A943" t="s">
        <v>1048</v>
      </c>
      <c r="B943" s="1">
        <v>45049</v>
      </c>
      <c r="C943">
        <v>2023</v>
      </c>
      <c r="D943">
        <v>5</v>
      </c>
      <c r="E943" t="s">
        <v>23</v>
      </c>
      <c r="F943" t="s">
        <v>24</v>
      </c>
      <c r="G943" t="s">
        <v>141</v>
      </c>
      <c r="H943" t="s">
        <v>142</v>
      </c>
      <c r="I943">
        <v>3322.72</v>
      </c>
      <c r="J943">
        <v>3268.45</v>
      </c>
      <c r="K943" t="s">
        <v>17</v>
      </c>
      <c r="L943" t="b">
        <v>0</v>
      </c>
      <c r="N943" s="2" t="str">
        <f t="shared" si="79"/>
        <v/>
      </c>
      <c r="Q943" t="str">
        <f t="shared" si="80"/>
        <v/>
      </c>
    </row>
    <row r="944" spans="1:17" hidden="1">
      <c r="A944" t="s">
        <v>1049</v>
      </c>
      <c r="B944" s="1">
        <v>45049</v>
      </c>
      <c r="C944">
        <v>2023</v>
      </c>
      <c r="D944">
        <v>5</v>
      </c>
      <c r="E944" t="s">
        <v>37</v>
      </c>
      <c r="F944" t="s">
        <v>14</v>
      </c>
      <c r="G944" t="s">
        <v>41</v>
      </c>
      <c r="H944" t="s">
        <v>42</v>
      </c>
      <c r="I944">
        <v>5065.13</v>
      </c>
      <c r="J944">
        <v>4968.17</v>
      </c>
      <c r="K944" t="s">
        <v>17</v>
      </c>
      <c r="L944" t="b">
        <v>0</v>
      </c>
      <c r="N944" s="2" t="str">
        <f t="shared" si="79"/>
        <v/>
      </c>
      <c r="Q944" t="str">
        <f t="shared" si="80"/>
        <v/>
      </c>
    </row>
    <row r="945" spans="1:17" hidden="1">
      <c r="A945" t="s">
        <v>1050</v>
      </c>
      <c r="B945" s="1">
        <v>45050</v>
      </c>
      <c r="C945">
        <v>2023</v>
      </c>
      <c r="D945">
        <v>5</v>
      </c>
      <c r="E945" t="s">
        <v>13</v>
      </c>
      <c r="F945" t="s">
        <v>14</v>
      </c>
      <c r="G945" t="s">
        <v>15</v>
      </c>
      <c r="H945" t="s">
        <v>16</v>
      </c>
      <c r="I945">
        <v>3262.39</v>
      </c>
      <c r="J945">
        <v>2983.84</v>
      </c>
      <c r="K945" t="s">
        <v>17</v>
      </c>
      <c r="L945" t="b">
        <v>0</v>
      </c>
      <c r="N945" s="2" t="str">
        <f t="shared" si="79"/>
        <v/>
      </c>
      <c r="Q945" t="str">
        <f t="shared" si="80"/>
        <v/>
      </c>
    </row>
    <row r="946" spans="1:17" hidden="1">
      <c r="A946" t="s">
        <v>1051</v>
      </c>
      <c r="B946" s="1">
        <v>45050</v>
      </c>
      <c r="C946">
        <v>2023</v>
      </c>
      <c r="D946">
        <v>5</v>
      </c>
      <c r="E946" t="s">
        <v>13</v>
      </c>
      <c r="F946" t="s">
        <v>24</v>
      </c>
      <c r="G946" t="s">
        <v>108</v>
      </c>
      <c r="H946" t="s">
        <v>126</v>
      </c>
      <c r="I946">
        <v>1874.86</v>
      </c>
      <c r="J946">
        <v>1687.37</v>
      </c>
      <c r="K946" t="s">
        <v>17</v>
      </c>
      <c r="L946" t="b">
        <v>0</v>
      </c>
      <c r="N946" s="2" t="str">
        <f t="shared" si="79"/>
        <v/>
      </c>
      <c r="Q946" t="str">
        <f t="shared" si="80"/>
        <v/>
      </c>
    </row>
    <row r="947" spans="1:17" hidden="1">
      <c r="A947" t="s">
        <v>1052</v>
      </c>
      <c r="B947" s="1">
        <v>45050</v>
      </c>
      <c r="C947">
        <v>2023</v>
      </c>
      <c r="D947">
        <v>5</v>
      </c>
      <c r="E947" t="s">
        <v>13</v>
      </c>
      <c r="F947" t="s">
        <v>24</v>
      </c>
      <c r="G947" t="s">
        <v>102</v>
      </c>
      <c r="H947" t="s">
        <v>103</v>
      </c>
      <c r="I947">
        <v>3650.87</v>
      </c>
      <c r="J947">
        <v>3996.3</v>
      </c>
      <c r="K947" t="s">
        <v>17</v>
      </c>
      <c r="L947" t="b">
        <v>0</v>
      </c>
      <c r="N947" s="2" t="str">
        <f t="shared" si="79"/>
        <v/>
      </c>
      <c r="Q947" t="str">
        <f t="shared" si="80"/>
        <v/>
      </c>
    </row>
    <row r="948" spans="1:17" hidden="1">
      <c r="A948" t="s">
        <v>1053</v>
      </c>
      <c r="B948" s="1">
        <v>45050</v>
      </c>
      <c r="C948">
        <v>2023</v>
      </c>
      <c r="D948">
        <v>5</v>
      </c>
      <c r="E948" t="s">
        <v>13</v>
      </c>
      <c r="F948" t="s">
        <v>24</v>
      </c>
      <c r="G948" t="s">
        <v>108</v>
      </c>
      <c r="H948" t="s">
        <v>109</v>
      </c>
      <c r="I948">
        <v>3571.14</v>
      </c>
      <c r="J948">
        <v>3894.12</v>
      </c>
      <c r="K948" t="s">
        <v>17</v>
      </c>
      <c r="L948" t="b">
        <v>0</v>
      </c>
      <c r="N948" s="2" t="str">
        <f t="shared" si="79"/>
        <v/>
      </c>
      <c r="Q948" t="str">
        <f t="shared" si="80"/>
        <v/>
      </c>
    </row>
    <row r="949" spans="1:17" hidden="1">
      <c r="A949" t="s">
        <v>1054</v>
      </c>
      <c r="B949" s="1">
        <v>45050</v>
      </c>
      <c r="C949">
        <v>2023</v>
      </c>
      <c r="D949">
        <v>5</v>
      </c>
      <c r="E949" t="s">
        <v>47</v>
      </c>
      <c r="F949" t="s">
        <v>28</v>
      </c>
      <c r="G949" t="s">
        <v>91</v>
      </c>
      <c r="H949" t="s">
        <v>249</v>
      </c>
      <c r="I949">
        <v>14914.34</v>
      </c>
      <c r="J949">
        <v>12883.3</v>
      </c>
      <c r="K949" t="s">
        <v>17</v>
      </c>
      <c r="L949" t="b">
        <v>0</v>
      </c>
      <c r="N949" s="2" t="b">
        <f t="shared" si="79"/>
        <v>1</v>
      </c>
      <c r="O949" t="b">
        <f t="shared" ref="O949:O951" si="82">IF(AND(E938="HR",K938="EXPENSE"),I938&lt;J938,"")</f>
        <v>0</v>
      </c>
      <c r="Q949" t="str">
        <f t="shared" si="80"/>
        <v/>
      </c>
    </row>
    <row r="950" spans="1:17" hidden="1">
      <c r="A950" t="s">
        <v>1055</v>
      </c>
      <c r="B950" s="1">
        <v>45050</v>
      </c>
      <c r="C950">
        <v>2023</v>
      </c>
      <c r="D950">
        <v>5</v>
      </c>
      <c r="E950" t="s">
        <v>47</v>
      </c>
      <c r="F950" t="s">
        <v>28</v>
      </c>
      <c r="G950" t="s">
        <v>91</v>
      </c>
      <c r="H950" t="s">
        <v>92</v>
      </c>
      <c r="I950">
        <v>14150.12</v>
      </c>
      <c r="J950">
        <v>11949.76</v>
      </c>
      <c r="K950" t="s">
        <v>17</v>
      </c>
      <c r="L950" t="b">
        <v>0</v>
      </c>
      <c r="N950" s="2" t="b">
        <f t="shared" si="79"/>
        <v>1</v>
      </c>
      <c r="O950" t="str">
        <f t="shared" si="82"/>
        <v/>
      </c>
      <c r="Q950" t="str">
        <f t="shared" si="80"/>
        <v/>
      </c>
    </row>
    <row r="951" spans="1:17" hidden="1">
      <c r="A951" t="s">
        <v>1056</v>
      </c>
      <c r="B951" s="1">
        <v>45050</v>
      </c>
      <c r="C951">
        <v>2023</v>
      </c>
      <c r="D951">
        <v>5</v>
      </c>
      <c r="E951" t="s">
        <v>47</v>
      </c>
      <c r="F951" t="s">
        <v>24</v>
      </c>
      <c r="G951" t="s">
        <v>91</v>
      </c>
      <c r="H951" t="s">
        <v>92</v>
      </c>
      <c r="I951">
        <v>14642.73</v>
      </c>
      <c r="J951">
        <v>12647.36</v>
      </c>
      <c r="K951" t="s">
        <v>17</v>
      </c>
      <c r="L951" t="b">
        <v>0</v>
      </c>
      <c r="N951" s="2" t="b">
        <f t="shared" si="79"/>
        <v>1</v>
      </c>
      <c r="O951" t="str">
        <f t="shared" si="82"/>
        <v/>
      </c>
      <c r="Q951" t="str">
        <f t="shared" si="80"/>
        <v/>
      </c>
    </row>
    <row r="952" spans="1:17" hidden="1">
      <c r="A952" t="s">
        <v>1057</v>
      </c>
      <c r="B952" s="1">
        <v>45050</v>
      </c>
      <c r="C952">
        <v>2023</v>
      </c>
      <c r="D952">
        <v>5</v>
      </c>
      <c r="E952" t="s">
        <v>19</v>
      </c>
      <c r="F952" t="s">
        <v>28</v>
      </c>
      <c r="G952" t="s">
        <v>80</v>
      </c>
      <c r="H952" t="s">
        <v>217</v>
      </c>
      <c r="I952">
        <v>9034.08</v>
      </c>
      <c r="J952">
        <v>8812.42</v>
      </c>
      <c r="K952" t="s">
        <v>17</v>
      </c>
      <c r="L952" t="b">
        <v>0</v>
      </c>
      <c r="N952" s="2" t="str">
        <f t="shared" si="79"/>
        <v/>
      </c>
      <c r="Q952" t="str">
        <f t="shared" si="80"/>
        <v/>
      </c>
    </row>
    <row r="953" spans="1:17" hidden="1">
      <c r="A953" t="s">
        <v>1058</v>
      </c>
      <c r="B953" s="1">
        <v>45050</v>
      </c>
      <c r="C953">
        <v>2023</v>
      </c>
      <c r="D953">
        <v>5</v>
      </c>
      <c r="E953" t="s">
        <v>19</v>
      </c>
      <c r="F953" t="s">
        <v>24</v>
      </c>
      <c r="G953" t="s">
        <v>80</v>
      </c>
      <c r="H953" t="s">
        <v>81</v>
      </c>
      <c r="I953">
        <v>3840.77</v>
      </c>
      <c r="J953">
        <v>3542.35</v>
      </c>
      <c r="K953" t="s">
        <v>17</v>
      </c>
      <c r="L953" t="b">
        <v>0</v>
      </c>
      <c r="N953" s="2" t="str">
        <f t="shared" si="79"/>
        <v/>
      </c>
      <c r="Q953" t="str">
        <f t="shared" si="80"/>
        <v/>
      </c>
    </row>
    <row r="954" spans="1:17" hidden="1">
      <c r="A954" t="s">
        <v>1059</v>
      </c>
      <c r="B954" s="1">
        <v>45050</v>
      </c>
      <c r="C954">
        <v>2023</v>
      </c>
      <c r="D954">
        <v>5</v>
      </c>
      <c r="E954" t="s">
        <v>23</v>
      </c>
      <c r="F954" t="s">
        <v>24</v>
      </c>
      <c r="G954" t="s">
        <v>25</v>
      </c>
      <c r="H954" t="s">
        <v>26</v>
      </c>
      <c r="I954">
        <v>3998.12</v>
      </c>
      <c r="J954">
        <v>3936.33</v>
      </c>
      <c r="K954" t="s">
        <v>17</v>
      </c>
      <c r="L954" t="b">
        <v>0</v>
      </c>
      <c r="N954" s="2" t="str">
        <f t="shared" si="79"/>
        <v/>
      </c>
      <c r="Q954" t="str">
        <f t="shared" si="80"/>
        <v/>
      </c>
    </row>
    <row r="955" spans="1:17" hidden="1">
      <c r="A955" t="s">
        <v>1060</v>
      </c>
      <c r="B955" s="1">
        <v>45050</v>
      </c>
      <c r="C955">
        <v>2023</v>
      </c>
      <c r="D955">
        <v>5</v>
      </c>
      <c r="E955" t="s">
        <v>37</v>
      </c>
      <c r="F955" t="s">
        <v>14</v>
      </c>
      <c r="G955" t="s">
        <v>38</v>
      </c>
      <c r="H955" t="s">
        <v>227</v>
      </c>
      <c r="I955">
        <v>5377.26</v>
      </c>
      <c r="J955">
        <v>5875.73</v>
      </c>
      <c r="K955" t="s">
        <v>17</v>
      </c>
      <c r="L955" t="b">
        <v>0</v>
      </c>
      <c r="N955" s="2" t="str">
        <f t="shared" si="79"/>
        <v/>
      </c>
      <c r="Q955" t="str">
        <f t="shared" si="80"/>
        <v/>
      </c>
    </row>
    <row r="956" spans="1:17" hidden="1">
      <c r="A956" t="s">
        <v>1061</v>
      </c>
      <c r="B956" s="1">
        <v>45050</v>
      </c>
      <c r="C956">
        <v>2023</v>
      </c>
      <c r="D956">
        <v>5</v>
      </c>
      <c r="E956" t="s">
        <v>37</v>
      </c>
      <c r="F956" t="s">
        <v>28</v>
      </c>
      <c r="G956" t="s">
        <v>98</v>
      </c>
      <c r="H956" t="s">
        <v>99</v>
      </c>
      <c r="I956">
        <v>5150.9799999999996</v>
      </c>
      <c r="J956">
        <v>5107.71</v>
      </c>
      <c r="K956" t="s">
        <v>17</v>
      </c>
      <c r="L956" t="b">
        <v>0</v>
      </c>
      <c r="N956" s="2" t="str">
        <f t="shared" si="79"/>
        <v/>
      </c>
      <c r="Q956" t="str">
        <f t="shared" si="80"/>
        <v/>
      </c>
    </row>
    <row r="957" spans="1:17" hidden="1">
      <c r="A957" t="s">
        <v>1062</v>
      </c>
      <c r="B957" s="1">
        <v>45051</v>
      </c>
      <c r="C957">
        <v>2023</v>
      </c>
      <c r="D957">
        <v>5</v>
      </c>
      <c r="E957" t="s">
        <v>13</v>
      </c>
      <c r="F957" t="s">
        <v>14</v>
      </c>
      <c r="G957" t="s">
        <v>15</v>
      </c>
      <c r="H957" t="s">
        <v>89</v>
      </c>
      <c r="I957">
        <v>1833.58</v>
      </c>
      <c r="J957">
        <v>1861.86</v>
      </c>
      <c r="K957" t="s">
        <v>17</v>
      </c>
      <c r="L957" t="b">
        <v>0</v>
      </c>
      <c r="N957" s="2" t="str">
        <f t="shared" si="79"/>
        <v/>
      </c>
      <c r="Q957" t="str">
        <f t="shared" si="80"/>
        <v/>
      </c>
    </row>
    <row r="958" spans="1:17" hidden="1">
      <c r="A958" t="s">
        <v>1063</v>
      </c>
      <c r="B958" s="1">
        <v>45051</v>
      </c>
      <c r="C958">
        <v>2023</v>
      </c>
      <c r="D958">
        <v>5</v>
      </c>
      <c r="E958" t="s">
        <v>13</v>
      </c>
      <c r="F958" t="s">
        <v>28</v>
      </c>
      <c r="G958" t="s">
        <v>102</v>
      </c>
      <c r="H958" t="s">
        <v>145</v>
      </c>
      <c r="I958">
        <v>2689.13</v>
      </c>
      <c r="J958">
        <v>2773.37</v>
      </c>
      <c r="K958" t="s">
        <v>17</v>
      </c>
      <c r="L958" t="b">
        <v>0</v>
      </c>
      <c r="N958" s="2" t="str">
        <f t="shared" si="79"/>
        <v/>
      </c>
      <c r="Q958" t="str">
        <f t="shared" si="80"/>
        <v/>
      </c>
    </row>
    <row r="959" spans="1:17" hidden="1">
      <c r="A959" t="s">
        <v>1064</v>
      </c>
      <c r="B959" s="1">
        <v>45051</v>
      </c>
      <c r="C959">
        <v>2023</v>
      </c>
      <c r="D959">
        <v>5</v>
      </c>
      <c r="E959" t="s">
        <v>47</v>
      </c>
      <c r="F959" t="s">
        <v>14</v>
      </c>
      <c r="G959" t="s">
        <v>51</v>
      </c>
      <c r="H959" t="s">
        <v>72</v>
      </c>
      <c r="I959">
        <v>16676.18</v>
      </c>
      <c r="J959">
        <v>14370.87</v>
      </c>
      <c r="K959" t="s">
        <v>17</v>
      </c>
      <c r="L959" t="b">
        <v>0</v>
      </c>
      <c r="N959" s="2" t="b">
        <f t="shared" si="79"/>
        <v>1</v>
      </c>
      <c r="O959" t="b">
        <f>IF(AND(E948="HR",K948="EXPENSE"),I948&lt;J948,"")</f>
        <v>1</v>
      </c>
      <c r="Q959" t="str">
        <f t="shared" si="80"/>
        <v/>
      </c>
    </row>
    <row r="960" spans="1:17" hidden="1">
      <c r="A960" t="s">
        <v>1065</v>
      </c>
      <c r="B960" s="1">
        <v>45051</v>
      </c>
      <c r="C960">
        <v>2023</v>
      </c>
      <c r="D960">
        <v>5</v>
      </c>
      <c r="E960" t="s">
        <v>19</v>
      </c>
      <c r="F960" t="s">
        <v>14</v>
      </c>
      <c r="G960" t="s">
        <v>132</v>
      </c>
      <c r="H960" t="s">
        <v>133</v>
      </c>
      <c r="I960">
        <v>5288.3</v>
      </c>
      <c r="J960">
        <v>5514.59</v>
      </c>
      <c r="K960" t="s">
        <v>17</v>
      </c>
      <c r="L960" t="b">
        <v>0</v>
      </c>
      <c r="N960" s="2" t="str">
        <f t="shared" si="79"/>
        <v/>
      </c>
      <c r="Q960" t="str">
        <f t="shared" si="80"/>
        <v/>
      </c>
    </row>
    <row r="961" spans="1:17" hidden="1">
      <c r="A961" t="s">
        <v>1066</v>
      </c>
      <c r="B961" s="1">
        <v>45051</v>
      </c>
      <c r="C961">
        <v>2023</v>
      </c>
      <c r="D961">
        <v>5</v>
      </c>
      <c r="E961" t="s">
        <v>19</v>
      </c>
      <c r="F961" t="s">
        <v>28</v>
      </c>
      <c r="G961" t="s">
        <v>80</v>
      </c>
      <c r="H961" t="s">
        <v>113</v>
      </c>
      <c r="I961">
        <v>9241.4599999999991</v>
      </c>
      <c r="J961">
        <v>9762.36</v>
      </c>
      <c r="K961" t="s">
        <v>17</v>
      </c>
      <c r="L961" t="b">
        <v>0</v>
      </c>
      <c r="N961" s="2" t="str">
        <f t="shared" si="79"/>
        <v/>
      </c>
      <c r="Q961" t="str">
        <f t="shared" si="80"/>
        <v/>
      </c>
    </row>
    <row r="962" spans="1:17" hidden="1">
      <c r="A962" t="s">
        <v>1067</v>
      </c>
      <c r="B962" s="1">
        <v>45051</v>
      </c>
      <c r="C962">
        <v>2023</v>
      </c>
      <c r="D962">
        <v>5</v>
      </c>
      <c r="E962" t="s">
        <v>23</v>
      </c>
      <c r="F962" t="s">
        <v>14</v>
      </c>
      <c r="G962" t="s">
        <v>59</v>
      </c>
      <c r="H962" t="s">
        <v>60</v>
      </c>
      <c r="I962">
        <v>6625.18</v>
      </c>
      <c r="J962">
        <v>6221.36</v>
      </c>
      <c r="K962" t="s">
        <v>17</v>
      </c>
      <c r="L962" t="b">
        <v>0</v>
      </c>
      <c r="N962" s="2" t="str">
        <f t="shared" si="79"/>
        <v/>
      </c>
      <c r="Q962" t="str">
        <f t="shared" si="80"/>
        <v/>
      </c>
    </row>
    <row r="963" spans="1:17" hidden="1">
      <c r="A963" t="s">
        <v>1068</v>
      </c>
      <c r="B963" s="1">
        <v>45052</v>
      </c>
      <c r="C963">
        <v>2023</v>
      </c>
      <c r="D963">
        <v>5</v>
      </c>
      <c r="E963" t="s">
        <v>47</v>
      </c>
      <c r="F963" t="s">
        <v>28</v>
      </c>
      <c r="G963" t="s">
        <v>77</v>
      </c>
      <c r="H963" t="s">
        <v>130</v>
      </c>
      <c r="I963">
        <v>11050.39</v>
      </c>
      <c r="J963">
        <v>9079.8700000000008</v>
      </c>
      <c r="K963" t="s">
        <v>17</v>
      </c>
      <c r="L963" t="b">
        <v>0</v>
      </c>
      <c r="N963" s="2" t="b">
        <f t="shared" ref="N963:N1026" si="83">IF(AND(E963="IT",K963="EXPENSE"),I963&gt;J963,"")</f>
        <v>1</v>
      </c>
      <c r="O963" t="str">
        <f t="shared" ref="O963:O964" si="84">IF(AND(E952="HR",K952="EXPENSE"),I952&lt;J952,"")</f>
        <v/>
      </c>
      <c r="Q963" t="str">
        <f t="shared" ref="Q963:Q1026" si="85">IF(L963=TRUE,OR(H963="Apex Solutions Inc",H963="Global Trade Partners",H963="NovaTech Services"),"")</f>
        <v/>
      </c>
    </row>
    <row r="964" spans="1:17" hidden="1">
      <c r="A964" t="s">
        <v>1069</v>
      </c>
      <c r="B964" s="1">
        <v>45052</v>
      </c>
      <c r="C964">
        <v>2023</v>
      </c>
      <c r="D964">
        <v>5</v>
      </c>
      <c r="E964" t="s">
        <v>47</v>
      </c>
      <c r="F964" t="s">
        <v>24</v>
      </c>
      <c r="G964" t="s">
        <v>51</v>
      </c>
      <c r="H964" t="s">
        <v>189</v>
      </c>
      <c r="I964">
        <v>17444.75</v>
      </c>
      <c r="J964">
        <v>14342.02</v>
      </c>
      <c r="K964" t="s">
        <v>17</v>
      </c>
      <c r="L964" t="b">
        <v>0</v>
      </c>
      <c r="N964" s="2" t="b">
        <f t="shared" si="83"/>
        <v>1</v>
      </c>
      <c r="O964" t="str">
        <f t="shared" si="84"/>
        <v/>
      </c>
      <c r="Q964" t="str">
        <f t="shared" si="85"/>
        <v/>
      </c>
    </row>
    <row r="965" spans="1:17" hidden="1">
      <c r="A965" t="s">
        <v>1070</v>
      </c>
      <c r="B965" s="1">
        <v>45052</v>
      </c>
      <c r="C965">
        <v>2023</v>
      </c>
      <c r="D965">
        <v>5</v>
      </c>
      <c r="E965" t="s">
        <v>37</v>
      </c>
      <c r="F965" t="s">
        <v>14</v>
      </c>
      <c r="G965" t="s">
        <v>41</v>
      </c>
      <c r="H965" t="s">
        <v>42</v>
      </c>
      <c r="I965">
        <v>7429.78</v>
      </c>
      <c r="J965">
        <v>6873.37</v>
      </c>
      <c r="K965" t="s">
        <v>17</v>
      </c>
      <c r="L965" t="b">
        <v>0</v>
      </c>
      <c r="N965" s="2" t="str">
        <f t="shared" si="83"/>
        <v/>
      </c>
      <c r="Q965" t="str">
        <f t="shared" si="85"/>
        <v/>
      </c>
    </row>
    <row r="966" spans="1:17" hidden="1">
      <c r="A966" t="s">
        <v>1071</v>
      </c>
      <c r="B966" s="1">
        <v>45052</v>
      </c>
      <c r="C966">
        <v>2023</v>
      </c>
      <c r="D966">
        <v>5</v>
      </c>
      <c r="E966" t="s">
        <v>37</v>
      </c>
      <c r="F966" t="s">
        <v>24</v>
      </c>
      <c r="G966" t="s">
        <v>41</v>
      </c>
      <c r="H966" t="s">
        <v>42</v>
      </c>
      <c r="I966">
        <v>5362.24</v>
      </c>
      <c r="J966">
        <v>5554.87</v>
      </c>
      <c r="K966" t="s">
        <v>17</v>
      </c>
      <c r="L966" t="b">
        <v>0</v>
      </c>
      <c r="N966" s="2" t="str">
        <f t="shared" si="83"/>
        <v/>
      </c>
      <c r="Q966" t="str">
        <f t="shared" si="85"/>
        <v/>
      </c>
    </row>
    <row r="967" spans="1:17" hidden="1">
      <c r="A967" t="s">
        <v>1072</v>
      </c>
      <c r="B967" s="1">
        <v>45052</v>
      </c>
      <c r="C967">
        <v>2023</v>
      </c>
      <c r="D967">
        <v>5</v>
      </c>
      <c r="E967" t="s">
        <v>37</v>
      </c>
      <c r="F967" t="s">
        <v>24</v>
      </c>
      <c r="G967" t="s">
        <v>83</v>
      </c>
      <c r="H967" t="s">
        <v>84</v>
      </c>
      <c r="I967">
        <v>101438.93</v>
      </c>
      <c r="J967">
        <v>96366.98</v>
      </c>
      <c r="K967" t="s">
        <v>85</v>
      </c>
      <c r="L967" t="b">
        <v>0</v>
      </c>
      <c r="N967" s="2" t="str">
        <f t="shared" si="83"/>
        <v/>
      </c>
      <c r="Q967" t="str">
        <f t="shared" si="85"/>
        <v/>
      </c>
    </row>
    <row r="968" spans="1:17" hidden="1">
      <c r="A968" t="s">
        <v>1073</v>
      </c>
      <c r="B968" s="1">
        <v>45053</v>
      </c>
      <c r="C968">
        <v>2023</v>
      </c>
      <c r="D968">
        <v>5</v>
      </c>
      <c r="E968" t="s">
        <v>13</v>
      </c>
      <c r="F968" t="s">
        <v>14</v>
      </c>
      <c r="G968" t="s">
        <v>108</v>
      </c>
      <c r="H968" t="s">
        <v>126</v>
      </c>
      <c r="I968">
        <v>3377.51</v>
      </c>
      <c r="J968">
        <v>3361.9</v>
      </c>
      <c r="K968" t="s">
        <v>17</v>
      </c>
      <c r="L968" t="b">
        <v>0</v>
      </c>
      <c r="N968" s="2" t="str">
        <f t="shared" si="83"/>
        <v/>
      </c>
      <c r="Q968" t="str">
        <f t="shared" si="85"/>
        <v/>
      </c>
    </row>
    <row r="969" spans="1:17" hidden="1">
      <c r="A969" t="s">
        <v>1074</v>
      </c>
      <c r="B969" s="1">
        <v>45053</v>
      </c>
      <c r="C969">
        <v>2023</v>
      </c>
      <c r="D969">
        <v>5</v>
      </c>
      <c r="E969" t="s">
        <v>13</v>
      </c>
      <c r="F969" t="s">
        <v>24</v>
      </c>
      <c r="G969" t="s">
        <v>108</v>
      </c>
      <c r="H969" t="s">
        <v>123</v>
      </c>
      <c r="I969">
        <v>2306.3200000000002</v>
      </c>
      <c r="J969">
        <v>2412.11</v>
      </c>
      <c r="K969" t="s">
        <v>17</v>
      </c>
      <c r="L969" t="b">
        <v>0</v>
      </c>
      <c r="N969" s="2" t="str">
        <f t="shared" si="83"/>
        <v/>
      </c>
      <c r="Q969" t="str">
        <f t="shared" si="85"/>
        <v/>
      </c>
    </row>
    <row r="970" spans="1:17" hidden="1">
      <c r="A970" t="s">
        <v>1075</v>
      </c>
      <c r="B970" s="1">
        <v>45053</v>
      </c>
      <c r="C970">
        <v>2023</v>
      </c>
      <c r="D970">
        <v>5</v>
      </c>
      <c r="E970" t="s">
        <v>47</v>
      </c>
      <c r="F970" t="s">
        <v>14</v>
      </c>
      <c r="G970" t="s">
        <v>48</v>
      </c>
      <c r="H970" t="s">
        <v>189</v>
      </c>
      <c r="I970">
        <v>12234.93</v>
      </c>
      <c r="J970">
        <v>10613.58</v>
      </c>
      <c r="K970" t="s">
        <v>17</v>
      </c>
      <c r="L970" t="b">
        <v>0</v>
      </c>
      <c r="N970" s="2" t="b">
        <f t="shared" si="83"/>
        <v>1</v>
      </c>
      <c r="O970" t="str">
        <f t="shared" ref="O970:O971" si="86">IF(AND(E959="HR",K959="EXPENSE"),I959&lt;J959,"")</f>
        <v/>
      </c>
      <c r="Q970" t="str">
        <f t="shared" si="85"/>
        <v/>
      </c>
    </row>
    <row r="971" spans="1:17" hidden="1">
      <c r="A971" t="s">
        <v>1076</v>
      </c>
      <c r="B971" s="1">
        <v>45054</v>
      </c>
      <c r="C971">
        <v>2023</v>
      </c>
      <c r="D971">
        <v>5</v>
      </c>
      <c r="E971" t="s">
        <v>47</v>
      </c>
      <c r="F971" t="s">
        <v>14</v>
      </c>
      <c r="G971" t="s">
        <v>51</v>
      </c>
      <c r="H971" t="s">
        <v>72</v>
      </c>
      <c r="I971">
        <v>17737.45</v>
      </c>
      <c r="J971">
        <v>15079.36</v>
      </c>
      <c r="K971" t="s">
        <v>17</v>
      </c>
      <c r="L971" t="b">
        <v>0</v>
      </c>
      <c r="N971" s="2" t="b">
        <f t="shared" si="83"/>
        <v>1</v>
      </c>
      <c r="O971" t="str">
        <f t="shared" si="86"/>
        <v/>
      </c>
      <c r="Q971" t="str">
        <f t="shared" si="85"/>
        <v/>
      </c>
    </row>
    <row r="972" spans="1:17" hidden="1">
      <c r="A972" t="s">
        <v>1077</v>
      </c>
      <c r="B972" s="1">
        <v>45054</v>
      </c>
      <c r="C972">
        <v>2023</v>
      </c>
      <c r="D972">
        <v>5</v>
      </c>
      <c r="E972" t="s">
        <v>19</v>
      </c>
      <c r="F972" t="s">
        <v>24</v>
      </c>
      <c r="G972" t="s">
        <v>54</v>
      </c>
      <c r="H972" t="s">
        <v>57</v>
      </c>
      <c r="I972">
        <v>7829.47</v>
      </c>
      <c r="J972">
        <v>7540.76</v>
      </c>
      <c r="K972" t="s">
        <v>17</v>
      </c>
      <c r="L972" t="b">
        <v>0</v>
      </c>
      <c r="N972" s="2" t="str">
        <f t="shared" si="83"/>
        <v/>
      </c>
      <c r="Q972" t="str">
        <f t="shared" si="85"/>
        <v/>
      </c>
    </row>
    <row r="973" spans="1:17" hidden="1">
      <c r="A973" t="s">
        <v>1078</v>
      </c>
      <c r="B973" s="1">
        <v>45054</v>
      </c>
      <c r="C973">
        <v>2023</v>
      </c>
      <c r="D973">
        <v>5</v>
      </c>
      <c r="E973" t="s">
        <v>23</v>
      </c>
      <c r="F973" t="s">
        <v>24</v>
      </c>
      <c r="G973" t="s">
        <v>141</v>
      </c>
      <c r="H973" t="s">
        <v>209</v>
      </c>
      <c r="I973">
        <v>6509.11</v>
      </c>
      <c r="J973">
        <v>6775.4</v>
      </c>
      <c r="K973" t="s">
        <v>17</v>
      </c>
      <c r="L973" t="b">
        <v>0</v>
      </c>
      <c r="N973" s="2" t="str">
        <f t="shared" si="83"/>
        <v/>
      </c>
      <c r="Q973" t="str">
        <f t="shared" si="85"/>
        <v/>
      </c>
    </row>
    <row r="974" spans="1:17" hidden="1">
      <c r="A974" t="s">
        <v>1079</v>
      </c>
      <c r="B974" s="1">
        <v>45054</v>
      </c>
      <c r="C974">
        <v>2023</v>
      </c>
      <c r="D974">
        <v>5</v>
      </c>
      <c r="E974" t="s">
        <v>37</v>
      </c>
      <c r="F974" t="s">
        <v>14</v>
      </c>
      <c r="G974" t="s">
        <v>41</v>
      </c>
      <c r="H974" t="s">
        <v>42</v>
      </c>
      <c r="I974">
        <v>5518.87</v>
      </c>
      <c r="J974">
        <v>6044.28</v>
      </c>
      <c r="K974" t="s">
        <v>17</v>
      </c>
      <c r="L974" t="b">
        <v>0</v>
      </c>
      <c r="N974" s="2" t="str">
        <f t="shared" si="83"/>
        <v/>
      </c>
      <c r="Q974" t="str">
        <f t="shared" si="85"/>
        <v/>
      </c>
    </row>
    <row r="975" spans="1:17" hidden="1">
      <c r="A975" t="s">
        <v>1080</v>
      </c>
      <c r="B975" s="1">
        <v>45055</v>
      </c>
      <c r="C975">
        <v>2023</v>
      </c>
      <c r="D975">
        <v>5</v>
      </c>
      <c r="E975" t="s">
        <v>13</v>
      </c>
      <c r="F975" t="s">
        <v>14</v>
      </c>
      <c r="G975" t="s">
        <v>108</v>
      </c>
      <c r="H975" t="s">
        <v>123</v>
      </c>
      <c r="I975">
        <v>3085.98</v>
      </c>
      <c r="J975">
        <v>3359.83</v>
      </c>
      <c r="K975" t="s">
        <v>17</v>
      </c>
      <c r="L975" t="b">
        <v>0</v>
      </c>
      <c r="N975" s="2" t="str">
        <f t="shared" si="83"/>
        <v/>
      </c>
      <c r="Q975" t="str">
        <f t="shared" si="85"/>
        <v/>
      </c>
    </row>
    <row r="976" spans="1:17" hidden="1">
      <c r="A976" t="s">
        <v>1081</v>
      </c>
      <c r="B976" s="1">
        <v>45055</v>
      </c>
      <c r="C976">
        <v>2023</v>
      </c>
      <c r="D976">
        <v>5</v>
      </c>
      <c r="E976" t="s">
        <v>13</v>
      </c>
      <c r="F976" t="s">
        <v>14</v>
      </c>
      <c r="G976" t="s">
        <v>68</v>
      </c>
      <c r="H976" t="s">
        <v>87</v>
      </c>
      <c r="I976">
        <v>3428.59</v>
      </c>
      <c r="J976">
        <v>3306.3</v>
      </c>
      <c r="K976" t="s">
        <v>17</v>
      </c>
      <c r="L976" t="b">
        <v>0</v>
      </c>
      <c r="N976" s="2" t="str">
        <f t="shared" si="83"/>
        <v/>
      </c>
      <c r="Q976" t="str">
        <f t="shared" si="85"/>
        <v/>
      </c>
    </row>
    <row r="977" spans="1:17" hidden="1">
      <c r="A977" t="s">
        <v>1082</v>
      </c>
      <c r="B977" s="1">
        <v>45055</v>
      </c>
      <c r="C977">
        <v>2023</v>
      </c>
      <c r="D977">
        <v>5</v>
      </c>
      <c r="E977" t="s">
        <v>13</v>
      </c>
      <c r="F977" t="s">
        <v>14</v>
      </c>
      <c r="G977" t="s">
        <v>102</v>
      </c>
      <c r="H977" t="s">
        <v>103</v>
      </c>
      <c r="I977">
        <v>1788.32</v>
      </c>
      <c r="J977">
        <v>1881.67</v>
      </c>
      <c r="K977" t="s">
        <v>17</v>
      </c>
      <c r="L977" t="b">
        <v>0</v>
      </c>
      <c r="N977" s="2" t="str">
        <f t="shared" si="83"/>
        <v/>
      </c>
      <c r="Q977" t="str">
        <f t="shared" si="85"/>
        <v/>
      </c>
    </row>
    <row r="978" spans="1:17" hidden="1">
      <c r="A978" t="s">
        <v>1083</v>
      </c>
      <c r="B978" s="1">
        <v>45055</v>
      </c>
      <c r="C978">
        <v>2023</v>
      </c>
      <c r="D978">
        <v>5</v>
      </c>
      <c r="E978" t="s">
        <v>47</v>
      </c>
      <c r="F978" t="s">
        <v>28</v>
      </c>
      <c r="G978" t="s">
        <v>48</v>
      </c>
      <c r="H978" t="s">
        <v>49</v>
      </c>
      <c r="I978">
        <v>15252.62</v>
      </c>
      <c r="J978">
        <v>12622.26</v>
      </c>
      <c r="K978" t="s">
        <v>17</v>
      </c>
      <c r="L978" t="b">
        <v>0</v>
      </c>
      <c r="N978" s="2" t="b">
        <f t="shared" si="83"/>
        <v>1</v>
      </c>
      <c r="O978" t="str">
        <f>IF(AND(E967="HR",K967="EXPENSE"),I967&lt;J967,"")</f>
        <v/>
      </c>
      <c r="Q978" t="str">
        <f t="shared" si="85"/>
        <v/>
      </c>
    </row>
    <row r="979" spans="1:17" hidden="1">
      <c r="A979" t="s">
        <v>1084</v>
      </c>
      <c r="B979" s="1">
        <v>45055</v>
      </c>
      <c r="C979">
        <v>2023</v>
      </c>
      <c r="D979">
        <v>5</v>
      </c>
      <c r="E979" t="s">
        <v>19</v>
      </c>
      <c r="F979" t="s">
        <v>28</v>
      </c>
      <c r="G979" t="s">
        <v>132</v>
      </c>
      <c r="H979" t="s">
        <v>138</v>
      </c>
      <c r="I979">
        <v>6507.3</v>
      </c>
      <c r="J979">
        <v>6325.16</v>
      </c>
      <c r="K979" t="s">
        <v>17</v>
      </c>
      <c r="L979" t="b">
        <v>0</v>
      </c>
      <c r="N979" s="2" t="str">
        <f t="shared" si="83"/>
        <v/>
      </c>
      <c r="Q979" t="str">
        <f t="shared" si="85"/>
        <v/>
      </c>
    </row>
    <row r="980" spans="1:17" hidden="1">
      <c r="A980" t="s">
        <v>1085</v>
      </c>
      <c r="B980" s="1">
        <v>45055</v>
      </c>
      <c r="C980">
        <v>2023</v>
      </c>
      <c r="D980">
        <v>5</v>
      </c>
      <c r="E980" t="s">
        <v>23</v>
      </c>
      <c r="F980" t="s">
        <v>24</v>
      </c>
      <c r="G980" t="s">
        <v>25</v>
      </c>
      <c r="H980" t="s">
        <v>95</v>
      </c>
      <c r="I980">
        <v>4543.3</v>
      </c>
      <c r="J980">
        <v>4348.63</v>
      </c>
      <c r="K980" t="s">
        <v>17</v>
      </c>
      <c r="L980" t="b">
        <v>0</v>
      </c>
      <c r="N980" s="2" t="str">
        <f t="shared" si="83"/>
        <v/>
      </c>
      <c r="Q980" t="str">
        <f t="shared" si="85"/>
        <v/>
      </c>
    </row>
    <row r="981" spans="1:17" hidden="1">
      <c r="A981" t="s">
        <v>1086</v>
      </c>
      <c r="B981" s="1">
        <v>45055</v>
      </c>
      <c r="C981">
        <v>2023</v>
      </c>
      <c r="D981">
        <v>5</v>
      </c>
      <c r="E981" t="s">
        <v>37</v>
      </c>
      <c r="F981" t="s">
        <v>28</v>
      </c>
      <c r="G981" t="s">
        <v>98</v>
      </c>
      <c r="H981" t="s">
        <v>185</v>
      </c>
      <c r="I981">
        <v>3593.13</v>
      </c>
      <c r="J981">
        <v>3483.97</v>
      </c>
      <c r="K981" t="s">
        <v>17</v>
      </c>
      <c r="L981" t="b">
        <v>0</v>
      </c>
      <c r="N981" s="2" t="str">
        <f t="shared" si="83"/>
        <v/>
      </c>
      <c r="Q981" t="str">
        <f t="shared" si="85"/>
        <v/>
      </c>
    </row>
    <row r="982" spans="1:17" hidden="1">
      <c r="A982" t="s">
        <v>1087</v>
      </c>
      <c r="B982" s="1">
        <v>45055</v>
      </c>
      <c r="C982">
        <v>2023</v>
      </c>
      <c r="D982">
        <v>5</v>
      </c>
      <c r="E982" t="s">
        <v>37</v>
      </c>
      <c r="F982" t="s">
        <v>24</v>
      </c>
      <c r="G982" t="s">
        <v>62</v>
      </c>
      <c r="H982" t="s">
        <v>66</v>
      </c>
      <c r="I982">
        <v>5956.96</v>
      </c>
      <c r="J982">
        <v>5649.55</v>
      </c>
      <c r="K982" t="s">
        <v>17</v>
      </c>
      <c r="L982" t="b">
        <v>0</v>
      </c>
      <c r="N982" s="2" t="str">
        <f t="shared" si="83"/>
        <v/>
      </c>
      <c r="Q982" t="str">
        <f t="shared" si="85"/>
        <v/>
      </c>
    </row>
    <row r="983" spans="1:17" hidden="1">
      <c r="A983" t="s">
        <v>1088</v>
      </c>
      <c r="B983" s="1">
        <v>45056</v>
      </c>
      <c r="C983">
        <v>2023</v>
      </c>
      <c r="D983">
        <v>5</v>
      </c>
      <c r="E983" t="s">
        <v>13</v>
      </c>
      <c r="F983" t="s">
        <v>24</v>
      </c>
      <c r="G983" t="s">
        <v>15</v>
      </c>
      <c r="H983" t="s">
        <v>45</v>
      </c>
      <c r="I983">
        <v>2635.22</v>
      </c>
      <c r="J983">
        <v>2489.91</v>
      </c>
      <c r="K983" t="s">
        <v>17</v>
      </c>
      <c r="L983" t="b">
        <v>0</v>
      </c>
      <c r="N983" s="2" t="str">
        <f t="shared" si="83"/>
        <v/>
      </c>
      <c r="Q983" t="str">
        <f t="shared" si="85"/>
        <v/>
      </c>
    </row>
    <row r="984" spans="1:17" hidden="1">
      <c r="A984" t="s">
        <v>1089</v>
      </c>
      <c r="B984" s="1">
        <v>45056</v>
      </c>
      <c r="C984">
        <v>2023</v>
      </c>
      <c r="D984">
        <v>5</v>
      </c>
      <c r="E984" t="s">
        <v>47</v>
      </c>
      <c r="F984" t="s">
        <v>14</v>
      </c>
      <c r="G984" t="s">
        <v>77</v>
      </c>
      <c r="H984" t="s">
        <v>147</v>
      </c>
      <c r="I984">
        <v>19431.68</v>
      </c>
      <c r="J984">
        <v>16053.29</v>
      </c>
      <c r="K984" t="s">
        <v>17</v>
      </c>
      <c r="L984" t="b">
        <v>0</v>
      </c>
      <c r="N984" s="2" t="b">
        <f t="shared" si="83"/>
        <v>1</v>
      </c>
      <c r="O984" t="str">
        <f>IF(AND(E973="HR",K973="EXPENSE"),I973&lt;J973,"")</f>
        <v/>
      </c>
      <c r="Q984" t="str">
        <f t="shared" si="85"/>
        <v/>
      </c>
    </row>
    <row r="985" spans="1:17" hidden="1">
      <c r="A985" t="s">
        <v>1090</v>
      </c>
      <c r="B985" s="1">
        <v>45056</v>
      </c>
      <c r="C985">
        <v>2023</v>
      </c>
      <c r="D985">
        <v>5</v>
      </c>
      <c r="E985" t="s">
        <v>19</v>
      </c>
      <c r="F985" t="s">
        <v>14</v>
      </c>
      <c r="G985" t="s">
        <v>20</v>
      </c>
      <c r="H985" t="s">
        <v>21</v>
      </c>
      <c r="I985">
        <v>7643.57</v>
      </c>
      <c r="J985">
        <v>6988.94</v>
      </c>
      <c r="K985" t="s">
        <v>17</v>
      </c>
      <c r="L985" t="b">
        <v>0</v>
      </c>
      <c r="N985" s="2" t="str">
        <f t="shared" si="83"/>
        <v/>
      </c>
      <c r="Q985" t="str">
        <f t="shared" si="85"/>
        <v/>
      </c>
    </row>
    <row r="986" spans="1:17" hidden="1">
      <c r="A986" t="s">
        <v>1091</v>
      </c>
      <c r="B986" s="1">
        <v>45056</v>
      </c>
      <c r="C986">
        <v>2023</v>
      </c>
      <c r="D986">
        <v>5</v>
      </c>
      <c r="E986" t="s">
        <v>19</v>
      </c>
      <c r="F986" t="s">
        <v>14</v>
      </c>
      <c r="G986" t="s">
        <v>132</v>
      </c>
      <c r="H986" t="s">
        <v>133</v>
      </c>
      <c r="I986">
        <v>7739.91</v>
      </c>
      <c r="J986">
        <v>7771.13</v>
      </c>
      <c r="K986" t="s">
        <v>17</v>
      </c>
      <c r="L986" t="b">
        <v>0</v>
      </c>
      <c r="N986" s="2" t="str">
        <f t="shared" si="83"/>
        <v/>
      </c>
      <c r="Q986" t="str">
        <f t="shared" si="85"/>
        <v/>
      </c>
    </row>
    <row r="987" spans="1:17" hidden="1">
      <c r="A987" t="s">
        <v>1092</v>
      </c>
      <c r="B987" s="1">
        <v>45056</v>
      </c>
      <c r="C987">
        <v>2023</v>
      </c>
      <c r="D987">
        <v>5</v>
      </c>
      <c r="E987" t="s">
        <v>19</v>
      </c>
      <c r="F987" t="s">
        <v>14</v>
      </c>
      <c r="G987" t="s">
        <v>54</v>
      </c>
      <c r="H987" t="s">
        <v>55</v>
      </c>
      <c r="I987">
        <v>7920.15</v>
      </c>
      <c r="J987">
        <v>7214.2</v>
      </c>
      <c r="K987" t="s">
        <v>17</v>
      </c>
      <c r="L987" t="b">
        <v>0</v>
      </c>
      <c r="N987" s="2" t="str">
        <f t="shared" si="83"/>
        <v/>
      </c>
      <c r="Q987" t="str">
        <f t="shared" si="85"/>
        <v/>
      </c>
    </row>
    <row r="988" spans="1:17" hidden="1">
      <c r="A988" t="s">
        <v>1093</v>
      </c>
      <c r="B988" s="1">
        <v>45056</v>
      </c>
      <c r="C988">
        <v>2023</v>
      </c>
      <c r="D988">
        <v>5</v>
      </c>
      <c r="E988" t="s">
        <v>19</v>
      </c>
      <c r="F988" t="s">
        <v>28</v>
      </c>
      <c r="G988" t="s">
        <v>80</v>
      </c>
      <c r="H988" t="s">
        <v>217</v>
      </c>
      <c r="I988">
        <v>8638.94</v>
      </c>
      <c r="J988">
        <v>8316.4500000000007</v>
      </c>
      <c r="K988" t="s">
        <v>17</v>
      </c>
      <c r="L988" t="b">
        <v>0</v>
      </c>
      <c r="N988" s="2" t="str">
        <f t="shared" si="83"/>
        <v/>
      </c>
      <c r="Q988" t="str">
        <f t="shared" si="85"/>
        <v/>
      </c>
    </row>
    <row r="989" spans="1:17" hidden="1">
      <c r="A989" t="s">
        <v>1094</v>
      </c>
      <c r="B989" s="1">
        <v>45056</v>
      </c>
      <c r="C989">
        <v>2023</v>
      </c>
      <c r="D989">
        <v>5</v>
      </c>
      <c r="E989" t="s">
        <v>19</v>
      </c>
      <c r="F989" t="s">
        <v>24</v>
      </c>
      <c r="G989" t="s">
        <v>80</v>
      </c>
      <c r="H989" t="s">
        <v>81</v>
      </c>
      <c r="I989">
        <v>4633.5</v>
      </c>
      <c r="J989">
        <v>4223.99</v>
      </c>
      <c r="K989" t="s">
        <v>17</v>
      </c>
      <c r="L989" t="b">
        <v>0</v>
      </c>
      <c r="N989" s="2" t="str">
        <f t="shared" si="83"/>
        <v/>
      </c>
      <c r="Q989" t="str">
        <f t="shared" si="85"/>
        <v/>
      </c>
    </row>
    <row r="990" spans="1:17" hidden="1">
      <c r="A990" t="s">
        <v>1095</v>
      </c>
      <c r="B990" s="1">
        <v>45056</v>
      </c>
      <c r="C990">
        <v>2023</v>
      </c>
      <c r="D990">
        <v>5</v>
      </c>
      <c r="E990" t="s">
        <v>19</v>
      </c>
      <c r="F990" t="s">
        <v>24</v>
      </c>
      <c r="G990" t="s">
        <v>20</v>
      </c>
      <c r="H990" t="s">
        <v>21</v>
      </c>
      <c r="I990">
        <v>3348.98</v>
      </c>
      <c r="J990">
        <v>3573.68</v>
      </c>
      <c r="K990" t="s">
        <v>17</v>
      </c>
      <c r="L990" t="b">
        <v>0</v>
      </c>
      <c r="N990" s="2" t="str">
        <f t="shared" si="83"/>
        <v/>
      </c>
      <c r="Q990" t="str">
        <f t="shared" si="85"/>
        <v/>
      </c>
    </row>
    <row r="991" spans="1:17" hidden="1">
      <c r="A991" t="s">
        <v>1096</v>
      </c>
      <c r="B991" s="1">
        <v>45056</v>
      </c>
      <c r="C991">
        <v>2023</v>
      </c>
      <c r="D991">
        <v>5</v>
      </c>
      <c r="E991" t="s">
        <v>37</v>
      </c>
      <c r="F991" t="s">
        <v>28</v>
      </c>
      <c r="G991" t="s">
        <v>62</v>
      </c>
      <c r="H991" t="s">
        <v>63</v>
      </c>
      <c r="I991">
        <v>3681.47</v>
      </c>
      <c r="J991">
        <v>3417</v>
      </c>
      <c r="K991" t="s">
        <v>17</v>
      </c>
      <c r="L991" t="b">
        <v>0</v>
      </c>
      <c r="N991" s="2" t="str">
        <f t="shared" si="83"/>
        <v/>
      </c>
      <c r="Q991" t="str">
        <f t="shared" si="85"/>
        <v/>
      </c>
    </row>
    <row r="992" spans="1:17" hidden="1">
      <c r="A992" t="s">
        <v>1097</v>
      </c>
      <c r="B992" s="1">
        <v>45057</v>
      </c>
      <c r="C992">
        <v>2023</v>
      </c>
      <c r="D992">
        <v>5</v>
      </c>
      <c r="E992" t="s">
        <v>19</v>
      </c>
      <c r="F992" t="s">
        <v>14</v>
      </c>
      <c r="G992" t="s">
        <v>54</v>
      </c>
      <c r="H992" t="s">
        <v>57</v>
      </c>
      <c r="I992">
        <v>5576.7</v>
      </c>
      <c r="J992">
        <v>5854.02</v>
      </c>
      <c r="K992" t="s">
        <v>17</v>
      </c>
      <c r="L992" t="b">
        <v>0</v>
      </c>
      <c r="N992" s="2" t="str">
        <f t="shared" si="83"/>
        <v/>
      </c>
      <c r="Q992" t="str">
        <f t="shared" si="85"/>
        <v/>
      </c>
    </row>
    <row r="993" spans="1:17" hidden="1">
      <c r="A993" t="s">
        <v>1098</v>
      </c>
      <c r="B993" s="1">
        <v>45057</v>
      </c>
      <c r="C993">
        <v>2023</v>
      </c>
      <c r="D993">
        <v>5</v>
      </c>
      <c r="E993" t="s">
        <v>19</v>
      </c>
      <c r="F993" t="s">
        <v>14</v>
      </c>
      <c r="G993" t="s">
        <v>20</v>
      </c>
      <c r="H993" t="s">
        <v>21</v>
      </c>
      <c r="I993">
        <v>5739.37</v>
      </c>
      <c r="J993">
        <v>5282.39</v>
      </c>
      <c r="K993" t="s">
        <v>17</v>
      </c>
      <c r="L993" t="b">
        <v>0</v>
      </c>
      <c r="N993" s="2" t="str">
        <f t="shared" si="83"/>
        <v/>
      </c>
      <c r="Q993" t="str">
        <f t="shared" si="85"/>
        <v/>
      </c>
    </row>
    <row r="994" spans="1:17" hidden="1">
      <c r="A994" t="s">
        <v>1099</v>
      </c>
      <c r="B994" s="1">
        <v>45057</v>
      </c>
      <c r="C994">
        <v>2023</v>
      </c>
      <c r="D994">
        <v>5</v>
      </c>
      <c r="E994" t="s">
        <v>19</v>
      </c>
      <c r="F994" t="s">
        <v>14</v>
      </c>
      <c r="G994" t="s">
        <v>20</v>
      </c>
      <c r="H994" t="s">
        <v>21</v>
      </c>
      <c r="I994">
        <v>9364.0499999999993</v>
      </c>
      <c r="J994">
        <v>9102.2999999999993</v>
      </c>
      <c r="K994" t="s">
        <v>17</v>
      </c>
      <c r="L994" t="b">
        <v>0</v>
      </c>
      <c r="N994" s="2" t="str">
        <f t="shared" si="83"/>
        <v/>
      </c>
      <c r="Q994" t="str">
        <f t="shared" si="85"/>
        <v/>
      </c>
    </row>
    <row r="995" spans="1:17" hidden="1">
      <c r="A995" t="s">
        <v>1100</v>
      </c>
      <c r="B995" s="1">
        <v>45057</v>
      </c>
      <c r="C995">
        <v>2023</v>
      </c>
      <c r="D995">
        <v>5</v>
      </c>
      <c r="E995" t="s">
        <v>19</v>
      </c>
      <c r="F995" t="s">
        <v>28</v>
      </c>
      <c r="G995" t="s">
        <v>80</v>
      </c>
      <c r="H995" t="s">
        <v>150</v>
      </c>
      <c r="I995">
        <v>6415.79</v>
      </c>
      <c r="J995">
        <v>6786.54</v>
      </c>
      <c r="K995" t="s">
        <v>17</v>
      </c>
      <c r="L995" t="b">
        <v>0</v>
      </c>
      <c r="N995" s="2" t="str">
        <f t="shared" si="83"/>
        <v/>
      </c>
      <c r="Q995" t="str">
        <f t="shared" si="85"/>
        <v/>
      </c>
    </row>
    <row r="996" spans="1:17" hidden="1">
      <c r="A996" t="s">
        <v>1101</v>
      </c>
      <c r="B996" s="1">
        <v>45057</v>
      </c>
      <c r="C996">
        <v>2023</v>
      </c>
      <c r="D996">
        <v>5</v>
      </c>
      <c r="E996" t="s">
        <v>23</v>
      </c>
      <c r="F996" t="s">
        <v>14</v>
      </c>
      <c r="G996" t="s">
        <v>25</v>
      </c>
      <c r="H996" t="s">
        <v>95</v>
      </c>
      <c r="I996">
        <v>5067.9399999999996</v>
      </c>
      <c r="J996">
        <v>5379.18</v>
      </c>
      <c r="K996" t="s">
        <v>17</v>
      </c>
      <c r="L996" t="b">
        <v>0</v>
      </c>
      <c r="N996" s="2" t="str">
        <f t="shared" si="83"/>
        <v/>
      </c>
      <c r="Q996" t="str">
        <f t="shared" si="85"/>
        <v/>
      </c>
    </row>
    <row r="997" spans="1:17" hidden="1">
      <c r="A997" t="s">
        <v>1102</v>
      </c>
      <c r="B997" s="1">
        <v>45057</v>
      </c>
      <c r="C997">
        <v>2023</v>
      </c>
      <c r="D997">
        <v>5</v>
      </c>
      <c r="E997" t="s">
        <v>37</v>
      </c>
      <c r="F997" t="s">
        <v>14</v>
      </c>
      <c r="G997" t="s">
        <v>98</v>
      </c>
      <c r="H997" t="s">
        <v>185</v>
      </c>
      <c r="I997">
        <v>5646.85</v>
      </c>
      <c r="J997">
        <v>5956.29</v>
      </c>
      <c r="K997" t="s">
        <v>17</v>
      </c>
      <c r="L997" t="b">
        <v>0</v>
      </c>
      <c r="N997" s="2" t="str">
        <f t="shared" si="83"/>
        <v/>
      </c>
      <c r="Q997" t="str">
        <f t="shared" si="85"/>
        <v/>
      </c>
    </row>
    <row r="998" spans="1:17" hidden="1">
      <c r="A998" t="s">
        <v>1103</v>
      </c>
      <c r="B998" s="1">
        <v>45057</v>
      </c>
      <c r="C998">
        <v>2023</v>
      </c>
      <c r="D998">
        <v>5</v>
      </c>
      <c r="E998" t="s">
        <v>37</v>
      </c>
      <c r="F998" t="s">
        <v>28</v>
      </c>
      <c r="G998" t="s">
        <v>98</v>
      </c>
      <c r="H998" t="s">
        <v>99</v>
      </c>
      <c r="I998">
        <v>2921.2</v>
      </c>
      <c r="J998">
        <v>3123.97</v>
      </c>
      <c r="K998" t="s">
        <v>17</v>
      </c>
      <c r="L998" t="b">
        <v>0</v>
      </c>
      <c r="N998" s="2" t="str">
        <f t="shared" si="83"/>
        <v/>
      </c>
      <c r="Q998" t="str">
        <f t="shared" si="85"/>
        <v/>
      </c>
    </row>
    <row r="999" spans="1:17" hidden="1">
      <c r="A999" t="s">
        <v>1104</v>
      </c>
      <c r="B999" s="1">
        <v>45057</v>
      </c>
      <c r="C999">
        <v>2023</v>
      </c>
      <c r="D999">
        <v>5</v>
      </c>
      <c r="E999" t="s">
        <v>37</v>
      </c>
      <c r="F999" t="s">
        <v>28</v>
      </c>
      <c r="G999" t="s">
        <v>62</v>
      </c>
      <c r="H999" t="s">
        <v>63</v>
      </c>
      <c r="I999">
        <v>4468.71</v>
      </c>
      <c r="J999">
        <v>4348.66</v>
      </c>
      <c r="K999" t="s">
        <v>17</v>
      </c>
      <c r="L999" t="b">
        <v>0</v>
      </c>
      <c r="N999" s="2" t="str">
        <f t="shared" si="83"/>
        <v/>
      </c>
      <c r="Q999" t="str">
        <f t="shared" si="85"/>
        <v/>
      </c>
    </row>
    <row r="1000" spans="1:17" hidden="1">
      <c r="A1000" t="s">
        <v>1105</v>
      </c>
      <c r="B1000" s="1">
        <v>45057</v>
      </c>
      <c r="C1000">
        <v>2023</v>
      </c>
      <c r="D1000">
        <v>5</v>
      </c>
      <c r="E1000" t="s">
        <v>37</v>
      </c>
      <c r="F1000" t="s">
        <v>24</v>
      </c>
      <c r="G1000" t="s">
        <v>98</v>
      </c>
      <c r="H1000" t="s">
        <v>185</v>
      </c>
      <c r="I1000">
        <v>6212.3</v>
      </c>
      <c r="J1000">
        <v>5952.01</v>
      </c>
      <c r="K1000" t="s">
        <v>17</v>
      </c>
      <c r="L1000" t="b">
        <v>0</v>
      </c>
      <c r="N1000" s="2" t="str">
        <f t="shared" si="83"/>
        <v/>
      </c>
      <c r="Q1000" t="str">
        <f t="shared" si="85"/>
        <v/>
      </c>
    </row>
    <row r="1001" spans="1:17" hidden="1">
      <c r="A1001" t="s">
        <v>1106</v>
      </c>
      <c r="B1001" s="1">
        <v>45058</v>
      </c>
      <c r="C1001">
        <v>2023</v>
      </c>
      <c r="D1001">
        <v>5</v>
      </c>
      <c r="E1001" t="s">
        <v>19</v>
      </c>
      <c r="F1001" t="s">
        <v>14</v>
      </c>
      <c r="G1001" t="s">
        <v>80</v>
      </c>
      <c r="H1001" t="s">
        <v>81</v>
      </c>
      <c r="I1001">
        <v>9810.0400000000009</v>
      </c>
      <c r="J1001">
        <v>9109.36</v>
      </c>
      <c r="K1001" t="s">
        <v>17</v>
      </c>
      <c r="L1001" t="b">
        <v>0</v>
      </c>
      <c r="N1001" s="2" t="str">
        <f t="shared" si="83"/>
        <v/>
      </c>
      <c r="Q1001" t="str">
        <f t="shared" si="85"/>
        <v/>
      </c>
    </row>
    <row r="1002" spans="1:17" hidden="1">
      <c r="A1002" t="s">
        <v>1107</v>
      </c>
      <c r="B1002" s="1">
        <v>45058</v>
      </c>
      <c r="C1002">
        <v>2023</v>
      </c>
      <c r="D1002">
        <v>5</v>
      </c>
      <c r="E1002" t="s">
        <v>19</v>
      </c>
      <c r="F1002" t="s">
        <v>24</v>
      </c>
      <c r="G1002" t="s">
        <v>20</v>
      </c>
      <c r="H1002" t="s">
        <v>21</v>
      </c>
      <c r="I1002">
        <v>7139.94</v>
      </c>
      <c r="J1002">
        <v>7346.76</v>
      </c>
      <c r="K1002" t="s">
        <v>17</v>
      </c>
      <c r="L1002" t="b">
        <v>0</v>
      </c>
      <c r="N1002" s="2" t="str">
        <f t="shared" si="83"/>
        <v/>
      </c>
      <c r="Q1002" t="str">
        <f t="shared" si="85"/>
        <v/>
      </c>
    </row>
    <row r="1003" spans="1:17" hidden="1">
      <c r="A1003" t="s">
        <v>1108</v>
      </c>
      <c r="B1003" s="1">
        <v>45058</v>
      </c>
      <c r="C1003">
        <v>2023</v>
      </c>
      <c r="D1003">
        <v>5</v>
      </c>
      <c r="E1003" t="s">
        <v>23</v>
      </c>
      <c r="F1003" t="s">
        <v>14</v>
      </c>
      <c r="G1003" t="s">
        <v>141</v>
      </c>
      <c r="H1003" t="s">
        <v>142</v>
      </c>
      <c r="I1003">
        <v>6994.88</v>
      </c>
      <c r="J1003">
        <v>7620.35</v>
      </c>
      <c r="K1003" t="s">
        <v>17</v>
      </c>
      <c r="L1003" t="b">
        <v>0</v>
      </c>
      <c r="N1003" s="2" t="str">
        <f t="shared" si="83"/>
        <v/>
      </c>
      <c r="Q1003" t="str">
        <f t="shared" si="85"/>
        <v/>
      </c>
    </row>
    <row r="1004" spans="1:17" hidden="1">
      <c r="A1004" t="s">
        <v>1109</v>
      </c>
      <c r="B1004" s="1">
        <v>45058</v>
      </c>
      <c r="C1004">
        <v>2023</v>
      </c>
      <c r="D1004">
        <v>5</v>
      </c>
      <c r="E1004" t="s">
        <v>37</v>
      </c>
      <c r="F1004" t="s">
        <v>28</v>
      </c>
      <c r="G1004" t="s">
        <v>62</v>
      </c>
      <c r="H1004" t="s">
        <v>121</v>
      </c>
      <c r="I1004">
        <v>6255.31</v>
      </c>
      <c r="J1004">
        <v>6222.55</v>
      </c>
      <c r="K1004" t="s">
        <v>17</v>
      </c>
      <c r="L1004" t="b">
        <v>0</v>
      </c>
      <c r="N1004" s="2" t="str">
        <f t="shared" si="83"/>
        <v/>
      </c>
      <c r="Q1004" t="str">
        <f t="shared" si="85"/>
        <v/>
      </c>
    </row>
    <row r="1005" spans="1:17" hidden="1">
      <c r="A1005" t="s">
        <v>1110</v>
      </c>
      <c r="B1005" s="1">
        <v>45058</v>
      </c>
      <c r="C1005">
        <v>2023</v>
      </c>
      <c r="D1005">
        <v>5</v>
      </c>
      <c r="E1005" t="s">
        <v>37</v>
      </c>
      <c r="F1005" t="s">
        <v>28</v>
      </c>
      <c r="G1005" t="s">
        <v>62</v>
      </c>
      <c r="H1005" t="s">
        <v>63</v>
      </c>
      <c r="I1005">
        <v>3752.42</v>
      </c>
      <c r="J1005">
        <v>3844.29</v>
      </c>
      <c r="K1005" t="s">
        <v>17</v>
      </c>
      <c r="L1005" t="b">
        <v>0</v>
      </c>
      <c r="N1005" s="2" t="str">
        <f t="shared" si="83"/>
        <v/>
      </c>
      <c r="Q1005" t="str">
        <f t="shared" si="85"/>
        <v/>
      </c>
    </row>
    <row r="1006" spans="1:17" hidden="1">
      <c r="A1006" t="s">
        <v>1111</v>
      </c>
      <c r="B1006" s="1">
        <v>45059</v>
      </c>
      <c r="C1006">
        <v>2023</v>
      </c>
      <c r="D1006">
        <v>5</v>
      </c>
      <c r="E1006" t="s">
        <v>13</v>
      </c>
      <c r="F1006" t="s">
        <v>24</v>
      </c>
      <c r="G1006" t="s">
        <v>15</v>
      </c>
      <c r="H1006" t="s">
        <v>89</v>
      </c>
      <c r="I1006">
        <v>3701.74</v>
      </c>
      <c r="J1006">
        <v>3928.8</v>
      </c>
      <c r="K1006" t="s">
        <v>17</v>
      </c>
      <c r="L1006" t="b">
        <v>0</v>
      </c>
      <c r="N1006" s="2" t="str">
        <f t="shared" si="83"/>
        <v/>
      </c>
      <c r="Q1006" t="str">
        <f t="shared" si="85"/>
        <v/>
      </c>
    </row>
    <row r="1007" spans="1:17" hidden="1">
      <c r="A1007" t="s">
        <v>1112</v>
      </c>
      <c r="B1007" s="1">
        <v>45059</v>
      </c>
      <c r="C1007">
        <v>2023</v>
      </c>
      <c r="D1007">
        <v>5</v>
      </c>
      <c r="E1007" t="s">
        <v>47</v>
      </c>
      <c r="F1007" t="s">
        <v>28</v>
      </c>
      <c r="G1007" t="s">
        <v>51</v>
      </c>
      <c r="H1007" t="s">
        <v>72</v>
      </c>
      <c r="I1007">
        <v>14909.1</v>
      </c>
      <c r="J1007">
        <v>12386.8</v>
      </c>
      <c r="K1007" t="s">
        <v>17</v>
      </c>
      <c r="L1007" t="b">
        <v>0</v>
      </c>
      <c r="N1007" s="2" t="b">
        <f t="shared" si="83"/>
        <v>1</v>
      </c>
      <c r="O1007" t="str">
        <f t="shared" ref="O1007:O1009" si="87">IF(AND(E996="HR",K996="EXPENSE"),I996&lt;J996,"")</f>
        <v/>
      </c>
      <c r="Q1007" t="str">
        <f t="shared" si="85"/>
        <v/>
      </c>
    </row>
    <row r="1008" spans="1:17" hidden="1">
      <c r="A1008" t="s">
        <v>1113</v>
      </c>
      <c r="B1008" s="1">
        <v>45059</v>
      </c>
      <c r="C1008">
        <v>2023</v>
      </c>
      <c r="D1008">
        <v>5</v>
      </c>
      <c r="E1008" t="s">
        <v>47</v>
      </c>
      <c r="F1008" t="s">
        <v>24</v>
      </c>
      <c r="G1008" t="s">
        <v>91</v>
      </c>
      <c r="H1008" t="s">
        <v>254</v>
      </c>
      <c r="I1008">
        <v>16639.96</v>
      </c>
      <c r="J1008">
        <v>13926.59</v>
      </c>
      <c r="K1008" t="s">
        <v>17</v>
      </c>
      <c r="L1008" t="b">
        <v>0</v>
      </c>
      <c r="N1008" s="2" t="b">
        <f t="shared" si="83"/>
        <v>1</v>
      </c>
      <c r="O1008" t="str">
        <f t="shared" si="87"/>
        <v/>
      </c>
      <c r="Q1008" t="str">
        <f t="shared" si="85"/>
        <v/>
      </c>
    </row>
    <row r="1009" spans="1:17" hidden="1">
      <c r="A1009" t="s">
        <v>1114</v>
      </c>
      <c r="B1009" s="1">
        <v>45059</v>
      </c>
      <c r="C1009">
        <v>2023</v>
      </c>
      <c r="D1009">
        <v>5</v>
      </c>
      <c r="E1009" t="s">
        <v>47</v>
      </c>
      <c r="F1009" t="s">
        <v>24</v>
      </c>
      <c r="G1009" t="s">
        <v>51</v>
      </c>
      <c r="H1009" t="s">
        <v>72</v>
      </c>
      <c r="I1009">
        <v>4379.1400000000003</v>
      </c>
      <c r="J1009">
        <v>3668.44</v>
      </c>
      <c r="K1009" t="s">
        <v>17</v>
      </c>
      <c r="L1009" t="b">
        <v>0</v>
      </c>
      <c r="N1009" s="2" t="b">
        <f t="shared" si="83"/>
        <v>1</v>
      </c>
      <c r="O1009" t="str">
        <f t="shared" si="87"/>
        <v/>
      </c>
      <c r="Q1009" t="str">
        <f t="shared" si="85"/>
        <v/>
      </c>
    </row>
    <row r="1010" spans="1:17" hidden="1">
      <c r="A1010" t="s">
        <v>1115</v>
      </c>
      <c r="B1010" s="1">
        <v>45059</v>
      </c>
      <c r="C1010">
        <v>2023</v>
      </c>
      <c r="D1010">
        <v>5</v>
      </c>
      <c r="E1010" t="s">
        <v>23</v>
      </c>
      <c r="F1010" t="s">
        <v>28</v>
      </c>
      <c r="G1010" t="s">
        <v>141</v>
      </c>
      <c r="H1010" t="s">
        <v>153</v>
      </c>
      <c r="I1010">
        <v>8805.2800000000007</v>
      </c>
      <c r="J1010">
        <v>8156.71</v>
      </c>
      <c r="K1010" t="s">
        <v>17</v>
      </c>
      <c r="L1010" t="b">
        <v>0</v>
      </c>
      <c r="N1010" s="2" t="str">
        <f t="shared" si="83"/>
        <v/>
      </c>
      <c r="Q1010" t="str">
        <f t="shared" si="85"/>
        <v/>
      </c>
    </row>
    <row r="1011" spans="1:17" hidden="1">
      <c r="A1011" t="s">
        <v>1116</v>
      </c>
      <c r="B1011" s="1">
        <v>45059</v>
      </c>
      <c r="C1011">
        <v>2023</v>
      </c>
      <c r="D1011">
        <v>5</v>
      </c>
      <c r="E1011" t="s">
        <v>23</v>
      </c>
      <c r="F1011" t="s">
        <v>28</v>
      </c>
      <c r="G1011" t="s">
        <v>141</v>
      </c>
      <c r="H1011" t="s">
        <v>142</v>
      </c>
      <c r="I1011">
        <v>4884.08</v>
      </c>
      <c r="J1011">
        <v>5052.7700000000004</v>
      </c>
      <c r="K1011" t="s">
        <v>17</v>
      </c>
      <c r="L1011" t="b">
        <v>0</v>
      </c>
      <c r="N1011" s="2" t="str">
        <f t="shared" si="83"/>
        <v/>
      </c>
      <c r="Q1011" t="str">
        <f t="shared" si="85"/>
        <v/>
      </c>
    </row>
    <row r="1012" spans="1:17" hidden="1">
      <c r="A1012" t="s">
        <v>1117</v>
      </c>
      <c r="B1012" s="1">
        <v>45059</v>
      </c>
      <c r="C1012">
        <v>2023</v>
      </c>
      <c r="D1012">
        <v>5</v>
      </c>
      <c r="E1012" t="s">
        <v>23</v>
      </c>
      <c r="F1012" t="s">
        <v>28</v>
      </c>
      <c r="G1012" t="s">
        <v>59</v>
      </c>
      <c r="H1012" t="s">
        <v>155</v>
      </c>
      <c r="I1012">
        <v>5492.69</v>
      </c>
      <c r="J1012">
        <v>5280.43</v>
      </c>
      <c r="K1012" t="s">
        <v>17</v>
      </c>
      <c r="L1012" t="b">
        <v>0</v>
      </c>
      <c r="N1012" s="2" t="str">
        <f t="shared" si="83"/>
        <v/>
      </c>
      <c r="Q1012" t="str">
        <f t="shared" si="85"/>
        <v/>
      </c>
    </row>
    <row r="1013" spans="1:17" hidden="1">
      <c r="A1013" t="s">
        <v>1118</v>
      </c>
      <c r="B1013" s="1">
        <v>45060</v>
      </c>
      <c r="C1013">
        <v>2023</v>
      </c>
      <c r="D1013">
        <v>5</v>
      </c>
      <c r="E1013" t="s">
        <v>13</v>
      </c>
      <c r="F1013" t="s">
        <v>28</v>
      </c>
      <c r="G1013" t="s">
        <v>68</v>
      </c>
      <c r="H1013" t="s">
        <v>87</v>
      </c>
      <c r="I1013">
        <v>2661.15</v>
      </c>
      <c r="J1013">
        <v>2449.21</v>
      </c>
      <c r="K1013" t="s">
        <v>17</v>
      </c>
      <c r="L1013" t="b">
        <v>0</v>
      </c>
      <c r="N1013" s="2" t="str">
        <f t="shared" si="83"/>
        <v/>
      </c>
      <c r="Q1013" t="str">
        <f t="shared" si="85"/>
        <v/>
      </c>
    </row>
    <row r="1014" spans="1:17" hidden="1">
      <c r="A1014" t="s">
        <v>1119</v>
      </c>
      <c r="B1014" s="1">
        <v>45060</v>
      </c>
      <c r="C1014">
        <v>2023</v>
      </c>
      <c r="D1014">
        <v>5</v>
      </c>
      <c r="E1014" t="s">
        <v>19</v>
      </c>
      <c r="F1014" t="s">
        <v>14</v>
      </c>
      <c r="G1014" t="s">
        <v>54</v>
      </c>
      <c r="H1014" t="s">
        <v>55</v>
      </c>
      <c r="I1014">
        <v>8736.68</v>
      </c>
      <c r="J1014">
        <v>9300.26</v>
      </c>
      <c r="K1014" t="s">
        <v>17</v>
      </c>
      <c r="L1014" t="b">
        <v>0</v>
      </c>
      <c r="N1014" s="2" t="str">
        <f t="shared" si="83"/>
        <v/>
      </c>
      <c r="Q1014" t="str">
        <f t="shared" si="85"/>
        <v/>
      </c>
    </row>
    <row r="1015" spans="1:17" hidden="1">
      <c r="A1015" t="s">
        <v>1120</v>
      </c>
      <c r="B1015" s="1">
        <v>45060</v>
      </c>
      <c r="C1015">
        <v>2023</v>
      </c>
      <c r="D1015">
        <v>5</v>
      </c>
      <c r="E1015" t="s">
        <v>19</v>
      </c>
      <c r="F1015" t="s">
        <v>28</v>
      </c>
      <c r="G1015" t="s">
        <v>20</v>
      </c>
      <c r="H1015" t="s">
        <v>136</v>
      </c>
      <c r="I1015">
        <v>7563.05</v>
      </c>
      <c r="J1015">
        <v>8254.01</v>
      </c>
      <c r="K1015" t="s">
        <v>17</v>
      </c>
      <c r="L1015" t="b">
        <v>0</v>
      </c>
      <c r="N1015" s="2" t="str">
        <f t="shared" si="83"/>
        <v/>
      </c>
      <c r="Q1015" t="str">
        <f t="shared" si="85"/>
        <v/>
      </c>
    </row>
    <row r="1016" spans="1:17" hidden="1">
      <c r="A1016" t="s">
        <v>1121</v>
      </c>
      <c r="B1016" s="1">
        <v>45060</v>
      </c>
      <c r="C1016">
        <v>2023</v>
      </c>
      <c r="D1016">
        <v>5</v>
      </c>
      <c r="E1016" t="s">
        <v>23</v>
      </c>
      <c r="F1016" t="s">
        <v>24</v>
      </c>
      <c r="G1016" t="s">
        <v>59</v>
      </c>
      <c r="H1016" t="s">
        <v>60</v>
      </c>
      <c r="I1016">
        <v>5360.97</v>
      </c>
      <c r="J1016">
        <v>5512.94</v>
      </c>
      <c r="K1016" t="s">
        <v>17</v>
      </c>
      <c r="L1016" t="b">
        <v>0</v>
      </c>
      <c r="N1016" s="2" t="str">
        <f t="shared" si="83"/>
        <v/>
      </c>
      <c r="Q1016" t="str">
        <f t="shared" si="85"/>
        <v/>
      </c>
    </row>
    <row r="1017" spans="1:17" hidden="1">
      <c r="A1017" t="s">
        <v>1122</v>
      </c>
      <c r="B1017" s="1">
        <v>45060</v>
      </c>
      <c r="C1017">
        <v>2023</v>
      </c>
      <c r="D1017">
        <v>5</v>
      </c>
      <c r="E1017" t="s">
        <v>37</v>
      </c>
      <c r="F1017" t="s">
        <v>28</v>
      </c>
      <c r="G1017" t="s">
        <v>98</v>
      </c>
      <c r="H1017" t="s">
        <v>99</v>
      </c>
      <c r="I1017">
        <v>4845.5200000000004</v>
      </c>
      <c r="J1017">
        <v>4503.3900000000003</v>
      </c>
      <c r="K1017" t="s">
        <v>17</v>
      </c>
      <c r="L1017" t="b">
        <v>0</v>
      </c>
      <c r="N1017" s="2" t="str">
        <f t="shared" si="83"/>
        <v/>
      </c>
      <c r="Q1017" t="str">
        <f t="shared" si="85"/>
        <v/>
      </c>
    </row>
    <row r="1018" spans="1:17" hidden="1">
      <c r="A1018" t="s">
        <v>1123</v>
      </c>
      <c r="B1018" s="1">
        <v>45060</v>
      </c>
      <c r="C1018">
        <v>2023</v>
      </c>
      <c r="D1018">
        <v>5</v>
      </c>
      <c r="E1018" t="s">
        <v>37</v>
      </c>
      <c r="F1018" t="s">
        <v>28</v>
      </c>
      <c r="G1018" t="s">
        <v>98</v>
      </c>
      <c r="H1018" t="s">
        <v>99</v>
      </c>
      <c r="I1018">
        <v>5970.21</v>
      </c>
      <c r="J1018">
        <v>6341.71</v>
      </c>
      <c r="K1018" t="s">
        <v>17</v>
      </c>
      <c r="L1018" t="b">
        <v>0</v>
      </c>
      <c r="N1018" s="2" t="str">
        <f t="shared" si="83"/>
        <v/>
      </c>
      <c r="Q1018" t="str">
        <f t="shared" si="85"/>
        <v/>
      </c>
    </row>
    <row r="1019" spans="1:17" hidden="1">
      <c r="A1019" t="s">
        <v>1124</v>
      </c>
      <c r="B1019" s="1">
        <v>45060</v>
      </c>
      <c r="C1019">
        <v>2023</v>
      </c>
      <c r="D1019">
        <v>5</v>
      </c>
      <c r="E1019" t="s">
        <v>37</v>
      </c>
      <c r="F1019" t="s">
        <v>24</v>
      </c>
      <c r="G1019" t="s">
        <v>41</v>
      </c>
      <c r="H1019" t="s">
        <v>42</v>
      </c>
      <c r="I1019">
        <v>3898.55</v>
      </c>
      <c r="J1019">
        <v>4255.6099999999997</v>
      </c>
      <c r="K1019" t="s">
        <v>17</v>
      </c>
      <c r="L1019" t="b">
        <v>0</v>
      </c>
      <c r="N1019" s="2" t="str">
        <f t="shared" si="83"/>
        <v/>
      </c>
      <c r="Q1019" t="str">
        <f t="shared" si="85"/>
        <v/>
      </c>
    </row>
    <row r="1020" spans="1:17" hidden="1">
      <c r="A1020" t="s">
        <v>1125</v>
      </c>
      <c r="B1020" s="1">
        <v>45061</v>
      </c>
      <c r="C1020">
        <v>2023</v>
      </c>
      <c r="D1020">
        <v>5</v>
      </c>
      <c r="E1020" t="s">
        <v>13</v>
      </c>
      <c r="F1020" t="s">
        <v>14</v>
      </c>
      <c r="G1020" t="s">
        <v>108</v>
      </c>
      <c r="H1020" t="s">
        <v>109</v>
      </c>
      <c r="I1020">
        <v>3003.53</v>
      </c>
      <c r="J1020">
        <v>2965.68</v>
      </c>
      <c r="K1020" t="s">
        <v>17</v>
      </c>
      <c r="L1020" t="b">
        <v>0</v>
      </c>
      <c r="N1020" s="2" t="str">
        <f t="shared" si="83"/>
        <v/>
      </c>
      <c r="Q1020" t="str">
        <f t="shared" si="85"/>
        <v/>
      </c>
    </row>
    <row r="1021" spans="1:17" hidden="1">
      <c r="A1021" t="s">
        <v>1126</v>
      </c>
      <c r="B1021" s="1">
        <v>45061</v>
      </c>
      <c r="C1021">
        <v>2023</v>
      </c>
      <c r="D1021">
        <v>5</v>
      </c>
      <c r="E1021" t="s">
        <v>13</v>
      </c>
      <c r="F1021" t="s">
        <v>14</v>
      </c>
      <c r="G1021" t="s">
        <v>68</v>
      </c>
      <c r="H1021" t="s">
        <v>69</v>
      </c>
      <c r="I1021">
        <v>3084.08</v>
      </c>
      <c r="J1021">
        <v>3242.79</v>
      </c>
      <c r="K1021" t="s">
        <v>17</v>
      </c>
      <c r="L1021" t="b">
        <v>0</v>
      </c>
      <c r="N1021" s="2" t="str">
        <f t="shared" si="83"/>
        <v/>
      </c>
      <c r="Q1021" t="str">
        <f t="shared" si="85"/>
        <v/>
      </c>
    </row>
    <row r="1022" spans="1:17" hidden="1">
      <c r="A1022" t="s">
        <v>1127</v>
      </c>
      <c r="B1022" s="1">
        <v>45061</v>
      </c>
      <c r="C1022">
        <v>2023</v>
      </c>
      <c r="D1022">
        <v>5</v>
      </c>
      <c r="E1022" t="s">
        <v>13</v>
      </c>
      <c r="F1022" t="s">
        <v>24</v>
      </c>
      <c r="G1022" t="s">
        <v>15</v>
      </c>
      <c r="H1022" t="s">
        <v>16</v>
      </c>
      <c r="I1022">
        <v>1130.8900000000001</v>
      </c>
      <c r="J1022">
        <v>1086.5999999999999</v>
      </c>
      <c r="K1022" t="s">
        <v>17</v>
      </c>
      <c r="L1022" t="b">
        <v>0</v>
      </c>
      <c r="N1022" s="2" t="str">
        <f t="shared" si="83"/>
        <v/>
      </c>
      <c r="Q1022" t="str">
        <f t="shared" si="85"/>
        <v/>
      </c>
    </row>
    <row r="1023" spans="1:17" hidden="1">
      <c r="A1023" t="s">
        <v>1128</v>
      </c>
      <c r="B1023" s="1">
        <v>45061</v>
      </c>
      <c r="C1023">
        <v>2023</v>
      </c>
      <c r="D1023">
        <v>5</v>
      </c>
      <c r="E1023" t="s">
        <v>47</v>
      </c>
      <c r="F1023" t="s">
        <v>24</v>
      </c>
      <c r="G1023" t="s">
        <v>48</v>
      </c>
      <c r="H1023" t="s">
        <v>191</v>
      </c>
      <c r="I1023">
        <v>21968.37</v>
      </c>
      <c r="J1023">
        <v>18640.509999999998</v>
      </c>
      <c r="K1023" t="s">
        <v>17</v>
      </c>
      <c r="L1023" t="b">
        <v>0</v>
      </c>
      <c r="N1023" s="2" t="b">
        <f t="shared" si="83"/>
        <v>1</v>
      </c>
      <c r="O1023" t="str">
        <f>IF(AND(E1012="HR",K1012="EXPENSE"),I1012&lt;J1012,"")</f>
        <v/>
      </c>
      <c r="Q1023" t="str">
        <f t="shared" si="85"/>
        <v/>
      </c>
    </row>
    <row r="1024" spans="1:17" hidden="1">
      <c r="A1024" t="s">
        <v>1129</v>
      </c>
      <c r="B1024" s="1">
        <v>45061</v>
      </c>
      <c r="C1024">
        <v>2023</v>
      </c>
      <c r="D1024">
        <v>5</v>
      </c>
      <c r="E1024" t="s">
        <v>19</v>
      </c>
      <c r="F1024" t="s">
        <v>14</v>
      </c>
      <c r="G1024" t="s">
        <v>80</v>
      </c>
      <c r="H1024" t="s">
        <v>150</v>
      </c>
      <c r="I1024">
        <v>8933.5</v>
      </c>
      <c r="J1024">
        <v>8548.06</v>
      </c>
      <c r="K1024" t="s">
        <v>17</v>
      </c>
      <c r="L1024" t="b">
        <v>0</v>
      </c>
      <c r="N1024" s="2" t="str">
        <f t="shared" si="83"/>
        <v/>
      </c>
      <c r="Q1024" t="str">
        <f t="shared" si="85"/>
        <v/>
      </c>
    </row>
    <row r="1025" spans="1:17" hidden="1">
      <c r="A1025" t="s">
        <v>1130</v>
      </c>
      <c r="B1025" s="1">
        <v>45061</v>
      </c>
      <c r="C1025">
        <v>2023</v>
      </c>
      <c r="D1025">
        <v>5</v>
      </c>
      <c r="E1025" t="s">
        <v>19</v>
      </c>
      <c r="F1025" t="s">
        <v>14</v>
      </c>
      <c r="G1025" t="s">
        <v>80</v>
      </c>
      <c r="H1025" t="s">
        <v>217</v>
      </c>
      <c r="I1025">
        <v>6163.69</v>
      </c>
      <c r="J1025">
        <v>5887.77</v>
      </c>
      <c r="K1025" t="s">
        <v>17</v>
      </c>
      <c r="L1025" t="b">
        <v>0</v>
      </c>
      <c r="N1025" s="2" t="str">
        <f t="shared" si="83"/>
        <v/>
      </c>
      <c r="Q1025" t="str">
        <f t="shared" si="85"/>
        <v/>
      </c>
    </row>
    <row r="1026" spans="1:17" hidden="1">
      <c r="A1026" t="s">
        <v>1131</v>
      </c>
      <c r="B1026" s="1">
        <v>45061</v>
      </c>
      <c r="C1026">
        <v>2023</v>
      </c>
      <c r="D1026">
        <v>5</v>
      </c>
      <c r="E1026" t="s">
        <v>19</v>
      </c>
      <c r="F1026" t="s">
        <v>28</v>
      </c>
      <c r="G1026" t="s">
        <v>54</v>
      </c>
      <c r="H1026" t="s">
        <v>163</v>
      </c>
      <c r="I1026">
        <v>8261.7900000000009</v>
      </c>
      <c r="J1026">
        <v>8536.7199999999993</v>
      </c>
      <c r="K1026" t="s">
        <v>17</v>
      </c>
      <c r="L1026" t="b">
        <v>0</v>
      </c>
      <c r="N1026" s="2" t="str">
        <f t="shared" si="83"/>
        <v/>
      </c>
      <c r="Q1026" t="str">
        <f t="shared" si="85"/>
        <v/>
      </c>
    </row>
    <row r="1027" spans="1:17" hidden="1">
      <c r="A1027" t="s">
        <v>1132</v>
      </c>
      <c r="B1027" s="1">
        <v>45061</v>
      </c>
      <c r="C1027">
        <v>2023</v>
      </c>
      <c r="D1027">
        <v>5</v>
      </c>
      <c r="E1027" t="s">
        <v>19</v>
      </c>
      <c r="F1027" t="s">
        <v>28</v>
      </c>
      <c r="G1027" t="s">
        <v>80</v>
      </c>
      <c r="H1027" t="s">
        <v>81</v>
      </c>
      <c r="I1027">
        <v>2132.9</v>
      </c>
      <c r="J1027">
        <v>2114.85</v>
      </c>
      <c r="K1027" t="s">
        <v>17</v>
      </c>
      <c r="L1027" t="b">
        <v>0</v>
      </c>
      <c r="N1027" s="2" t="str">
        <f t="shared" ref="N1027:N1090" si="88">IF(AND(E1027="IT",K1027="EXPENSE"),I1027&gt;J1027,"")</f>
        <v/>
      </c>
      <c r="Q1027" t="str">
        <f t="shared" ref="Q1027:Q1090" si="89">IF(L1027=TRUE,OR(H1027="Apex Solutions Inc",H1027="Global Trade Partners",H1027="NovaTech Services"),"")</f>
        <v/>
      </c>
    </row>
    <row r="1028" spans="1:17" hidden="1">
      <c r="A1028" t="s">
        <v>1133</v>
      </c>
      <c r="B1028" s="1">
        <v>45062</v>
      </c>
      <c r="C1028">
        <v>2023</v>
      </c>
      <c r="D1028">
        <v>5</v>
      </c>
      <c r="E1028" t="s">
        <v>13</v>
      </c>
      <c r="F1028" t="s">
        <v>28</v>
      </c>
      <c r="G1028" t="s">
        <v>102</v>
      </c>
      <c r="H1028" t="s">
        <v>103</v>
      </c>
      <c r="I1028">
        <v>3172.49</v>
      </c>
      <c r="J1028">
        <v>3369.75</v>
      </c>
      <c r="K1028" t="s">
        <v>17</v>
      </c>
      <c r="L1028" t="b">
        <v>0</v>
      </c>
      <c r="N1028" s="2" t="str">
        <f t="shared" si="88"/>
        <v/>
      </c>
      <c r="Q1028" t="str">
        <f t="shared" si="89"/>
        <v/>
      </c>
    </row>
    <row r="1029" spans="1:17" hidden="1">
      <c r="A1029" t="s">
        <v>1134</v>
      </c>
      <c r="B1029" s="1">
        <v>45062</v>
      </c>
      <c r="C1029">
        <v>2023</v>
      </c>
      <c r="D1029">
        <v>5</v>
      </c>
      <c r="E1029" t="s">
        <v>13</v>
      </c>
      <c r="F1029" t="s">
        <v>24</v>
      </c>
      <c r="G1029" t="s">
        <v>108</v>
      </c>
      <c r="H1029" t="s">
        <v>126</v>
      </c>
      <c r="I1029">
        <v>2668.91</v>
      </c>
      <c r="J1029">
        <v>2543.64</v>
      </c>
      <c r="K1029" t="s">
        <v>17</v>
      </c>
      <c r="L1029" t="b">
        <v>0</v>
      </c>
      <c r="N1029" s="2" t="str">
        <f t="shared" si="88"/>
        <v/>
      </c>
      <c r="Q1029" t="str">
        <f t="shared" si="89"/>
        <v/>
      </c>
    </row>
    <row r="1030" spans="1:17" hidden="1">
      <c r="A1030" t="s">
        <v>1135</v>
      </c>
      <c r="B1030" s="1">
        <v>45062</v>
      </c>
      <c r="C1030">
        <v>2023</v>
      </c>
      <c r="D1030">
        <v>5</v>
      </c>
      <c r="E1030" t="s">
        <v>47</v>
      </c>
      <c r="F1030" t="s">
        <v>14</v>
      </c>
      <c r="G1030" t="s">
        <v>51</v>
      </c>
      <c r="H1030" t="s">
        <v>189</v>
      </c>
      <c r="I1030">
        <v>9634.43</v>
      </c>
      <c r="J1030">
        <v>8070.14</v>
      </c>
      <c r="K1030" t="s">
        <v>17</v>
      </c>
      <c r="L1030" t="b">
        <v>0</v>
      </c>
      <c r="N1030" s="2" t="b">
        <f t="shared" si="88"/>
        <v>1</v>
      </c>
      <c r="O1030" t="str">
        <f t="shared" ref="O1030:O1031" si="90">IF(AND(E1019="HR",K1019="EXPENSE"),I1019&lt;J1019,"")</f>
        <v/>
      </c>
      <c r="Q1030" t="str">
        <f t="shared" si="89"/>
        <v/>
      </c>
    </row>
    <row r="1031" spans="1:17" hidden="1">
      <c r="A1031" t="s">
        <v>1136</v>
      </c>
      <c r="B1031" s="1">
        <v>45062</v>
      </c>
      <c r="C1031">
        <v>2023</v>
      </c>
      <c r="D1031">
        <v>5</v>
      </c>
      <c r="E1031" t="s">
        <v>47</v>
      </c>
      <c r="F1031" t="s">
        <v>28</v>
      </c>
      <c r="G1031" t="s">
        <v>91</v>
      </c>
      <c r="H1031" t="s">
        <v>254</v>
      </c>
      <c r="I1031">
        <v>17271.939999999999</v>
      </c>
      <c r="J1031">
        <v>14897.17</v>
      </c>
      <c r="K1031" t="s">
        <v>17</v>
      </c>
      <c r="L1031" t="b">
        <v>0</v>
      </c>
      <c r="N1031" s="2" t="b">
        <f t="shared" si="88"/>
        <v>1</v>
      </c>
      <c r="O1031" t="b">
        <f t="shared" si="90"/>
        <v>0</v>
      </c>
      <c r="Q1031" t="str">
        <f t="shared" si="89"/>
        <v/>
      </c>
    </row>
    <row r="1032" spans="1:17" hidden="1">
      <c r="A1032" t="s">
        <v>1137</v>
      </c>
      <c r="B1032" s="1">
        <v>45062</v>
      </c>
      <c r="C1032">
        <v>2023</v>
      </c>
      <c r="D1032">
        <v>5</v>
      </c>
      <c r="E1032" t="s">
        <v>23</v>
      </c>
      <c r="F1032" t="s">
        <v>28</v>
      </c>
      <c r="G1032" t="s">
        <v>25</v>
      </c>
      <c r="H1032" t="s">
        <v>95</v>
      </c>
      <c r="I1032">
        <v>5476.96</v>
      </c>
      <c r="J1032">
        <v>5613.74</v>
      </c>
      <c r="K1032" t="s">
        <v>17</v>
      </c>
      <c r="L1032" t="b">
        <v>0</v>
      </c>
      <c r="N1032" s="2" t="str">
        <f t="shared" si="88"/>
        <v/>
      </c>
      <c r="Q1032" t="str">
        <f t="shared" si="89"/>
        <v/>
      </c>
    </row>
    <row r="1033" spans="1:17" hidden="1">
      <c r="A1033" t="s">
        <v>1138</v>
      </c>
      <c r="B1033" s="1">
        <v>45062</v>
      </c>
      <c r="C1033">
        <v>2023</v>
      </c>
      <c r="D1033">
        <v>5</v>
      </c>
      <c r="E1033" t="s">
        <v>37</v>
      </c>
      <c r="F1033" t="s">
        <v>14</v>
      </c>
      <c r="G1033" t="s">
        <v>41</v>
      </c>
      <c r="H1033" t="s">
        <v>42</v>
      </c>
      <c r="I1033">
        <v>3314.3</v>
      </c>
      <c r="J1033">
        <v>2995.69</v>
      </c>
      <c r="K1033" t="s">
        <v>17</v>
      </c>
      <c r="L1033" t="b">
        <v>0</v>
      </c>
      <c r="N1033" s="2" t="str">
        <f t="shared" si="88"/>
        <v/>
      </c>
      <c r="Q1033" t="str">
        <f t="shared" si="89"/>
        <v/>
      </c>
    </row>
    <row r="1034" spans="1:17" hidden="1">
      <c r="A1034" t="s">
        <v>1139</v>
      </c>
      <c r="B1034" s="1">
        <v>45062</v>
      </c>
      <c r="C1034">
        <v>2023</v>
      </c>
      <c r="D1034">
        <v>5</v>
      </c>
      <c r="E1034" t="s">
        <v>37</v>
      </c>
      <c r="F1034" t="s">
        <v>28</v>
      </c>
      <c r="G1034" t="s">
        <v>98</v>
      </c>
      <c r="H1034" t="s">
        <v>185</v>
      </c>
      <c r="I1034">
        <v>6152.32</v>
      </c>
      <c r="J1034">
        <v>5856.9</v>
      </c>
      <c r="K1034" t="s">
        <v>17</v>
      </c>
      <c r="L1034" t="b">
        <v>0</v>
      </c>
      <c r="N1034" s="2" t="str">
        <f t="shared" si="88"/>
        <v/>
      </c>
      <c r="Q1034" t="str">
        <f t="shared" si="89"/>
        <v/>
      </c>
    </row>
    <row r="1035" spans="1:17" hidden="1">
      <c r="A1035" t="s">
        <v>1140</v>
      </c>
      <c r="B1035" s="1">
        <v>45062</v>
      </c>
      <c r="C1035">
        <v>2023</v>
      </c>
      <c r="D1035">
        <v>5</v>
      </c>
      <c r="E1035" t="s">
        <v>37</v>
      </c>
      <c r="F1035" t="s">
        <v>24</v>
      </c>
      <c r="G1035" t="s">
        <v>38</v>
      </c>
      <c r="H1035" t="s">
        <v>39</v>
      </c>
      <c r="I1035">
        <v>5799.19</v>
      </c>
      <c r="J1035">
        <v>5291.42</v>
      </c>
      <c r="K1035" t="s">
        <v>17</v>
      </c>
      <c r="L1035" t="b">
        <v>0</v>
      </c>
      <c r="N1035" s="2" t="str">
        <f t="shared" si="88"/>
        <v/>
      </c>
      <c r="Q1035" t="str">
        <f t="shared" si="89"/>
        <v/>
      </c>
    </row>
    <row r="1036" spans="1:17" hidden="1">
      <c r="A1036" t="s">
        <v>1141</v>
      </c>
      <c r="B1036" s="1">
        <v>45063</v>
      </c>
      <c r="C1036">
        <v>2023</v>
      </c>
      <c r="D1036">
        <v>5</v>
      </c>
      <c r="E1036" t="s">
        <v>13</v>
      </c>
      <c r="F1036" t="s">
        <v>28</v>
      </c>
      <c r="G1036" t="s">
        <v>108</v>
      </c>
      <c r="H1036" t="s">
        <v>123</v>
      </c>
      <c r="I1036">
        <v>3313.98</v>
      </c>
      <c r="J1036">
        <v>3612.55</v>
      </c>
      <c r="K1036" t="s">
        <v>17</v>
      </c>
      <c r="L1036" t="b">
        <v>0</v>
      </c>
      <c r="N1036" s="2" t="str">
        <f t="shared" si="88"/>
        <v/>
      </c>
      <c r="Q1036" t="str">
        <f t="shared" si="89"/>
        <v/>
      </c>
    </row>
    <row r="1037" spans="1:17" hidden="1">
      <c r="A1037" t="s">
        <v>1142</v>
      </c>
      <c r="B1037" s="1">
        <v>45063</v>
      </c>
      <c r="C1037">
        <v>2023</v>
      </c>
      <c r="D1037">
        <v>5</v>
      </c>
      <c r="E1037" t="s">
        <v>47</v>
      </c>
      <c r="F1037" t="s">
        <v>24</v>
      </c>
      <c r="G1037" t="s">
        <v>51</v>
      </c>
      <c r="H1037" t="s">
        <v>72</v>
      </c>
      <c r="I1037">
        <v>18584.2</v>
      </c>
      <c r="J1037">
        <v>15330.89</v>
      </c>
      <c r="K1037" t="s">
        <v>17</v>
      </c>
      <c r="L1037" t="b">
        <v>0</v>
      </c>
      <c r="N1037" s="2" t="b">
        <f t="shared" si="88"/>
        <v>1</v>
      </c>
      <c r="O1037" t="str">
        <f>IF(AND(E1026="HR",K1026="EXPENSE"),I1026&lt;J1026,"")</f>
        <v/>
      </c>
      <c r="Q1037" t="str">
        <f t="shared" si="89"/>
        <v/>
      </c>
    </row>
    <row r="1038" spans="1:17" hidden="1">
      <c r="A1038" t="s">
        <v>1143</v>
      </c>
      <c r="B1038" s="1">
        <v>45063</v>
      </c>
      <c r="C1038">
        <v>2023</v>
      </c>
      <c r="D1038">
        <v>5</v>
      </c>
      <c r="E1038" t="s">
        <v>23</v>
      </c>
      <c r="F1038" t="s">
        <v>14</v>
      </c>
      <c r="G1038" t="s">
        <v>141</v>
      </c>
      <c r="H1038" t="s">
        <v>209</v>
      </c>
      <c r="I1038">
        <v>3935.2</v>
      </c>
      <c r="J1038">
        <v>4215.8100000000004</v>
      </c>
      <c r="K1038" t="s">
        <v>17</v>
      </c>
      <c r="L1038" t="b">
        <v>0</v>
      </c>
      <c r="N1038" s="2" t="str">
        <f t="shared" si="88"/>
        <v/>
      </c>
      <c r="Q1038" t="str">
        <f t="shared" si="89"/>
        <v/>
      </c>
    </row>
    <row r="1039" spans="1:17" hidden="1">
      <c r="A1039" t="s">
        <v>1144</v>
      </c>
      <c r="B1039" s="1">
        <v>45063</v>
      </c>
      <c r="C1039">
        <v>2023</v>
      </c>
      <c r="D1039">
        <v>5</v>
      </c>
      <c r="E1039" t="s">
        <v>23</v>
      </c>
      <c r="F1039" t="s">
        <v>28</v>
      </c>
      <c r="G1039" t="s">
        <v>59</v>
      </c>
      <c r="H1039" t="s">
        <v>155</v>
      </c>
      <c r="I1039">
        <v>6936.71</v>
      </c>
      <c r="J1039">
        <v>6793.2</v>
      </c>
      <c r="K1039" t="s">
        <v>17</v>
      </c>
      <c r="L1039" t="b">
        <v>0</v>
      </c>
      <c r="N1039" s="2" t="str">
        <f t="shared" si="88"/>
        <v/>
      </c>
      <c r="Q1039" t="str">
        <f t="shared" si="89"/>
        <v/>
      </c>
    </row>
    <row r="1040" spans="1:17" hidden="1">
      <c r="A1040" t="s">
        <v>1145</v>
      </c>
      <c r="B1040" s="1">
        <v>45063</v>
      </c>
      <c r="C1040">
        <v>2023</v>
      </c>
      <c r="D1040">
        <v>5</v>
      </c>
      <c r="E1040" t="s">
        <v>23</v>
      </c>
      <c r="F1040" t="s">
        <v>24</v>
      </c>
      <c r="G1040" t="s">
        <v>25</v>
      </c>
      <c r="H1040" t="s">
        <v>26</v>
      </c>
      <c r="I1040">
        <v>3946.09</v>
      </c>
      <c r="J1040">
        <v>3596.14</v>
      </c>
      <c r="K1040" t="s">
        <v>17</v>
      </c>
      <c r="L1040" t="b">
        <v>0</v>
      </c>
      <c r="N1040" s="2" t="str">
        <f t="shared" si="88"/>
        <v/>
      </c>
      <c r="Q1040" t="str">
        <f t="shared" si="89"/>
        <v/>
      </c>
    </row>
    <row r="1041" spans="1:17" hidden="1">
      <c r="A1041" t="s">
        <v>1146</v>
      </c>
      <c r="B1041" s="1">
        <v>45063</v>
      </c>
      <c r="C1041">
        <v>2023</v>
      </c>
      <c r="D1041">
        <v>5</v>
      </c>
      <c r="E1041" t="s">
        <v>23</v>
      </c>
      <c r="F1041" t="s">
        <v>24</v>
      </c>
      <c r="G1041" t="s">
        <v>59</v>
      </c>
      <c r="H1041" t="s">
        <v>155</v>
      </c>
      <c r="I1041">
        <v>5337.25</v>
      </c>
      <c r="J1041">
        <v>5605.12</v>
      </c>
      <c r="K1041" t="s">
        <v>17</v>
      </c>
      <c r="L1041" t="b">
        <v>0</v>
      </c>
      <c r="N1041" s="2" t="str">
        <f t="shared" si="88"/>
        <v/>
      </c>
      <c r="Q1041" t="str">
        <f t="shared" si="89"/>
        <v/>
      </c>
    </row>
    <row r="1042" spans="1:17" hidden="1">
      <c r="A1042" t="s">
        <v>1147</v>
      </c>
      <c r="B1042" s="1">
        <v>45063</v>
      </c>
      <c r="C1042">
        <v>2023</v>
      </c>
      <c r="D1042">
        <v>5</v>
      </c>
      <c r="E1042" t="s">
        <v>37</v>
      </c>
      <c r="F1042" t="s">
        <v>14</v>
      </c>
      <c r="G1042" t="s">
        <v>41</v>
      </c>
      <c r="H1042" t="s">
        <v>42</v>
      </c>
      <c r="I1042">
        <v>5516.54</v>
      </c>
      <c r="J1042">
        <v>4981.1000000000004</v>
      </c>
      <c r="K1042" t="s">
        <v>17</v>
      </c>
      <c r="L1042" t="b">
        <v>0</v>
      </c>
      <c r="N1042" s="2" t="str">
        <f t="shared" si="88"/>
        <v/>
      </c>
      <c r="Q1042" t="str">
        <f t="shared" si="89"/>
        <v/>
      </c>
    </row>
    <row r="1043" spans="1:17" hidden="1">
      <c r="A1043" t="s">
        <v>1148</v>
      </c>
      <c r="B1043" s="1">
        <v>45063</v>
      </c>
      <c r="C1043">
        <v>2023</v>
      </c>
      <c r="D1043">
        <v>5</v>
      </c>
      <c r="E1043" t="s">
        <v>37</v>
      </c>
      <c r="F1043" t="s">
        <v>14</v>
      </c>
      <c r="G1043" t="s">
        <v>98</v>
      </c>
      <c r="H1043" t="s">
        <v>185</v>
      </c>
      <c r="I1043">
        <v>8059.7</v>
      </c>
      <c r="J1043">
        <v>7756.43</v>
      </c>
      <c r="K1043" t="s">
        <v>17</v>
      </c>
      <c r="L1043" t="b">
        <v>0</v>
      </c>
      <c r="N1043" s="2" t="str">
        <f t="shared" si="88"/>
        <v/>
      </c>
      <c r="Q1043" t="str">
        <f t="shared" si="89"/>
        <v/>
      </c>
    </row>
    <row r="1044" spans="1:17" hidden="1">
      <c r="A1044" t="s">
        <v>1149</v>
      </c>
      <c r="B1044" s="1">
        <v>45064</v>
      </c>
      <c r="C1044">
        <v>2023</v>
      </c>
      <c r="D1044">
        <v>5</v>
      </c>
      <c r="E1044" t="s">
        <v>13</v>
      </c>
      <c r="F1044" t="s">
        <v>28</v>
      </c>
      <c r="G1044" t="s">
        <v>68</v>
      </c>
      <c r="H1044" t="s">
        <v>213</v>
      </c>
      <c r="I1044">
        <v>4027.5</v>
      </c>
      <c r="J1044">
        <v>3746.86</v>
      </c>
      <c r="K1044" t="s">
        <v>17</v>
      </c>
      <c r="L1044" t="b">
        <v>0</v>
      </c>
      <c r="N1044" s="2" t="str">
        <f t="shared" si="88"/>
        <v/>
      </c>
      <c r="Q1044" t="str">
        <f t="shared" si="89"/>
        <v/>
      </c>
    </row>
    <row r="1045" spans="1:17" hidden="1">
      <c r="A1045" t="s">
        <v>1150</v>
      </c>
      <c r="B1045" s="1">
        <v>45064</v>
      </c>
      <c r="C1045">
        <v>2023</v>
      </c>
      <c r="D1045">
        <v>5</v>
      </c>
      <c r="E1045" t="s">
        <v>47</v>
      </c>
      <c r="F1045" t="s">
        <v>28</v>
      </c>
      <c r="G1045" t="s">
        <v>51</v>
      </c>
      <c r="H1045" t="s">
        <v>52</v>
      </c>
      <c r="I1045">
        <v>16293.78</v>
      </c>
      <c r="J1045">
        <v>13865.75</v>
      </c>
      <c r="K1045" t="s">
        <v>17</v>
      </c>
      <c r="L1045" t="b">
        <v>0</v>
      </c>
      <c r="N1045" s="2" t="b">
        <f t="shared" si="88"/>
        <v>1</v>
      </c>
      <c r="O1045" t="str">
        <f t="shared" ref="O1045:O1047" si="91">IF(AND(E1034="HR",K1034="EXPENSE"),I1034&lt;J1034,"")</f>
        <v/>
      </c>
      <c r="Q1045" t="str">
        <f t="shared" si="89"/>
        <v/>
      </c>
    </row>
    <row r="1046" spans="1:17" hidden="1">
      <c r="A1046" t="s">
        <v>1151</v>
      </c>
      <c r="B1046" s="1">
        <v>45064</v>
      </c>
      <c r="C1046">
        <v>2023</v>
      </c>
      <c r="D1046">
        <v>5</v>
      </c>
      <c r="E1046" t="s">
        <v>47</v>
      </c>
      <c r="F1046" t="s">
        <v>24</v>
      </c>
      <c r="G1046" t="s">
        <v>77</v>
      </c>
      <c r="H1046" t="s">
        <v>130</v>
      </c>
      <c r="I1046">
        <v>9126.2900000000009</v>
      </c>
      <c r="J1046">
        <v>7701.22</v>
      </c>
      <c r="K1046" t="s">
        <v>17</v>
      </c>
      <c r="L1046" t="b">
        <v>0</v>
      </c>
      <c r="N1046" s="2" t="b">
        <f t="shared" si="88"/>
        <v>1</v>
      </c>
      <c r="O1046" t="str">
        <f t="shared" si="91"/>
        <v/>
      </c>
      <c r="Q1046" t="str">
        <f t="shared" si="89"/>
        <v/>
      </c>
    </row>
    <row r="1047" spans="1:17" hidden="1">
      <c r="A1047" t="s">
        <v>1152</v>
      </c>
      <c r="B1047" s="1">
        <v>45064</v>
      </c>
      <c r="C1047">
        <v>2023</v>
      </c>
      <c r="D1047">
        <v>5</v>
      </c>
      <c r="E1047" t="s">
        <v>47</v>
      </c>
      <c r="F1047" t="s">
        <v>24</v>
      </c>
      <c r="G1047" t="s">
        <v>48</v>
      </c>
      <c r="H1047" t="s">
        <v>191</v>
      </c>
      <c r="I1047">
        <v>10463.34</v>
      </c>
      <c r="J1047">
        <v>8945.5499999999993</v>
      </c>
      <c r="K1047" t="s">
        <v>17</v>
      </c>
      <c r="L1047" t="b">
        <v>0</v>
      </c>
      <c r="N1047" s="2" t="b">
        <f t="shared" si="88"/>
        <v>1</v>
      </c>
      <c r="O1047" t="b">
        <f t="shared" si="91"/>
        <v>1</v>
      </c>
      <c r="Q1047" t="str">
        <f t="shared" si="89"/>
        <v/>
      </c>
    </row>
    <row r="1048" spans="1:17" hidden="1">
      <c r="A1048" t="s">
        <v>1153</v>
      </c>
      <c r="B1048" s="1">
        <v>45064</v>
      </c>
      <c r="C1048">
        <v>2023</v>
      </c>
      <c r="D1048">
        <v>5</v>
      </c>
      <c r="E1048" t="s">
        <v>19</v>
      </c>
      <c r="F1048" t="s">
        <v>28</v>
      </c>
      <c r="G1048" t="s">
        <v>20</v>
      </c>
      <c r="H1048" t="s">
        <v>136</v>
      </c>
      <c r="I1048">
        <v>7187.94</v>
      </c>
      <c r="J1048">
        <v>7026.43</v>
      </c>
      <c r="K1048" t="s">
        <v>17</v>
      </c>
      <c r="L1048" t="b">
        <v>0</v>
      </c>
      <c r="N1048" s="2" t="str">
        <f t="shared" si="88"/>
        <v/>
      </c>
      <c r="Q1048" t="str">
        <f t="shared" si="89"/>
        <v/>
      </c>
    </row>
    <row r="1049" spans="1:17" hidden="1">
      <c r="A1049" t="s">
        <v>1154</v>
      </c>
      <c r="B1049" s="1">
        <v>45064</v>
      </c>
      <c r="C1049">
        <v>2023</v>
      </c>
      <c r="D1049">
        <v>5</v>
      </c>
      <c r="E1049" t="s">
        <v>19</v>
      </c>
      <c r="F1049" t="s">
        <v>24</v>
      </c>
      <c r="G1049" t="s">
        <v>80</v>
      </c>
      <c r="H1049" t="s">
        <v>113</v>
      </c>
      <c r="I1049">
        <v>5962.57</v>
      </c>
      <c r="J1049">
        <v>5615.41</v>
      </c>
      <c r="K1049" t="s">
        <v>17</v>
      </c>
      <c r="L1049" t="b">
        <v>0</v>
      </c>
      <c r="N1049" s="2" t="str">
        <f t="shared" si="88"/>
        <v/>
      </c>
      <c r="Q1049" t="str">
        <f t="shared" si="89"/>
        <v/>
      </c>
    </row>
    <row r="1050" spans="1:17" hidden="1">
      <c r="A1050" t="s">
        <v>1155</v>
      </c>
      <c r="B1050" s="1">
        <v>45064</v>
      </c>
      <c r="C1050">
        <v>2023</v>
      </c>
      <c r="D1050">
        <v>5</v>
      </c>
      <c r="E1050" t="s">
        <v>23</v>
      </c>
      <c r="F1050" t="s">
        <v>28</v>
      </c>
      <c r="G1050" t="s">
        <v>25</v>
      </c>
      <c r="H1050" t="s">
        <v>95</v>
      </c>
      <c r="I1050">
        <v>9512.19</v>
      </c>
      <c r="J1050">
        <v>10202.09</v>
      </c>
      <c r="K1050" t="s">
        <v>17</v>
      </c>
      <c r="L1050" t="b">
        <v>0</v>
      </c>
      <c r="N1050" s="2" t="str">
        <f t="shared" si="88"/>
        <v/>
      </c>
      <c r="Q1050" t="str">
        <f t="shared" si="89"/>
        <v/>
      </c>
    </row>
    <row r="1051" spans="1:17" hidden="1">
      <c r="A1051" t="s">
        <v>1156</v>
      </c>
      <c r="B1051" s="1">
        <v>45064</v>
      </c>
      <c r="C1051">
        <v>2023</v>
      </c>
      <c r="D1051">
        <v>5</v>
      </c>
      <c r="E1051" t="s">
        <v>23</v>
      </c>
      <c r="F1051" t="s">
        <v>28</v>
      </c>
      <c r="G1051" t="s">
        <v>30</v>
      </c>
      <c r="H1051" t="s">
        <v>31</v>
      </c>
      <c r="I1051">
        <v>8581.3700000000008</v>
      </c>
      <c r="J1051">
        <v>8296.56</v>
      </c>
      <c r="K1051" t="s">
        <v>17</v>
      </c>
      <c r="L1051" t="b">
        <v>0</v>
      </c>
      <c r="N1051" s="2" t="str">
        <f t="shared" si="88"/>
        <v/>
      </c>
      <c r="Q1051" t="str">
        <f t="shared" si="89"/>
        <v/>
      </c>
    </row>
    <row r="1052" spans="1:17" hidden="1">
      <c r="A1052" t="s">
        <v>1157</v>
      </c>
      <c r="B1052" s="1">
        <v>45064</v>
      </c>
      <c r="C1052">
        <v>2023</v>
      </c>
      <c r="D1052">
        <v>5</v>
      </c>
      <c r="E1052" t="s">
        <v>23</v>
      </c>
      <c r="F1052" t="s">
        <v>24</v>
      </c>
      <c r="G1052" t="s">
        <v>141</v>
      </c>
      <c r="H1052" t="s">
        <v>209</v>
      </c>
      <c r="I1052">
        <v>4374.83</v>
      </c>
      <c r="J1052">
        <v>4179.1099999999997</v>
      </c>
      <c r="K1052" t="s">
        <v>17</v>
      </c>
      <c r="L1052" t="b">
        <v>0</v>
      </c>
      <c r="N1052" s="2" t="str">
        <f t="shared" si="88"/>
        <v/>
      </c>
      <c r="Q1052" t="str">
        <f t="shared" si="89"/>
        <v/>
      </c>
    </row>
    <row r="1053" spans="1:17" hidden="1">
      <c r="A1053" t="s">
        <v>1158</v>
      </c>
      <c r="B1053" s="1">
        <v>45064</v>
      </c>
      <c r="C1053">
        <v>2023</v>
      </c>
      <c r="D1053">
        <v>5</v>
      </c>
      <c r="E1053" t="s">
        <v>37</v>
      </c>
      <c r="F1053" t="s">
        <v>24</v>
      </c>
      <c r="G1053" t="s">
        <v>38</v>
      </c>
      <c r="H1053" t="s">
        <v>39</v>
      </c>
      <c r="I1053">
        <v>4529.95</v>
      </c>
      <c r="J1053">
        <v>4572.1499999999996</v>
      </c>
      <c r="K1053" t="s">
        <v>17</v>
      </c>
      <c r="L1053" t="b">
        <v>0</v>
      </c>
      <c r="N1053" s="2" t="str">
        <f t="shared" si="88"/>
        <v/>
      </c>
      <c r="Q1053" t="str">
        <f t="shared" si="89"/>
        <v/>
      </c>
    </row>
    <row r="1054" spans="1:17" hidden="1">
      <c r="A1054" t="s">
        <v>1159</v>
      </c>
      <c r="B1054" s="1">
        <v>45064</v>
      </c>
      <c r="C1054">
        <v>2023</v>
      </c>
      <c r="D1054">
        <v>5</v>
      </c>
      <c r="E1054" t="s">
        <v>37</v>
      </c>
      <c r="F1054" t="s">
        <v>24</v>
      </c>
      <c r="G1054" t="s">
        <v>41</v>
      </c>
      <c r="H1054" t="s">
        <v>42</v>
      </c>
      <c r="I1054">
        <v>5245.94</v>
      </c>
      <c r="J1054">
        <v>5188.8</v>
      </c>
      <c r="K1054" t="s">
        <v>17</v>
      </c>
      <c r="L1054" t="b">
        <v>0</v>
      </c>
      <c r="N1054" s="2" t="str">
        <f t="shared" si="88"/>
        <v/>
      </c>
      <c r="Q1054" t="str">
        <f t="shared" si="89"/>
        <v/>
      </c>
    </row>
    <row r="1055" spans="1:17" hidden="1">
      <c r="A1055" t="s">
        <v>1160</v>
      </c>
      <c r="B1055" s="1">
        <v>45065</v>
      </c>
      <c r="C1055">
        <v>2023</v>
      </c>
      <c r="D1055">
        <v>5</v>
      </c>
      <c r="E1055" t="s">
        <v>13</v>
      </c>
      <c r="F1055" t="s">
        <v>14</v>
      </c>
      <c r="G1055" t="s">
        <v>15</v>
      </c>
      <c r="H1055" t="s">
        <v>89</v>
      </c>
      <c r="I1055">
        <v>4145.18</v>
      </c>
      <c r="J1055">
        <v>4498.51</v>
      </c>
      <c r="K1055" t="s">
        <v>17</v>
      </c>
      <c r="L1055" t="b">
        <v>0</v>
      </c>
      <c r="N1055" s="2" t="str">
        <f t="shared" si="88"/>
        <v/>
      </c>
      <c r="Q1055" t="str">
        <f t="shared" si="89"/>
        <v/>
      </c>
    </row>
    <row r="1056" spans="1:17" hidden="1">
      <c r="A1056" t="s">
        <v>1161</v>
      </c>
      <c r="B1056" s="1">
        <v>45065</v>
      </c>
      <c r="C1056">
        <v>2023</v>
      </c>
      <c r="D1056">
        <v>5</v>
      </c>
      <c r="E1056" t="s">
        <v>13</v>
      </c>
      <c r="F1056" t="s">
        <v>14</v>
      </c>
      <c r="G1056" t="s">
        <v>68</v>
      </c>
      <c r="H1056" t="s">
        <v>213</v>
      </c>
      <c r="I1056">
        <v>2824.27</v>
      </c>
      <c r="J1056">
        <v>2813.47</v>
      </c>
      <c r="K1056" t="s">
        <v>17</v>
      </c>
      <c r="L1056" t="b">
        <v>0</v>
      </c>
      <c r="N1056" s="2" t="str">
        <f t="shared" si="88"/>
        <v/>
      </c>
      <c r="Q1056" t="str">
        <f t="shared" si="89"/>
        <v/>
      </c>
    </row>
    <row r="1057" spans="1:17" hidden="1">
      <c r="A1057" t="s">
        <v>1162</v>
      </c>
      <c r="B1057" s="1">
        <v>45065</v>
      </c>
      <c r="C1057">
        <v>2023</v>
      </c>
      <c r="D1057">
        <v>5</v>
      </c>
      <c r="E1057" t="s">
        <v>13</v>
      </c>
      <c r="F1057" t="s">
        <v>28</v>
      </c>
      <c r="G1057" t="s">
        <v>102</v>
      </c>
      <c r="H1057" t="s">
        <v>145</v>
      </c>
      <c r="I1057">
        <v>5233.9399999999996</v>
      </c>
      <c r="J1057">
        <v>5646.48</v>
      </c>
      <c r="K1057" t="s">
        <v>17</v>
      </c>
      <c r="L1057" t="b">
        <v>0</v>
      </c>
      <c r="N1057" s="2" t="str">
        <f t="shared" si="88"/>
        <v/>
      </c>
      <c r="Q1057" t="str">
        <f t="shared" si="89"/>
        <v/>
      </c>
    </row>
    <row r="1058" spans="1:17" hidden="1">
      <c r="A1058" t="s">
        <v>1163</v>
      </c>
      <c r="B1058" s="1">
        <v>45065</v>
      </c>
      <c r="C1058">
        <v>2023</v>
      </c>
      <c r="D1058">
        <v>5</v>
      </c>
      <c r="E1058" t="s">
        <v>13</v>
      </c>
      <c r="F1058" t="s">
        <v>24</v>
      </c>
      <c r="G1058" t="s">
        <v>108</v>
      </c>
      <c r="H1058" t="s">
        <v>126</v>
      </c>
      <c r="I1058">
        <v>1933.29</v>
      </c>
      <c r="J1058">
        <v>2033.44</v>
      </c>
      <c r="K1058" t="s">
        <v>17</v>
      </c>
      <c r="L1058" t="b">
        <v>0</v>
      </c>
      <c r="N1058" s="2" t="str">
        <f t="shared" si="88"/>
        <v/>
      </c>
      <c r="Q1058" t="str">
        <f t="shared" si="89"/>
        <v/>
      </c>
    </row>
    <row r="1059" spans="1:17" hidden="1">
      <c r="A1059" t="s">
        <v>1164</v>
      </c>
      <c r="B1059" s="1">
        <v>45065</v>
      </c>
      <c r="C1059">
        <v>2023</v>
      </c>
      <c r="D1059">
        <v>5</v>
      </c>
      <c r="E1059" t="s">
        <v>23</v>
      </c>
      <c r="F1059" t="s">
        <v>24</v>
      </c>
      <c r="G1059" t="s">
        <v>25</v>
      </c>
      <c r="H1059" t="s">
        <v>95</v>
      </c>
      <c r="I1059">
        <v>3913.3</v>
      </c>
      <c r="J1059">
        <v>4135.3900000000003</v>
      </c>
      <c r="K1059" t="s">
        <v>17</v>
      </c>
      <c r="L1059" t="b">
        <v>0</v>
      </c>
      <c r="N1059" s="2" t="str">
        <f t="shared" si="88"/>
        <v/>
      </c>
      <c r="Q1059" t="str">
        <f t="shared" si="89"/>
        <v/>
      </c>
    </row>
    <row r="1060" spans="1:17" hidden="1">
      <c r="A1060" t="s">
        <v>1165</v>
      </c>
      <c r="B1060" s="1">
        <v>45065</v>
      </c>
      <c r="C1060">
        <v>2023</v>
      </c>
      <c r="D1060">
        <v>5</v>
      </c>
      <c r="E1060" t="s">
        <v>23</v>
      </c>
      <c r="F1060" t="s">
        <v>24</v>
      </c>
      <c r="G1060" t="s">
        <v>59</v>
      </c>
      <c r="H1060" t="s">
        <v>60</v>
      </c>
      <c r="I1060">
        <v>4098.8500000000004</v>
      </c>
      <c r="J1060">
        <v>4043.12</v>
      </c>
      <c r="K1060" t="s">
        <v>17</v>
      </c>
      <c r="L1060" t="b">
        <v>0</v>
      </c>
      <c r="N1060" s="2" t="str">
        <f t="shared" si="88"/>
        <v/>
      </c>
      <c r="Q1060" t="str">
        <f t="shared" si="89"/>
        <v/>
      </c>
    </row>
    <row r="1061" spans="1:17" hidden="1">
      <c r="A1061" t="s">
        <v>1166</v>
      </c>
      <c r="B1061" s="1">
        <v>45065</v>
      </c>
      <c r="C1061">
        <v>2023</v>
      </c>
      <c r="D1061">
        <v>5</v>
      </c>
      <c r="E1061" t="s">
        <v>37</v>
      </c>
      <c r="F1061" t="s">
        <v>14</v>
      </c>
      <c r="G1061" t="s">
        <v>98</v>
      </c>
      <c r="H1061" t="s">
        <v>99</v>
      </c>
      <c r="I1061">
        <v>5614.6</v>
      </c>
      <c r="J1061">
        <v>5072.8500000000004</v>
      </c>
      <c r="K1061" t="s">
        <v>17</v>
      </c>
      <c r="L1061" t="b">
        <v>0</v>
      </c>
      <c r="N1061" s="2" t="str">
        <f t="shared" si="88"/>
        <v/>
      </c>
      <c r="Q1061" t="str">
        <f t="shared" si="89"/>
        <v/>
      </c>
    </row>
    <row r="1062" spans="1:17" hidden="1">
      <c r="A1062" t="s">
        <v>1167</v>
      </c>
      <c r="B1062" s="1">
        <v>45065</v>
      </c>
      <c r="C1062">
        <v>2023</v>
      </c>
      <c r="D1062">
        <v>5</v>
      </c>
      <c r="E1062" t="s">
        <v>37</v>
      </c>
      <c r="F1062" t="s">
        <v>28</v>
      </c>
      <c r="G1062" t="s">
        <v>41</v>
      </c>
      <c r="H1062" t="s">
        <v>42</v>
      </c>
      <c r="I1062">
        <v>4213.6499999999996</v>
      </c>
      <c r="J1062">
        <v>4000.11</v>
      </c>
      <c r="K1062" t="s">
        <v>17</v>
      </c>
      <c r="L1062" t="b">
        <v>0</v>
      </c>
      <c r="N1062" s="2" t="str">
        <f t="shared" si="88"/>
        <v/>
      </c>
      <c r="Q1062" t="str">
        <f t="shared" si="89"/>
        <v/>
      </c>
    </row>
    <row r="1063" spans="1:17" hidden="1">
      <c r="A1063" t="s">
        <v>1168</v>
      </c>
      <c r="B1063" s="1">
        <v>45065</v>
      </c>
      <c r="C1063">
        <v>2023</v>
      </c>
      <c r="D1063">
        <v>5</v>
      </c>
      <c r="E1063" t="s">
        <v>37</v>
      </c>
      <c r="F1063" t="s">
        <v>28</v>
      </c>
      <c r="G1063" t="s">
        <v>38</v>
      </c>
      <c r="H1063" t="s">
        <v>227</v>
      </c>
      <c r="I1063">
        <v>5004.1400000000003</v>
      </c>
      <c r="J1063">
        <v>4579.3999999999996</v>
      </c>
      <c r="K1063" t="s">
        <v>17</v>
      </c>
      <c r="L1063" t="b">
        <v>0</v>
      </c>
      <c r="N1063" s="2" t="str">
        <f t="shared" si="88"/>
        <v/>
      </c>
      <c r="Q1063" t="str">
        <f t="shared" si="89"/>
        <v/>
      </c>
    </row>
    <row r="1064" spans="1:17" hidden="1">
      <c r="A1064" t="s">
        <v>1169</v>
      </c>
      <c r="B1064" s="1">
        <v>45066</v>
      </c>
      <c r="C1064">
        <v>2023</v>
      </c>
      <c r="D1064">
        <v>5</v>
      </c>
      <c r="E1064" t="s">
        <v>13</v>
      </c>
      <c r="F1064" t="s">
        <v>14</v>
      </c>
      <c r="G1064" t="s">
        <v>68</v>
      </c>
      <c r="H1064" t="s">
        <v>87</v>
      </c>
      <c r="I1064">
        <v>2293.13</v>
      </c>
      <c r="J1064">
        <v>2369.5300000000002</v>
      </c>
      <c r="K1064" t="s">
        <v>17</v>
      </c>
      <c r="L1064" t="b">
        <v>0</v>
      </c>
      <c r="N1064" s="2" t="str">
        <f t="shared" si="88"/>
        <v/>
      </c>
      <c r="Q1064" t="str">
        <f t="shared" si="89"/>
        <v/>
      </c>
    </row>
    <row r="1065" spans="1:17" hidden="1">
      <c r="A1065" t="s">
        <v>1170</v>
      </c>
      <c r="B1065" s="1">
        <v>45066</v>
      </c>
      <c r="C1065">
        <v>2023</v>
      </c>
      <c r="D1065">
        <v>5</v>
      </c>
      <c r="E1065" t="s">
        <v>13</v>
      </c>
      <c r="F1065" t="s">
        <v>14</v>
      </c>
      <c r="G1065" t="s">
        <v>102</v>
      </c>
      <c r="H1065" t="s">
        <v>103</v>
      </c>
      <c r="I1065">
        <v>3568.82</v>
      </c>
      <c r="J1065">
        <v>3615.28</v>
      </c>
      <c r="K1065" t="s">
        <v>17</v>
      </c>
      <c r="L1065" t="b">
        <v>0</v>
      </c>
      <c r="N1065" s="2" t="str">
        <f t="shared" si="88"/>
        <v/>
      </c>
      <c r="Q1065" t="str">
        <f t="shared" si="89"/>
        <v/>
      </c>
    </row>
    <row r="1066" spans="1:17" hidden="1">
      <c r="A1066" t="s">
        <v>1171</v>
      </c>
      <c r="B1066" s="1">
        <v>45066</v>
      </c>
      <c r="C1066">
        <v>2023</v>
      </c>
      <c r="D1066">
        <v>5</v>
      </c>
      <c r="E1066" t="s">
        <v>47</v>
      </c>
      <c r="F1066" t="s">
        <v>28</v>
      </c>
      <c r="G1066" t="s">
        <v>48</v>
      </c>
      <c r="H1066" t="s">
        <v>191</v>
      </c>
      <c r="I1066">
        <v>15423.95</v>
      </c>
      <c r="J1066">
        <v>12696.21</v>
      </c>
      <c r="K1066" t="s">
        <v>17</v>
      </c>
      <c r="L1066" t="b">
        <v>0</v>
      </c>
      <c r="N1066" s="2" t="b">
        <f t="shared" si="88"/>
        <v>1</v>
      </c>
      <c r="O1066" t="b">
        <f t="shared" ref="O1066:O1067" si="92">IF(AND(E1055="HR",K1055="EXPENSE"),I1055&lt;J1055,"")</f>
        <v>1</v>
      </c>
      <c r="Q1066" t="str">
        <f t="shared" si="89"/>
        <v/>
      </c>
    </row>
    <row r="1067" spans="1:17" hidden="1">
      <c r="A1067" t="s">
        <v>1172</v>
      </c>
      <c r="B1067" s="1">
        <v>45066</v>
      </c>
      <c r="C1067">
        <v>2023</v>
      </c>
      <c r="D1067">
        <v>5</v>
      </c>
      <c r="E1067" t="s">
        <v>47</v>
      </c>
      <c r="F1067" t="s">
        <v>24</v>
      </c>
      <c r="G1067" t="s">
        <v>48</v>
      </c>
      <c r="H1067" t="s">
        <v>111</v>
      </c>
      <c r="I1067">
        <v>14643.54</v>
      </c>
      <c r="J1067">
        <v>12051.84</v>
      </c>
      <c r="K1067" t="s">
        <v>17</v>
      </c>
      <c r="L1067" t="b">
        <v>0</v>
      </c>
      <c r="N1067" s="2" t="b">
        <f t="shared" si="88"/>
        <v>1</v>
      </c>
      <c r="O1067" t="b">
        <f t="shared" si="92"/>
        <v>0</v>
      </c>
      <c r="Q1067" t="str">
        <f t="shared" si="89"/>
        <v/>
      </c>
    </row>
    <row r="1068" spans="1:17" hidden="1">
      <c r="A1068" t="s">
        <v>1173</v>
      </c>
      <c r="B1068" s="1">
        <v>45066</v>
      </c>
      <c r="C1068">
        <v>2023</v>
      </c>
      <c r="D1068">
        <v>5</v>
      </c>
      <c r="E1068" t="s">
        <v>23</v>
      </c>
      <c r="F1068" t="s">
        <v>14</v>
      </c>
      <c r="G1068" t="s">
        <v>141</v>
      </c>
      <c r="H1068" t="s">
        <v>142</v>
      </c>
      <c r="I1068">
        <v>5560.59</v>
      </c>
      <c r="J1068">
        <v>5878.89</v>
      </c>
      <c r="K1068" t="s">
        <v>17</v>
      </c>
      <c r="L1068" t="b">
        <v>0</v>
      </c>
      <c r="N1068" s="2" t="str">
        <f t="shared" si="88"/>
        <v/>
      </c>
      <c r="Q1068" t="str">
        <f t="shared" si="89"/>
        <v/>
      </c>
    </row>
    <row r="1069" spans="1:17" hidden="1">
      <c r="A1069" t="s">
        <v>1174</v>
      </c>
      <c r="B1069" s="1">
        <v>45066</v>
      </c>
      <c r="C1069">
        <v>2023</v>
      </c>
      <c r="D1069">
        <v>5</v>
      </c>
      <c r="E1069" t="s">
        <v>23</v>
      </c>
      <c r="F1069" t="s">
        <v>24</v>
      </c>
      <c r="G1069" t="s">
        <v>30</v>
      </c>
      <c r="H1069" t="s">
        <v>106</v>
      </c>
      <c r="I1069">
        <v>3413.86</v>
      </c>
      <c r="J1069">
        <v>3252.92</v>
      </c>
      <c r="K1069" t="s">
        <v>17</v>
      </c>
      <c r="L1069" t="b">
        <v>0</v>
      </c>
      <c r="N1069" s="2" t="str">
        <f t="shared" si="88"/>
        <v/>
      </c>
      <c r="Q1069" t="str">
        <f t="shared" si="89"/>
        <v/>
      </c>
    </row>
    <row r="1070" spans="1:17" hidden="1">
      <c r="A1070" t="s">
        <v>1175</v>
      </c>
      <c r="B1070" s="1">
        <v>45066</v>
      </c>
      <c r="C1070">
        <v>2023</v>
      </c>
      <c r="D1070">
        <v>5</v>
      </c>
      <c r="E1070" t="s">
        <v>37</v>
      </c>
      <c r="F1070" t="s">
        <v>28</v>
      </c>
      <c r="G1070" t="s">
        <v>41</v>
      </c>
      <c r="H1070" t="s">
        <v>42</v>
      </c>
      <c r="I1070">
        <v>3975.19</v>
      </c>
      <c r="J1070">
        <v>3759.13</v>
      </c>
      <c r="K1070" t="s">
        <v>17</v>
      </c>
      <c r="L1070" t="b">
        <v>0</v>
      </c>
      <c r="N1070" s="2" t="str">
        <f t="shared" si="88"/>
        <v/>
      </c>
      <c r="Q1070" t="str">
        <f t="shared" si="89"/>
        <v/>
      </c>
    </row>
    <row r="1071" spans="1:17" hidden="1">
      <c r="A1071" t="s">
        <v>1176</v>
      </c>
      <c r="B1071" s="1">
        <v>45067</v>
      </c>
      <c r="C1071">
        <v>2023</v>
      </c>
      <c r="D1071">
        <v>5</v>
      </c>
      <c r="E1071" t="s">
        <v>13</v>
      </c>
      <c r="F1071" t="s">
        <v>24</v>
      </c>
      <c r="G1071" t="s">
        <v>15</v>
      </c>
      <c r="H1071" t="s">
        <v>16</v>
      </c>
      <c r="I1071">
        <v>1814.09</v>
      </c>
      <c r="J1071">
        <v>1890.03</v>
      </c>
      <c r="K1071" t="s">
        <v>17</v>
      </c>
      <c r="L1071" t="b">
        <v>0</v>
      </c>
      <c r="N1071" s="2" t="str">
        <f t="shared" si="88"/>
        <v/>
      </c>
      <c r="Q1071" t="str">
        <f t="shared" si="89"/>
        <v/>
      </c>
    </row>
    <row r="1072" spans="1:17" hidden="1">
      <c r="A1072" t="s">
        <v>1177</v>
      </c>
      <c r="B1072" s="1">
        <v>45067</v>
      </c>
      <c r="C1072">
        <v>2023</v>
      </c>
      <c r="D1072">
        <v>5</v>
      </c>
      <c r="E1072" t="s">
        <v>19</v>
      </c>
      <c r="F1072" t="s">
        <v>24</v>
      </c>
      <c r="G1072" t="s">
        <v>132</v>
      </c>
      <c r="H1072" t="s">
        <v>138</v>
      </c>
      <c r="I1072">
        <v>5387.4</v>
      </c>
      <c r="J1072">
        <v>5797.02</v>
      </c>
      <c r="K1072" t="s">
        <v>17</v>
      </c>
      <c r="L1072" t="b">
        <v>0</v>
      </c>
      <c r="N1072" s="2" t="str">
        <f t="shared" si="88"/>
        <v/>
      </c>
      <c r="Q1072" t="str">
        <f t="shared" si="89"/>
        <v/>
      </c>
    </row>
    <row r="1073" spans="1:17" hidden="1">
      <c r="A1073" t="s">
        <v>1178</v>
      </c>
      <c r="B1073" s="1">
        <v>45067</v>
      </c>
      <c r="C1073">
        <v>2023</v>
      </c>
      <c r="D1073">
        <v>5</v>
      </c>
      <c r="E1073" t="s">
        <v>19</v>
      </c>
      <c r="F1073" t="s">
        <v>24</v>
      </c>
      <c r="G1073" t="s">
        <v>54</v>
      </c>
      <c r="H1073" t="s">
        <v>163</v>
      </c>
      <c r="I1073">
        <v>9060.34</v>
      </c>
      <c r="J1073">
        <v>8545.24</v>
      </c>
      <c r="K1073" t="s">
        <v>17</v>
      </c>
      <c r="L1073" t="b">
        <v>0</v>
      </c>
      <c r="N1073" s="2" t="str">
        <f t="shared" si="88"/>
        <v/>
      </c>
      <c r="Q1073" t="str">
        <f t="shared" si="89"/>
        <v/>
      </c>
    </row>
    <row r="1074" spans="1:17" hidden="1">
      <c r="A1074" t="s">
        <v>1179</v>
      </c>
      <c r="B1074" s="1">
        <v>45067</v>
      </c>
      <c r="C1074">
        <v>2023</v>
      </c>
      <c r="D1074">
        <v>5</v>
      </c>
      <c r="E1074" t="s">
        <v>23</v>
      </c>
      <c r="F1074" t="s">
        <v>14</v>
      </c>
      <c r="G1074" t="s">
        <v>30</v>
      </c>
      <c r="H1074" t="s">
        <v>33</v>
      </c>
      <c r="I1074">
        <v>3826.25</v>
      </c>
      <c r="J1074">
        <v>4192.4399999999996</v>
      </c>
      <c r="K1074" t="s">
        <v>17</v>
      </c>
      <c r="L1074" t="b">
        <v>0</v>
      </c>
      <c r="N1074" s="2" t="str">
        <f t="shared" si="88"/>
        <v/>
      </c>
      <c r="Q1074" t="str">
        <f t="shared" si="89"/>
        <v/>
      </c>
    </row>
    <row r="1075" spans="1:17" hidden="1">
      <c r="A1075" t="s">
        <v>1180</v>
      </c>
      <c r="B1075" s="1">
        <v>45067</v>
      </c>
      <c r="C1075">
        <v>2023</v>
      </c>
      <c r="D1075">
        <v>5</v>
      </c>
      <c r="E1075" t="s">
        <v>23</v>
      </c>
      <c r="F1075" t="s">
        <v>14</v>
      </c>
      <c r="G1075" t="s">
        <v>25</v>
      </c>
      <c r="H1075" t="s">
        <v>35</v>
      </c>
      <c r="I1075">
        <v>7165.79</v>
      </c>
      <c r="J1075">
        <v>7254.75</v>
      </c>
      <c r="K1075" t="s">
        <v>17</v>
      </c>
      <c r="L1075" t="b">
        <v>0</v>
      </c>
      <c r="N1075" s="2" t="str">
        <f t="shared" si="88"/>
        <v/>
      </c>
      <c r="Q1075" t="str">
        <f t="shared" si="89"/>
        <v/>
      </c>
    </row>
    <row r="1076" spans="1:17" hidden="1">
      <c r="A1076" t="s">
        <v>1181</v>
      </c>
      <c r="B1076" s="1">
        <v>45067</v>
      </c>
      <c r="C1076">
        <v>2023</v>
      </c>
      <c r="D1076">
        <v>5</v>
      </c>
      <c r="E1076" t="s">
        <v>23</v>
      </c>
      <c r="F1076" t="s">
        <v>28</v>
      </c>
      <c r="G1076" t="s">
        <v>141</v>
      </c>
      <c r="H1076" t="s">
        <v>142</v>
      </c>
      <c r="I1076">
        <v>8695.57</v>
      </c>
      <c r="J1076">
        <v>7915.87</v>
      </c>
      <c r="K1076" t="s">
        <v>17</v>
      </c>
      <c r="L1076" t="b">
        <v>0</v>
      </c>
      <c r="N1076" s="2" t="str">
        <f t="shared" si="88"/>
        <v/>
      </c>
      <c r="Q1076" t="str">
        <f t="shared" si="89"/>
        <v/>
      </c>
    </row>
    <row r="1077" spans="1:17" hidden="1">
      <c r="A1077" t="s">
        <v>1182</v>
      </c>
      <c r="B1077" s="1">
        <v>45067</v>
      </c>
      <c r="C1077">
        <v>2023</v>
      </c>
      <c r="D1077">
        <v>5</v>
      </c>
      <c r="E1077" t="s">
        <v>23</v>
      </c>
      <c r="F1077" t="s">
        <v>24</v>
      </c>
      <c r="G1077" t="s">
        <v>30</v>
      </c>
      <c r="H1077" t="s">
        <v>33</v>
      </c>
      <c r="I1077">
        <v>4541.03</v>
      </c>
      <c r="J1077">
        <v>4696.76</v>
      </c>
      <c r="K1077" t="s">
        <v>17</v>
      </c>
      <c r="L1077" t="b">
        <v>0</v>
      </c>
      <c r="N1077" s="2" t="str">
        <f t="shared" si="88"/>
        <v/>
      </c>
      <c r="Q1077" t="str">
        <f t="shared" si="89"/>
        <v/>
      </c>
    </row>
    <row r="1078" spans="1:17" hidden="1">
      <c r="A1078" t="s">
        <v>1183</v>
      </c>
      <c r="B1078" s="1">
        <v>45067</v>
      </c>
      <c r="C1078">
        <v>2023</v>
      </c>
      <c r="D1078">
        <v>5</v>
      </c>
      <c r="E1078" t="s">
        <v>37</v>
      </c>
      <c r="F1078" t="s">
        <v>28</v>
      </c>
      <c r="G1078" t="s">
        <v>98</v>
      </c>
      <c r="H1078" t="s">
        <v>99</v>
      </c>
      <c r="I1078">
        <v>2980.01</v>
      </c>
      <c r="J1078">
        <v>3083.79</v>
      </c>
      <c r="K1078" t="s">
        <v>17</v>
      </c>
      <c r="L1078" t="b">
        <v>0</v>
      </c>
      <c r="N1078" s="2" t="str">
        <f t="shared" si="88"/>
        <v/>
      </c>
      <c r="Q1078" t="str">
        <f t="shared" si="89"/>
        <v/>
      </c>
    </row>
    <row r="1079" spans="1:17" hidden="1">
      <c r="A1079" t="s">
        <v>1184</v>
      </c>
      <c r="B1079" s="1">
        <v>45067</v>
      </c>
      <c r="C1079">
        <v>2023</v>
      </c>
      <c r="D1079">
        <v>5</v>
      </c>
      <c r="E1079" t="s">
        <v>37</v>
      </c>
      <c r="F1079" t="s">
        <v>28</v>
      </c>
      <c r="G1079" t="s">
        <v>83</v>
      </c>
      <c r="H1079" t="s">
        <v>84</v>
      </c>
      <c r="I1079">
        <v>155702.73000000001</v>
      </c>
      <c r="J1079">
        <v>147917.59</v>
      </c>
      <c r="K1079" t="s">
        <v>85</v>
      </c>
      <c r="L1079" t="b">
        <v>0</v>
      </c>
      <c r="N1079" s="2" t="str">
        <f t="shared" si="88"/>
        <v/>
      </c>
      <c r="Q1079" t="str">
        <f t="shared" si="89"/>
        <v/>
      </c>
    </row>
    <row r="1080" spans="1:17" hidden="1">
      <c r="A1080" t="s">
        <v>1185</v>
      </c>
      <c r="B1080" s="1">
        <v>45068</v>
      </c>
      <c r="C1080">
        <v>2023</v>
      </c>
      <c r="D1080">
        <v>5</v>
      </c>
      <c r="E1080" t="s">
        <v>13</v>
      </c>
      <c r="F1080" t="s">
        <v>28</v>
      </c>
      <c r="G1080" t="s">
        <v>102</v>
      </c>
      <c r="H1080" t="s">
        <v>278</v>
      </c>
      <c r="I1080">
        <v>2817.06</v>
      </c>
      <c r="J1080">
        <v>2868.4</v>
      </c>
      <c r="K1080" t="s">
        <v>17</v>
      </c>
      <c r="L1080" t="b">
        <v>0</v>
      </c>
      <c r="N1080" s="2" t="str">
        <f t="shared" si="88"/>
        <v/>
      </c>
      <c r="Q1080" t="str">
        <f t="shared" si="89"/>
        <v/>
      </c>
    </row>
    <row r="1081" spans="1:17" hidden="1">
      <c r="A1081" t="s">
        <v>1186</v>
      </c>
      <c r="B1081" s="1">
        <v>45068</v>
      </c>
      <c r="C1081">
        <v>2023</v>
      </c>
      <c r="D1081">
        <v>5</v>
      </c>
      <c r="E1081" t="s">
        <v>13</v>
      </c>
      <c r="F1081" t="s">
        <v>24</v>
      </c>
      <c r="G1081" t="s">
        <v>15</v>
      </c>
      <c r="H1081" t="s">
        <v>45</v>
      </c>
      <c r="I1081">
        <v>3738.91</v>
      </c>
      <c r="J1081">
        <v>3749.27</v>
      </c>
      <c r="K1081" t="s">
        <v>17</v>
      </c>
      <c r="L1081" t="b">
        <v>0</v>
      </c>
      <c r="N1081" s="2" t="str">
        <f t="shared" si="88"/>
        <v/>
      </c>
      <c r="Q1081" t="str">
        <f t="shared" si="89"/>
        <v/>
      </c>
    </row>
    <row r="1082" spans="1:17" hidden="1">
      <c r="A1082" t="s">
        <v>1187</v>
      </c>
      <c r="B1082" s="1">
        <v>45068</v>
      </c>
      <c r="C1082">
        <v>2023</v>
      </c>
      <c r="D1082">
        <v>5</v>
      </c>
      <c r="E1082" t="s">
        <v>19</v>
      </c>
      <c r="F1082" t="s">
        <v>24</v>
      </c>
      <c r="G1082" t="s">
        <v>20</v>
      </c>
      <c r="H1082" t="s">
        <v>136</v>
      </c>
      <c r="I1082">
        <v>5462.36</v>
      </c>
      <c r="J1082">
        <v>5147.72</v>
      </c>
      <c r="K1082" t="s">
        <v>17</v>
      </c>
      <c r="L1082" t="b">
        <v>0</v>
      </c>
      <c r="N1082" s="2" t="str">
        <f t="shared" si="88"/>
        <v/>
      </c>
      <c r="Q1082" t="str">
        <f t="shared" si="89"/>
        <v/>
      </c>
    </row>
    <row r="1083" spans="1:17" hidden="1">
      <c r="A1083" t="s">
        <v>1188</v>
      </c>
      <c r="B1083" s="1">
        <v>45068</v>
      </c>
      <c r="C1083">
        <v>2023</v>
      </c>
      <c r="D1083">
        <v>5</v>
      </c>
      <c r="E1083" t="s">
        <v>23</v>
      </c>
      <c r="F1083" t="s">
        <v>24</v>
      </c>
      <c r="G1083" t="s">
        <v>25</v>
      </c>
      <c r="H1083" t="s">
        <v>26</v>
      </c>
      <c r="I1083">
        <v>2761.03</v>
      </c>
      <c r="J1083">
        <v>2598.3200000000002</v>
      </c>
      <c r="K1083" t="s">
        <v>17</v>
      </c>
      <c r="L1083" t="b">
        <v>0</v>
      </c>
      <c r="N1083" s="2" t="str">
        <f t="shared" si="88"/>
        <v/>
      </c>
      <c r="Q1083" t="str">
        <f t="shared" si="89"/>
        <v/>
      </c>
    </row>
    <row r="1084" spans="1:17" hidden="1">
      <c r="A1084" t="s">
        <v>1189</v>
      </c>
      <c r="B1084" s="1">
        <v>45069</v>
      </c>
      <c r="C1084">
        <v>2023</v>
      </c>
      <c r="D1084">
        <v>5</v>
      </c>
      <c r="E1084" t="s">
        <v>13</v>
      </c>
      <c r="F1084" t="s">
        <v>14</v>
      </c>
      <c r="G1084" t="s">
        <v>15</v>
      </c>
      <c r="H1084" t="s">
        <v>16</v>
      </c>
      <c r="I1084">
        <v>2079.63</v>
      </c>
      <c r="J1084">
        <v>2174.8200000000002</v>
      </c>
      <c r="K1084" t="s">
        <v>17</v>
      </c>
      <c r="L1084" t="b">
        <v>0</v>
      </c>
      <c r="N1084" s="2" t="str">
        <f t="shared" si="88"/>
        <v/>
      </c>
      <c r="Q1084" t="str">
        <f t="shared" si="89"/>
        <v/>
      </c>
    </row>
    <row r="1085" spans="1:17" hidden="1">
      <c r="A1085" t="s">
        <v>1190</v>
      </c>
      <c r="B1085" s="1">
        <v>45069</v>
      </c>
      <c r="C1085">
        <v>2023</v>
      </c>
      <c r="D1085">
        <v>5</v>
      </c>
      <c r="E1085" t="s">
        <v>13</v>
      </c>
      <c r="F1085" t="s">
        <v>24</v>
      </c>
      <c r="G1085" t="s">
        <v>68</v>
      </c>
      <c r="H1085" t="s">
        <v>87</v>
      </c>
      <c r="I1085">
        <v>4366.7</v>
      </c>
      <c r="J1085">
        <v>3998.55</v>
      </c>
      <c r="K1085" t="s">
        <v>17</v>
      </c>
      <c r="L1085" t="b">
        <v>0</v>
      </c>
      <c r="N1085" s="2" t="str">
        <f t="shared" si="88"/>
        <v/>
      </c>
      <c r="Q1085" t="str">
        <f t="shared" si="89"/>
        <v/>
      </c>
    </row>
    <row r="1086" spans="1:17" hidden="1">
      <c r="A1086" t="s">
        <v>1191</v>
      </c>
      <c r="B1086" s="1">
        <v>45069</v>
      </c>
      <c r="C1086">
        <v>2023</v>
      </c>
      <c r="D1086">
        <v>5</v>
      </c>
      <c r="E1086" t="s">
        <v>47</v>
      </c>
      <c r="F1086" t="s">
        <v>28</v>
      </c>
      <c r="G1086" t="s">
        <v>91</v>
      </c>
      <c r="H1086" t="s">
        <v>128</v>
      </c>
      <c r="I1086">
        <v>16307.56</v>
      </c>
      <c r="J1086">
        <v>14168.14</v>
      </c>
      <c r="K1086" t="s">
        <v>17</v>
      </c>
      <c r="L1086" t="b">
        <v>0</v>
      </c>
      <c r="N1086" s="2" t="b">
        <f t="shared" si="88"/>
        <v>1</v>
      </c>
      <c r="O1086" t="str">
        <f t="shared" ref="O1086:O1087" si="93">IF(AND(E1075="HR",K1075="EXPENSE"),I1075&lt;J1075,"")</f>
        <v/>
      </c>
      <c r="Q1086" t="str">
        <f t="shared" si="89"/>
        <v/>
      </c>
    </row>
    <row r="1087" spans="1:17" hidden="1">
      <c r="A1087" t="s">
        <v>1192</v>
      </c>
      <c r="B1087" s="1">
        <v>45069</v>
      </c>
      <c r="C1087">
        <v>2023</v>
      </c>
      <c r="D1087">
        <v>5</v>
      </c>
      <c r="E1087" t="s">
        <v>47</v>
      </c>
      <c r="F1087" t="s">
        <v>28</v>
      </c>
      <c r="G1087" t="s">
        <v>51</v>
      </c>
      <c r="H1087" t="s">
        <v>52</v>
      </c>
      <c r="I1087">
        <v>11360.88</v>
      </c>
      <c r="J1087">
        <v>9437.32</v>
      </c>
      <c r="K1087" t="s">
        <v>17</v>
      </c>
      <c r="L1087" t="b">
        <v>0</v>
      </c>
      <c r="N1087" s="2" t="b">
        <f t="shared" si="88"/>
        <v>1</v>
      </c>
      <c r="O1087" t="str">
        <f t="shared" si="93"/>
        <v/>
      </c>
      <c r="Q1087" t="str">
        <f t="shared" si="89"/>
        <v/>
      </c>
    </row>
    <row r="1088" spans="1:17" hidden="1">
      <c r="A1088" t="s">
        <v>1193</v>
      </c>
      <c r="B1088" s="1">
        <v>45069</v>
      </c>
      <c r="C1088">
        <v>2023</v>
      </c>
      <c r="D1088">
        <v>5</v>
      </c>
      <c r="E1088" t="s">
        <v>23</v>
      </c>
      <c r="F1088" t="s">
        <v>24</v>
      </c>
      <c r="G1088" t="s">
        <v>25</v>
      </c>
      <c r="H1088" t="s">
        <v>26</v>
      </c>
      <c r="I1088">
        <v>3154.07</v>
      </c>
      <c r="J1088">
        <v>3450.98</v>
      </c>
      <c r="K1088" t="s">
        <v>17</v>
      </c>
      <c r="L1088" t="b">
        <v>0</v>
      </c>
      <c r="N1088" s="2" t="str">
        <f t="shared" si="88"/>
        <v/>
      </c>
      <c r="Q1088" t="str">
        <f t="shared" si="89"/>
        <v/>
      </c>
    </row>
    <row r="1089" spans="1:17" hidden="1">
      <c r="A1089" t="s">
        <v>1194</v>
      </c>
      <c r="B1089" s="1">
        <v>45069</v>
      </c>
      <c r="C1089">
        <v>2023</v>
      </c>
      <c r="D1089">
        <v>5</v>
      </c>
      <c r="E1089" t="s">
        <v>37</v>
      </c>
      <c r="F1089" t="s">
        <v>24</v>
      </c>
      <c r="G1089" t="s">
        <v>41</v>
      </c>
      <c r="H1089" t="s">
        <v>42</v>
      </c>
      <c r="I1089">
        <v>5148.45</v>
      </c>
      <c r="J1089">
        <v>5178.99</v>
      </c>
      <c r="K1089" t="s">
        <v>17</v>
      </c>
      <c r="L1089" t="b">
        <v>0</v>
      </c>
      <c r="N1089" s="2" t="str">
        <f t="shared" si="88"/>
        <v/>
      </c>
      <c r="Q1089" t="str">
        <f t="shared" si="89"/>
        <v/>
      </c>
    </row>
    <row r="1090" spans="1:17" hidden="1">
      <c r="A1090" t="s">
        <v>1195</v>
      </c>
      <c r="B1090" s="1">
        <v>45069</v>
      </c>
      <c r="C1090">
        <v>2023</v>
      </c>
      <c r="D1090">
        <v>5</v>
      </c>
      <c r="E1090" t="s">
        <v>37</v>
      </c>
      <c r="F1090" t="s">
        <v>14</v>
      </c>
      <c r="G1090" t="s">
        <v>83</v>
      </c>
      <c r="H1090" t="s">
        <v>84</v>
      </c>
      <c r="I1090">
        <v>281036.45</v>
      </c>
      <c r="J1090">
        <v>266984.63</v>
      </c>
      <c r="K1090" t="s">
        <v>85</v>
      </c>
      <c r="L1090" t="b">
        <v>0</v>
      </c>
      <c r="N1090" s="2" t="str">
        <f t="shared" si="88"/>
        <v/>
      </c>
      <c r="Q1090" t="str">
        <f t="shared" si="89"/>
        <v/>
      </c>
    </row>
    <row r="1091" spans="1:17" hidden="1">
      <c r="A1091" t="s">
        <v>1196</v>
      </c>
      <c r="B1091" s="1">
        <v>45070</v>
      </c>
      <c r="C1091">
        <v>2023</v>
      </c>
      <c r="D1091">
        <v>5</v>
      </c>
      <c r="E1091" t="s">
        <v>47</v>
      </c>
      <c r="F1091" t="s">
        <v>28</v>
      </c>
      <c r="G1091" t="s">
        <v>51</v>
      </c>
      <c r="H1091" t="s">
        <v>72</v>
      </c>
      <c r="I1091">
        <v>17329.419999999998</v>
      </c>
      <c r="J1091">
        <v>14704.26</v>
      </c>
      <c r="K1091" t="s">
        <v>17</v>
      </c>
      <c r="L1091" t="b">
        <v>0</v>
      </c>
      <c r="N1091" s="2" t="b">
        <f t="shared" ref="N1091:N1154" si="94">IF(AND(E1091="IT",K1091="EXPENSE"),I1091&gt;J1091,"")</f>
        <v>1</v>
      </c>
      <c r="O1091" t="b">
        <f t="shared" ref="O1091:O1092" si="95">IF(AND(E1080="HR",K1080="EXPENSE"),I1080&lt;J1080,"")</f>
        <v>1</v>
      </c>
      <c r="Q1091" t="str">
        <f t="shared" ref="Q1091:Q1154" si="96">IF(L1091=TRUE,OR(H1091="Apex Solutions Inc",H1091="Global Trade Partners",H1091="NovaTech Services"),"")</f>
        <v/>
      </c>
    </row>
    <row r="1092" spans="1:17" hidden="1">
      <c r="A1092" t="s">
        <v>1197</v>
      </c>
      <c r="B1092" s="1">
        <v>45070</v>
      </c>
      <c r="C1092">
        <v>2023</v>
      </c>
      <c r="D1092">
        <v>5</v>
      </c>
      <c r="E1092" t="s">
        <v>47</v>
      </c>
      <c r="F1092" t="s">
        <v>28</v>
      </c>
      <c r="G1092" t="s">
        <v>48</v>
      </c>
      <c r="H1092" t="s">
        <v>111</v>
      </c>
      <c r="I1092">
        <v>14347.58</v>
      </c>
      <c r="J1092">
        <v>11921.38</v>
      </c>
      <c r="K1092" t="s">
        <v>17</v>
      </c>
      <c r="L1092" t="b">
        <v>0</v>
      </c>
      <c r="N1092" s="2" t="b">
        <f t="shared" si="94"/>
        <v>1</v>
      </c>
      <c r="O1092" t="b">
        <f t="shared" si="95"/>
        <v>1</v>
      </c>
      <c r="Q1092" t="str">
        <f t="shared" si="96"/>
        <v/>
      </c>
    </row>
    <row r="1093" spans="1:17" hidden="1">
      <c r="A1093" t="s">
        <v>1198</v>
      </c>
      <c r="B1093" s="1">
        <v>45070</v>
      </c>
      <c r="C1093">
        <v>2023</v>
      </c>
      <c r="D1093">
        <v>5</v>
      </c>
      <c r="E1093" t="s">
        <v>19</v>
      </c>
      <c r="F1093" t="s">
        <v>14</v>
      </c>
      <c r="G1093" t="s">
        <v>132</v>
      </c>
      <c r="H1093" t="s">
        <v>138</v>
      </c>
      <c r="I1093">
        <v>5957.96</v>
      </c>
      <c r="J1093">
        <v>5954.02</v>
      </c>
      <c r="K1093" t="s">
        <v>17</v>
      </c>
      <c r="L1093" t="b">
        <v>0</v>
      </c>
      <c r="N1093" s="2" t="str">
        <f t="shared" si="94"/>
        <v/>
      </c>
      <c r="Q1093" t="str">
        <f t="shared" si="96"/>
        <v/>
      </c>
    </row>
    <row r="1094" spans="1:17" hidden="1">
      <c r="A1094" t="s">
        <v>1199</v>
      </c>
      <c r="B1094" s="1">
        <v>45070</v>
      </c>
      <c r="C1094">
        <v>2023</v>
      </c>
      <c r="D1094">
        <v>5</v>
      </c>
      <c r="E1094" t="s">
        <v>23</v>
      </c>
      <c r="F1094" t="s">
        <v>14</v>
      </c>
      <c r="G1094" t="s">
        <v>141</v>
      </c>
      <c r="H1094" t="s">
        <v>153</v>
      </c>
      <c r="I1094">
        <v>2279.0300000000002</v>
      </c>
      <c r="J1094">
        <v>2125.44</v>
      </c>
      <c r="K1094" t="s">
        <v>17</v>
      </c>
      <c r="L1094" t="b">
        <v>0</v>
      </c>
      <c r="N1094" s="2" t="str">
        <f t="shared" si="94"/>
        <v/>
      </c>
      <c r="Q1094" t="str">
        <f t="shared" si="96"/>
        <v/>
      </c>
    </row>
    <row r="1095" spans="1:17" hidden="1">
      <c r="A1095" t="s">
        <v>1200</v>
      </c>
      <c r="B1095" s="1">
        <v>45070</v>
      </c>
      <c r="C1095">
        <v>2023</v>
      </c>
      <c r="D1095">
        <v>5</v>
      </c>
      <c r="E1095" t="s">
        <v>23</v>
      </c>
      <c r="F1095" t="s">
        <v>14</v>
      </c>
      <c r="G1095" t="s">
        <v>25</v>
      </c>
      <c r="H1095" t="s">
        <v>35</v>
      </c>
      <c r="I1095">
        <v>5581.26</v>
      </c>
      <c r="J1095">
        <v>5285.42</v>
      </c>
      <c r="K1095" t="s">
        <v>17</v>
      </c>
      <c r="L1095" t="b">
        <v>0</v>
      </c>
      <c r="N1095" s="2" t="str">
        <f t="shared" si="94"/>
        <v/>
      </c>
      <c r="Q1095" t="str">
        <f t="shared" si="96"/>
        <v/>
      </c>
    </row>
    <row r="1096" spans="1:17" hidden="1">
      <c r="A1096" t="s">
        <v>1201</v>
      </c>
      <c r="B1096" s="1">
        <v>45070</v>
      </c>
      <c r="C1096">
        <v>2023</v>
      </c>
      <c r="D1096">
        <v>5</v>
      </c>
      <c r="E1096" t="s">
        <v>37</v>
      </c>
      <c r="F1096" t="s">
        <v>14</v>
      </c>
      <c r="G1096" t="s">
        <v>62</v>
      </c>
      <c r="H1096" t="s">
        <v>360</v>
      </c>
      <c r="I1096">
        <v>3838.64</v>
      </c>
      <c r="J1096">
        <v>3550.26</v>
      </c>
      <c r="K1096" t="s">
        <v>17</v>
      </c>
      <c r="L1096" t="b">
        <v>0</v>
      </c>
      <c r="N1096" s="2" t="str">
        <f t="shared" si="94"/>
        <v/>
      </c>
      <c r="Q1096" t="str">
        <f t="shared" si="96"/>
        <v/>
      </c>
    </row>
    <row r="1097" spans="1:17" hidden="1">
      <c r="A1097" t="s">
        <v>1202</v>
      </c>
      <c r="B1097" s="1">
        <v>45071</v>
      </c>
      <c r="C1097">
        <v>2023</v>
      </c>
      <c r="D1097">
        <v>5</v>
      </c>
      <c r="E1097" t="s">
        <v>13</v>
      </c>
      <c r="F1097" t="s">
        <v>28</v>
      </c>
      <c r="G1097" t="s">
        <v>68</v>
      </c>
      <c r="H1097" t="s">
        <v>69</v>
      </c>
      <c r="I1097">
        <v>4077.4</v>
      </c>
      <c r="J1097">
        <v>4129.6499999999996</v>
      </c>
      <c r="K1097" t="s">
        <v>17</v>
      </c>
      <c r="L1097" t="b">
        <v>0</v>
      </c>
      <c r="N1097" s="2" t="str">
        <f t="shared" si="94"/>
        <v/>
      </c>
      <c r="Q1097" t="str">
        <f t="shared" si="96"/>
        <v/>
      </c>
    </row>
    <row r="1098" spans="1:17" hidden="1">
      <c r="A1098" t="s">
        <v>1203</v>
      </c>
      <c r="B1098" s="1">
        <v>45071</v>
      </c>
      <c r="C1098">
        <v>2023</v>
      </c>
      <c r="D1098">
        <v>5</v>
      </c>
      <c r="E1098" t="s">
        <v>47</v>
      </c>
      <c r="F1098" t="s">
        <v>28</v>
      </c>
      <c r="G1098" t="s">
        <v>91</v>
      </c>
      <c r="H1098" t="s">
        <v>254</v>
      </c>
      <c r="I1098">
        <v>11159.8</v>
      </c>
      <c r="J1098">
        <v>9421.82</v>
      </c>
      <c r="K1098" t="s">
        <v>17</v>
      </c>
      <c r="L1098" t="b">
        <v>0</v>
      </c>
      <c r="N1098" s="2" t="b">
        <f t="shared" si="94"/>
        <v>1</v>
      </c>
      <c r="O1098" t="str">
        <f t="shared" ref="O1098:O1099" si="97">IF(AND(E1087="HR",K1087="EXPENSE"),I1087&lt;J1087,"")</f>
        <v/>
      </c>
      <c r="Q1098" t="str">
        <f t="shared" si="96"/>
        <v/>
      </c>
    </row>
    <row r="1099" spans="1:17" hidden="1">
      <c r="A1099" t="s">
        <v>1204</v>
      </c>
      <c r="B1099" s="1">
        <v>45071</v>
      </c>
      <c r="C1099">
        <v>2023</v>
      </c>
      <c r="D1099">
        <v>5</v>
      </c>
      <c r="E1099" t="s">
        <v>47</v>
      </c>
      <c r="F1099" t="s">
        <v>28</v>
      </c>
      <c r="G1099" t="s">
        <v>77</v>
      </c>
      <c r="H1099" t="s">
        <v>147</v>
      </c>
      <c r="I1099">
        <v>15735.29</v>
      </c>
      <c r="J1099">
        <v>12899.39</v>
      </c>
      <c r="K1099" t="s">
        <v>17</v>
      </c>
      <c r="L1099" t="b">
        <v>0</v>
      </c>
      <c r="N1099" s="2" t="b">
        <f t="shared" si="94"/>
        <v>1</v>
      </c>
      <c r="O1099" t="str">
        <f t="shared" si="97"/>
        <v/>
      </c>
      <c r="Q1099" t="str">
        <f t="shared" si="96"/>
        <v/>
      </c>
    </row>
    <row r="1100" spans="1:17">
      <c r="A1100" t="s">
        <v>1205</v>
      </c>
      <c r="B1100" s="1">
        <v>45071</v>
      </c>
      <c r="C1100">
        <v>2023</v>
      </c>
      <c r="D1100">
        <v>5</v>
      </c>
      <c r="E1100" t="s">
        <v>19</v>
      </c>
      <c r="F1100" t="s">
        <v>28</v>
      </c>
      <c r="G1100" t="s">
        <v>20</v>
      </c>
      <c r="H1100" t="s">
        <v>207</v>
      </c>
      <c r="I1100">
        <v>50500.74</v>
      </c>
      <c r="J1100">
        <v>11218.15</v>
      </c>
      <c r="K1100" t="s">
        <v>17</v>
      </c>
      <c r="L1100" t="b">
        <v>1</v>
      </c>
      <c r="N1100" s="2" t="str">
        <f t="shared" si="94"/>
        <v/>
      </c>
      <c r="Q1100" t="b">
        <f t="shared" si="96"/>
        <v>1</v>
      </c>
    </row>
    <row r="1101" spans="1:17" hidden="1">
      <c r="A1101" t="s">
        <v>1206</v>
      </c>
      <c r="B1101" s="1">
        <v>45071</v>
      </c>
      <c r="C1101">
        <v>2023</v>
      </c>
      <c r="D1101">
        <v>5</v>
      </c>
      <c r="E1101" t="s">
        <v>19</v>
      </c>
      <c r="F1101" t="s">
        <v>24</v>
      </c>
      <c r="G1101" t="s">
        <v>54</v>
      </c>
      <c r="H1101" t="s">
        <v>55</v>
      </c>
      <c r="I1101">
        <v>7770.88</v>
      </c>
      <c r="J1101">
        <v>8315.39</v>
      </c>
      <c r="K1101" t="s">
        <v>17</v>
      </c>
      <c r="L1101" t="b">
        <v>0</v>
      </c>
      <c r="N1101" s="2" t="str">
        <f t="shared" si="94"/>
        <v/>
      </c>
      <c r="Q1101" t="str">
        <f t="shared" si="96"/>
        <v/>
      </c>
    </row>
    <row r="1102" spans="1:17" hidden="1">
      <c r="A1102" t="s">
        <v>1207</v>
      </c>
      <c r="B1102" s="1">
        <v>45071</v>
      </c>
      <c r="C1102">
        <v>2023</v>
      </c>
      <c r="D1102">
        <v>5</v>
      </c>
      <c r="E1102" t="s">
        <v>19</v>
      </c>
      <c r="F1102" t="s">
        <v>24</v>
      </c>
      <c r="G1102" t="s">
        <v>80</v>
      </c>
      <c r="H1102" t="s">
        <v>113</v>
      </c>
      <c r="I1102">
        <v>8235.31</v>
      </c>
      <c r="J1102">
        <v>7739.9</v>
      </c>
      <c r="K1102" t="s">
        <v>17</v>
      </c>
      <c r="L1102" t="b">
        <v>0</v>
      </c>
      <c r="N1102" s="2" t="str">
        <f t="shared" si="94"/>
        <v/>
      </c>
      <c r="Q1102" t="str">
        <f t="shared" si="96"/>
        <v/>
      </c>
    </row>
    <row r="1103" spans="1:17" hidden="1">
      <c r="A1103" t="s">
        <v>1208</v>
      </c>
      <c r="B1103" s="1">
        <v>45071</v>
      </c>
      <c r="C1103">
        <v>2023</v>
      </c>
      <c r="D1103">
        <v>5</v>
      </c>
      <c r="E1103" t="s">
        <v>23</v>
      </c>
      <c r="F1103" t="s">
        <v>14</v>
      </c>
      <c r="G1103" t="s">
        <v>25</v>
      </c>
      <c r="H1103" t="s">
        <v>95</v>
      </c>
      <c r="I1103">
        <v>7712.93</v>
      </c>
      <c r="J1103">
        <v>8235.86</v>
      </c>
      <c r="K1103" t="s">
        <v>17</v>
      </c>
      <c r="L1103" t="b">
        <v>0</v>
      </c>
      <c r="N1103" s="2" t="str">
        <f t="shared" si="94"/>
        <v/>
      </c>
      <c r="Q1103" t="str">
        <f t="shared" si="96"/>
        <v/>
      </c>
    </row>
    <row r="1104" spans="1:17" hidden="1">
      <c r="A1104" t="s">
        <v>1209</v>
      </c>
      <c r="B1104" s="1">
        <v>45071</v>
      </c>
      <c r="C1104">
        <v>2023</v>
      </c>
      <c r="D1104">
        <v>5</v>
      </c>
      <c r="E1104" t="s">
        <v>37</v>
      </c>
      <c r="F1104" t="s">
        <v>24</v>
      </c>
      <c r="G1104" t="s">
        <v>38</v>
      </c>
      <c r="H1104" t="s">
        <v>39</v>
      </c>
      <c r="I1104">
        <v>4602.1899999999996</v>
      </c>
      <c r="J1104">
        <v>4294.53</v>
      </c>
      <c r="K1104" t="s">
        <v>17</v>
      </c>
      <c r="L1104" t="b">
        <v>0</v>
      </c>
      <c r="N1104" s="2" t="str">
        <f t="shared" si="94"/>
        <v/>
      </c>
      <c r="Q1104" t="str">
        <f t="shared" si="96"/>
        <v/>
      </c>
    </row>
    <row r="1105" spans="1:17" hidden="1">
      <c r="A1105" t="s">
        <v>1210</v>
      </c>
      <c r="B1105" s="1">
        <v>45072</v>
      </c>
      <c r="C1105">
        <v>2023</v>
      </c>
      <c r="D1105">
        <v>5</v>
      </c>
      <c r="E1105" t="s">
        <v>13</v>
      </c>
      <c r="F1105" t="s">
        <v>28</v>
      </c>
      <c r="G1105" t="s">
        <v>68</v>
      </c>
      <c r="H1105" t="s">
        <v>69</v>
      </c>
      <c r="I1105">
        <v>2782.35</v>
      </c>
      <c r="J1105">
        <v>2619.35</v>
      </c>
      <c r="K1105" t="s">
        <v>17</v>
      </c>
      <c r="L1105" t="b">
        <v>0</v>
      </c>
      <c r="N1105" s="2" t="str">
        <f t="shared" si="94"/>
        <v/>
      </c>
      <c r="Q1105" t="str">
        <f t="shared" si="96"/>
        <v/>
      </c>
    </row>
    <row r="1106" spans="1:17" hidden="1">
      <c r="A1106" t="s">
        <v>1211</v>
      </c>
      <c r="B1106" s="1">
        <v>45072</v>
      </c>
      <c r="C1106">
        <v>2023</v>
      </c>
      <c r="D1106">
        <v>5</v>
      </c>
      <c r="E1106" t="s">
        <v>47</v>
      </c>
      <c r="F1106" t="s">
        <v>14</v>
      </c>
      <c r="G1106" t="s">
        <v>77</v>
      </c>
      <c r="H1106" t="s">
        <v>78</v>
      </c>
      <c r="I1106">
        <v>6721.56</v>
      </c>
      <c r="J1106">
        <v>5547.57</v>
      </c>
      <c r="K1106" t="s">
        <v>17</v>
      </c>
      <c r="L1106" t="b">
        <v>0</v>
      </c>
      <c r="N1106" s="2" t="b">
        <f t="shared" si="94"/>
        <v>1</v>
      </c>
      <c r="O1106" t="str">
        <f>IF(AND(E1095="HR",K1095="EXPENSE"),I1095&lt;J1095,"")</f>
        <v/>
      </c>
      <c r="Q1106" t="str">
        <f t="shared" si="96"/>
        <v/>
      </c>
    </row>
    <row r="1107" spans="1:17" hidden="1">
      <c r="A1107" t="s">
        <v>1212</v>
      </c>
      <c r="B1107" s="1">
        <v>45072</v>
      </c>
      <c r="C1107">
        <v>2023</v>
      </c>
      <c r="D1107">
        <v>5</v>
      </c>
      <c r="E1107" t="s">
        <v>19</v>
      </c>
      <c r="F1107" t="s">
        <v>28</v>
      </c>
      <c r="G1107" t="s">
        <v>20</v>
      </c>
      <c r="H1107" t="s">
        <v>21</v>
      </c>
      <c r="I1107">
        <v>5816.19</v>
      </c>
      <c r="J1107">
        <v>6358.31</v>
      </c>
      <c r="K1107" t="s">
        <v>17</v>
      </c>
      <c r="L1107" t="b">
        <v>0</v>
      </c>
      <c r="N1107" s="2" t="str">
        <f t="shared" si="94"/>
        <v/>
      </c>
      <c r="Q1107" t="str">
        <f t="shared" si="96"/>
        <v/>
      </c>
    </row>
    <row r="1108" spans="1:17" hidden="1">
      <c r="A1108" t="s">
        <v>1213</v>
      </c>
      <c r="B1108" s="1">
        <v>45072</v>
      </c>
      <c r="C1108">
        <v>2023</v>
      </c>
      <c r="D1108">
        <v>5</v>
      </c>
      <c r="E1108" t="s">
        <v>19</v>
      </c>
      <c r="F1108" t="s">
        <v>24</v>
      </c>
      <c r="G1108" t="s">
        <v>80</v>
      </c>
      <c r="H1108" t="s">
        <v>81</v>
      </c>
      <c r="I1108">
        <v>3852.6</v>
      </c>
      <c r="J1108">
        <v>3507.68</v>
      </c>
      <c r="K1108" t="s">
        <v>17</v>
      </c>
      <c r="L1108" t="b">
        <v>0</v>
      </c>
      <c r="N1108" s="2" t="str">
        <f t="shared" si="94"/>
        <v/>
      </c>
      <c r="Q1108" t="str">
        <f t="shared" si="96"/>
        <v/>
      </c>
    </row>
    <row r="1109" spans="1:17" hidden="1">
      <c r="A1109" t="s">
        <v>1214</v>
      </c>
      <c r="B1109" s="1">
        <v>45072</v>
      </c>
      <c r="C1109">
        <v>2023</v>
      </c>
      <c r="D1109">
        <v>5</v>
      </c>
      <c r="E1109" t="s">
        <v>23</v>
      </c>
      <c r="F1109" t="s">
        <v>14</v>
      </c>
      <c r="G1109" t="s">
        <v>30</v>
      </c>
      <c r="H1109" t="s">
        <v>31</v>
      </c>
      <c r="I1109">
        <v>5940.38</v>
      </c>
      <c r="J1109">
        <v>6495.25</v>
      </c>
      <c r="K1109" t="s">
        <v>17</v>
      </c>
      <c r="L1109" t="b">
        <v>0</v>
      </c>
      <c r="N1109" s="2" t="str">
        <f t="shared" si="94"/>
        <v/>
      </c>
      <c r="Q1109" t="str">
        <f t="shared" si="96"/>
        <v/>
      </c>
    </row>
    <row r="1110" spans="1:17" hidden="1">
      <c r="A1110" t="s">
        <v>1215</v>
      </c>
      <c r="B1110" s="1">
        <v>45072</v>
      </c>
      <c r="C1110">
        <v>2023</v>
      </c>
      <c r="D1110">
        <v>5</v>
      </c>
      <c r="E1110" t="s">
        <v>23</v>
      </c>
      <c r="F1110" t="s">
        <v>28</v>
      </c>
      <c r="G1110" t="s">
        <v>59</v>
      </c>
      <c r="H1110" t="s">
        <v>155</v>
      </c>
      <c r="I1110">
        <v>4712.37</v>
      </c>
      <c r="J1110">
        <v>5062.41</v>
      </c>
      <c r="K1110" t="s">
        <v>17</v>
      </c>
      <c r="L1110" t="b">
        <v>0</v>
      </c>
      <c r="N1110" s="2" t="str">
        <f t="shared" si="94"/>
        <v/>
      </c>
      <c r="Q1110" t="str">
        <f t="shared" si="96"/>
        <v/>
      </c>
    </row>
    <row r="1111" spans="1:17" hidden="1">
      <c r="A1111" t="s">
        <v>1216</v>
      </c>
      <c r="B1111" s="1">
        <v>45072</v>
      </c>
      <c r="C1111">
        <v>2023</v>
      </c>
      <c r="D1111">
        <v>5</v>
      </c>
      <c r="E1111" t="s">
        <v>37</v>
      </c>
      <c r="F1111" t="s">
        <v>14</v>
      </c>
      <c r="G1111" t="s">
        <v>38</v>
      </c>
      <c r="H1111" t="s">
        <v>39</v>
      </c>
      <c r="I1111">
        <v>1823.02</v>
      </c>
      <c r="J1111">
        <v>1834.3</v>
      </c>
      <c r="K1111" t="s">
        <v>17</v>
      </c>
      <c r="L1111" t="b">
        <v>0</v>
      </c>
      <c r="N1111" s="2" t="str">
        <f t="shared" si="94"/>
        <v/>
      </c>
      <c r="Q1111" t="str">
        <f t="shared" si="96"/>
        <v/>
      </c>
    </row>
    <row r="1112" spans="1:17" hidden="1">
      <c r="A1112" t="s">
        <v>1217</v>
      </c>
      <c r="B1112" s="1">
        <v>45072</v>
      </c>
      <c r="C1112">
        <v>2023</v>
      </c>
      <c r="D1112">
        <v>5</v>
      </c>
      <c r="E1112" t="s">
        <v>37</v>
      </c>
      <c r="F1112" t="s">
        <v>28</v>
      </c>
      <c r="G1112" t="s">
        <v>62</v>
      </c>
      <c r="H1112" t="s">
        <v>66</v>
      </c>
      <c r="I1112">
        <v>5502.21</v>
      </c>
      <c r="J1112">
        <v>6024.03</v>
      </c>
      <c r="K1112" t="s">
        <v>17</v>
      </c>
      <c r="L1112" t="b">
        <v>0</v>
      </c>
      <c r="N1112" s="2" t="str">
        <f t="shared" si="94"/>
        <v/>
      </c>
      <c r="Q1112" t="str">
        <f t="shared" si="96"/>
        <v/>
      </c>
    </row>
    <row r="1113" spans="1:17" hidden="1">
      <c r="A1113" t="s">
        <v>1218</v>
      </c>
      <c r="B1113" s="1">
        <v>45072</v>
      </c>
      <c r="C1113">
        <v>2023</v>
      </c>
      <c r="D1113">
        <v>5</v>
      </c>
      <c r="E1113" t="s">
        <v>37</v>
      </c>
      <c r="F1113" t="s">
        <v>24</v>
      </c>
      <c r="G1113" t="s">
        <v>62</v>
      </c>
      <c r="H1113" t="s">
        <v>66</v>
      </c>
      <c r="I1113">
        <v>3179.04</v>
      </c>
      <c r="J1113">
        <v>2909.61</v>
      </c>
      <c r="K1113" t="s">
        <v>17</v>
      </c>
      <c r="L1113" t="b">
        <v>0</v>
      </c>
      <c r="N1113" s="2" t="str">
        <f t="shared" si="94"/>
        <v/>
      </c>
      <c r="Q1113" t="str">
        <f t="shared" si="96"/>
        <v/>
      </c>
    </row>
    <row r="1114" spans="1:17" hidden="1">
      <c r="A1114" t="s">
        <v>1219</v>
      </c>
      <c r="B1114" s="1">
        <v>45073</v>
      </c>
      <c r="C1114">
        <v>2023</v>
      </c>
      <c r="D1114">
        <v>5</v>
      </c>
      <c r="E1114" t="s">
        <v>13</v>
      </c>
      <c r="F1114" t="s">
        <v>14</v>
      </c>
      <c r="G1114" t="s">
        <v>15</v>
      </c>
      <c r="H1114" t="s">
        <v>89</v>
      </c>
      <c r="I1114">
        <v>2930.29</v>
      </c>
      <c r="J1114">
        <v>2642.56</v>
      </c>
      <c r="K1114" t="s">
        <v>17</v>
      </c>
      <c r="L1114" t="b">
        <v>0</v>
      </c>
      <c r="N1114" s="2" t="str">
        <f t="shared" si="94"/>
        <v/>
      </c>
      <c r="Q1114" t="str">
        <f t="shared" si="96"/>
        <v/>
      </c>
    </row>
    <row r="1115" spans="1:17" hidden="1">
      <c r="A1115" t="s">
        <v>1220</v>
      </c>
      <c r="B1115" s="1">
        <v>45073</v>
      </c>
      <c r="C1115">
        <v>2023</v>
      </c>
      <c r="D1115">
        <v>5</v>
      </c>
      <c r="E1115" t="s">
        <v>13</v>
      </c>
      <c r="F1115" t="s">
        <v>28</v>
      </c>
      <c r="G1115" t="s">
        <v>68</v>
      </c>
      <c r="H1115" t="s">
        <v>213</v>
      </c>
      <c r="I1115">
        <v>3795.83</v>
      </c>
      <c r="J1115">
        <v>3668.44</v>
      </c>
      <c r="K1115" t="s">
        <v>17</v>
      </c>
      <c r="L1115" t="b">
        <v>0</v>
      </c>
      <c r="N1115" s="2" t="str">
        <f t="shared" si="94"/>
        <v/>
      </c>
      <c r="Q1115" t="str">
        <f t="shared" si="96"/>
        <v/>
      </c>
    </row>
    <row r="1116" spans="1:17" hidden="1">
      <c r="A1116" t="s">
        <v>1221</v>
      </c>
      <c r="B1116" s="1">
        <v>45073</v>
      </c>
      <c r="C1116">
        <v>2023</v>
      </c>
      <c r="D1116">
        <v>5</v>
      </c>
      <c r="E1116" t="s">
        <v>47</v>
      </c>
      <c r="F1116" t="s">
        <v>28</v>
      </c>
      <c r="G1116" t="s">
        <v>77</v>
      </c>
      <c r="H1116" t="s">
        <v>147</v>
      </c>
      <c r="I1116">
        <v>13914.79</v>
      </c>
      <c r="J1116">
        <v>11784.8</v>
      </c>
      <c r="K1116" t="s">
        <v>17</v>
      </c>
      <c r="L1116" t="b">
        <v>0</v>
      </c>
      <c r="N1116" s="2" t="b">
        <f t="shared" si="94"/>
        <v>1</v>
      </c>
      <c r="O1116" t="b">
        <f>IF(AND(E1105="HR",K1105="EXPENSE"),I1105&lt;J1105,"")</f>
        <v>0</v>
      </c>
      <c r="Q1116" t="str">
        <f t="shared" si="96"/>
        <v/>
      </c>
    </row>
    <row r="1117" spans="1:17" hidden="1">
      <c r="A1117" t="s">
        <v>1222</v>
      </c>
      <c r="B1117" s="1">
        <v>45073</v>
      </c>
      <c r="C1117">
        <v>2023</v>
      </c>
      <c r="D1117">
        <v>5</v>
      </c>
      <c r="E1117" t="s">
        <v>19</v>
      </c>
      <c r="F1117" t="s">
        <v>14</v>
      </c>
      <c r="G1117" t="s">
        <v>132</v>
      </c>
      <c r="H1117" t="s">
        <v>133</v>
      </c>
      <c r="I1117">
        <v>7335.79</v>
      </c>
      <c r="J1117">
        <v>7639.46</v>
      </c>
      <c r="K1117" t="s">
        <v>17</v>
      </c>
      <c r="L1117" t="b">
        <v>0</v>
      </c>
      <c r="N1117" s="2" t="str">
        <f t="shared" si="94"/>
        <v/>
      </c>
      <c r="Q1117" t="str">
        <f t="shared" si="96"/>
        <v/>
      </c>
    </row>
    <row r="1118" spans="1:17" hidden="1">
      <c r="A1118" t="s">
        <v>1223</v>
      </c>
      <c r="B1118" s="1">
        <v>45073</v>
      </c>
      <c r="C1118">
        <v>2023</v>
      </c>
      <c r="D1118">
        <v>5</v>
      </c>
      <c r="E1118" t="s">
        <v>19</v>
      </c>
      <c r="F1118" t="s">
        <v>28</v>
      </c>
      <c r="G1118" t="s">
        <v>80</v>
      </c>
      <c r="H1118" t="s">
        <v>217</v>
      </c>
      <c r="I1118">
        <v>7016.13</v>
      </c>
      <c r="J1118">
        <v>7591.37</v>
      </c>
      <c r="K1118" t="s">
        <v>17</v>
      </c>
      <c r="L1118" t="b">
        <v>0</v>
      </c>
      <c r="N1118" s="2" t="str">
        <f t="shared" si="94"/>
        <v/>
      </c>
      <c r="Q1118" t="str">
        <f t="shared" si="96"/>
        <v/>
      </c>
    </row>
    <row r="1119" spans="1:17" hidden="1">
      <c r="A1119" t="s">
        <v>1224</v>
      </c>
      <c r="B1119" s="1">
        <v>45073</v>
      </c>
      <c r="C1119">
        <v>2023</v>
      </c>
      <c r="D1119">
        <v>5</v>
      </c>
      <c r="E1119" t="s">
        <v>37</v>
      </c>
      <c r="F1119" t="s">
        <v>28</v>
      </c>
      <c r="G1119" t="s">
        <v>41</v>
      </c>
      <c r="H1119" t="s">
        <v>42</v>
      </c>
      <c r="I1119">
        <v>4293.13</v>
      </c>
      <c r="J1119">
        <v>3913.49</v>
      </c>
      <c r="K1119" t="s">
        <v>17</v>
      </c>
      <c r="L1119" t="b">
        <v>0</v>
      </c>
      <c r="N1119" s="2" t="str">
        <f t="shared" si="94"/>
        <v/>
      </c>
      <c r="Q1119" t="str">
        <f t="shared" si="96"/>
        <v/>
      </c>
    </row>
    <row r="1120" spans="1:17" hidden="1">
      <c r="A1120" t="s">
        <v>1225</v>
      </c>
      <c r="B1120" s="1">
        <v>45073</v>
      </c>
      <c r="C1120">
        <v>2023</v>
      </c>
      <c r="D1120">
        <v>5</v>
      </c>
      <c r="E1120" t="s">
        <v>37</v>
      </c>
      <c r="F1120" t="s">
        <v>24</v>
      </c>
      <c r="G1120" t="s">
        <v>98</v>
      </c>
      <c r="H1120" t="s">
        <v>185</v>
      </c>
      <c r="I1120">
        <v>6187.4</v>
      </c>
      <c r="J1120">
        <v>5750.95</v>
      </c>
      <c r="K1120" t="s">
        <v>17</v>
      </c>
      <c r="L1120" t="b">
        <v>0</v>
      </c>
      <c r="N1120" s="2" t="str">
        <f t="shared" si="94"/>
        <v/>
      </c>
      <c r="Q1120" t="str">
        <f t="shared" si="96"/>
        <v/>
      </c>
    </row>
    <row r="1121" spans="1:17" hidden="1">
      <c r="A1121" t="s">
        <v>1226</v>
      </c>
      <c r="B1121" s="1">
        <v>45073</v>
      </c>
      <c r="C1121">
        <v>2023</v>
      </c>
      <c r="D1121">
        <v>5</v>
      </c>
      <c r="E1121" t="s">
        <v>37</v>
      </c>
      <c r="F1121" t="s">
        <v>24</v>
      </c>
      <c r="G1121" t="s">
        <v>38</v>
      </c>
      <c r="H1121" t="s">
        <v>227</v>
      </c>
      <c r="I1121">
        <v>5854.14</v>
      </c>
      <c r="J1121">
        <v>6393.46</v>
      </c>
      <c r="K1121" t="s">
        <v>17</v>
      </c>
      <c r="L1121" t="b">
        <v>0</v>
      </c>
      <c r="N1121" s="2" t="str">
        <f t="shared" si="94"/>
        <v/>
      </c>
      <c r="Q1121" t="str">
        <f t="shared" si="96"/>
        <v/>
      </c>
    </row>
    <row r="1122" spans="1:17" hidden="1">
      <c r="A1122" t="s">
        <v>1227</v>
      </c>
      <c r="B1122" s="1">
        <v>45074</v>
      </c>
      <c r="C1122">
        <v>2023</v>
      </c>
      <c r="D1122">
        <v>5</v>
      </c>
      <c r="E1122" t="s">
        <v>13</v>
      </c>
      <c r="F1122" t="s">
        <v>14</v>
      </c>
      <c r="G1122" t="s">
        <v>15</v>
      </c>
      <c r="H1122" t="s">
        <v>16</v>
      </c>
      <c r="I1122">
        <v>3079.06</v>
      </c>
      <c r="J1122">
        <v>3259.24</v>
      </c>
      <c r="K1122" t="s">
        <v>17</v>
      </c>
      <c r="L1122" t="b">
        <v>0</v>
      </c>
      <c r="N1122" s="2" t="str">
        <f t="shared" si="94"/>
        <v/>
      </c>
      <c r="Q1122" t="str">
        <f t="shared" si="96"/>
        <v/>
      </c>
    </row>
    <row r="1123" spans="1:17" hidden="1">
      <c r="A1123" t="s">
        <v>1228</v>
      </c>
      <c r="B1123" s="1">
        <v>45074</v>
      </c>
      <c r="C1123">
        <v>2023</v>
      </c>
      <c r="D1123">
        <v>5</v>
      </c>
      <c r="E1123" t="s">
        <v>13</v>
      </c>
      <c r="F1123" t="s">
        <v>14</v>
      </c>
      <c r="G1123" t="s">
        <v>15</v>
      </c>
      <c r="H1123" t="s">
        <v>45</v>
      </c>
      <c r="I1123">
        <v>2014.42</v>
      </c>
      <c r="J1123">
        <v>2183</v>
      </c>
      <c r="K1123" t="s">
        <v>17</v>
      </c>
      <c r="L1123" t="b">
        <v>0</v>
      </c>
      <c r="N1123" s="2" t="str">
        <f t="shared" si="94"/>
        <v/>
      </c>
      <c r="Q1123" t="str">
        <f t="shared" si="96"/>
        <v/>
      </c>
    </row>
    <row r="1124" spans="1:17" hidden="1">
      <c r="A1124" t="s">
        <v>1229</v>
      </c>
      <c r="B1124" s="1">
        <v>45074</v>
      </c>
      <c r="C1124">
        <v>2023</v>
      </c>
      <c r="D1124">
        <v>5</v>
      </c>
      <c r="E1124" t="s">
        <v>13</v>
      </c>
      <c r="F1124" t="s">
        <v>28</v>
      </c>
      <c r="G1124" t="s">
        <v>15</v>
      </c>
      <c r="H1124" t="s">
        <v>45</v>
      </c>
      <c r="I1124">
        <v>3827.48</v>
      </c>
      <c r="J1124">
        <v>3857.4</v>
      </c>
      <c r="K1124" t="s">
        <v>17</v>
      </c>
      <c r="L1124" t="b">
        <v>0</v>
      </c>
      <c r="N1124" s="2" t="str">
        <f t="shared" si="94"/>
        <v/>
      </c>
      <c r="Q1124" t="str">
        <f t="shared" si="96"/>
        <v/>
      </c>
    </row>
    <row r="1125" spans="1:17" hidden="1">
      <c r="A1125" t="s">
        <v>1230</v>
      </c>
      <c r="B1125" s="1">
        <v>45074</v>
      </c>
      <c r="C1125">
        <v>2023</v>
      </c>
      <c r="D1125">
        <v>5</v>
      </c>
      <c r="E1125" t="s">
        <v>13</v>
      </c>
      <c r="F1125" t="s">
        <v>24</v>
      </c>
      <c r="G1125" t="s">
        <v>68</v>
      </c>
      <c r="H1125" t="s">
        <v>69</v>
      </c>
      <c r="I1125">
        <v>3330.12</v>
      </c>
      <c r="J1125">
        <v>3472.87</v>
      </c>
      <c r="K1125" t="s">
        <v>17</v>
      </c>
      <c r="L1125" t="b">
        <v>0</v>
      </c>
      <c r="N1125" s="2" t="str">
        <f t="shared" si="94"/>
        <v/>
      </c>
      <c r="Q1125" t="str">
        <f t="shared" si="96"/>
        <v/>
      </c>
    </row>
    <row r="1126" spans="1:17" hidden="1">
      <c r="A1126" t="s">
        <v>1231</v>
      </c>
      <c r="B1126" s="1">
        <v>45074</v>
      </c>
      <c r="C1126">
        <v>2023</v>
      </c>
      <c r="D1126">
        <v>5</v>
      </c>
      <c r="E1126" t="s">
        <v>23</v>
      </c>
      <c r="F1126" t="s">
        <v>28</v>
      </c>
      <c r="G1126" t="s">
        <v>59</v>
      </c>
      <c r="H1126" t="s">
        <v>155</v>
      </c>
      <c r="I1126">
        <v>6603.74</v>
      </c>
      <c r="J1126">
        <v>6180.12</v>
      </c>
      <c r="K1126" t="s">
        <v>17</v>
      </c>
      <c r="L1126" t="b">
        <v>0</v>
      </c>
      <c r="N1126" s="2" t="str">
        <f t="shared" si="94"/>
        <v/>
      </c>
      <c r="Q1126" t="str">
        <f t="shared" si="96"/>
        <v/>
      </c>
    </row>
    <row r="1127" spans="1:17" hidden="1">
      <c r="A1127" t="s">
        <v>1232</v>
      </c>
      <c r="B1127" s="1">
        <v>45074</v>
      </c>
      <c r="C1127">
        <v>2023</v>
      </c>
      <c r="D1127">
        <v>5</v>
      </c>
      <c r="E1127" t="s">
        <v>37</v>
      </c>
      <c r="F1127" t="s">
        <v>14</v>
      </c>
      <c r="G1127" t="s">
        <v>62</v>
      </c>
      <c r="H1127" t="s">
        <v>66</v>
      </c>
      <c r="I1127">
        <v>5253.52</v>
      </c>
      <c r="J1127">
        <v>5215.79</v>
      </c>
      <c r="K1127" t="s">
        <v>17</v>
      </c>
      <c r="L1127" t="b">
        <v>0</v>
      </c>
      <c r="N1127" s="2" t="str">
        <f t="shared" si="94"/>
        <v/>
      </c>
      <c r="Q1127" t="str">
        <f t="shared" si="96"/>
        <v/>
      </c>
    </row>
    <row r="1128" spans="1:17" hidden="1">
      <c r="A1128" t="s">
        <v>1233</v>
      </c>
      <c r="B1128" s="1">
        <v>45074</v>
      </c>
      <c r="C1128">
        <v>2023</v>
      </c>
      <c r="D1128">
        <v>5</v>
      </c>
      <c r="E1128" t="s">
        <v>37</v>
      </c>
      <c r="F1128" t="s">
        <v>28</v>
      </c>
      <c r="G1128" t="s">
        <v>38</v>
      </c>
      <c r="H1128" t="s">
        <v>227</v>
      </c>
      <c r="I1128">
        <v>5158.42</v>
      </c>
      <c r="J1128">
        <v>5053.1899999999996</v>
      </c>
      <c r="K1128" t="s">
        <v>17</v>
      </c>
      <c r="L1128" t="b">
        <v>0</v>
      </c>
      <c r="N1128" s="2" t="str">
        <f t="shared" si="94"/>
        <v/>
      </c>
      <c r="Q1128" t="str">
        <f t="shared" si="96"/>
        <v/>
      </c>
    </row>
    <row r="1129" spans="1:17" hidden="1">
      <c r="A1129" t="s">
        <v>1234</v>
      </c>
      <c r="B1129" s="1">
        <v>45074</v>
      </c>
      <c r="C1129">
        <v>2023</v>
      </c>
      <c r="D1129">
        <v>5</v>
      </c>
      <c r="E1129" t="s">
        <v>37</v>
      </c>
      <c r="F1129" t="s">
        <v>24</v>
      </c>
      <c r="G1129" t="s">
        <v>41</v>
      </c>
      <c r="H1129" t="s">
        <v>42</v>
      </c>
      <c r="I1129">
        <v>5040.04</v>
      </c>
      <c r="J1129">
        <v>5009.79</v>
      </c>
      <c r="K1129" t="s">
        <v>17</v>
      </c>
      <c r="L1129" t="b">
        <v>0</v>
      </c>
      <c r="N1129" s="2" t="str">
        <f t="shared" si="94"/>
        <v/>
      </c>
      <c r="Q1129" t="str">
        <f t="shared" si="96"/>
        <v/>
      </c>
    </row>
    <row r="1130" spans="1:17" hidden="1">
      <c r="A1130" t="s">
        <v>1235</v>
      </c>
      <c r="B1130" s="1">
        <v>45075</v>
      </c>
      <c r="C1130">
        <v>2023</v>
      </c>
      <c r="D1130">
        <v>5</v>
      </c>
      <c r="E1130" t="s">
        <v>13</v>
      </c>
      <c r="F1130" t="s">
        <v>14</v>
      </c>
      <c r="G1130" t="s">
        <v>68</v>
      </c>
      <c r="H1130" t="s">
        <v>87</v>
      </c>
      <c r="I1130">
        <v>2362.23</v>
      </c>
      <c r="J1130">
        <v>2182</v>
      </c>
      <c r="K1130" t="s">
        <v>17</v>
      </c>
      <c r="L1130" t="b">
        <v>0</v>
      </c>
      <c r="N1130" s="2" t="str">
        <f t="shared" si="94"/>
        <v/>
      </c>
      <c r="Q1130" t="str">
        <f t="shared" si="96"/>
        <v/>
      </c>
    </row>
    <row r="1131" spans="1:17" hidden="1">
      <c r="A1131" t="s">
        <v>1236</v>
      </c>
      <c r="B1131" s="1">
        <v>45075</v>
      </c>
      <c r="C1131">
        <v>2023</v>
      </c>
      <c r="D1131">
        <v>5</v>
      </c>
      <c r="E1131" t="s">
        <v>13</v>
      </c>
      <c r="F1131" t="s">
        <v>28</v>
      </c>
      <c r="G1131" t="s">
        <v>102</v>
      </c>
      <c r="H1131" t="s">
        <v>145</v>
      </c>
      <c r="I1131">
        <v>2665.61</v>
      </c>
      <c r="J1131">
        <v>2467.2199999999998</v>
      </c>
      <c r="K1131" t="s">
        <v>17</v>
      </c>
      <c r="L1131" t="b">
        <v>0</v>
      </c>
      <c r="N1131" s="2" t="str">
        <f t="shared" si="94"/>
        <v/>
      </c>
      <c r="Q1131" t="str">
        <f t="shared" si="96"/>
        <v/>
      </c>
    </row>
    <row r="1132" spans="1:17" hidden="1">
      <c r="A1132" t="s">
        <v>1237</v>
      </c>
      <c r="B1132" s="1">
        <v>45075</v>
      </c>
      <c r="C1132">
        <v>2023</v>
      </c>
      <c r="D1132">
        <v>5</v>
      </c>
      <c r="E1132" t="s">
        <v>13</v>
      </c>
      <c r="F1132" t="s">
        <v>24</v>
      </c>
      <c r="G1132" t="s">
        <v>68</v>
      </c>
      <c r="H1132" t="s">
        <v>87</v>
      </c>
      <c r="I1132">
        <v>3807.61</v>
      </c>
      <c r="J1132">
        <v>3709.33</v>
      </c>
      <c r="K1132" t="s">
        <v>17</v>
      </c>
      <c r="L1132" t="b">
        <v>0</v>
      </c>
      <c r="N1132" s="2" t="str">
        <f t="shared" si="94"/>
        <v/>
      </c>
      <c r="Q1132" t="str">
        <f t="shared" si="96"/>
        <v/>
      </c>
    </row>
    <row r="1133" spans="1:17" hidden="1">
      <c r="A1133" t="s">
        <v>1238</v>
      </c>
      <c r="B1133" s="1">
        <v>45075</v>
      </c>
      <c r="C1133">
        <v>2023</v>
      </c>
      <c r="D1133">
        <v>5</v>
      </c>
      <c r="E1133" t="s">
        <v>47</v>
      </c>
      <c r="F1133" t="s">
        <v>14</v>
      </c>
      <c r="G1133" t="s">
        <v>91</v>
      </c>
      <c r="H1133" t="s">
        <v>249</v>
      </c>
      <c r="I1133">
        <v>16624.38</v>
      </c>
      <c r="J1133">
        <v>13971.75</v>
      </c>
      <c r="K1133" t="s">
        <v>17</v>
      </c>
      <c r="L1133" t="b">
        <v>0</v>
      </c>
      <c r="N1133" s="2" t="b">
        <f t="shared" si="94"/>
        <v>1</v>
      </c>
      <c r="O1133" t="b">
        <f t="shared" ref="O1133:O1136" si="98">IF(AND(E1122="HR",K1122="EXPENSE"),I1122&lt;J1122,"")</f>
        <v>1</v>
      </c>
      <c r="Q1133" t="str">
        <f t="shared" si="96"/>
        <v/>
      </c>
    </row>
    <row r="1134" spans="1:17" hidden="1">
      <c r="A1134" t="s">
        <v>1239</v>
      </c>
      <c r="B1134" s="1">
        <v>45075</v>
      </c>
      <c r="C1134">
        <v>2023</v>
      </c>
      <c r="D1134">
        <v>5</v>
      </c>
      <c r="E1134" t="s">
        <v>47</v>
      </c>
      <c r="F1134" t="s">
        <v>14</v>
      </c>
      <c r="G1134" t="s">
        <v>48</v>
      </c>
      <c r="H1134" t="s">
        <v>191</v>
      </c>
      <c r="I1134">
        <v>18939.84</v>
      </c>
      <c r="J1134">
        <v>15641.15</v>
      </c>
      <c r="K1134" t="s">
        <v>17</v>
      </c>
      <c r="L1134" t="b">
        <v>0</v>
      </c>
      <c r="N1134" s="2" t="b">
        <f t="shared" si="94"/>
        <v>1</v>
      </c>
      <c r="O1134" t="b">
        <f t="shared" si="98"/>
        <v>1</v>
      </c>
      <c r="Q1134" t="str">
        <f t="shared" si="96"/>
        <v/>
      </c>
    </row>
    <row r="1135" spans="1:17" hidden="1">
      <c r="A1135" t="s">
        <v>1240</v>
      </c>
      <c r="B1135" s="1">
        <v>45075</v>
      </c>
      <c r="C1135">
        <v>2023</v>
      </c>
      <c r="D1135">
        <v>5</v>
      </c>
      <c r="E1135" t="s">
        <v>47</v>
      </c>
      <c r="F1135" t="s">
        <v>14</v>
      </c>
      <c r="G1135" t="s">
        <v>77</v>
      </c>
      <c r="H1135" t="s">
        <v>78</v>
      </c>
      <c r="I1135">
        <v>13962.8</v>
      </c>
      <c r="J1135">
        <v>11862.46</v>
      </c>
      <c r="K1135" t="s">
        <v>17</v>
      </c>
      <c r="L1135" t="b">
        <v>0</v>
      </c>
      <c r="N1135" s="2" t="b">
        <f t="shared" si="94"/>
        <v>1</v>
      </c>
      <c r="O1135" t="b">
        <f t="shared" si="98"/>
        <v>1</v>
      </c>
      <c r="Q1135" t="str">
        <f t="shared" si="96"/>
        <v/>
      </c>
    </row>
    <row r="1136" spans="1:17" hidden="1">
      <c r="A1136" t="s">
        <v>1241</v>
      </c>
      <c r="B1136" s="1">
        <v>45075</v>
      </c>
      <c r="C1136">
        <v>2023</v>
      </c>
      <c r="D1136">
        <v>5</v>
      </c>
      <c r="E1136" t="s">
        <v>47</v>
      </c>
      <c r="F1136" t="s">
        <v>24</v>
      </c>
      <c r="G1136" t="s">
        <v>48</v>
      </c>
      <c r="H1136" t="s">
        <v>111</v>
      </c>
      <c r="I1136">
        <v>17889.79</v>
      </c>
      <c r="J1136">
        <v>14966.19</v>
      </c>
      <c r="K1136" t="s">
        <v>17</v>
      </c>
      <c r="L1136" t="b">
        <v>0</v>
      </c>
      <c r="N1136" s="2" t="b">
        <f t="shared" si="94"/>
        <v>1</v>
      </c>
      <c r="O1136" t="b">
        <f t="shared" si="98"/>
        <v>1</v>
      </c>
      <c r="Q1136" t="str">
        <f t="shared" si="96"/>
        <v/>
      </c>
    </row>
    <row r="1137" spans="1:17" hidden="1">
      <c r="A1137" t="s">
        <v>1242</v>
      </c>
      <c r="B1137" s="1">
        <v>45075</v>
      </c>
      <c r="C1137">
        <v>2023</v>
      </c>
      <c r="D1137">
        <v>5</v>
      </c>
      <c r="E1137" t="s">
        <v>19</v>
      </c>
      <c r="F1137" t="s">
        <v>24</v>
      </c>
      <c r="G1137" t="s">
        <v>132</v>
      </c>
      <c r="H1137" t="s">
        <v>171</v>
      </c>
      <c r="I1137">
        <v>3834.89</v>
      </c>
      <c r="J1137">
        <v>4040.1</v>
      </c>
      <c r="K1137" t="s">
        <v>17</v>
      </c>
      <c r="L1137" t="b">
        <v>0</v>
      </c>
      <c r="N1137" s="2" t="str">
        <f t="shared" si="94"/>
        <v/>
      </c>
      <c r="Q1137" t="str">
        <f t="shared" si="96"/>
        <v/>
      </c>
    </row>
    <row r="1138" spans="1:17" hidden="1">
      <c r="A1138" t="s">
        <v>1243</v>
      </c>
      <c r="B1138" s="1">
        <v>45075</v>
      </c>
      <c r="C1138">
        <v>2023</v>
      </c>
      <c r="D1138">
        <v>5</v>
      </c>
      <c r="E1138" t="s">
        <v>23</v>
      </c>
      <c r="F1138" t="s">
        <v>28</v>
      </c>
      <c r="G1138" t="s">
        <v>25</v>
      </c>
      <c r="H1138" t="s">
        <v>35</v>
      </c>
      <c r="I1138">
        <v>7800.54</v>
      </c>
      <c r="J1138">
        <v>7912.47</v>
      </c>
      <c r="K1138" t="s">
        <v>17</v>
      </c>
      <c r="L1138" t="b">
        <v>0</v>
      </c>
      <c r="N1138" s="2" t="str">
        <f t="shared" si="94"/>
        <v/>
      </c>
      <c r="Q1138" t="str">
        <f t="shared" si="96"/>
        <v/>
      </c>
    </row>
    <row r="1139" spans="1:17" hidden="1">
      <c r="A1139" t="s">
        <v>1244</v>
      </c>
      <c r="B1139" s="1">
        <v>45076</v>
      </c>
      <c r="C1139">
        <v>2023</v>
      </c>
      <c r="D1139">
        <v>5</v>
      </c>
      <c r="E1139" t="s">
        <v>13</v>
      </c>
      <c r="F1139" t="s">
        <v>28</v>
      </c>
      <c r="G1139" t="s">
        <v>68</v>
      </c>
      <c r="H1139" t="s">
        <v>87</v>
      </c>
      <c r="I1139">
        <v>3037.03</v>
      </c>
      <c r="J1139">
        <v>2998.53</v>
      </c>
      <c r="K1139" t="s">
        <v>17</v>
      </c>
      <c r="L1139" t="b">
        <v>0</v>
      </c>
      <c r="N1139" s="2" t="str">
        <f t="shared" si="94"/>
        <v/>
      </c>
      <c r="Q1139" t="str">
        <f t="shared" si="96"/>
        <v/>
      </c>
    </row>
    <row r="1140" spans="1:17" hidden="1">
      <c r="A1140" t="s">
        <v>1245</v>
      </c>
      <c r="B1140" s="1">
        <v>45076</v>
      </c>
      <c r="C1140">
        <v>2023</v>
      </c>
      <c r="D1140">
        <v>5</v>
      </c>
      <c r="E1140" t="s">
        <v>47</v>
      </c>
      <c r="F1140" t="s">
        <v>14</v>
      </c>
      <c r="G1140" t="s">
        <v>48</v>
      </c>
      <c r="H1140" t="s">
        <v>189</v>
      </c>
      <c r="I1140">
        <v>19420.150000000001</v>
      </c>
      <c r="J1140">
        <v>16111.82</v>
      </c>
      <c r="K1140" t="s">
        <v>17</v>
      </c>
      <c r="L1140" t="b">
        <v>0</v>
      </c>
      <c r="N1140" s="2" t="b">
        <f t="shared" si="94"/>
        <v>1</v>
      </c>
      <c r="O1140" t="str">
        <f>IF(AND(E1129="HR",K1129="EXPENSE"),I1129&lt;J1129,"")</f>
        <v/>
      </c>
      <c r="Q1140" t="str">
        <f t="shared" si="96"/>
        <v/>
      </c>
    </row>
    <row r="1141" spans="1:17" hidden="1">
      <c r="A1141" t="s">
        <v>1246</v>
      </c>
      <c r="B1141" s="1">
        <v>45076</v>
      </c>
      <c r="C1141">
        <v>2023</v>
      </c>
      <c r="D1141">
        <v>5</v>
      </c>
      <c r="E1141" t="s">
        <v>23</v>
      </c>
      <c r="F1141" t="s">
        <v>28</v>
      </c>
      <c r="G1141" t="s">
        <v>25</v>
      </c>
      <c r="H1141" t="s">
        <v>26</v>
      </c>
      <c r="I1141">
        <v>6652.47</v>
      </c>
      <c r="J1141">
        <v>6369.92</v>
      </c>
      <c r="K1141" t="s">
        <v>17</v>
      </c>
      <c r="L1141" t="b">
        <v>0</v>
      </c>
      <c r="N1141" s="2" t="str">
        <f t="shared" si="94"/>
        <v/>
      </c>
      <c r="Q1141" t="str">
        <f t="shared" si="96"/>
        <v/>
      </c>
    </row>
    <row r="1142" spans="1:17" hidden="1">
      <c r="A1142" t="s">
        <v>1247</v>
      </c>
      <c r="B1142" s="1">
        <v>45076</v>
      </c>
      <c r="C1142">
        <v>2023</v>
      </c>
      <c r="D1142">
        <v>5</v>
      </c>
      <c r="E1142" t="s">
        <v>23</v>
      </c>
      <c r="F1142" t="s">
        <v>24</v>
      </c>
      <c r="G1142" t="s">
        <v>141</v>
      </c>
      <c r="H1142" t="s">
        <v>209</v>
      </c>
      <c r="I1142">
        <v>6862.98</v>
      </c>
      <c r="J1142">
        <v>6633.01</v>
      </c>
      <c r="K1142" t="s">
        <v>17</v>
      </c>
      <c r="L1142" t="b">
        <v>0</v>
      </c>
      <c r="N1142" s="2" t="str">
        <f t="shared" si="94"/>
        <v/>
      </c>
      <c r="Q1142" t="str">
        <f t="shared" si="96"/>
        <v/>
      </c>
    </row>
    <row r="1143" spans="1:17" hidden="1">
      <c r="A1143" t="s">
        <v>1248</v>
      </c>
      <c r="B1143" s="1">
        <v>45077</v>
      </c>
      <c r="C1143">
        <v>2023</v>
      </c>
      <c r="D1143">
        <v>5</v>
      </c>
      <c r="E1143" t="s">
        <v>13</v>
      </c>
      <c r="F1143" t="s">
        <v>14</v>
      </c>
      <c r="G1143" t="s">
        <v>108</v>
      </c>
      <c r="H1143" t="s">
        <v>126</v>
      </c>
      <c r="I1143">
        <v>2476.84</v>
      </c>
      <c r="J1143">
        <v>2721.19</v>
      </c>
      <c r="K1143" t="s">
        <v>17</v>
      </c>
      <c r="L1143" t="b">
        <v>0</v>
      </c>
      <c r="N1143" s="2" t="str">
        <f t="shared" si="94"/>
        <v/>
      </c>
      <c r="Q1143" t="str">
        <f t="shared" si="96"/>
        <v/>
      </c>
    </row>
    <row r="1144" spans="1:17" hidden="1">
      <c r="A1144" t="s">
        <v>1249</v>
      </c>
      <c r="B1144" s="1">
        <v>45077</v>
      </c>
      <c r="C1144">
        <v>2023</v>
      </c>
      <c r="D1144">
        <v>5</v>
      </c>
      <c r="E1144" t="s">
        <v>13</v>
      </c>
      <c r="F1144" t="s">
        <v>28</v>
      </c>
      <c r="G1144" t="s">
        <v>68</v>
      </c>
      <c r="H1144" t="s">
        <v>213</v>
      </c>
      <c r="I1144">
        <v>3654.17</v>
      </c>
      <c r="J1144">
        <v>3495.21</v>
      </c>
      <c r="K1144" t="s">
        <v>17</v>
      </c>
      <c r="L1144" t="b">
        <v>0</v>
      </c>
      <c r="N1144" s="2" t="str">
        <f t="shared" si="94"/>
        <v/>
      </c>
      <c r="Q1144" t="str">
        <f t="shared" si="96"/>
        <v/>
      </c>
    </row>
    <row r="1145" spans="1:17" hidden="1">
      <c r="A1145" t="s">
        <v>1250</v>
      </c>
      <c r="B1145" s="1">
        <v>45077</v>
      </c>
      <c r="C1145">
        <v>2023</v>
      </c>
      <c r="D1145">
        <v>5</v>
      </c>
      <c r="E1145" t="s">
        <v>13</v>
      </c>
      <c r="F1145" t="s">
        <v>28</v>
      </c>
      <c r="G1145" t="s">
        <v>102</v>
      </c>
      <c r="H1145" t="s">
        <v>103</v>
      </c>
      <c r="I1145">
        <v>2316.52</v>
      </c>
      <c r="J1145">
        <v>2116.84</v>
      </c>
      <c r="K1145" t="s">
        <v>17</v>
      </c>
      <c r="L1145" t="b">
        <v>0</v>
      </c>
      <c r="N1145" s="2" t="str">
        <f t="shared" si="94"/>
        <v/>
      </c>
      <c r="Q1145" t="str">
        <f t="shared" si="96"/>
        <v/>
      </c>
    </row>
    <row r="1146" spans="1:17" hidden="1">
      <c r="A1146" t="s">
        <v>1251</v>
      </c>
      <c r="B1146" s="1">
        <v>45077</v>
      </c>
      <c r="C1146">
        <v>2023</v>
      </c>
      <c r="D1146">
        <v>5</v>
      </c>
      <c r="E1146" t="s">
        <v>47</v>
      </c>
      <c r="F1146" t="s">
        <v>14</v>
      </c>
      <c r="G1146" t="s">
        <v>91</v>
      </c>
      <c r="H1146" t="s">
        <v>249</v>
      </c>
      <c r="I1146">
        <v>18719.650000000001</v>
      </c>
      <c r="J1146">
        <v>15452.95</v>
      </c>
      <c r="K1146" t="s">
        <v>17</v>
      </c>
      <c r="L1146" t="b">
        <v>0</v>
      </c>
      <c r="N1146" s="2" t="b">
        <f t="shared" si="94"/>
        <v>1</v>
      </c>
      <c r="O1146" t="str">
        <f>IF(AND(E1135="HR",K1135="EXPENSE"),I1135&lt;J1135,"")</f>
        <v/>
      </c>
      <c r="Q1146" t="str">
        <f t="shared" si="96"/>
        <v/>
      </c>
    </row>
    <row r="1147" spans="1:17" hidden="1">
      <c r="A1147" t="s">
        <v>1252</v>
      </c>
      <c r="B1147" s="1">
        <v>45077</v>
      </c>
      <c r="C1147">
        <v>2023</v>
      </c>
      <c r="D1147">
        <v>5</v>
      </c>
      <c r="E1147" t="s">
        <v>19</v>
      </c>
      <c r="F1147" t="s">
        <v>24</v>
      </c>
      <c r="G1147" t="s">
        <v>80</v>
      </c>
      <c r="H1147" t="s">
        <v>217</v>
      </c>
      <c r="I1147">
        <v>7378.74</v>
      </c>
      <c r="J1147">
        <v>7076.66</v>
      </c>
      <c r="K1147" t="s">
        <v>17</v>
      </c>
      <c r="L1147" t="b">
        <v>0</v>
      </c>
      <c r="N1147" s="2" t="str">
        <f t="shared" si="94"/>
        <v/>
      </c>
      <c r="Q1147" t="str">
        <f t="shared" si="96"/>
        <v/>
      </c>
    </row>
    <row r="1148" spans="1:17" hidden="1">
      <c r="A1148" t="s">
        <v>1253</v>
      </c>
      <c r="B1148" s="1">
        <v>45077</v>
      </c>
      <c r="C1148">
        <v>2023</v>
      </c>
      <c r="D1148">
        <v>5</v>
      </c>
      <c r="E1148" t="s">
        <v>23</v>
      </c>
      <c r="F1148" t="s">
        <v>14</v>
      </c>
      <c r="G1148" t="s">
        <v>30</v>
      </c>
      <c r="H1148" t="s">
        <v>31</v>
      </c>
      <c r="I1148">
        <v>6310.96</v>
      </c>
      <c r="J1148">
        <v>6569.55</v>
      </c>
      <c r="K1148" t="s">
        <v>17</v>
      </c>
      <c r="L1148" t="b">
        <v>0</v>
      </c>
      <c r="N1148" s="2" t="str">
        <f t="shared" si="94"/>
        <v/>
      </c>
      <c r="Q1148" t="str">
        <f t="shared" si="96"/>
        <v/>
      </c>
    </row>
    <row r="1149" spans="1:17" hidden="1">
      <c r="A1149" t="s">
        <v>1254</v>
      </c>
      <c r="B1149" s="1">
        <v>45077</v>
      </c>
      <c r="C1149">
        <v>2023</v>
      </c>
      <c r="D1149">
        <v>5</v>
      </c>
      <c r="E1149" t="s">
        <v>23</v>
      </c>
      <c r="F1149" t="s">
        <v>28</v>
      </c>
      <c r="G1149" t="s">
        <v>141</v>
      </c>
      <c r="H1149" t="s">
        <v>142</v>
      </c>
      <c r="I1149">
        <v>4061.86</v>
      </c>
      <c r="J1149">
        <v>4250.8999999999996</v>
      </c>
      <c r="K1149" t="s">
        <v>17</v>
      </c>
      <c r="L1149" t="b">
        <v>0</v>
      </c>
      <c r="N1149" s="2" t="str">
        <f t="shared" si="94"/>
        <v/>
      </c>
      <c r="Q1149" t="str">
        <f t="shared" si="96"/>
        <v/>
      </c>
    </row>
    <row r="1150" spans="1:17" hidden="1">
      <c r="A1150" t="s">
        <v>1255</v>
      </c>
      <c r="B1150" s="1">
        <v>45077</v>
      </c>
      <c r="C1150">
        <v>2023</v>
      </c>
      <c r="D1150">
        <v>5</v>
      </c>
      <c r="E1150" t="s">
        <v>23</v>
      </c>
      <c r="F1150" t="s">
        <v>24</v>
      </c>
      <c r="G1150" t="s">
        <v>30</v>
      </c>
      <c r="H1150" t="s">
        <v>106</v>
      </c>
      <c r="I1150">
        <v>4813.68</v>
      </c>
      <c r="J1150">
        <v>4441.3999999999996</v>
      </c>
      <c r="K1150" t="s">
        <v>17</v>
      </c>
      <c r="L1150" t="b">
        <v>0</v>
      </c>
      <c r="N1150" s="2" t="str">
        <f t="shared" si="94"/>
        <v/>
      </c>
      <c r="Q1150" t="str">
        <f t="shared" si="96"/>
        <v/>
      </c>
    </row>
    <row r="1151" spans="1:17" hidden="1">
      <c r="A1151" t="s">
        <v>1256</v>
      </c>
      <c r="B1151" s="1">
        <v>45078</v>
      </c>
      <c r="C1151">
        <v>2023</v>
      </c>
      <c r="D1151">
        <v>6</v>
      </c>
      <c r="E1151" t="s">
        <v>13</v>
      </c>
      <c r="F1151" t="s">
        <v>14</v>
      </c>
      <c r="G1151" t="s">
        <v>102</v>
      </c>
      <c r="H1151" t="s">
        <v>278</v>
      </c>
      <c r="I1151">
        <v>4988.67</v>
      </c>
      <c r="J1151">
        <v>5075.41</v>
      </c>
      <c r="K1151" t="s">
        <v>17</v>
      </c>
      <c r="L1151" t="b">
        <v>0</v>
      </c>
      <c r="N1151" s="2" t="str">
        <f t="shared" si="94"/>
        <v/>
      </c>
      <c r="Q1151" t="str">
        <f t="shared" si="96"/>
        <v/>
      </c>
    </row>
    <row r="1152" spans="1:17" hidden="1">
      <c r="A1152" t="s">
        <v>1257</v>
      </c>
      <c r="B1152" s="1">
        <v>45078</v>
      </c>
      <c r="C1152">
        <v>2023</v>
      </c>
      <c r="D1152">
        <v>6</v>
      </c>
      <c r="E1152" t="s">
        <v>47</v>
      </c>
      <c r="F1152" t="s">
        <v>24</v>
      </c>
      <c r="G1152" t="s">
        <v>51</v>
      </c>
      <c r="H1152" t="s">
        <v>189</v>
      </c>
      <c r="I1152">
        <v>7421.65</v>
      </c>
      <c r="J1152">
        <v>6431.61</v>
      </c>
      <c r="K1152" t="s">
        <v>17</v>
      </c>
      <c r="L1152" t="b">
        <v>0</v>
      </c>
      <c r="N1152" s="2" t="b">
        <f t="shared" si="94"/>
        <v>1</v>
      </c>
      <c r="O1152" t="str">
        <f>IF(AND(E1141="HR",K1141="EXPENSE"),I1141&lt;J1141,"")</f>
        <v/>
      </c>
      <c r="Q1152" t="str">
        <f t="shared" si="96"/>
        <v/>
      </c>
    </row>
    <row r="1153" spans="1:17" hidden="1">
      <c r="A1153" t="s">
        <v>1258</v>
      </c>
      <c r="B1153" s="1">
        <v>45078</v>
      </c>
      <c r="C1153">
        <v>2023</v>
      </c>
      <c r="D1153">
        <v>6</v>
      </c>
      <c r="E1153" t="s">
        <v>19</v>
      </c>
      <c r="F1153" t="s">
        <v>14</v>
      </c>
      <c r="G1153" t="s">
        <v>132</v>
      </c>
      <c r="H1153" t="s">
        <v>138</v>
      </c>
      <c r="I1153">
        <v>5791.85</v>
      </c>
      <c r="J1153">
        <v>5411.55</v>
      </c>
      <c r="K1153" t="s">
        <v>17</v>
      </c>
      <c r="L1153" t="b">
        <v>0</v>
      </c>
      <c r="N1153" s="2" t="str">
        <f t="shared" si="94"/>
        <v/>
      </c>
      <c r="Q1153" t="str">
        <f t="shared" si="96"/>
        <v/>
      </c>
    </row>
    <row r="1154" spans="1:17" hidden="1">
      <c r="A1154" t="s">
        <v>1259</v>
      </c>
      <c r="B1154" s="1">
        <v>45078</v>
      </c>
      <c r="C1154">
        <v>2023</v>
      </c>
      <c r="D1154">
        <v>6</v>
      </c>
      <c r="E1154" t="s">
        <v>19</v>
      </c>
      <c r="F1154" t="s">
        <v>28</v>
      </c>
      <c r="G1154" t="s">
        <v>132</v>
      </c>
      <c r="H1154" t="s">
        <v>138</v>
      </c>
      <c r="I1154">
        <v>9615.68</v>
      </c>
      <c r="J1154">
        <v>9047.0400000000009</v>
      </c>
      <c r="K1154" t="s">
        <v>17</v>
      </c>
      <c r="L1154" t="b">
        <v>0</v>
      </c>
      <c r="N1154" s="2" t="str">
        <f t="shared" si="94"/>
        <v/>
      </c>
      <c r="Q1154" t="str">
        <f t="shared" si="96"/>
        <v/>
      </c>
    </row>
    <row r="1155" spans="1:17" hidden="1">
      <c r="A1155" t="s">
        <v>1260</v>
      </c>
      <c r="B1155" s="1">
        <v>45078</v>
      </c>
      <c r="C1155">
        <v>2023</v>
      </c>
      <c r="D1155">
        <v>6</v>
      </c>
      <c r="E1155" t="s">
        <v>23</v>
      </c>
      <c r="F1155" t="s">
        <v>28</v>
      </c>
      <c r="G1155" t="s">
        <v>25</v>
      </c>
      <c r="H1155" t="s">
        <v>35</v>
      </c>
      <c r="I1155">
        <v>3567.83</v>
      </c>
      <c r="J1155">
        <v>3366.75</v>
      </c>
      <c r="K1155" t="s">
        <v>17</v>
      </c>
      <c r="L1155" t="b">
        <v>0</v>
      </c>
      <c r="N1155" s="2" t="str">
        <f t="shared" ref="N1155:N1218" si="99">IF(AND(E1155="IT",K1155="EXPENSE"),I1155&gt;J1155,"")</f>
        <v/>
      </c>
      <c r="Q1155" t="str">
        <f t="shared" ref="Q1155:Q1218" si="100">IF(L1155=TRUE,OR(H1155="Apex Solutions Inc",H1155="Global Trade Partners",H1155="NovaTech Services"),"")</f>
        <v/>
      </c>
    </row>
    <row r="1156" spans="1:17" hidden="1">
      <c r="A1156" t="s">
        <v>1261</v>
      </c>
      <c r="B1156" s="1">
        <v>45078</v>
      </c>
      <c r="C1156">
        <v>2023</v>
      </c>
      <c r="D1156">
        <v>6</v>
      </c>
      <c r="E1156" t="s">
        <v>23</v>
      </c>
      <c r="F1156" t="s">
        <v>24</v>
      </c>
      <c r="G1156" t="s">
        <v>25</v>
      </c>
      <c r="H1156" t="s">
        <v>35</v>
      </c>
      <c r="I1156">
        <v>8486.3700000000008</v>
      </c>
      <c r="J1156">
        <v>7899.95</v>
      </c>
      <c r="K1156" t="s">
        <v>17</v>
      </c>
      <c r="L1156" t="b">
        <v>0</v>
      </c>
      <c r="N1156" s="2" t="str">
        <f t="shared" si="99"/>
        <v/>
      </c>
      <c r="Q1156" t="str">
        <f t="shared" si="100"/>
        <v/>
      </c>
    </row>
    <row r="1157" spans="1:17" hidden="1">
      <c r="A1157" t="s">
        <v>1262</v>
      </c>
      <c r="B1157" s="1">
        <v>45078</v>
      </c>
      <c r="C1157">
        <v>2023</v>
      </c>
      <c r="D1157">
        <v>6</v>
      </c>
      <c r="E1157" t="s">
        <v>37</v>
      </c>
      <c r="F1157" t="s">
        <v>14</v>
      </c>
      <c r="G1157" t="s">
        <v>38</v>
      </c>
      <c r="H1157" t="s">
        <v>227</v>
      </c>
      <c r="I1157">
        <v>5571.6</v>
      </c>
      <c r="J1157">
        <v>5885.79</v>
      </c>
      <c r="K1157" t="s">
        <v>17</v>
      </c>
      <c r="L1157" t="b">
        <v>0</v>
      </c>
      <c r="N1157" s="2" t="str">
        <f t="shared" si="99"/>
        <v/>
      </c>
      <c r="Q1157" t="str">
        <f t="shared" si="100"/>
        <v/>
      </c>
    </row>
    <row r="1158" spans="1:17" hidden="1">
      <c r="A1158" t="s">
        <v>1263</v>
      </c>
      <c r="B1158" s="1">
        <v>45078</v>
      </c>
      <c r="C1158">
        <v>2023</v>
      </c>
      <c r="D1158">
        <v>6</v>
      </c>
      <c r="E1158" t="s">
        <v>37</v>
      </c>
      <c r="F1158" t="s">
        <v>24</v>
      </c>
      <c r="G1158" t="s">
        <v>62</v>
      </c>
      <c r="H1158" t="s">
        <v>121</v>
      </c>
      <c r="I1158">
        <v>6177.41</v>
      </c>
      <c r="J1158">
        <v>6792.22</v>
      </c>
      <c r="K1158" t="s">
        <v>17</v>
      </c>
      <c r="L1158" t="b">
        <v>0</v>
      </c>
      <c r="N1158" s="2" t="str">
        <f t="shared" si="99"/>
        <v/>
      </c>
      <c r="Q1158" t="str">
        <f t="shared" si="100"/>
        <v/>
      </c>
    </row>
    <row r="1159" spans="1:17" hidden="1">
      <c r="A1159" t="s">
        <v>1264</v>
      </c>
      <c r="B1159" s="1">
        <v>45079</v>
      </c>
      <c r="C1159">
        <v>2023</v>
      </c>
      <c r="D1159">
        <v>6</v>
      </c>
      <c r="E1159" t="s">
        <v>13</v>
      </c>
      <c r="F1159" t="s">
        <v>14</v>
      </c>
      <c r="G1159" t="s">
        <v>102</v>
      </c>
      <c r="H1159" t="s">
        <v>103</v>
      </c>
      <c r="I1159">
        <v>3915.96</v>
      </c>
      <c r="J1159">
        <v>3829.2</v>
      </c>
      <c r="K1159" t="s">
        <v>17</v>
      </c>
      <c r="L1159" t="b">
        <v>0</v>
      </c>
      <c r="N1159" s="2" t="str">
        <f t="shared" si="99"/>
        <v/>
      </c>
      <c r="Q1159" t="str">
        <f t="shared" si="100"/>
        <v/>
      </c>
    </row>
    <row r="1160" spans="1:17" hidden="1">
      <c r="A1160" t="s">
        <v>1265</v>
      </c>
      <c r="B1160" s="1">
        <v>45079</v>
      </c>
      <c r="C1160">
        <v>2023</v>
      </c>
      <c r="D1160">
        <v>6</v>
      </c>
      <c r="E1160" t="s">
        <v>13</v>
      </c>
      <c r="F1160" t="s">
        <v>14</v>
      </c>
      <c r="G1160" t="s">
        <v>102</v>
      </c>
      <c r="H1160" t="s">
        <v>103</v>
      </c>
      <c r="I1160">
        <v>5285.97</v>
      </c>
      <c r="J1160">
        <v>5487.78</v>
      </c>
      <c r="K1160" t="s">
        <v>17</v>
      </c>
      <c r="L1160" t="b">
        <v>0</v>
      </c>
      <c r="N1160" s="2" t="str">
        <f t="shared" si="99"/>
        <v/>
      </c>
      <c r="Q1160" t="str">
        <f t="shared" si="100"/>
        <v/>
      </c>
    </row>
    <row r="1161" spans="1:17" hidden="1">
      <c r="A1161" t="s">
        <v>1266</v>
      </c>
      <c r="B1161" s="1">
        <v>45079</v>
      </c>
      <c r="C1161">
        <v>2023</v>
      </c>
      <c r="D1161">
        <v>6</v>
      </c>
      <c r="E1161" t="s">
        <v>13</v>
      </c>
      <c r="F1161" t="s">
        <v>24</v>
      </c>
      <c r="G1161" t="s">
        <v>15</v>
      </c>
      <c r="H1161" t="s">
        <v>45</v>
      </c>
      <c r="I1161">
        <v>2824.81</v>
      </c>
      <c r="J1161">
        <v>3003.89</v>
      </c>
      <c r="K1161" t="s">
        <v>17</v>
      </c>
      <c r="L1161" t="b">
        <v>0</v>
      </c>
      <c r="N1161" s="2" t="str">
        <f t="shared" si="99"/>
        <v/>
      </c>
      <c r="Q1161" t="str">
        <f t="shared" si="100"/>
        <v/>
      </c>
    </row>
    <row r="1162" spans="1:17" hidden="1">
      <c r="A1162" t="s">
        <v>1267</v>
      </c>
      <c r="B1162" s="1">
        <v>45079</v>
      </c>
      <c r="C1162">
        <v>2023</v>
      </c>
      <c r="D1162">
        <v>6</v>
      </c>
      <c r="E1162" t="s">
        <v>47</v>
      </c>
      <c r="F1162" t="s">
        <v>28</v>
      </c>
      <c r="G1162" t="s">
        <v>48</v>
      </c>
      <c r="H1162" t="s">
        <v>189</v>
      </c>
      <c r="I1162">
        <v>11387.94</v>
      </c>
      <c r="J1162">
        <v>9749.0300000000007</v>
      </c>
      <c r="K1162" t="s">
        <v>17</v>
      </c>
      <c r="L1162" t="b">
        <v>0</v>
      </c>
      <c r="N1162" s="2" t="b">
        <f t="shared" si="99"/>
        <v>1</v>
      </c>
      <c r="O1162" t="b">
        <f t="shared" ref="O1162:O1163" si="101">IF(AND(E1151="HR",K1151="EXPENSE"),I1151&lt;J1151,"")</f>
        <v>1</v>
      </c>
      <c r="Q1162" t="str">
        <f t="shared" si="100"/>
        <v/>
      </c>
    </row>
    <row r="1163" spans="1:17" hidden="1">
      <c r="A1163" t="s">
        <v>1268</v>
      </c>
      <c r="B1163" s="1">
        <v>45079</v>
      </c>
      <c r="C1163">
        <v>2023</v>
      </c>
      <c r="D1163">
        <v>6</v>
      </c>
      <c r="E1163" t="s">
        <v>47</v>
      </c>
      <c r="F1163" t="s">
        <v>24</v>
      </c>
      <c r="G1163" t="s">
        <v>91</v>
      </c>
      <c r="H1163" t="s">
        <v>249</v>
      </c>
      <c r="I1163">
        <v>13691.91</v>
      </c>
      <c r="J1163">
        <v>11652.87</v>
      </c>
      <c r="K1163" t="s">
        <v>17</v>
      </c>
      <c r="L1163" t="b">
        <v>0</v>
      </c>
      <c r="N1163" s="2" t="b">
        <f t="shared" si="99"/>
        <v>1</v>
      </c>
      <c r="O1163" t="str">
        <f t="shared" si="101"/>
        <v/>
      </c>
      <c r="Q1163" t="str">
        <f t="shared" si="100"/>
        <v/>
      </c>
    </row>
    <row r="1164" spans="1:17" hidden="1">
      <c r="A1164" t="s">
        <v>1269</v>
      </c>
      <c r="B1164" s="1">
        <v>45079</v>
      </c>
      <c r="C1164">
        <v>2023</v>
      </c>
      <c r="D1164">
        <v>6</v>
      </c>
      <c r="E1164" t="s">
        <v>19</v>
      </c>
      <c r="F1164" t="s">
        <v>28</v>
      </c>
      <c r="G1164" t="s">
        <v>132</v>
      </c>
      <c r="H1164" t="s">
        <v>138</v>
      </c>
      <c r="I1164">
        <v>7817.3</v>
      </c>
      <c r="J1164">
        <v>7143.52</v>
      </c>
      <c r="K1164" t="s">
        <v>17</v>
      </c>
      <c r="L1164" t="b">
        <v>0</v>
      </c>
      <c r="N1164" s="2" t="str">
        <f t="shared" si="99"/>
        <v/>
      </c>
      <c r="Q1164" t="str">
        <f t="shared" si="100"/>
        <v/>
      </c>
    </row>
    <row r="1165" spans="1:17" hidden="1">
      <c r="A1165" t="s">
        <v>1270</v>
      </c>
      <c r="B1165" s="1">
        <v>45079</v>
      </c>
      <c r="C1165">
        <v>2023</v>
      </c>
      <c r="D1165">
        <v>6</v>
      </c>
      <c r="E1165" t="s">
        <v>19</v>
      </c>
      <c r="F1165" t="s">
        <v>24</v>
      </c>
      <c r="G1165" t="s">
        <v>80</v>
      </c>
      <c r="H1165" t="s">
        <v>150</v>
      </c>
      <c r="I1165">
        <v>8861.41</v>
      </c>
      <c r="J1165">
        <v>9378.1299999999992</v>
      </c>
      <c r="K1165" t="s">
        <v>17</v>
      </c>
      <c r="L1165" t="b">
        <v>0</v>
      </c>
      <c r="N1165" s="2" t="str">
        <f t="shared" si="99"/>
        <v/>
      </c>
      <c r="Q1165" t="str">
        <f t="shared" si="100"/>
        <v/>
      </c>
    </row>
    <row r="1166" spans="1:17" hidden="1">
      <c r="A1166" t="s">
        <v>1271</v>
      </c>
      <c r="B1166" s="1">
        <v>45079</v>
      </c>
      <c r="C1166">
        <v>2023</v>
      </c>
      <c r="D1166">
        <v>6</v>
      </c>
      <c r="E1166" t="s">
        <v>23</v>
      </c>
      <c r="F1166" t="s">
        <v>14</v>
      </c>
      <c r="G1166" t="s">
        <v>59</v>
      </c>
      <c r="H1166" t="s">
        <v>155</v>
      </c>
      <c r="I1166">
        <v>797.16</v>
      </c>
      <c r="J1166">
        <v>851.09</v>
      </c>
      <c r="K1166" t="s">
        <v>17</v>
      </c>
      <c r="L1166" t="b">
        <v>0</v>
      </c>
      <c r="N1166" s="2" t="str">
        <f t="shared" si="99"/>
        <v/>
      </c>
      <c r="Q1166" t="str">
        <f t="shared" si="100"/>
        <v/>
      </c>
    </row>
    <row r="1167" spans="1:17" hidden="1">
      <c r="A1167" t="s">
        <v>1272</v>
      </c>
      <c r="B1167" s="1">
        <v>45079</v>
      </c>
      <c r="C1167">
        <v>2023</v>
      </c>
      <c r="D1167">
        <v>6</v>
      </c>
      <c r="E1167" t="s">
        <v>23</v>
      </c>
      <c r="F1167" t="s">
        <v>28</v>
      </c>
      <c r="G1167" t="s">
        <v>25</v>
      </c>
      <c r="H1167" t="s">
        <v>26</v>
      </c>
      <c r="I1167">
        <v>3546.33</v>
      </c>
      <c r="J1167">
        <v>3452.27</v>
      </c>
      <c r="K1167" t="s">
        <v>17</v>
      </c>
      <c r="L1167" t="b">
        <v>0</v>
      </c>
      <c r="N1167" s="2" t="str">
        <f t="shared" si="99"/>
        <v/>
      </c>
      <c r="Q1167" t="str">
        <f t="shared" si="100"/>
        <v/>
      </c>
    </row>
    <row r="1168" spans="1:17" hidden="1">
      <c r="A1168" t="s">
        <v>1273</v>
      </c>
      <c r="B1168" s="1">
        <v>45079</v>
      </c>
      <c r="C1168">
        <v>2023</v>
      </c>
      <c r="D1168">
        <v>6</v>
      </c>
      <c r="E1168" t="s">
        <v>23</v>
      </c>
      <c r="F1168" t="s">
        <v>24</v>
      </c>
      <c r="G1168" t="s">
        <v>25</v>
      </c>
      <c r="H1168" t="s">
        <v>26</v>
      </c>
      <c r="I1168">
        <v>4274.46</v>
      </c>
      <c r="J1168">
        <v>3927.18</v>
      </c>
      <c r="K1168" t="s">
        <v>17</v>
      </c>
      <c r="L1168" t="b">
        <v>0</v>
      </c>
      <c r="N1168" s="2" t="str">
        <f t="shared" si="99"/>
        <v/>
      </c>
      <c r="Q1168" t="str">
        <f t="shared" si="100"/>
        <v/>
      </c>
    </row>
    <row r="1169" spans="1:17" hidden="1">
      <c r="A1169" t="s">
        <v>1274</v>
      </c>
      <c r="B1169" s="1">
        <v>45079</v>
      </c>
      <c r="C1169">
        <v>2023</v>
      </c>
      <c r="D1169">
        <v>6</v>
      </c>
      <c r="E1169" t="s">
        <v>37</v>
      </c>
      <c r="F1169" t="s">
        <v>28</v>
      </c>
      <c r="G1169" t="s">
        <v>98</v>
      </c>
      <c r="H1169" t="s">
        <v>99</v>
      </c>
      <c r="I1169">
        <v>5943.21</v>
      </c>
      <c r="J1169">
        <v>6036.89</v>
      </c>
      <c r="K1169" t="s">
        <v>17</v>
      </c>
      <c r="L1169" t="b">
        <v>0</v>
      </c>
      <c r="N1169" s="2" t="str">
        <f t="shared" si="99"/>
        <v/>
      </c>
      <c r="Q1169" t="str">
        <f t="shared" si="100"/>
        <v/>
      </c>
    </row>
    <row r="1170" spans="1:17" hidden="1">
      <c r="A1170" t="s">
        <v>1275</v>
      </c>
      <c r="B1170" s="1">
        <v>45079</v>
      </c>
      <c r="C1170">
        <v>2023</v>
      </c>
      <c r="D1170">
        <v>6</v>
      </c>
      <c r="E1170" t="s">
        <v>37</v>
      </c>
      <c r="F1170" t="s">
        <v>14</v>
      </c>
      <c r="G1170" t="s">
        <v>83</v>
      </c>
      <c r="H1170" t="s">
        <v>84</v>
      </c>
      <c r="I1170">
        <v>261952.76</v>
      </c>
      <c r="J1170">
        <v>248855.12</v>
      </c>
      <c r="K1170" t="s">
        <v>85</v>
      </c>
      <c r="L1170" t="b">
        <v>0</v>
      </c>
      <c r="N1170" s="2" t="str">
        <f t="shared" si="99"/>
        <v/>
      </c>
      <c r="Q1170" t="str">
        <f t="shared" si="100"/>
        <v/>
      </c>
    </row>
    <row r="1171" spans="1:17" hidden="1">
      <c r="A1171" t="s">
        <v>1276</v>
      </c>
      <c r="B1171" s="1">
        <v>45080</v>
      </c>
      <c r="C1171">
        <v>2023</v>
      </c>
      <c r="D1171">
        <v>6</v>
      </c>
      <c r="E1171" t="s">
        <v>13</v>
      </c>
      <c r="F1171" t="s">
        <v>14</v>
      </c>
      <c r="G1171" t="s">
        <v>68</v>
      </c>
      <c r="H1171" t="s">
        <v>69</v>
      </c>
      <c r="I1171">
        <v>2815.71</v>
      </c>
      <c r="J1171">
        <v>2737.11</v>
      </c>
      <c r="K1171" t="s">
        <v>17</v>
      </c>
      <c r="L1171" t="b">
        <v>0</v>
      </c>
      <c r="N1171" s="2" t="str">
        <f t="shared" si="99"/>
        <v/>
      </c>
      <c r="Q1171" t="str">
        <f t="shared" si="100"/>
        <v/>
      </c>
    </row>
    <row r="1172" spans="1:17" hidden="1">
      <c r="A1172" t="s">
        <v>1277</v>
      </c>
      <c r="B1172" s="1">
        <v>45080</v>
      </c>
      <c r="C1172">
        <v>2023</v>
      </c>
      <c r="D1172">
        <v>6</v>
      </c>
      <c r="E1172" t="s">
        <v>13</v>
      </c>
      <c r="F1172" t="s">
        <v>28</v>
      </c>
      <c r="G1172" t="s">
        <v>108</v>
      </c>
      <c r="H1172" t="s">
        <v>123</v>
      </c>
      <c r="I1172">
        <v>4784.22</v>
      </c>
      <c r="J1172">
        <v>4455.26</v>
      </c>
      <c r="K1172" t="s">
        <v>17</v>
      </c>
      <c r="L1172" t="b">
        <v>0</v>
      </c>
      <c r="N1172" s="2" t="str">
        <f t="shared" si="99"/>
        <v/>
      </c>
      <c r="Q1172" t="str">
        <f t="shared" si="100"/>
        <v/>
      </c>
    </row>
    <row r="1173" spans="1:17" hidden="1">
      <c r="A1173" t="s">
        <v>1278</v>
      </c>
      <c r="B1173" s="1">
        <v>45080</v>
      </c>
      <c r="C1173">
        <v>2023</v>
      </c>
      <c r="D1173">
        <v>6</v>
      </c>
      <c r="E1173" t="s">
        <v>13</v>
      </c>
      <c r="F1173" t="s">
        <v>24</v>
      </c>
      <c r="G1173" t="s">
        <v>108</v>
      </c>
      <c r="H1173" t="s">
        <v>123</v>
      </c>
      <c r="I1173">
        <v>2919.41</v>
      </c>
      <c r="J1173">
        <v>2664</v>
      </c>
      <c r="K1173" t="s">
        <v>17</v>
      </c>
      <c r="L1173" t="b">
        <v>0</v>
      </c>
      <c r="N1173" s="2" t="str">
        <f t="shared" si="99"/>
        <v/>
      </c>
      <c r="Q1173" t="str">
        <f t="shared" si="100"/>
        <v/>
      </c>
    </row>
    <row r="1174" spans="1:17" hidden="1">
      <c r="A1174" t="s">
        <v>1279</v>
      </c>
      <c r="B1174" s="1">
        <v>45080</v>
      </c>
      <c r="C1174">
        <v>2023</v>
      </c>
      <c r="D1174">
        <v>6</v>
      </c>
      <c r="E1174" t="s">
        <v>47</v>
      </c>
      <c r="F1174" t="s">
        <v>28</v>
      </c>
      <c r="G1174" t="s">
        <v>48</v>
      </c>
      <c r="H1174" t="s">
        <v>75</v>
      </c>
      <c r="I1174">
        <v>12637.72</v>
      </c>
      <c r="J1174">
        <v>10651.25</v>
      </c>
      <c r="K1174" t="s">
        <v>17</v>
      </c>
      <c r="L1174" t="b">
        <v>0</v>
      </c>
      <c r="N1174" s="2" t="b">
        <f t="shared" si="99"/>
        <v>1</v>
      </c>
      <c r="O1174" t="str">
        <f t="shared" ref="O1174:O1175" si="102">IF(AND(E1163="HR",K1163="EXPENSE"),I1163&lt;J1163,"")</f>
        <v/>
      </c>
      <c r="Q1174" t="str">
        <f t="shared" si="100"/>
        <v/>
      </c>
    </row>
    <row r="1175" spans="1:17" hidden="1">
      <c r="A1175" t="s">
        <v>1280</v>
      </c>
      <c r="B1175" s="1">
        <v>45080</v>
      </c>
      <c r="C1175">
        <v>2023</v>
      </c>
      <c r="D1175">
        <v>6</v>
      </c>
      <c r="E1175" t="s">
        <v>47</v>
      </c>
      <c r="F1175" t="s">
        <v>28</v>
      </c>
      <c r="G1175" t="s">
        <v>91</v>
      </c>
      <c r="H1175" t="s">
        <v>92</v>
      </c>
      <c r="I1175">
        <v>10037.24</v>
      </c>
      <c r="J1175">
        <v>8587.5</v>
      </c>
      <c r="K1175" t="s">
        <v>17</v>
      </c>
      <c r="L1175" t="b">
        <v>0</v>
      </c>
      <c r="N1175" s="2" t="b">
        <f t="shared" si="99"/>
        <v>1</v>
      </c>
      <c r="O1175" t="str">
        <f t="shared" si="102"/>
        <v/>
      </c>
      <c r="Q1175" t="str">
        <f t="shared" si="100"/>
        <v/>
      </c>
    </row>
    <row r="1176" spans="1:17" hidden="1">
      <c r="A1176" t="s">
        <v>1281</v>
      </c>
      <c r="B1176" s="1">
        <v>45080</v>
      </c>
      <c r="C1176">
        <v>2023</v>
      </c>
      <c r="D1176">
        <v>6</v>
      </c>
      <c r="E1176" t="s">
        <v>19</v>
      </c>
      <c r="F1176" t="s">
        <v>14</v>
      </c>
      <c r="G1176" t="s">
        <v>132</v>
      </c>
      <c r="H1176" t="s">
        <v>138</v>
      </c>
      <c r="I1176">
        <v>6625.44</v>
      </c>
      <c r="J1176">
        <v>6513.83</v>
      </c>
      <c r="K1176" t="s">
        <v>17</v>
      </c>
      <c r="L1176" t="b">
        <v>0</v>
      </c>
      <c r="N1176" s="2" t="str">
        <f t="shared" si="99"/>
        <v/>
      </c>
      <c r="Q1176" t="str">
        <f t="shared" si="100"/>
        <v/>
      </c>
    </row>
    <row r="1177" spans="1:17" hidden="1">
      <c r="A1177" t="s">
        <v>1282</v>
      </c>
      <c r="B1177" s="1">
        <v>45080</v>
      </c>
      <c r="C1177">
        <v>2023</v>
      </c>
      <c r="D1177">
        <v>6</v>
      </c>
      <c r="E1177" t="s">
        <v>19</v>
      </c>
      <c r="F1177" t="s">
        <v>28</v>
      </c>
      <c r="G1177" t="s">
        <v>80</v>
      </c>
      <c r="H1177" t="s">
        <v>150</v>
      </c>
      <c r="I1177">
        <v>7323.56</v>
      </c>
      <c r="J1177">
        <v>7752.36</v>
      </c>
      <c r="K1177" t="s">
        <v>17</v>
      </c>
      <c r="L1177" t="b">
        <v>0</v>
      </c>
      <c r="N1177" s="2" t="str">
        <f t="shared" si="99"/>
        <v/>
      </c>
      <c r="Q1177" t="str">
        <f t="shared" si="100"/>
        <v/>
      </c>
    </row>
    <row r="1178" spans="1:17" hidden="1">
      <c r="A1178" t="s">
        <v>1283</v>
      </c>
      <c r="B1178" s="1">
        <v>45080</v>
      </c>
      <c r="C1178">
        <v>2023</v>
      </c>
      <c r="D1178">
        <v>6</v>
      </c>
      <c r="E1178" t="s">
        <v>19</v>
      </c>
      <c r="F1178" t="s">
        <v>24</v>
      </c>
      <c r="G1178" t="s">
        <v>80</v>
      </c>
      <c r="H1178" t="s">
        <v>81</v>
      </c>
      <c r="I1178">
        <v>5428.51</v>
      </c>
      <c r="J1178">
        <v>5306.72</v>
      </c>
      <c r="K1178" t="s">
        <v>17</v>
      </c>
      <c r="L1178" t="b">
        <v>0</v>
      </c>
      <c r="N1178" s="2" t="str">
        <f t="shared" si="99"/>
        <v/>
      </c>
      <c r="Q1178" t="str">
        <f t="shared" si="100"/>
        <v/>
      </c>
    </row>
    <row r="1179" spans="1:17" hidden="1">
      <c r="A1179" t="s">
        <v>1284</v>
      </c>
      <c r="B1179" s="1">
        <v>45080</v>
      </c>
      <c r="C1179">
        <v>2023</v>
      </c>
      <c r="D1179">
        <v>6</v>
      </c>
      <c r="E1179" t="s">
        <v>37</v>
      </c>
      <c r="F1179" t="s">
        <v>14</v>
      </c>
      <c r="G1179" t="s">
        <v>41</v>
      </c>
      <c r="H1179" t="s">
        <v>42</v>
      </c>
      <c r="I1179">
        <v>6754.21</v>
      </c>
      <c r="J1179">
        <v>6308.27</v>
      </c>
      <c r="K1179" t="s">
        <v>17</v>
      </c>
      <c r="L1179" t="b">
        <v>0</v>
      </c>
      <c r="N1179" s="2" t="str">
        <f t="shared" si="99"/>
        <v/>
      </c>
      <c r="Q1179" t="str">
        <f t="shared" si="100"/>
        <v/>
      </c>
    </row>
    <row r="1180" spans="1:17" hidden="1">
      <c r="A1180" t="s">
        <v>1285</v>
      </c>
      <c r="B1180" s="1">
        <v>45081</v>
      </c>
      <c r="C1180">
        <v>2023</v>
      </c>
      <c r="D1180">
        <v>6</v>
      </c>
      <c r="E1180" t="s">
        <v>13</v>
      </c>
      <c r="F1180" t="s">
        <v>14</v>
      </c>
      <c r="G1180" t="s">
        <v>68</v>
      </c>
      <c r="H1180" t="s">
        <v>69</v>
      </c>
      <c r="I1180">
        <v>4701.29</v>
      </c>
      <c r="J1180">
        <v>4865.63</v>
      </c>
      <c r="K1180" t="s">
        <v>17</v>
      </c>
      <c r="L1180" t="b">
        <v>0</v>
      </c>
      <c r="N1180" s="2" t="str">
        <f t="shared" si="99"/>
        <v/>
      </c>
      <c r="Q1180" t="str">
        <f t="shared" si="100"/>
        <v/>
      </c>
    </row>
    <row r="1181" spans="1:17" hidden="1">
      <c r="A1181" t="s">
        <v>1286</v>
      </c>
      <c r="B1181" s="1">
        <v>45081</v>
      </c>
      <c r="C1181">
        <v>2023</v>
      </c>
      <c r="D1181">
        <v>6</v>
      </c>
      <c r="E1181" t="s">
        <v>13</v>
      </c>
      <c r="F1181" t="s">
        <v>28</v>
      </c>
      <c r="G1181" t="s">
        <v>102</v>
      </c>
      <c r="H1181" t="s">
        <v>103</v>
      </c>
      <c r="I1181">
        <v>4391.1499999999996</v>
      </c>
      <c r="J1181">
        <v>4538.49</v>
      </c>
      <c r="K1181" t="s">
        <v>17</v>
      </c>
      <c r="L1181" t="b">
        <v>0</v>
      </c>
      <c r="N1181" s="2" t="str">
        <f t="shared" si="99"/>
        <v/>
      </c>
      <c r="Q1181" t="str">
        <f t="shared" si="100"/>
        <v/>
      </c>
    </row>
    <row r="1182" spans="1:17" hidden="1">
      <c r="A1182" t="s">
        <v>1287</v>
      </c>
      <c r="B1182" s="1">
        <v>45081</v>
      </c>
      <c r="C1182">
        <v>2023</v>
      </c>
      <c r="D1182">
        <v>6</v>
      </c>
      <c r="E1182" t="s">
        <v>47</v>
      </c>
      <c r="F1182" t="s">
        <v>24</v>
      </c>
      <c r="G1182" t="s">
        <v>48</v>
      </c>
      <c r="H1182" t="s">
        <v>111</v>
      </c>
      <c r="I1182">
        <v>16511.77</v>
      </c>
      <c r="J1182">
        <v>14054.85</v>
      </c>
      <c r="K1182" t="s">
        <v>17</v>
      </c>
      <c r="L1182" t="b">
        <v>0</v>
      </c>
      <c r="N1182" s="2" t="b">
        <f t="shared" si="99"/>
        <v>1</v>
      </c>
      <c r="O1182" t="b">
        <f>IF(AND(E1171="HR",K1171="EXPENSE"),I1171&lt;J1171,"")</f>
        <v>0</v>
      </c>
      <c r="Q1182" t="str">
        <f t="shared" si="100"/>
        <v/>
      </c>
    </row>
    <row r="1183" spans="1:17" hidden="1">
      <c r="A1183" t="s">
        <v>1288</v>
      </c>
      <c r="B1183" s="1">
        <v>45081</v>
      </c>
      <c r="C1183">
        <v>2023</v>
      </c>
      <c r="D1183">
        <v>6</v>
      </c>
      <c r="E1183" t="s">
        <v>19</v>
      </c>
      <c r="F1183" t="s">
        <v>14</v>
      </c>
      <c r="G1183" t="s">
        <v>54</v>
      </c>
      <c r="H1183" t="s">
        <v>55</v>
      </c>
      <c r="I1183">
        <v>6565.31</v>
      </c>
      <c r="J1183">
        <v>6584.92</v>
      </c>
      <c r="K1183" t="s">
        <v>17</v>
      </c>
      <c r="L1183" t="b">
        <v>0</v>
      </c>
      <c r="N1183" s="2" t="str">
        <f t="shared" si="99"/>
        <v/>
      </c>
      <c r="Q1183" t="str">
        <f t="shared" si="100"/>
        <v/>
      </c>
    </row>
    <row r="1184" spans="1:17" hidden="1">
      <c r="A1184" t="s">
        <v>1289</v>
      </c>
      <c r="B1184" s="1">
        <v>45081</v>
      </c>
      <c r="C1184">
        <v>2023</v>
      </c>
      <c r="D1184">
        <v>6</v>
      </c>
      <c r="E1184" t="s">
        <v>19</v>
      </c>
      <c r="F1184" t="s">
        <v>14</v>
      </c>
      <c r="G1184" t="s">
        <v>132</v>
      </c>
      <c r="H1184" t="s">
        <v>133</v>
      </c>
      <c r="I1184">
        <v>4341.53</v>
      </c>
      <c r="J1184">
        <v>3998.85</v>
      </c>
      <c r="K1184" t="s">
        <v>17</v>
      </c>
      <c r="L1184" t="b">
        <v>0</v>
      </c>
      <c r="N1184" s="2" t="str">
        <f t="shared" si="99"/>
        <v/>
      </c>
      <c r="Q1184" t="str">
        <f t="shared" si="100"/>
        <v/>
      </c>
    </row>
    <row r="1185" spans="1:17" hidden="1">
      <c r="A1185" t="s">
        <v>1290</v>
      </c>
      <c r="B1185" s="1">
        <v>45081</v>
      </c>
      <c r="C1185">
        <v>2023</v>
      </c>
      <c r="D1185">
        <v>6</v>
      </c>
      <c r="E1185" t="s">
        <v>19</v>
      </c>
      <c r="F1185" t="s">
        <v>14</v>
      </c>
      <c r="G1185" t="s">
        <v>54</v>
      </c>
      <c r="H1185" t="s">
        <v>55</v>
      </c>
      <c r="I1185">
        <v>3940</v>
      </c>
      <c r="J1185">
        <v>4023.24</v>
      </c>
      <c r="K1185" t="s">
        <v>17</v>
      </c>
      <c r="L1185" t="b">
        <v>0</v>
      </c>
      <c r="N1185" s="2" t="str">
        <f t="shared" si="99"/>
        <v/>
      </c>
      <c r="Q1185" t="str">
        <f t="shared" si="100"/>
        <v/>
      </c>
    </row>
    <row r="1186" spans="1:17" hidden="1">
      <c r="A1186" t="s">
        <v>1291</v>
      </c>
      <c r="B1186" s="1">
        <v>45082</v>
      </c>
      <c r="C1186">
        <v>2023</v>
      </c>
      <c r="D1186">
        <v>6</v>
      </c>
      <c r="E1186" t="s">
        <v>13</v>
      </c>
      <c r="F1186" t="s">
        <v>24</v>
      </c>
      <c r="G1186" t="s">
        <v>15</v>
      </c>
      <c r="H1186" t="s">
        <v>89</v>
      </c>
      <c r="I1186">
        <v>2759.38</v>
      </c>
      <c r="J1186">
        <v>2679.53</v>
      </c>
      <c r="K1186" t="s">
        <v>17</v>
      </c>
      <c r="L1186" t="b">
        <v>0</v>
      </c>
      <c r="N1186" s="2" t="str">
        <f t="shared" si="99"/>
        <v/>
      </c>
      <c r="Q1186" t="str">
        <f t="shared" si="100"/>
        <v/>
      </c>
    </row>
    <row r="1187" spans="1:17" hidden="1">
      <c r="A1187" t="s">
        <v>1292</v>
      </c>
      <c r="B1187" s="1">
        <v>45082</v>
      </c>
      <c r="C1187">
        <v>2023</v>
      </c>
      <c r="D1187">
        <v>6</v>
      </c>
      <c r="E1187" t="s">
        <v>19</v>
      </c>
      <c r="F1187" t="s">
        <v>14</v>
      </c>
      <c r="G1187" t="s">
        <v>54</v>
      </c>
      <c r="H1187" t="s">
        <v>55</v>
      </c>
      <c r="I1187">
        <v>4065.62</v>
      </c>
      <c r="J1187">
        <v>3754.64</v>
      </c>
      <c r="K1187" t="s">
        <v>17</v>
      </c>
      <c r="L1187" t="b">
        <v>0</v>
      </c>
      <c r="N1187" s="2" t="str">
        <f t="shared" si="99"/>
        <v/>
      </c>
      <c r="Q1187" t="str">
        <f t="shared" si="100"/>
        <v/>
      </c>
    </row>
    <row r="1188" spans="1:17" hidden="1">
      <c r="A1188" t="s">
        <v>1293</v>
      </c>
      <c r="B1188" s="1">
        <v>45082</v>
      </c>
      <c r="C1188">
        <v>2023</v>
      </c>
      <c r="D1188">
        <v>6</v>
      </c>
      <c r="E1188" t="s">
        <v>19</v>
      </c>
      <c r="F1188" t="s">
        <v>28</v>
      </c>
      <c r="G1188" t="s">
        <v>54</v>
      </c>
      <c r="H1188" t="s">
        <v>55</v>
      </c>
      <c r="I1188">
        <v>8086.26</v>
      </c>
      <c r="J1188">
        <v>7467.18</v>
      </c>
      <c r="K1188" t="s">
        <v>17</v>
      </c>
      <c r="L1188" t="b">
        <v>0</v>
      </c>
      <c r="N1188" s="2" t="str">
        <f t="shared" si="99"/>
        <v/>
      </c>
      <c r="Q1188" t="str">
        <f t="shared" si="100"/>
        <v/>
      </c>
    </row>
    <row r="1189" spans="1:17" hidden="1">
      <c r="A1189" t="s">
        <v>1294</v>
      </c>
      <c r="B1189" s="1">
        <v>45082</v>
      </c>
      <c r="C1189">
        <v>2023</v>
      </c>
      <c r="D1189">
        <v>6</v>
      </c>
      <c r="E1189" t="s">
        <v>19</v>
      </c>
      <c r="F1189" t="s">
        <v>24</v>
      </c>
      <c r="G1189" t="s">
        <v>132</v>
      </c>
      <c r="H1189" t="s">
        <v>133</v>
      </c>
      <c r="I1189">
        <v>6677.95</v>
      </c>
      <c r="J1189">
        <v>7083.35</v>
      </c>
      <c r="K1189" t="s">
        <v>17</v>
      </c>
      <c r="L1189" t="b">
        <v>0</v>
      </c>
      <c r="N1189" s="2" t="str">
        <f t="shared" si="99"/>
        <v/>
      </c>
      <c r="Q1189" t="str">
        <f t="shared" si="100"/>
        <v/>
      </c>
    </row>
    <row r="1190" spans="1:17" hidden="1">
      <c r="A1190" t="s">
        <v>1295</v>
      </c>
      <c r="B1190" s="1">
        <v>45082</v>
      </c>
      <c r="C1190">
        <v>2023</v>
      </c>
      <c r="D1190">
        <v>6</v>
      </c>
      <c r="E1190" t="s">
        <v>23</v>
      </c>
      <c r="F1190" t="s">
        <v>14</v>
      </c>
      <c r="G1190" t="s">
        <v>59</v>
      </c>
      <c r="H1190" t="s">
        <v>60</v>
      </c>
      <c r="I1190">
        <v>3324.02</v>
      </c>
      <c r="J1190">
        <v>3316.97</v>
      </c>
      <c r="K1190" t="s">
        <v>17</v>
      </c>
      <c r="L1190" t="b">
        <v>0</v>
      </c>
      <c r="N1190" s="2" t="str">
        <f t="shared" si="99"/>
        <v/>
      </c>
      <c r="Q1190" t="str">
        <f t="shared" si="100"/>
        <v/>
      </c>
    </row>
    <row r="1191" spans="1:17" hidden="1">
      <c r="A1191" t="s">
        <v>1296</v>
      </c>
      <c r="B1191" s="1">
        <v>45082</v>
      </c>
      <c r="C1191">
        <v>2023</v>
      </c>
      <c r="D1191">
        <v>6</v>
      </c>
      <c r="E1191" t="s">
        <v>23</v>
      </c>
      <c r="F1191" t="s">
        <v>14</v>
      </c>
      <c r="G1191" t="s">
        <v>25</v>
      </c>
      <c r="H1191" t="s">
        <v>95</v>
      </c>
      <c r="I1191">
        <v>5129.45</v>
      </c>
      <c r="J1191">
        <v>5592.58</v>
      </c>
      <c r="K1191" t="s">
        <v>17</v>
      </c>
      <c r="L1191" t="b">
        <v>0</v>
      </c>
      <c r="N1191" s="2" t="str">
        <f t="shared" si="99"/>
        <v/>
      </c>
      <c r="Q1191" t="str">
        <f t="shared" si="100"/>
        <v/>
      </c>
    </row>
    <row r="1192" spans="1:17" hidden="1">
      <c r="A1192" t="s">
        <v>1297</v>
      </c>
      <c r="B1192" s="1">
        <v>45082</v>
      </c>
      <c r="C1192">
        <v>2023</v>
      </c>
      <c r="D1192">
        <v>6</v>
      </c>
      <c r="E1192" t="s">
        <v>37</v>
      </c>
      <c r="F1192" t="s">
        <v>28</v>
      </c>
      <c r="G1192" t="s">
        <v>38</v>
      </c>
      <c r="H1192" t="s">
        <v>118</v>
      </c>
      <c r="I1192">
        <v>4253.3100000000004</v>
      </c>
      <c r="J1192">
        <v>4600.24</v>
      </c>
      <c r="K1192" t="s">
        <v>17</v>
      </c>
      <c r="L1192" t="b">
        <v>0</v>
      </c>
      <c r="N1192" s="2" t="str">
        <f t="shared" si="99"/>
        <v/>
      </c>
      <c r="Q1192" t="str">
        <f t="shared" si="100"/>
        <v/>
      </c>
    </row>
    <row r="1193" spans="1:17" hidden="1">
      <c r="A1193" t="s">
        <v>1298</v>
      </c>
      <c r="B1193" s="1">
        <v>45082</v>
      </c>
      <c r="C1193">
        <v>2023</v>
      </c>
      <c r="D1193">
        <v>6</v>
      </c>
      <c r="E1193" t="s">
        <v>37</v>
      </c>
      <c r="F1193" t="s">
        <v>28</v>
      </c>
      <c r="G1193" t="s">
        <v>62</v>
      </c>
      <c r="H1193" t="s">
        <v>360</v>
      </c>
      <c r="I1193">
        <v>3576.15</v>
      </c>
      <c r="J1193">
        <v>3644.32</v>
      </c>
      <c r="K1193" t="s">
        <v>17</v>
      </c>
      <c r="L1193" t="b">
        <v>0</v>
      </c>
      <c r="N1193" s="2" t="str">
        <f t="shared" si="99"/>
        <v/>
      </c>
      <c r="Q1193" t="str">
        <f t="shared" si="100"/>
        <v/>
      </c>
    </row>
    <row r="1194" spans="1:17" hidden="1">
      <c r="A1194" t="s">
        <v>1299</v>
      </c>
      <c r="B1194" s="1">
        <v>45083</v>
      </c>
      <c r="C1194">
        <v>2023</v>
      </c>
      <c r="D1194">
        <v>6</v>
      </c>
      <c r="E1194" t="s">
        <v>13</v>
      </c>
      <c r="F1194" t="s">
        <v>14</v>
      </c>
      <c r="G1194" t="s">
        <v>102</v>
      </c>
      <c r="H1194" t="s">
        <v>278</v>
      </c>
      <c r="I1194">
        <v>4042.46</v>
      </c>
      <c r="J1194">
        <v>3995.81</v>
      </c>
      <c r="K1194" t="s">
        <v>17</v>
      </c>
      <c r="L1194" t="b">
        <v>0</v>
      </c>
      <c r="N1194" s="2" t="str">
        <f t="shared" si="99"/>
        <v/>
      </c>
      <c r="Q1194" t="str">
        <f t="shared" si="100"/>
        <v/>
      </c>
    </row>
    <row r="1195" spans="1:17" hidden="1">
      <c r="A1195" t="s">
        <v>1300</v>
      </c>
      <c r="B1195" s="1">
        <v>45083</v>
      </c>
      <c r="C1195">
        <v>2023</v>
      </c>
      <c r="D1195">
        <v>6</v>
      </c>
      <c r="E1195" t="s">
        <v>13</v>
      </c>
      <c r="F1195" t="s">
        <v>28</v>
      </c>
      <c r="G1195" t="s">
        <v>108</v>
      </c>
      <c r="H1195" t="s">
        <v>126</v>
      </c>
      <c r="I1195">
        <v>3053.86</v>
      </c>
      <c r="J1195">
        <v>2852.14</v>
      </c>
      <c r="K1195" t="s">
        <v>17</v>
      </c>
      <c r="L1195" t="b">
        <v>0</v>
      </c>
      <c r="N1195" s="2" t="str">
        <f t="shared" si="99"/>
        <v/>
      </c>
      <c r="Q1195" t="str">
        <f t="shared" si="100"/>
        <v/>
      </c>
    </row>
    <row r="1196" spans="1:17" hidden="1">
      <c r="A1196" t="s">
        <v>1301</v>
      </c>
      <c r="B1196" s="1">
        <v>45083</v>
      </c>
      <c r="C1196">
        <v>2023</v>
      </c>
      <c r="D1196">
        <v>6</v>
      </c>
      <c r="E1196" t="s">
        <v>13</v>
      </c>
      <c r="F1196" t="s">
        <v>28</v>
      </c>
      <c r="G1196" t="s">
        <v>102</v>
      </c>
      <c r="H1196" t="s">
        <v>145</v>
      </c>
      <c r="I1196">
        <v>5262.14</v>
      </c>
      <c r="J1196">
        <v>5181.46</v>
      </c>
      <c r="K1196" t="s">
        <v>17</v>
      </c>
      <c r="L1196" t="b">
        <v>0</v>
      </c>
      <c r="N1196" s="2" t="str">
        <f t="shared" si="99"/>
        <v/>
      </c>
      <c r="Q1196" t="str">
        <f t="shared" si="100"/>
        <v/>
      </c>
    </row>
    <row r="1197" spans="1:17" hidden="1">
      <c r="A1197" t="s">
        <v>1302</v>
      </c>
      <c r="B1197" s="1">
        <v>45083</v>
      </c>
      <c r="C1197">
        <v>2023</v>
      </c>
      <c r="D1197">
        <v>6</v>
      </c>
      <c r="E1197" t="s">
        <v>13</v>
      </c>
      <c r="F1197" t="s">
        <v>24</v>
      </c>
      <c r="G1197" t="s">
        <v>102</v>
      </c>
      <c r="H1197" t="s">
        <v>103</v>
      </c>
      <c r="I1197">
        <v>3529.73</v>
      </c>
      <c r="J1197">
        <v>3388.11</v>
      </c>
      <c r="K1197" t="s">
        <v>17</v>
      </c>
      <c r="L1197" t="b">
        <v>0</v>
      </c>
      <c r="N1197" s="2" t="str">
        <f t="shared" si="99"/>
        <v/>
      </c>
      <c r="Q1197" t="str">
        <f t="shared" si="100"/>
        <v/>
      </c>
    </row>
    <row r="1198" spans="1:17" hidden="1">
      <c r="A1198" t="s">
        <v>1303</v>
      </c>
      <c r="B1198" s="1">
        <v>45083</v>
      </c>
      <c r="C1198">
        <v>2023</v>
      </c>
      <c r="D1198">
        <v>6</v>
      </c>
      <c r="E1198" t="s">
        <v>47</v>
      </c>
      <c r="F1198" t="s">
        <v>14</v>
      </c>
      <c r="G1198" t="s">
        <v>51</v>
      </c>
      <c r="H1198" t="s">
        <v>52</v>
      </c>
      <c r="I1198">
        <v>15773.39</v>
      </c>
      <c r="J1198">
        <v>13390.74</v>
      </c>
      <c r="K1198" t="s">
        <v>17</v>
      </c>
      <c r="L1198" t="b">
        <v>0</v>
      </c>
      <c r="N1198" s="2" t="b">
        <f t="shared" si="99"/>
        <v>1</v>
      </c>
      <c r="O1198" t="str">
        <f>IF(AND(E1187="HR",K1187="EXPENSE"),I1187&lt;J1187,"")</f>
        <v/>
      </c>
      <c r="Q1198" t="str">
        <f t="shared" si="100"/>
        <v/>
      </c>
    </row>
    <row r="1199" spans="1:17" hidden="1">
      <c r="A1199" t="s">
        <v>1304</v>
      </c>
      <c r="B1199" s="1">
        <v>45083</v>
      </c>
      <c r="C1199">
        <v>2023</v>
      </c>
      <c r="D1199">
        <v>6</v>
      </c>
      <c r="E1199" t="s">
        <v>19</v>
      </c>
      <c r="F1199" t="s">
        <v>14</v>
      </c>
      <c r="G1199" t="s">
        <v>54</v>
      </c>
      <c r="H1199" t="s">
        <v>55</v>
      </c>
      <c r="I1199">
        <v>5849.04</v>
      </c>
      <c r="J1199">
        <v>5331.68</v>
      </c>
      <c r="K1199" t="s">
        <v>17</v>
      </c>
      <c r="L1199" t="b">
        <v>0</v>
      </c>
      <c r="N1199" s="2" t="str">
        <f t="shared" si="99"/>
        <v/>
      </c>
      <c r="Q1199" t="str">
        <f t="shared" si="100"/>
        <v/>
      </c>
    </row>
    <row r="1200" spans="1:17" hidden="1">
      <c r="A1200" t="s">
        <v>1305</v>
      </c>
      <c r="B1200" s="1">
        <v>45083</v>
      </c>
      <c r="C1200">
        <v>2023</v>
      </c>
      <c r="D1200">
        <v>6</v>
      </c>
      <c r="E1200" t="s">
        <v>19</v>
      </c>
      <c r="F1200" t="s">
        <v>28</v>
      </c>
      <c r="G1200" t="s">
        <v>80</v>
      </c>
      <c r="H1200" t="s">
        <v>81</v>
      </c>
      <c r="I1200">
        <v>13103.65</v>
      </c>
      <c r="J1200">
        <v>13440.22</v>
      </c>
      <c r="K1200" t="s">
        <v>17</v>
      </c>
      <c r="L1200" t="b">
        <v>0</v>
      </c>
      <c r="N1200" s="2" t="str">
        <f t="shared" si="99"/>
        <v/>
      </c>
      <c r="Q1200" t="str">
        <f t="shared" si="100"/>
        <v/>
      </c>
    </row>
    <row r="1201" spans="1:17" hidden="1">
      <c r="A1201" t="s">
        <v>1306</v>
      </c>
      <c r="B1201" s="1">
        <v>45083</v>
      </c>
      <c r="C1201">
        <v>2023</v>
      </c>
      <c r="D1201">
        <v>6</v>
      </c>
      <c r="E1201" t="s">
        <v>23</v>
      </c>
      <c r="F1201" t="s">
        <v>14</v>
      </c>
      <c r="G1201" t="s">
        <v>30</v>
      </c>
      <c r="H1201" t="s">
        <v>33</v>
      </c>
      <c r="I1201">
        <v>4883.75</v>
      </c>
      <c r="J1201">
        <v>5264.21</v>
      </c>
      <c r="K1201" t="s">
        <v>17</v>
      </c>
      <c r="L1201" t="b">
        <v>0</v>
      </c>
      <c r="N1201" s="2" t="str">
        <f t="shared" si="99"/>
        <v/>
      </c>
      <c r="Q1201" t="str">
        <f t="shared" si="100"/>
        <v/>
      </c>
    </row>
    <row r="1202" spans="1:17" hidden="1">
      <c r="A1202" t="s">
        <v>1307</v>
      </c>
      <c r="B1202" s="1">
        <v>45083</v>
      </c>
      <c r="C1202">
        <v>2023</v>
      </c>
      <c r="D1202">
        <v>6</v>
      </c>
      <c r="E1202" t="s">
        <v>37</v>
      </c>
      <c r="F1202" t="s">
        <v>14</v>
      </c>
      <c r="G1202" t="s">
        <v>41</v>
      </c>
      <c r="H1202" t="s">
        <v>42</v>
      </c>
      <c r="I1202">
        <v>6763.07</v>
      </c>
      <c r="J1202">
        <v>6994.58</v>
      </c>
      <c r="K1202" t="s">
        <v>17</v>
      </c>
      <c r="L1202" t="b">
        <v>0</v>
      </c>
      <c r="N1202" s="2" t="str">
        <f t="shared" si="99"/>
        <v/>
      </c>
      <c r="Q1202" t="str">
        <f t="shared" si="100"/>
        <v/>
      </c>
    </row>
    <row r="1203" spans="1:17" hidden="1">
      <c r="A1203" t="s">
        <v>1308</v>
      </c>
      <c r="B1203" s="1">
        <v>45083</v>
      </c>
      <c r="C1203">
        <v>2023</v>
      </c>
      <c r="D1203">
        <v>6</v>
      </c>
      <c r="E1203" t="s">
        <v>37</v>
      </c>
      <c r="F1203" t="s">
        <v>28</v>
      </c>
      <c r="G1203" t="s">
        <v>41</v>
      </c>
      <c r="H1203" t="s">
        <v>42</v>
      </c>
      <c r="I1203">
        <v>3623.72</v>
      </c>
      <c r="J1203">
        <v>3856.97</v>
      </c>
      <c r="K1203" t="s">
        <v>17</v>
      </c>
      <c r="L1203" t="b">
        <v>0</v>
      </c>
      <c r="N1203" s="2" t="str">
        <f t="shared" si="99"/>
        <v/>
      </c>
      <c r="Q1203" t="str">
        <f t="shared" si="100"/>
        <v/>
      </c>
    </row>
    <row r="1204" spans="1:17" hidden="1">
      <c r="A1204" t="s">
        <v>1309</v>
      </c>
      <c r="B1204" s="1">
        <v>45083</v>
      </c>
      <c r="C1204">
        <v>2023</v>
      </c>
      <c r="D1204">
        <v>6</v>
      </c>
      <c r="E1204" t="s">
        <v>37</v>
      </c>
      <c r="F1204" t="s">
        <v>28</v>
      </c>
      <c r="G1204" t="s">
        <v>38</v>
      </c>
      <c r="H1204" t="s">
        <v>39</v>
      </c>
      <c r="I1204">
        <v>5688.9</v>
      </c>
      <c r="J1204">
        <v>5420.45</v>
      </c>
      <c r="K1204" t="s">
        <v>17</v>
      </c>
      <c r="L1204" t="b">
        <v>0</v>
      </c>
      <c r="N1204" s="2" t="str">
        <f t="shared" si="99"/>
        <v/>
      </c>
      <c r="Q1204" t="str">
        <f t="shared" si="100"/>
        <v/>
      </c>
    </row>
    <row r="1205" spans="1:17" hidden="1">
      <c r="A1205" t="s">
        <v>1310</v>
      </c>
      <c r="B1205" s="1">
        <v>45083</v>
      </c>
      <c r="C1205">
        <v>2023</v>
      </c>
      <c r="D1205">
        <v>6</v>
      </c>
      <c r="E1205" t="s">
        <v>37</v>
      </c>
      <c r="F1205" t="s">
        <v>24</v>
      </c>
      <c r="G1205" t="s">
        <v>41</v>
      </c>
      <c r="H1205" t="s">
        <v>42</v>
      </c>
      <c r="I1205">
        <v>3261.42</v>
      </c>
      <c r="J1205">
        <v>3370.26</v>
      </c>
      <c r="K1205" t="s">
        <v>17</v>
      </c>
      <c r="L1205" t="b">
        <v>0</v>
      </c>
      <c r="N1205" s="2" t="str">
        <f t="shared" si="99"/>
        <v/>
      </c>
      <c r="Q1205" t="str">
        <f t="shared" si="100"/>
        <v/>
      </c>
    </row>
    <row r="1206" spans="1:17" hidden="1">
      <c r="A1206" t="s">
        <v>1311</v>
      </c>
      <c r="B1206" s="1">
        <v>45083</v>
      </c>
      <c r="C1206">
        <v>2023</v>
      </c>
      <c r="D1206">
        <v>6</v>
      </c>
      <c r="E1206" t="s">
        <v>37</v>
      </c>
      <c r="F1206" t="s">
        <v>24</v>
      </c>
      <c r="G1206" t="s">
        <v>41</v>
      </c>
      <c r="H1206" t="s">
        <v>42</v>
      </c>
      <c r="I1206">
        <v>5780.57</v>
      </c>
      <c r="J1206">
        <v>5869.24</v>
      </c>
      <c r="K1206" t="s">
        <v>17</v>
      </c>
      <c r="L1206" t="b">
        <v>0</v>
      </c>
      <c r="N1206" s="2" t="str">
        <f t="shared" si="99"/>
        <v/>
      </c>
      <c r="Q1206" t="str">
        <f t="shared" si="100"/>
        <v/>
      </c>
    </row>
    <row r="1207" spans="1:17" hidden="1">
      <c r="A1207" t="s">
        <v>1312</v>
      </c>
      <c r="B1207" s="1">
        <v>45084</v>
      </c>
      <c r="C1207">
        <v>2023</v>
      </c>
      <c r="D1207">
        <v>6</v>
      </c>
      <c r="E1207" t="s">
        <v>13</v>
      </c>
      <c r="F1207" t="s">
        <v>14</v>
      </c>
      <c r="G1207" t="s">
        <v>108</v>
      </c>
      <c r="H1207" t="s">
        <v>123</v>
      </c>
      <c r="I1207">
        <v>4421.7299999999996</v>
      </c>
      <c r="J1207">
        <v>4801.24</v>
      </c>
      <c r="K1207" t="s">
        <v>17</v>
      </c>
      <c r="L1207" t="b">
        <v>0</v>
      </c>
      <c r="N1207" s="2" t="str">
        <f t="shared" si="99"/>
        <v/>
      </c>
      <c r="Q1207" t="str">
        <f t="shared" si="100"/>
        <v/>
      </c>
    </row>
    <row r="1208" spans="1:17" hidden="1">
      <c r="A1208" t="s">
        <v>1313</v>
      </c>
      <c r="B1208" s="1">
        <v>45084</v>
      </c>
      <c r="C1208">
        <v>2023</v>
      </c>
      <c r="D1208">
        <v>6</v>
      </c>
      <c r="E1208" t="s">
        <v>47</v>
      </c>
      <c r="F1208" t="s">
        <v>24</v>
      </c>
      <c r="G1208" t="s">
        <v>91</v>
      </c>
      <c r="H1208" t="s">
        <v>249</v>
      </c>
      <c r="I1208">
        <v>11473.23</v>
      </c>
      <c r="J1208">
        <v>9589.0300000000007</v>
      </c>
      <c r="K1208" t="s">
        <v>17</v>
      </c>
      <c r="L1208" t="b">
        <v>0</v>
      </c>
      <c r="N1208" s="2" t="b">
        <f t="shared" si="99"/>
        <v>1</v>
      </c>
      <c r="O1208" t="b">
        <f>IF(AND(E1197="HR",K1197="EXPENSE"),I1197&lt;J1197,"")</f>
        <v>0</v>
      </c>
      <c r="Q1208" t="str">
        <f t="shared" si="100"/>
        <v/>
      </c>
    </row>
    <row r="1209" spans="1:17" hidden="1">
      <c r="A1209" t="s">
        <v>1314</v>
      </c>
      <c r="B1209" s="1">
        <v>45084</v>
      </c>
      <c r="C1209">
        <v>2023</v>
      </c>
      <c r="D1209">
        <v>6</v>
      </c>
      <c r="E1209" t="s">
        <v>23</v>
      </c>
      <c r="F1209" t="s">
        <v>28</v>
      </c>
      <c r="G1209" t="s">
        <v>25</v>
      </c>
      <c r="H1209" t="s">
        <v>95</v>
      </c>
      <c r="I1209">
        <v>4496.92</v>
      </c>
      <c r="J1209">
        <v>4561.01</v>
      </c>
      <c r="K1209" t="s">
        <v>17</v>
      </c>
      <c r="L1209" t="b">
        <v>0</v>
      </c>
      <c r="N1209" s="2" t="str">
        <f t="shared" si="99"/>
        <v/>
      </c>
      <c r="Q1209" t="str">
        <f t="shared" si="100"/>
        <v/>
      </c>
    </row>
    <row r="1210" spans="1:17" hidden="1">
      <c r="A1210" t="s">
        <v>1315</v>
      </c>
      <c r="B1210" s="1">
        <v>45084</v>
      </c>
      <c r="C1210">
        <v>2023</v>
      </c>
      <c r="D1210">
        <v>6</v>
      </c>
      <c r="E1210" t="s">
        <v>23</v>
      </c>
      <c r="F1210" t="s">
        <v>24</v>
      </c>
      <c r="G1210" t="s">
        <v>141</v>
      </c>
      <c r="H1210" t="s">
        <v>153</v>
      </c>
      <c r="I1210">
        <v>5075.42</v>
      </c>
      <c r="J1210">
        <v>5490.01</v>
      </c>
      <c r="K1210" t="s">
        <v>17</v>
      </c>
      <c r="L1210" t="b">
        <v>0</v>
      </c>
      <c r="N1210" s="2" t="str">
        <f t="shared" si="99"/>
        <v/>
      </c>
      <c r="Q1210" t="str">
        <f t="shared" si="100"/>
        <v/>
      </c>
    </row>
    <row r="1211" spans="1:17" hidden="1">
      <c r="A1211" t="s">
        <v>1316</v>
      </c>
      <c r="B1211" s="1">
        <v>45084</v>
      </c>
      <c r="C1211">
        <v>2023</v>
      </c>
      <c r="D1211">
        <v>6</v>
      </c>
      <c r="E1211" t="s">
        <v>37</v>
      </c>
      <c r="F1211" t="s">
        <v>24</v>
      </c>
      <c r="G1211" t="s">
        <v>62</v>
      </c>
      <c r="H1211" t="s">
        <v>121</v>
      </c>
      <c r="I1211">
        <v>6136.64</v>
      </c>
      <c r="J1211">
        <v>6380.82</v>
      </c>
      <c r="K1211" t="s">
        <v>17</v>
      </c>
      <c r="L1211" t="b">
        <v>0</v>
      </c>
      <c r="N1211" s="2" t="str">
        <f t="shared" si="99"/>
        <v/>
      </c>
      <c r="Q1211" t="str">
        <f t="shared" si="100"/>
        <v/>
      </c>
    </row>
    <row r="1212" spans="1:17" hidden="1">
      <c r="A1212" t="s">
        <v>1317</v>
      </c>
      <c r="B1212" s="1">
        <v>45085</v>
      </c>
      <c r="C1212">
        <v>2023</v>
      </c>
      <c r="D1212">
        <v>6</v>
      </c>
      <c r="E1212" t="s">
        <v>47</v>
      </c>
      <c r="F1212" t="s">
        <v>28</v>
      </c>
      <c r="G1212" t="s">
        <v>48</v>
      </c>
      <c r="H1212" t="s">
        <v>189</v>
      </c>
      <c r="I1212">
        <v>7754.39</v>
      </c>
      <c r="J1212">
        <v>6451.23</v>
      </c>
      <c r="K1212" t="s">
        <v>17</v>
      </c>
      <c r="L1212" t="b">
        <v>0</v>
      </c>
      <c r="N1212" s="2" t="b">
        <f t="shared" si="99"/>
        <v>1</v>
      </c>
      <c r="O1212" t="str">
        <f t="shared" ref="O1212:O1213" si="103">IF(AND(E1201="HR",K1201="EXPENSE"),I1201&lt;J1201,"")</f>
        <v/>
      </c>
      <c r="Q1212" t="str">
        <f t="shared" si="100"/>
        <v/>
      </c>
    </row>
    <row r="1213" spans="1:17" hidden="1">
      <c r="A1213" t="s">
        <v>1318</v>
      </c>
      <c r="B1213" s="1">
        <v>45085</v>
      </c>
      <c r="C1213">
        <v>2023</v>
      </c>
      <c r="D1213">
        <v>6</v>
      </c>
      <c r="E1213" t="s">
        <v>47</v>
      </c>
      <c r="F1213" t="s">
        <v>24</v>
      </c>
      <c r="G1213" t="s">
        <v>77</v>
      </c>
      <c r="H1213" t="s">
        <v>147</v>
      </c>
      <c r="I1213">
        <v>15602.36</v>
      </c>
      <c r="J1213">
        <v>12964.04</v>
      </c>
      <c r="K1213" t="s">
        <v>17</v>
      </c>
      <c r="L1213" t="b">
        <v>0</v>
      </c>
      <c r="N1213" s="2" t="b">
        <f t="shared" si="99"/>
        <v>1</v>
      </c>
      <c r="O1213" t="str">
        <f t="shared" si="103"/>
        <v/>
      </c>
      <c r="Q1213" t="str">
        <f t="shared" si="100"/>
        <v/>
      </c>
    </row>
    <row r="1214" spans="1:17" hidden="1">
      <c r="A1214" t="s">
        <v>1319</v>
      </c>
      <c r="B1214" s="1">
        <v>45085</v>
      </c>
      <c r="C1214">
        <v>2023</v>
      </c>
      <c r="D1214">
        <v>6</v>
      </c>
      <c r="E1214" t="s">
        <v>19</v>
      </c>
      <c r="F1214" t="s">
        <v>14</v>
      </c>
      <c r="G1214" t="s">
        <v>80</v>
      </c>
      <c r="H1214" t="s">
        <v>217</v>
      </c>
      <c r="I1214">
        <v>6010.75</v>
      </c>
      <c r="J1214">
        <v>5685.68</v>
      </c>
      <c r="K1214" t="s">
        <v>17</v>
      </c>
      <c r="L1214" t="b">
        <v>0</v>
      </c>
      <c r="N1214" s="2" t="str">
        <f t="shared" si="99"/>
        <v/>
      </c>
      <c r="Q1214" t="str">
        <f t="shared" si="100"/>
        <v/>
      </c>
    </row>
    <row r="1215" spans="1:17" hidden="1">
      <c r="A1215" t="s">
        <v>1320</v>
      </c>
      <c r="B1215" s="1">
        <v>45085</v>
      </c>
      <c r="C1215">
        <v>2023</v>
      </c>
      <c r="D1215">
        <v>6</v>
      </c>
      <c r="E1215" t="s">
        <v>23</v>
      </c>
      <c r="F1215" t="s">
        <v>28</v>
      </c>
      <c r="G1215" t="s">
        <v>141</v>
      </c>
      <c r="H1215" t="s">
        <v>209</v>
      </c>
      <c r="I1215">
        <v>4309.01</v>
      </c>
      <c r="J1215">
        <v>4565.59</v>
      </c>
      <c r="K1215" t="s">
        <v>17</v>
      </c>
      <c r="L1215" t="b">
        <v>0</v>
      </c>
      <c r="N1215" s="2" t="str">
        <f t="shared" si="99"/>
        <v/>
      </c>
      <c r="Q1215" t="str">
        <f t="shared" si="100"/>
        <v/>
      </c>
    </row>
    <row r="1216" spans="1:17" hidden="1">
      <c r="A1216" t="s">
        <v>1321</v>
      </c>
      <c r="B1216" s="1">
        <v>45085</v>
      </c>
      <c r="C1216">
        <v>2023</v>
      </c>
      <c r="D1216">
        <v>6</v>
      </c>
      <c r="E1216" t="s">
        <v>37</v>
      </c>
      <c r="F1216" t="s">
        <v>14</v>
      </c>
      <c r="G1216" t="s">
        <v>38</v>
      </c>
      <c r="H1216" t="s">
        <v>227</v>
      </c>
      <c r="I1216">
        <v>4769.34</v>
      </c>
      <c r="J1216">
        <v>4735.2299999999996</v>
      </c>
      <c r="K1216" t="s">
        <v>17</v>
      </c>
      <c r="L1216" t="b">
        <v>0</v>
      </c>
      <c r="N1216" s="2" t="str">
        <f t="shared" si="99"/>
        <v/>
      </c>
      <c r="Q1216" t="str">
        <f t="shared" si="100"/>
        <v/>
      </c>
    </row>
    <row r="1217" spans="1:17" hidden="1">
      <c r="A1217" t="s">
        <v>1322</v>
      </c>
      <c r="B1217" s="1">
        <v>45085</v>
      </c>
      <c r="C1217">
        <v>2023</v>
      </c>
      <c r="D1217">
        <v>6</v>
      </c>
      <c r="E1217" t="s">
        <v>37</v>
      </c>
      <c r="F1217" t="s">
        <v>14</v>
      </c>
      <c r="G1217" t="s">
        <v>98</v>
      </c>
      <c r="H1217" t="s">
        <v>185</v>
      </c>
      <c r="I1217">
        <v>6121.33</v>
      </c>
      <c r="J1217">
        <v>6376.92</v>
      </c>
      <c r="K1217" t="s">
        <v>17</v>
      </c>
      <c r="L1217" t="b">
        <v>0</v>
      </c>
      <c r="N1217" s="2" t="str">
        <f t="shared" si="99"/>
        <v/>
      </c>
      <c r="Q1217" t="str">
        <f t="shared" si="100"/>
        <v/>
      </c>
    </row>
    <row r="1218" spans="1:17" hidden="1">
      <c r="A1218" t="s">
        <v>1323</v>
      </c>
      <c r="B1218" s="1">
        <v>45085</v>
      </c>
      <c r="C1218">
        <v>2023</v>
      </c>
      <c r="D1218">
        <v>6</v>
      </c>
      <c r="E1218" t="s">
        <v>37</v>
      </c>
      <c r="F1218" t="s">
        <v>14</v>
      </c>
      <c r="G1218" t="s">
        <v>98</v>
      </c>
      <c r="H1218" t="s">
        <v>185</v>
      </c>
      <c r="I1218">
        <v>5748.49</v>
      </c>
      <c r="J1218">
        <v>5804.16</v>
      </c>
      <c r="K1218" t="s">
        <v>17</v>
      </c>
      <c r="L1218" t="b">
        <v>0</v>
      </c>
      <c r="N1218" s="2" t="str">
        <f t="shared" si="99"/>
        <v/>
      </c>
      <c r="Q1218" t="str">
        <f t="shared" si="100"/>
        <v/>
      </c>
    </row>
    <row r="1219" spans="1:17" hidden="1">
      <c r="A1219" t="s">
        <v>1324</v>
      </c>
      <c r="B1219" s="1">
        <v>45085</v>
      </c>
      <c r="C1219">
        <v>2023</v>
      </c>
      <c r="D1219">
        <v>6</v>
      </c>
      <c r="E1219" t="s">
        <v>37</v>
      </c>
      <c r="F1219" t="s">
        <v>28</v>
      </c>
      <c r="G1219" t="s">
        <v>38</v>
      </c>
      <c r="H1219" t="s">
        <v>227</v>
      </c>
      <c r="I1219">
        <v>5387.38</v>
      </c>
      <c r="J1219">
        <v>5084.3</v>
      </c>
      <c r="K1219" t="s">
        <v>17</v>
      </c>
      <c r="L1219" t="b">
        <v>0</v>
      </c>
      <c r="N1219" s="2" t="str">
        <f t="shared" ref="N1219:N1282" si="104">IF(AND(E1219="IT",K1219="EXPENSE"),I1219&gt;J1219,"")</f>
        <v/>
      </c>
      <c r="Q1219" t="str">
        <f t="shared" ref="Q1219:Q1282" si="105">IF(L1219=TRUE,OR(H1219="Apex Solutions Inc",H1219="Global Trade Partners",H1219="NovaTech Services"),"")</f>
        <v/>
      </c>
    </row>
    <row r="1220" spans="1:17" hidden="1">
      <c r="A1220" t="s">
        <v>1325</v>
      </c>
      <c r="B1220" s="1">
        <v>45086</v>
      </c>
      <c r="C1220">
        <v>2023</v>
      </c>
      <c r="D1220">
        <v>6</v>
      </c>
      <c r="E1220" t="s">
        <v>13</v>
      </c>
      <c r="F1220" t="s">
        <v>28</v>
      </c>
      <c r="G1220" t="s">
        <v>102</v>
      </c>
      <c r="H1220" t="s">
        <v>103</v>
      </c>
      <c r="I1220">
        <v>4113.7</v>
      </c>
      <c r="J1220">
        <v>4428.74</v>
      </c>
      <c r="K1220" t="s">
        <v>17</v>
      </c>
      <c r="L1220" t="b">
        <v>0</v>
      </c>
      <c r="N1220" s="2" t="str">
        <f t="shared" si="104"/>
        <v/>
      </c>
      <c r="Q1220" t="str">
        <f t="shared" si="105"/>
        <v/>
      </c>
    </row>
    <row r="1221" spans="1:17" hidden="1">
      <c r="A1221" t="s">
        <v>1326</v>
      </c>
      <c r="B1221" s="1">
        <v>45086</v>
      </c>
      <c r="C1221">
        <v>2023</v>
      </c>
      <c r="D1221">
        <v>6</v>
      </c>
      <c r="E1221" t="s">
        <v>13</v>
      </c>
      <c r="F1221" t="s">
        <v>28</v>
      </c>
      <c r="G1221" t="s">
        <v>102</v>
      </c>
      <c r="H1221" t="s">
        <v>145</v>
      </c>
      <c r="I1221">
        <v>3148.04</v>
      </c>
      <c r="J1221">
        <v>2966.23</v>
      </c>
      <c r="K1221" t="s">
        <v>17</v>
      </c>
      <c r="L1221" t="b">
        <v>0</v>
      </c>
      <c r="N1221" s="2" t="str">
        <f t="shared" si="104"/>
        <v/>
      </c>
      <c r="Q1221" t="str">
        <f t="shared" si="105"/>
        <v/>
      </c>
    </row>
    <row r="1222" spans="1:17" hidden="1">
      <c r="A1222" t="s">
        <v>1327</v>
      </c>
      <c r="B1222" s="1">
        <v>45086</v>
      </c>
      <c r="C1222">
        <v>2023</v>
      </c>
      <c r="D1222">
        <v>6</v>
      </c>
      <c r="E1222" t="s">
        <v>13</v>
      </c>
      <c r="F1222" t="s">
        <v>24</v>
      </c>
      <c r="G1222" t="s">
        <v>15</v>
      </c>
      <c r="H1222" t="s">
        <v>45</v>
      </c>
      <c r="I1222">
        <v>2778.12</v>
      </c>
      <c r="J1222">
        <v>2586.39</v>
      </c>
      <c r="K1222" t="s">
        <v>17</v>
      </c>
      <c r="L1222" t="b">
        <v>0</v>
      </c>
      <c r="N1222" s="2" t="str">
        <f t="shared" si="104"/>
        <v/>
      </c>
      <c r="Q1222" t="str">
        <f t="shared" si="105"/>
        <v/>
      </c>
    </row>
    <row r="1223" spans="1:17" hidden="1">
      <c r="A1223" t="s">
        <v>1328</v>
      </c>
      <c r="B1223" s="1">
        <v>45086</v>
      </c>
      <c r="C1223">
        <v>2023</v>
      </c>
      <c r="D1223">
        <v>6</v>
      </c>
      <c r="E1223" t="s">
        <v>19</v>
      </c>
      <c r="F1223" t="s">
        <v>14</v>
      </c>
      <c r="G1223" t="s">
        <v>132</v>
      </c>
      <c r="H1223" t="s">
        <v>133</v>
      </c>
      <c r="I1223">
        <v>8479.7000000000007</v>
      </c>
      <c r="J1223">
        <v>8047.83</v>
      </c>
      <c r="K1223" t="s">
        <v>17</v>
      </c>
      <c r="L1223" t="b">
        <v>0</v>
      </c>
      <c r="N1223" s="2" t="str">
        <f t="shared" si="104"/>
        <v/>
      </c>
      <c r="Q1223" t="str">
        <f t="shared" si="105"/>
        <v/>
      </c>
    </row>
    <row r="1224" spans="1:17" hidden="1">
      <c r="A1224" t="s">
        <v>1329</v>
      </c>
      <c r="B1224" s="1">
        <v>45086</v>
      </c>
      <c r="C1224">
        <v>2023</v>
      </c>
      <c r="D1224">
        <v>6</v>
      </c>
      <c r="E1224" t="s">
        <v>19</v>
      </c>
      <c r="F1224" t="s">
        <v>28</v>
      </c>
      <c r="G1224" t="s">
        <v>20</v>
      </c>
      <c r="H1224" t="s">
        <v>174</v>
      </c>
      <c r="I1224">
        <v>7811.53</v>
      </c>
      <c r="J1224">
        <v>7551.61</v>
      </c>
      <c r="K1224" t="s">
        <v>17</v>
      </c>
      <c r="L1224" t="b">
        <v>0</v>
      </c>
      <c r="N1224" s="2" t="str">
        <f t="shared" si="104"/>
        <v/>
      </c>
      <c r="Q1224" t="str">
        <f t="shared" si="105"/>
        <v/>
      </c>
    </row>
    <row r="1225" spans="1:17" hidden="1">
      <c r="A1225" t="s">
        <v>1330</v>
      </c>
      <c r="B1225" s="1">
        <v>45086</v>
      </c>
      <c r="C1225">
        <v>2023</v>
      </c>
      <c r="D1225">
        <v>6</v>
      </c>
      <c r="E1225" t="s">
        <v>19</v>
      </c>
      <c r="F1225" t="s">
        <v>24</v>
      </c>
      <c r="G1225" t="s">
        <v>132</v>
      </c>
      <c r="H1225" t="s">
        <v>133</v>
      </c>
      <c r="I1225">
        <v>7144.14</v>
      </c>
      <c r="J1225">
        <v>7578.24</v>
      </c>
      <c r="K1225" t="s">
        <v>17</v>
      </c>
      <c r="L1225" t="b">
        <v>0</v>
      </c>
      <c r="N1225" s="2" t="str">
        <f t="shared" si="104"/>
        <v/>
      </c>
      <c r="Q1225" t="str">
        <f t="shared" si="105"/>
        <v/>
      </c>
    </row>
    <row r="1226" spans="1:17" hidden="1">
      <c r="A1226" t="s">
        <v>1331</v>
      </c>
      <c r="B1226" s="1">
        <v>45086</v>
      </c>
      <c r="C1226">
        <v>2023</v>
      </c>
      <c r="D1226">
        <v>6</v>
      </c>
      <c r="E1226" t="s">
        <v>23</v>
      </c>
      <c r="F1226" t="s">
        <v>14</v>
      </c>
      <c r="G1226" t="s">
        <v>59</v>
      </c>
      <c r="H1226" t="s">
        <v>60</v>
      </c>
      <c r="I1226">
        <v>5527</v>
      </c>
      <c r="J1226">
        <v>5321.25</v>
      </c>
      <c r="K1226" t="s">
        <v>17</v>
      </c>
      <c r="L1226" t="b">
        <v>0</v>
      </c>
      <c r="N1226" s="2" t="str">
        <f t="shared" si="104"/>
        <v/>
      </c>
      <c r="Q1226" t="str">
        <f t="shared" si="105"/>
        <v/>
      </c>
    </row>
    <row r="1227" spans="1:17" hidden="1">
      <c r="A1227" t="s">
        <v>1332</v>
      </c>
      <c r="B1227" s="1">
        <v>45086</v>
      </c>
      <c r="C1227">
        <v>2023</v>
      </c>
      <c r="D1227">
        <v>6</v>
      </c>
      <c r="E1227" t="s">
        <v>23</v>
      </c>
      <c r="F1227" t="s">
        <v>14</v>
      </c>
      <c r="G1227" t="s">
        <v>59</v>
      </c>
      <c r="H1227" t="s">
        <v>60</v>
      </c>
      <c r="I1227">
        <v>5967.04</v>
      </c>
      <c r="J1227">
        <v>5912.13</v>
      </c>
      <c r="K1227" t="s">
        <v>17</v>
      </c>
      <c r="L1227" t="b">
        <v>0</v>
      </c>
      <c r="N1227" s="2" t="str">
        <f t="shared" si="104"/>
        <v/>
      </c>
      <c r="Q1227" t="str">
        <f t="shared" si="105"/>
        <v/>
      </c>
    </row>
    <row r="1228" spans="1:17" hidden="1">
      <c r="A1228" t="s">
        <v>1333</v>
      </c>
      <c r="B1228" s="1">
        <v>45086</v>
      </c>
      <c r="C1228">
        <v>2023</v>
      </c>
      <c r="D1228">
        <v>6</v>
      </c>
      <c r="E1228" t="s">
        <v>23</v>
      </c>
      <c r="F1228" t="s">
        <v>28</v>
      </c>
      <c r="G1228" t="s">
        <v>59</v>
      </c>
      <c r="H1228" t="s">
        <v>155</v>
      </c>
      <c r="I1228">
        <v>4859.37</v>
      </c>
      <c r="J1228">
        <v>5194.79</v>
      </c>
      <c r="K1228" t="s">
        <v>17</v>
      </c>
      <c r="L1228" t="b">
        <v>0</v>
      </c>
      <c r="N1228" s="2" t="str">
        <f t="shared" si="104"/>
        <v/>
      </c>
      <c r="Q1228" t="str">
        <f t="shared" si="105"/>
        <v/>
      </c>
    </row>
    <row r="1229" spans="1:17" hidden="1">
      <c r="A1229" t="s">
        <v>1334</v>
      </c>
      <c r="B1229" s="1">
        <v>45086</v>
      </c>
      <c r="C1229">
        <v>2023</v>
      </c>
      <c r="D1229">
        <v>6</v>
      </c>
      <c r="E1229" t="s">
        <v>23</v>
      </c>
      <c r="F1229" t="s">
        <v>24</v>
      </c>
      <c r="G1229" t="s">
        <v>25</v>
      </c>
      <c r="H1229" t="s">
        <v>95</v>
      </c>
      <c r="I1229">
        <v>3944.91</v>
      </c>
      <c r="J1229">
        <v>4157.5</v>
      </c>
      <c r="K1229" t="s">
        <v>17</v>
      </c>
      <c r="L1229" t="b">
        <v>0</v>
      </c>
      <c r="N1229" s="2" t="str">
        <f t="shared" si="104"/>
        <v/>
      </c>
      <c r="Q1229" t="str">
        <f t="shared" si="105"/>
        <v/>
      </c>
    </row>
    <row r="1230" spans="1:17" hidden="1">
      <c r="A1230" t="s">
        <v>1335</v>
      </c>
      <c r="B1230" s="1">
        <v>45087</v>
      </c>
      <c r="C1230">
        <v>2023</v>
      </c>
      <c r="D1230">
        <v>6</v>
      </c>
      <c r="E1230" t="s">
        <v>13</v>
      </c>
      <c r="F1230" t="s">
        <v>14</v>
      </c>
      <c r="G1230" t="s">
        <v>68</v>
      </c>
      <c r="H1230" t="s">
        <v>87</v>
      </c>
      <c r="I1230">
        <v>4478.78</v>
      </c>
      <c r="J1230">
        <v>4078.69</v>
      </c>
      <c r="K1230" t="s">
        <v>17</v>
      </c>
      <c r="L1230" t="b">
        <v>0</v>
      </c>
      <c r="N1230" s="2" t="str">
        <f t="shared" si="104"/>
        <v/>
      </c>
      <c r="Q1230" t="str">
        <f t="shared" si="105"/>
        <v/>
      </c>
    </row>
    <row r="1231" spans="1:17" hidden="1">
      <c r="A1231" t="s">
        <v>1336</v>
      </c>
      <c r="B1231" s="1">
        <v>45087</v>
      </c>
      <c r="C1231">
        <v>2023</v>
      </c>
      <c r="D1231">
        <v>6</v>
      </c>
      <c r="E1231" t="s">
        <v>13</v>
      </c>
      <c r="F1231" t="s">
        <v>24</v>
      </c>
      <c r="G1231" t="s">
        <v>15</v>
      </c>
      <c r="H1231" t="s">
        <v>16</v>
      </c>
      <c r="I1231">
        <v>2552.52</v>
      </c>
      <c r="J1231">
        <v>2536.75</v>
      </c>
      <c r="K1231" t="s">
        <v>17</v>
      </c>
      <c r="L1231" t="b">
        <v>0</v>
      </c>
      <c r="N1231" s="2" t="str">
        <f t="shared" si="104"/>
        <v/>
      </c>
      <c r="Q1231" t="str">
        <f t="shared" si="105"/>
        <v/>
      </c>
    </row>
    <row r="1232" spans="1:17" hidden="1">
      <c r="A1232" t="s">
        <v>1337</v>
      </c>
      <c r="B1232" s="1">
        <v>45087</v>
      </c>
      <c r="C1232">
        <v>2023</v>
      </c>
      <c r="D1232">
        <v>6</v>
      </c>
      <c r="E1232" t="s">
        <v>47</v>
      </c>
      <c r="F1232" t="s">
        <v>24</v>
      </c>
      <c r="G1232" t="s">
        <v>51</v>
      </c>
      <c r="H1232" t="s">
        <v>189</v>
      </c>
      <c r="I1232">
        <v>13646.07</v>
      </c>
      <c r="J1232">
        <v>11276.69</v>
      </c>
      <c r="K1232" t="s">
        <v>17</v>
      </c>
      <c r="L1232" t="b">
        <v>0</v>
      </c>
      <c r="N1232" s="2" t="b">
        <f t="shared" si="104"/>
        <v>1</v>
      </c>
      <c r="O1232" t="b">
        <f>IF(AND(E1221="HR",K1221="EXPENSE"),I1221&lt;J1221,"")</f>
        <v>0</v>
      </c>
      <c r="Q1232" t="str">
        <f t="shared" si="105"/>
        <v/>
      </c>
    </row>
    <row r="1233" spans="1:17" hidden="1">
      <c r="A1233" t="s">
        <v>1338</v>
      </c>
      <c r="B1233" s="1">
        <v>45087</v>
      </c>
      <c r="C1233">
        <v>2023</v>
      </c>
      <c r="D1233">
        <v>6</v>
      </c>
      <c r="E1233" t="s">
        <v>19</v>
      </c>
      <c r="F1233" t="s">
        <v>14</v>
      </c>
      <c r="G1233" t="s">
        <v>54</v>
      </c>
      <c r="H1233" t="s">
        <v>163</v>
      </c>
      <c r="I1233">
        <v>7746.41</v>
      </c>
      <c r="J1233">
        <v>8059.59</v>
      </c>
      <c r="K1233" t="s">
        <v>17</v>
      </c>
      <c r="L1233" t="b">
        <v>0</v>
      </c>
      <c r="N1233" s="2" t="str">
        <f t="shared" si="104"/>
        <v/>
      </c>
      <c r="Q1233" t="str">
        <f t="shared" si="105"/>
        <v/>
      </c>
    </row>
    <row r="1234" spans="1:17" hidden="1">
      <c r="A1234" t="s">
        <v>1339</v>
      </c>
      <c r="B1234" s="1">
        <v>45087</v>
      </c>
      <c r="C1234">
        <v>2023</v>
      </c>
      <c r="D1234">
        <v>6</v>
      </c>
      <c r="E1234" t="s">
        <v>19</v>
      </c>
      <c r="F1234" t="s">
        <v>24</v>
      </c>
      <c r="G1234" t="s">
        <v>20</v>
      </c>
      <c r="H1234" t="s">
        <v>136</v>
      </c>
      <c r="I1234">
        <v>4547.71</v>
      </c>
      <c r="J1234">
        <v>4870.57</v>
      </c>
      <c r="K1234" t="s">
        <v>17</v>
      </c>
      <c r="L1234" t="b">
        <v>0</v>
      </c>
      <c r="N1234" s="2" t="str">
        <f t="shared" si="104"/>
        <v/>
      </c>
      <c r="Q1234" t="str">
        <f t="shared" si="105"/>
        <v/>
      </c>
    </row>
    <row r="1235" spans="1:17" hidden="1">
      <c r="A1235" t="s">
        <v>1340</v>
      </c>
      <c r="B1235" s="1">
        <v>45087</v>
      </c>
      <c r="C1235">
        <v>2023</v>
      </c>
      <c r="D1235">
        <v>6</v>
      </c>
      <c r="E1235" t="s">
        <v>23</v>
      </c>
      <c r="F1235" t="s">
        <v>28</v>
      </c>
      <c r="G1235" t="s">
        <v>141</v>
      </c>
      <c r="H1235" t="s">
        <v>209</v>
      </c>
      <c r="I1235">
        <v>3878.07</v>
      </c>
      <c r="J1235">
        <v>4130.6899999999996</v>
      </c>
      <c r="K1235" t="s">
        <v>17</v>
      </c>
      <c r="L1235" t="b">
        <v>0</v>
      </c>
      <c r="N1235" s="2" t="str">
        <f t="shared" si="104"/>
        <v/>
      </c>
      <c r="Q1235" t="str">
        <f t="shared" si="105"/>
        <v/>
      </c>
    </row>
    <row r="1236" spans="1:17" hidden="1">
      <c r="A1236" t="s">
        <v>1341</v>
      </c>
      <c r="B1236" s="1">
        <v>45087</v>
      </c>
      <c r="C1236">
        <v>2023</v>
      </c>
      <c r="D1236">
        <v>6</v>
      </c>
      <c r="E1236" t="s">
        <v>23</v>
      </c>
      <c r="F1236" t="s">
        <v>24</v>
      </c>
      <c r="G1236" t="s">
        <v>59</v>
      </c>
      <c r="H1236" t="s">
        <v>155</v>
      </c>
      <c r="I1236">
        <v>5856.19</v>
      </c>
      <c r="J1236">
        <v>5681.94</v>
      </c>
      <c r="K1236" t="s">
        <v>17</v>
      </c>
      <c r="L1236" t="b">
        <v>0</v>
      </c>
      <c r="N1236" s="2" t="str">
        <f t="shared" si="104"/>
        <v/>
      </c>
      <c r="Q1236" t="str">
        <f t="shared" si="105"/>
        <v/>
      </c>
    </row>
    <row r="1237" spans="1:17" hidden="1">
      <c r="A1237" t="s">
        <v>1342</v>
      </c>
      <c r="B1237" s="1">
        <v>45087</v>
      </c>
      <c r="C1237">
        <v>2023</v>
      </c>
      <c r="D1237">
        <v>6</v>
      </c>
      <c r="E1237" t="s">
        <v>37</v>
      </c>
      <c r="F1237" t="s">
        <v>28</v>
      </c>
      <c r="G1237" t="s">
        <v>98</v>
      </c>
      <c r="H1237" t="s">
        <v>99</v>
      </c>
      <c r="I1237">
        <v>3916.6</v>
      </c>
      <c r="J1237">
        <v>4067.28</v>
      </c>
      <c r="K1237" t="s">
        <v>17</v>
      </c>
      <c r="L1237" t="b">
        <v>0</v>
      </c>
      <c r="N1237" s="2" t="str">
        <f t="shared" si="104"/>
        <v/>
      </c>
      <c r="Q1237" t="str">
        <f t="shared" si="105"/>
        <v/>
      </c>
    </row>
    <row r="1238" spans="1:17" hidden="1">
      <c r="A1238" t="s">
        <v>1343</v>
      </c>
      <c r="B1238" s="1">
        <v>45088</v>
      </c>
      <c r="C1238">
        <v>2023</v>
      </c>
      <c r="D1238">
        <v>6</v>
      </c>
      <c r="E1238" t="s">
        <v>13</v>
      </c>
      <c r="F1238" t="s">
        <v>24</v>
      </c>
      <c r="G1238" t="s">
        <v>102</v>
      </c>
      <c r="H1238" t="s">
        <v>278</v>
      </c>
      <c r="I1238">
        <v>3269.9</v>
      </c>
      <c r="J1238">
        <v>3350.99</v>
      </c>
      <c r="K1238" t="s">
        <v>17</v>
      </c>
      <c r="L1238" t="b">
        <v>0</v>
      </c>
      <c r="N1238" s="2" t="str">
        <f t="shared" si="104"/>
        <v/>
      </c>
      <c r="Q1238" t="str">
        <f t="shared" si="105"/>
        <v/>
      </c>
    </row>
    <row r="1239" spans="1:17" hidden="1">
      <c r="A1239" t="s">
        <v>1344</v>
      </c>
      <c r="B1239" s="1">
        <v>45088</v>
      </c>
      <c r="C1239">
        <v>2023</v>
      </c>
      <c r="D1239">
        <v>6</v>
      </c>
      <c r="E1239" t="s">
        <v>47</v>
      </c>
      <c r="F1239" t="s">
        <v>28</v>
      </c>
      <c r="G1239" t="s">
        <v>77</v>
      </c>
      <c r="H1239" t="s">
        <v>147</v>
      </c>
      <c r="I1239">
        <v>9166.7099999999991</v>
      </c>
      <c r="J1239">
        <v>7628.05</v>
      </c>
      <c r="K1239" t="s">
        <v>17</v>
      </c>
      <c r="L1239" t="b">
        <v>0</v>
      </c>
      <c r="N1239" s="2" t="b">
        <f t="shared" si="104"/>
        <v>1</v>
      </c>
      <c r="O1239" t="str">
        <f t="shared" ref="O1239:O1240" si="106">IF(AND(E1228="HR",K1228="EXPENSE"),I1228&lt;J1228,"")</f>
        <v/>
      </c>
      <c r="Q1239" t="str">
        <f t="shared" si="105"/>
        <v/>
      </c>
    </row>
    <row r="1240" spans="1:17" hidden="1">
      <c r="A1240" t="s">
        <v>1345</v>
      </c>
      <c r="B1240" s="1">
        <v>45088</v>
      </c>
      <c r="C1240">
        <v>2023</v>
      </c>
      <c r="D1240">
        <v>6</v>
      </c>
      <c r="E1240" t="s">
        <v>47</v>
      </c>
      <c r="F1240" t="s">
        <v>24</v>
      </c>
      <c r="G1240" t="s">
        <v>91</v>
      </c>
      <c r="H1240" t="s">
        <v>249</v>
      </c>
      <c r="I1240">
        <v>13205.3</v>
      </c>
      <c r="J1240">
        <v>11042.49</v>
      </c>
      <c r="K1240" t="s">
        <v>17</v>
      </c>
      <c r="L1240" t="b">
        <v>0</v>
      </c>
      <c r="N1240" s="2" t="b">
        <f t="shared" si="104"/>
        <v>1</v>
      </c>
      <c r="O1240" t="str">
        <f t="shared" si="106"/>
        <v/>
      </c>
      <c r="Q1240" t="str">
        <f t="shared" si="105"/>
        <v/>
      </c>
    </row>
    <row r="1241" spans="1:17" hidden="1">
      <c r="A1241" t="s">
        <v>1346</v>
      </c>
      <c r="B1241" s="1">
        <v>45088</v>
      </c>
      <c r="C1241">
        <v>2023</v>
      </c>
      <c r="D1241">
        <v>6</v>
      </c>
      <c r="E1241" t="s">
        <v>19</v>
      </c>
      <c r="F1241" t="s">
        <v>14</v>
      </c>
      <c r="G1241" t="s">
        <v>80</v>
      </c>
      <c r="H1241" t="s">
        <v>217</v>
      </c>
      <c r="I1241">
        <v>7376.89</v>
      </c>
      <c r="J1241">
        <v>7633.08</v>
      </c>
      <c r="K1241" t="s">
        <v>17</v>
      </c>
      <c r="L1241" t="b">
        <v>0</v>
      </c>
      <c r="N1241" s="2" t="str">
        <f t="shared" si="104"/>
        <v/>
      </c>
      <c r="Q1241" t="str">
        <f t="shared" si="105"/>
        <v/>
      </c>
    </row>
    <row r="1242" spans="1:17" hidden="1">
      <c r="A1242" t="s">
        <v>1347</v>
      </c>
      <c r="B1242" s="1">
        <v>45088</v>
      </c>
      <c r="C1242">
        <v>2023</v>
      </c>
      <c r="D1242">
        <v>6</v>
      </c>
      <c r="E1242" t="s">
        <v>19</v>
      </c>
      <c r="F1242" t="s">
        <v>24</v>
      </c>
      <c r="G1242" t="s">
        <v>20</v>
      </c>
      <c r="H1242" t="s">
        <v>174</v>
      </c>
      <c r="I1242">
        <v>3602.28</v>
      </c>
      <c r="J1242">
        <v>3400.63</v>
      </c>
      <c r="K1242" t="s">
        <v>17</v>
      </c>
      <c r="L1242" t="b">
        <v>0</v>
      </c>
      <c r="N1242" s="2" t="str">
        <f t="shared" si="104"/>
        <v/>
      </c>
      <c r="Q1242" t="str">
        <f t="shared" si="105"/>
        <v/>
      </c>
    </row>
    <row r="1243" spans="1:17" hidden="1">
      <c r="A1243" t="s">
        <v>1348</v>
      </c>
      <c r="B1243" s="1">
        <v>45088</v>
      </c>
      <c r="C1243">
        <v>2023</v>
      </c>
      <c r="D1243">
        <v>6</v>
      </c>
      <c r="E1243" t="s">
        <v>23</v>
      </c>
      <c r="F1243" t="s">
        <v>14</v>
      </c>
      <c r="G1243" t="s">
        <v>59</v>
      </c>
      <c r="H1243" t="s">
        <v>155</v>
      </c>
      <c r="I1243">
        <v>4399.79</v>
      </c>
      <c r="J1243">
        <v>4248.6400000000003</v>
      </c>
      <c r="K1243" t="s">
        <v>17</v>
      </c>
      <c r="L1243" t="b">
        <v>0</v>
      </c>
      <c r="N1243" s="2" t="str">
        <f t="shared" si="104"/>
        <v/>
      </c>
      <c r="Q1243" t="str">
        <f t="shared" si="105"/>
        <v/>
      </c>
    </row>
    <row r="1244" spans="1:17" hidden="1">
      <c r="A1244" t="s">
        <v>1349</v>
      </c>
      <c r="B1244" s="1">
        <v>45088</v>
      </c>
      <c r="C1244">
        <v>2023</v>
      </c>
      <c r="D1244">
        <v>6</v>
      </c>
      <c r="E1244" t="s">
        <v>37</v>
      </c>
      <c r="F1244" t="s">
        <v>14</v>
      </c>
      <c r="G1244" t="s">
        <v>41</v>
      </c>
      <c r="H1244" t="s">
        <v>42</v>
      </c>
      <c r="I1244">
        <v>5578.98</v>
      </c>
      <c r="J1244">
        <v>5867.65</v>
      </c>
      <c r="K1244" t="s">
        <v>17</v>
      </c>
      <c r="L1244" t="b">
        <v>0</v>
      </c>
      <c r="N1244" s="2" t="str">
        <f t="shared" si="104"/>
        <v/>
      </c>
      <c r="Q1244" t="str">
        <f t="shared" si="105"/>
        <v/>
      </c>
    </row>
    <row r="1245" spans="1:17" hidden="1">
      <c r="A1245" t="s">
        <v>1350</v>
      </c>
      <c r="B1245" s="1">
        <v>45088</v>
      </c>
      <c r="C1245">
        <v>2023</v>
      </c>
      <c r="D1245">
        <v>6</v>
      </c>
      <c r="E1245" t="s">
        <v>37</v>
      </c>
      <c r="F1245" t="s">
        <v>28</v>
      </c>
      <c r="G1245" t="s">
        <v>98</v>
      </c>
      <c r="H1245" t="s">
        <v>185</v>
      </c>
      <c r="I1245">
        <v>6679.64</v>
      </c>
      <c r="J1245">
        <v>7199.48</v>
      </c>
      <c r="K1245" t="s">
        <v>17</v>
      </c>
      <c r="L1245" t="b">
        <v>0</v>
      </c>
      <c r="N1245" s="2" t="str">
        <f t="shared" si="104"/>
        <v/>
      </c>
      <c r="Q1245" t="str">
        <f t="shared" si="105"/>
        <v/>
      </c>
    </row>
    <row r="1246" spans="1:17" hidden="1">
      <c r="A1246" t="s">
        <v>1351</v>
      </c>
      <c r="B1246" s="1">
        <v>45088</v>
      </c>
      <c r="C1246">
        <v>2023</v>
      </c>
      <c r="D1246">
        <v>6</v>
      </c>
      <c r="E1246" t="s">
        <v>37</v>
      </c>
      <c r="F1246" t="s">
        <v>28</v>
      </c>
      <c r="G1246" t="s">
        <v>41</v>
      </c>
      <c r="H1246" t="s">
        <v>42</v>
      </c>
      <c r="I1246">
        <v>3923.33</v>
      </c>
      <c r="J1246">
        <v>3720.5</v>
      </c>
      <c r="K1246" t="s">
        <v>17</v>
      </c>
      <c r="L1246" t="b">
        <v>0</v>
      </c>
      <c r="N1246" s="2" t="str">
        <f t="shared" si="104"/>
        <v/>
      </c>
      <c r="Q1246" t="str">
        <f t="shared" si="105"/>
        <v/>
      </c>
    </row>
    <row r="1247" spans="1:17" hidden="1">
      <c r="A1247" t="s">
        <v>1352</v>
      </c>
      <c r="B1247" s="1">
        <v>45089</v>
      </c>
      <c r="C1247">
        <v>2023</v>
      </c>
      <c r="D1247">
        <v>6</v>
      </c>
      <c r="E1247" t="s">
        <v>13</v>
      </c>
      <c r="F1247" t="s">
        <v>28</v>
      </c>
      <c r="G1247" t="s">
        <v>102</v>
      </c>
      <c r="H1247" t="s">
        <v>103</v>
      </c>
      <c r="I1247">
        <v>5514.14</v>
      </c>
      <c r="J1247">
        <v>5020.0600000000004</v>
      </c>
      <c r="K1247" t="s">
        <v>17</v>
      </c>
      <c r="L1247" t="b">
        <v>0</v>
      </c>
      <c r="N1247" s="2" t="str">
        <f t="shared" si="104"/>
        <v/>
      </c>
      <c r="Q1247" t="str">
        <f t="shared" si="105"/>
        <v/>
      </c>
    </row>
    <row r="1248" spans="1:17" hidden="1">
      <c r="A1248" t="s">
        <v>1353</v>
      </c>
      <c r="B1248" s="1">
        <v>45089</v>
      </c>
      <c r="C1248">
        <v>2023</v>
      </c>
      <c r="D1248">
        <v>6</v>
      </c>
      <c r="E1248" t="s">
        <v>47</v>
      </c>
      <c r="F1248" t="s">
        <v>14</v>
      </c>
      <c r="G1248" t="s">
        <v>91</v>
      </c>
      <c r="H1248" t="s">
        <v>128</v>
      </c>
      <c r="I1248">
        <v>18512.63</v>
      </c>
      <c r="J1248">
        <v>15811.81</v>
      </c>
      <c r="K1248" t="s">
        <v>17</v>
      </c>
      <c r="L1248" t="b">
        <v>0</v>
      </c>
      <c r="N1248" s="2" t="b">
        <f t="shared" si="104"/>
        <v>1</v>
      </c>
      <c r="O1248" t="str">
        <f t="shared" ref="O1248:O1250" si="107">IF(AND(E1237="HR",K1237="EXPENSE"),I1237&lt;J1237,"")</f>
        <v/>
      </c>
      <c r="Q1248" t="str">
        <f t="shared" si="105"/>
        <v/>
      </c>
    </row>
    <row r="1249" spans="1:17" hidden="1">
      <c r="A1249" t="s">
        <v>1354</v>
      </c>
      <c r="B1249" s="1">
        <v>45089</v>
      </c>
      <c r="C1249">
        <v>2023</v>
      </c>
      <c r="D1249">
        <v>6</v>
      </c>
      <c r="E1249" t="s">
        <v>47</v>
      </c>
      <c r="F1249" t="s">
        <v>28</v>
      </c>
      <c r="G1249" t="s">
        <v>48</v>
      </c>
      <c r="H1249" t="s">
        <v>111</v>
      </c>
      <c r="I1249">
        <v>16222.8</v>
      </c>
      <c r="J1249">
        <v>13334.49</v>
      </c>
      <c r="K1249" t="s">
        <v>17</v>
      </c>
      <c r="L1249" t="b">
        <v>0</v>
      </c>
      <c r="N1249" s="2" t="b">
        <f t="shared" si="104"/>
        <v>1</v>
      </c>
      <c r="O1249" t="b">
        <f t="shared" si="107"/>
        <v>1</v>
      </c>
      <c r="Q1249" t="str">
        <f t="shared" si="105"/>
        <v/>
      </c>
    </row>
    <row r="1250" spans="1:17" hidden="1">
      <c r="A1250" t="s">
        <v>1355</v>
      </c>
      <c r="B1250" s="1">
        <v>45089</v>
      </c>
      <c r="C1250">
        <v>2023</v>
      </c>
      <c r="D1250">
        <v>6</v>
      </c>
      <c r="E1250" t="s">
        <v>47</v>
      </c>
      <c r="F1250" t="s">
        <v>28</v>
      </c>
      <c r="G1250" t="s">
        <v>77</v>
      </c>
      <c r="H1250" t="s">
        <v>147</v>
      </c>
      <c r="I1250">
        <v>14390.78</v>
      </c>
      <c r="J1250">
        <v>11941.39</v>
      </c>
      <c r="K1250" t="s">
        <v>17</v>
      </c>
      <c r="L1250" t="b">
        <v>0</v>
      </c>
      <c r="N1250" s="2" t="b">
        <f t="shared" si="104"/>
        <v>1</v>
      </c>
      <c r="O1250" t="str">
        <f t="shared" si="107"/>
        <v/>
      </c>
      <c r="Q1250" t="str">
        <f t="shared" si="105"/>
        <v/>
      </c>
    </row>
    <row r="1251" spans="1:17" hidden="1">
      <c r="A1251" t="s">
        <v>1356</v>
      </c>
      <c r="B1251" s="1">
        <v>45089</v>
      </c>
      <c r="C1251">
        <v>2023</v>
      </c>
      <c r="D1251">
        <v>6</v>
      </c>
      <c r="E1251" t="s">
        <v>19</v>
      </c>
      <c r="F1251" t="s">
        <v>28</v>
      </c>
      <c r="G1251" t="s">
        <v>20</v>
      </c>
      <c r="H1251" t="s">
        <v>21</v>
      </c>
      <c r="I1251">
        <v>6144.63</v>
      </c>
      <c r="J1251">
        <v>6380.67</v>
      </c>
      <c r="K1251" t="s">
        <v>17</v>
      </c>
      <c r="L1251" t="b">
        <v>0</v>
      </c>
      <c r="N1251" s="2" t="str">
        <f t="shared" si="104"/>
        <v/>
      </c>
      <c r="Q1251" t="str">
        <f t="shared" si="105"/>
        <v/>
      </c>
    </row>
    <row r="1252" spans="1:17" hidden="1">
      <c r="A1252" t="s">
        <v>1357</v>
      </c>
      <c r="B1252" s="1">
        <v>45089</v>
      </c>
      <c r="C1252">
        <v>2023</v>
      </c>
      <c r="D1252">
        <v>6</v>
      </c>
      <c r="E1252" t="s">
        <v>19</v>
      </c>
      <c r="F1252" t="s">
        <v>28</v>
      </c>
      <c r="G1252" t="s">
        <v>80</v>
      </c>
      <c r="H1252" t="s">
        <v>150</v>
      </c>
      <c r="I1252">
        <v>11397.27</v>
      </c>
      <c r="J1252">
        <v>12129.86</v>
      </c>
      <c r="K1252" t="s">
        <v>17</v>
      </c>
      <c r="L1252" t="b">
        <v>0</v>
      </c>
      <c r="N1252" s="2" t="str">
        <f t="shared" si="104"/>
        <v/>
      </c>
      <c r="Q1252" t="str">
        <f t="shared" si="105"/>
        <v/>
      </c>
    </row>
    <row r="1253" spans="1:17" hidden="1">
      <c r="A1253" t="s">
        <v>1358</v>
      </c>
      <c r="B1253" s="1">
        <v>45089</v>
      </c>
      <c r="C1253">
        <v>2023</v>
      </c>
      <c r="D1253">
        <v>6</v>
      </c>
      <c r="E1253" t="s">
        <v>37</v>
      </c>
      <c r="F1253" t="s">
        <v>28</v>
      </c>
      <c r="G1253" t="s">
        <v>38</v>
      </c>
      <c r="H1253" t="s">
        <v>39</v>
      </c>
      <c r="I1253">
        <v>3694.18</v>
      </c>
      <c r="J1253">
        <v>3556.63</v>
      </c>
      <c r="K1253" t="s">
        <v>17</v>
      </c>
      <c r="L1253" t="b">
        <v>0</v>
      </c>
      <c r="N1253" s="2" t="str">
        <f t="shared" si="104"/>
        <v/>
      </c>
      <c r="Q1253" t="str">
        <f t="shared" si="105"/>
        <v/>
      </c>
    </row>
    <row r="1254" spans="1:17" hidden="1">
      <c r="A1254" t="s">
        <v>1359</v>
      </c>
      <c r="B1254" s="1">
        <v>45089</v>
      </c>
      <c r="C1254">
        <v>2023</v>
      </c>
      <c r="D1254">
        <v>6</v>
      </c>
      <c r="E1254" t="s">
        <v>37</v>
      </c>
      <c r="F1254" t="s">
        <v>24</v>
      </c>
      <c r="G1254" t="s">
        <v>62</v>
      </c>
      <c r="H1254" t="s">
        <v>63</v>
      </c>
      <c r="I1254">
        <v>6493.09</v>
      </c>
      <c r="J1254">
        <v>6902.08</v>
      </c>
      <c r="K1254" t="s">
        <v>17</v>
      </c>
      <c r="L1254" t="b">
        <v>0</v>
      </c>
      <c r="N1254" s="2" t="str">
        <f t="shared" si="104"/>
        <v/>
      </c>
      <c r="Q1254" t="str">
        <f t="shared" si="105"/>
        <v/>
      </c>
    </row>
    <row r="1255" spans="1:17" hidden="1">
      <c r="A1255" t="s">
        <v>1360</v>
      </c>
      <c r="B1255" s="1">
        <v>45089</v>
      </c>
      <c r="C1255">
        <v>2023</v>
      </c>
      <c r="D1255">
        <v>6</v>
      </c>
      <c r="E1255" t="s">
        <v>37</v>
      </c>
      <c r="F1255" t="s">
        <v>24</v>
      </c>
      <c r="G1255" t="s">
        <v>98</v>
      </c>
      <c r="H1255" t="s">
        <v>185</v>
      </c>
      <c r="I1255">
        <v>4006.4</v>
      </c>
      <c r="J1255">
        <v>3630.72</v>
      </c>
      <c r="K1255" t="s">
        <v>17</v>
      </c>
      <c r="L1255" t="b">
        <v>0</v>
      </c>
      <c r="N1255" s="2" t="str">
        <f t="shared" si="104"/>
        <v/>
      </c>
      <c r="Q1255" t="str">
        <f t="shared" si="105"/>
        <v/>
      </c>
    </row>
    <row r="1256" spans="1:17" hidden="1">
      <c r="A1256" t="s">
        <v>1361</v>
      </c>
      <c r="B1256" s="1">
        <v>45090</v>
      </c>
      <c r="C1256">
        <v>2023</v>
      </c>
      <c r="D1256">
        <v>6</v>
      </c>
      <c r="E1256" t="s">
        <v>13</v>
      </c>
      <c r="F1256" t="s">
        <v>24</v>
      </c>
      <c r="G1256" t="s">
        <v>108</v>
      </c>
      <c r="H1256" t="s">
        <v>126</v>
      </c>
      <c r="I1256">
        <v>2536.5100000000002</v>
      </c>
      <c r="J1256">
        <v>2352.44</v>
      </c>
      <c r="K1256" t="s">
        <v>17</v>
      </c>
      <c r="L1256" t="b">
        <v>0</v>
      </c>
      <c r="N1256" s="2" t="str">
        <f t="shared" si="104"/>
        <v/>
      </c>
      <c r="Q1256" t="str">
        <f t="shared" si="105"/>
        <v/>
      </c>
    </row>
    <row r="1257" spans="1:17" hidden="1">
      <c r="A1257" t="s">
        <v>1362</v>
      </c>
      <c r="B1257" s="1">
        <v>45090</v>
      </c>
      <c r="C1257">
        <v>2023</v>
      </c>
      <c r="D1257">
        <v>6</v>
      </c>
      <c r="E1257" t="s">
        <v>47</v>
      </c>
      <c r="F1257" t="s">
        <v>28</v>
      </c>
      <c r="G1257" t="s">
        <v>77</v>
      </c>
      <c r="H1257" t="s">
        <v>130</v>
      </c>
      <c r="I1257">
        <v>16331.7</v>
      </c>
      <c r="J1257">
        <v>13709.58</v>
      </c>
      <c r="K1257" t="s">
        <v>17</v>
      </c>
      <c r="L1257" t="b">
        <v>0</v>
      </c>
      <c r="N1257" s="2" t="b">
        <f t="shared" si="104"/>
        <v>1</v>
      </c>
      <c r="O1257" t="str">
        <f>IF(AND(E1246="HR",K1246="EXPENSE"),I1246&lt;J1246,"")</f>
        <v/>
      </c>
      <c r="Q1257" t="str">
        <f t="shared" si="105"/>
        <v/>
      </c>
    </row>
    <row r="1258" spans="1:17" hidden="1">
      <c r="A1258" t="s">
        <v>1363</v>
      </c>
      <c r="B1258" s="1">
        <v>45090</v>
      </c>
      <c r="C1258">
        <v>2023</v>
      </c>
      <c r="D1258">
        <v>6</v>
      </c>
      <c r="E1258" t="s">
        <v>19</v>
      </c>
      <c r="F1258" t="s">
        <v>14</v>
      </c>
      <c r="G1258" t="s">
        <v>20</v>
      </c>
      <c r="H1258" t="s">
        <v>21</v>
      </c>
      <c r="I1258">
        <v>8033.36</v>
      </c>
      <c r="J1258">
        <v>7919.2</v>
      </c>
      <c r="K1258" t="s">
        <v>17</v>
      </c>
      <c r="L1258" t="b">
        <v>0</v>
      </c>
      <c r="N1258" s="2" t="str">
        <f t="shared" si="104"/>
        <v/>
      </c>
      <c r="Q1258" t="str">
        <f t="shared" si="105"/>
        <v/>
      </c>
    </row>
    <row r="1259" spans="1:17" hidden="1">
      <c r="A1259" t="s">
        <v>1364</v>
      </c>
      <c r="B1259" s="1">
        <v>45090</v>
      </c>
      <c r="C1259">
        <v>2023</v>
      </c>
      <c r="D1259">
        <v>6</v>
      </c>
      <c r="E1259" t="s">
        <v>23</v>
      </c>
      <c r="F1259" t="s">
        <v>14</v>
      </c>
      <c r="G1259" t="s">
        <v>30</v>
      </c>
      <c r="H1259" t="s">
        <v>33</v>
      </c>
      <c r="I1259">
        <v>4132.67</v>
      </c>
      <c r="J1259">
        <v>4332.3999999999996</v>
      </c>
      <c r="K1259" t="s">
        <v>17</v>
      </c>
      <c r="L1259" t="b">
        <v>0</v>
      </c>
      <c r="N1259" s="2" t="str">
        <f t="shared" si="104"/>
        <v/>
      </c>
      <c r="Q1259" t="str">
        <f t="shared" si="105"/>
        <v/>
      </c>
    </row>
    <row r="1260" spans="1:17" hidden="1">
      <c r="A1260" t="s">
        <v>1365</v>
      </c>
      <c r="B1260" s="1">
        <v>45090</v>
      </c>
      <c r="C1260">
        <v>2023</v>
      </c>
      <c r="D1260">
        <v>6</v>
      </c>
      <c r="E1260" t="s">
        <v>37</v>
      </c>
      <c r="F1260" t="s">
        <v>24</v>
      </c>
      <c r="G1260" t="s">
        <v>62</v>
      </c>
      <c r="H1260" t="s">
        <v>66</v>
      </c>
      <c r="I1260">
        <v>5825.42</v>
      </c>
      <c r="J1260">
        <v>5288.3</v>
      </c>
      <c r="K1260" t="s">
        <v>17</v>
      </c>
      <c r="L1260" t="b">
        <v>0</v>
      </c>
      <c r="N1260" s="2" t="str">
        <f t="shared" si="104"/>
        <v/>
      </c>
      <c r="Q1260" t="str">
        <f t="shared" si="105"/>
        <v/>
      </c>
    </row>
    <row r="1261" spans="1:17" hidden="1">
      <c r="A1261" t="s">
        <v>1366</v>
      </c>
      <c r="B1261" s="1">
        <v>45091</v>
      </c>
      <c r="C1261">
        <v>2023</v>
      </c>
      <c r="D1261">
        <v>6</v>
      </c>
      <c r="E1261" t="s">
        <v>13</v>
      </c>
      <c r="F1261" t="s">
        <v>24</v>
      </c>
      <c r="G1261" t="s">
        <v>68</v>
      </c>
      <c r="H1261" t="s">
        <v>87</v>
      </c>
      <c r="I1261">
        <v>3887.02</v>
      </c>
      <c r="J1261">
        <v>3546.82</v>
      </c>
      <c r="K1261" t="s">
        <v>17</v>
      </c>
      <c r="L1261" t="b">
        <v>0</v>
      </c>
      <c r="N1261" s="2" t="str">
        <f t="shared" si="104"/>
        <v/>
      </c>
      <c r="Q1261" t="str">
        <f t="shared" si="105"/>
        <v/>
      </c>
    </row>
    <row r="1262" spans="1:17" hidden="1">
      <c r="A1262" t="s">
        <v>1367</v>
      </c>
      <c r="B1262" s="1">
        <v>45091</v>
      </c>
      <c r="C1262">
        <v>2023</v>
      </c>
      <c r="D1262">
        <v>6</v>
      </c>
      <c r="E1262" t="s">
        <v>13</v>
      </c>
      <c r="F1262" t="s">
        <v>24</v>
      </c>
      <c r="G1262" t="s">
        <v>102</v>
      </c>
      <c r="H1262" t="s">
        <v>278</v>
      </c>
      <c r="I1262">
        <v>3067.78</v>
      </c>
      <c r="J1262">
        <v>3336.5</v>
      </c>
      <c r="K1262" t="s">
        <v>17</v>
      </c>
      <c r="L1262" t="b">
        <v>0</v>
      </c>
      <c r="N1262" s="2" t="str">
        <f t="shared" si="104"/>
        <v/>
      </c>
      <c r="Q1262" t="str">
        <f t="shared" si="105"/>
        <v/>
      </c>
    </row>
    <row r="1263" spans="1:17" hidden="1">
      <c r="A1263" t="s">
        <v>1368</v>
      </c>
      <c r="B1263" s="1">
        <v>45091</v>
      </c>
      <c r="C1263">
        <v>2023</v>
      </c>
      <c r="D1263">
        <v>6</v>
      </c>
      <c r="E1263" t="s">
        <v>47</v>
      </c>
      <c r="F1263" t="s">
        <v>24</v>
      </c>
      <c r="G1263" t="s">
        <v>51</v>
      </c>
      <c r="H1263" t="s">
        <v>72</v>
      </c>
      <c r="I1263">
        <v>7732.23</v>
      </c>
      <c r="J1263">
        <v>6400.86</v>
      </c>
      <c r="K1263" t="s">
        <v>17</v>
      </c>
      <c r="L1263" t="b">
        <v>0</v>
      </c>
      <c r="N1263" s="2" t="b">
        <f t="shared" si="104"/>
        <v>1</v>
      </c>
      <c r="O1263" t="str">
        <f>IF(AND(E1252="HR",K1252="EXPENSE"),I1252&lt;J1252,"")</f>
        <v/>
      </c>
      <c r="Q1263" t="str">
        <f t="shared" si="105"/>
        <v/>
      </c>
    </row>
    <row r="1264" spans="1:17" hidden="1">
      <c r="A1264" t="s">
        <v>1369</v>
      </c>
      <c r="B1264" s="1">
        <v>45091</v>
      </c>
      <c r="C1264">
        <v>2023</v>
      </c>
      <c r="D1264">
        <v>6</v>
      </c>
      <c r="E1264" t="s">
        <v>23</v>
      </c>
      <c r="F1264" t="s">
        <v>14</v>
      </c>
      <c r="G1264" t="s">
        <v>30</v>
      </c>
      <c r="H1264" t="s">
        <v>33</v>
      </c>
      <c r="I1264">
        <v>4693.1099999999997</v>
      </c>
      <c r="J1264">
        <v>4511.46</v>
      </c>
      <c r="K1264" t="s">
        <v>17</v>
      </c>
      <c r="L1264" t="b">
        <v>0</v>
      </c>
      <c r="N1264" s="2" t="str">
        <f t="shared" si="104"/>
        <v/>
      </c>
      <c r="Q1264" t="str">
        <f t="shared" si="105"/>
        <v/>
      </c>
    </row>
    <row r="1265" spans="1:17" hidden="1">
      <c r="A1265" t="s">
        <v>1370</v>
      </c>
      <c r="B1265" s="1">
        <v>45091</v>
      </c>
      <c r="C1265">
        <v>2023</v>
      </c>
      <c r="D1265">
        <v>6</v>
      </c>
      <c r="E1265" t="s">
        <v>23</v>
      </c>
      <c r="F1265" t="s">
        <v>24</v>
      </c>
      <c r="G1265" t="s">
        <v>59</v>
      </c>
      <c r="H1265" t="s">
        <v>60</v>
      </c>
      <c r="I1265">
        <v>7849.84</v>
      </c>
      <c r="J1265">
        <v>7332.87</v>
      </c>
      <c r="K1265" t="s">
        <v>17</v>
      </c>
      <c r="L1265" t="b">
        <v>0</v>
      </c>
      <c r="N1265" s="2" t="str">
        <f t="shared" si="104"/>
        <v/>
      </c>
      <c r="Q1265" t="str">
        <f t="shared" si="105"/>
        <v/>
      </c>
    </row>
    <row r="1266" spans="1:17" hidden="1">
      <c r="A1266" t="s">
        <v>1371</v>
      </c>
      <c r="B1266" s="1">
        <v>45092</v>
      </c>
      <c r="C1266">
        <v>2023</v>
      </c>
      <c r="D1266">
        <v>6</v>
      </c>
      <c r="E1266" t="s">
        <v>47</v>
      </c>
      <c r="F1266" t="s">
        <v>14</v>
      </c>
      <c r="G1266" t="s">
        <v>48</v>
      </c>
      <c r="H1266" t="s">
        <v>75</v>
      </c>
      <c r="I1266">
        <v>17729.73</v>
      </c>
      <c r="J1266">
        <v>15043.42</v>
      </c>
      <c r="K1266" t="s">
        <v>17</v>
      </c>
      <c r="L1266" t="b">
        <v>0</v>
      </c>
      <c r="N1266" s="2" t="b">
        <f t="shared" si="104"/>
        <v>1</v>
      </c>
      <c r="O1266" t="str">
        <f t="shared" ref="O1266:O1267" si="108">IF(AND(E1255="HR",K1255="EXPENSE"),I1255&lt;J1255,"")</f>
        <v/>
      </c>
      <c r="Q1266" t="str">
        <f t="shared" si="105"/>
        <v/>
      </c>
    </row>
    <row r="1267" spans="1:17" hidden="1">
      <c r="A1267" t="s">
        <v>1372</v>
      </c>
      <c r="B1267" s="1">
        <v>45092</v>
      </c>
      <c r="C1267">
        <v>2023</v>
      </c>
      <c r="D1267">
        <v>6</v>
      </c>
      <c r="E1267" t="s">
        <v>47</v>
      </c>
      <c r="F1267" t="s">
        <v>28</v>
      </c>
      <c r="G1267" t="s">
        <v>91</v>
      </c>
      <c r="H1267" t="s">
        <v>128</v>
      </c>
      <c r="I1267">
        <v>14249.77</v>
      </c>
      <c r="J1267">
        <v>12066.08</v>
      </c>
      <c r="K1267" t="s">
        <v>17</v>
      </c>
      <c r="L1267" t="b">
        <v>0</v>
      </c>
      <c r="N1267" s="2" t="b">
        <f t="shared" si="104"/>
        <v>1</v>
      </c>
      <c r="O1267" t="b">
        <f t="shared" si="108"/>
        <v>0</v>
      </c>
      <c r="Q1267" t="str">
        <f t="shared" si="105"/>
        <v/>
      </c>
    </row>
    <row r="1268" spans="1:17" hidden="1">
      <c r="A1268" t="s">
        <v>1373</v>
      </c>
      <c r="B1268" s="1">
        <v>45092</v>
      </c>
      <c r="C1268">
        <v>2023</v>
      </c>
      <c r="D1268">
        <v>6</v>
      </c>
      <c r="E1268" t="s">
        <v>19</v>
      </c>
      <c r="F1268" t="s">
        <v>14</v>
      </c>
      <c r="G1268" t="s">
        <v>20</v>
      </c>
      <c r="H1268" t="s">
        <v>21</v>
      </c>
      <c r="I1268">
        <v>6489.63</v>
      </c>
      <c r="J1268">
        <v>6050.1</v>
      </c>
      <c r="K1268" t="s">
        <v>17</v>
      </c>
      <c r="L1268" t="b">
        <v>0</v>
      </c>
      <c r="N1268" s="2" t="str">
        <f t="shared" si="104"/>
        <v/>
      </c>
      <c r="Q1268" t="str">
        <f t="shared" si="105"/>
        <v/>
      </c>
    </row>
    <row r="1269" spans="1:17" hidden="1">
      <c r="A1269" t="s">
        <v>1374</v>
      </c>
      <c r="B1269" s="1">
        <v>45092</v>
      </c>
      <c r="C1269">
        <v>2023</v>
      </c>
      <c r="D1269">
        <v>6</v>
      </c>
      <c r="E1269" t="s">
        <v>19</v>
      </c>
      <c r="F1269" t="s">
        <v>14</v>
      </c>
      <c r="G1269" t="s">
        <v>132</v>
      </c>
      <c r="H1269" t="s">
        <v>138</v>
      </c>
      <c r="I1269">
        <v>3617.25</v>
      </c>
      <c r="J1269">
        <v>3416.39</v>
      </c>
      <c r="K1269" t="s">
        <v>17</v>
      </c>
      <c r="L1269" t="b">
        <v>0</v>
      </c>
      <c r="N1269" s="2" t="str">
        <f t="shared" si="104"/>
        <v/>
      </c>
      <c r="Q1269" t="str">
        <f t="shared" si="105"/>
        <v/>
      </c>
    </row>
    <row r="1270" spans="1:17" hidden="1">
      <c r="A1270" t="s">
        <v>1375</v>
      </c>
      <c r="B1270" s="1">
        <v>45092</v>
      </c>
      <c r="C1270">
        <v>2023</v>
      </c>
      <c r="D1270">
        <v>6</v>
      </c>
      <c r="E1270" t="s">
        <v>19</v>
      </c>
      <c r="F1270" t="s">
        <v>14</v>
      </c>
      <c r="G1270" t="s">
        <v>20</v>
      </c>
      <c r="H1270" t="s">
        <v>174</v>
      </c>
      <c r="I1270">
        <v>5282.23</v>
      </c>
      <c r="J1270">
        <v>5421.07</v>
      </c>
      <c r="K1270" t="s">
        <v>17</v>
      </c>
      <c r="L1270" t="b">
        <v>0</v>
      </c>
      <c r="N1270" s="2" t="str">
        <f t="shared" si="104"/>
        <v/>
      </c>
      <c r="Q1270" t="str">
        <f t="shared" si="105"/>
        <v/>
      </c>
    </row>
    <row r="1271" spans="1:17" hidden="1">
      <c r="A1271" t="s">
        <v>1376</v>
      </c>
      <c r="B1271" s="1">
        <v>45092</v>
      </c>
      <c r="C1271">
        <v>2023</v>
      </c>
      <c r="D1271">
        <v>6</v>
      </c>
      <c r="E1271" t="s">
        <v>23</v>
      </c>
      <c r="F1271" t="s">
        <v>28</v>
      </c>
      <c r="G1271" t="s">
        <v>25</v>
      </c>
      <c r="H1271" t="s">
        <v>95</v>
      </c>
      <c r="I1271">
        <v>5502.24</v>
      </c>
      <c r="J1271">
        <v>5361.58</v>
      </c>
      <c r="K1271" t="s">
        <v>17</v>
      </c>
      <c r="L1271" t="b">
        <v>0</v>
      </c>
      <c r="N1271" s="2" t="str">
        <f t="shared" si="104"/>
        <v/>
      </c>
      <c r="Q1271" t="str">
        <f t="shared" si="105"/>
        <v/>
      </c>
    </row>
    <row r="1272" spans="1:17" hidden="1">
      <c r="A1272" t="s">
        <v>1377</v>
      </c>
      <c r="B1272" s="1">
        <v>45092</v>
      </c>
      <c r="C1272">
        <v>2023</v>
      </c>
      <c r="D1272">
        <v>6</v>
      </c>
      <c r="E1272" t="s">
        <v>23</v>
      </c>
      <c r="F1272" t="s">
        <v>24</v>
      </c>
      <c r="G1272" t="s">
        <v>30</v>
      </c>
      <c r="H1272" t="s">
        <v>31</v>
      </c>
      <c r="I1272">
        <v>5516.9</v>
      </c>
      <c r="J1272">
        <v>4998.82</v>
      </c>
      <c r="K1272" t="s">
        <v>17</v>
      </c>
      <c r="L1272" t="b">
        <v>0</v>
      </c>
      <c r="N1272" s="2" t="str">
        <f t="shared" si="104"/>
        <v/>
      </c>
      <c r="Q1272" t="str">
        <f t="shared" si="105"/>
        <v/>
      </c>
    </row>
    <row r="1273" spans="1:17" hidden="1">
      <c r="A1273" t="s">
        <v>1378</v>
      </c>
      <c r="B1273" s="1">
        <v>45092</v>
      </c>
      <c r="C1273">
        <v>2023</v>
      </c>
      <c r="D1273">
        <v>6</v>
      </c>
      <c r="E1273" t="s">
        <v>23</v>
      </c>
      <c r="F1273" t="s">
        <v>24</v>
      </c>
      <c r="G1273" t="s">
        <v>59</v>
      </c>
      <c r="H1273" t="s">
        <v>155</v>
      </c>
      <c r="I1273">
        <v>5161.68</v>
      </c>
      <c r="J1273">
        <v>5172.6000000000004</v>
      </c>
      <c r="K1273" t="s">
        <v>17</v>
      </c>
      <c r="L1273" t="b">
        <v>0</v>
      </c>
      <c r="N1273" s="2" t="str">
        <f t="shared" si="104"/>
        <v/>
      </c>
      <c r="Q1273" t="str">
        <f t="shared" si="105"/>
        <v/>
      </c>
    </row>
    <row r="1274" spans="1:17" hidden="1">
      <c r="A1274" t="s">
        <v>1379</v>
      </c>
      <c r="B1274" s="1">
        <v>45092</v>
      </c>
      <c r="C1274">
        <v>2023</v>
      </c>
      <c r="D1274">
        <v>6</v>
      </c>
      <c r="E1274" t="s">
        <v>37</v>
      </c>
      <c r="F1274" t="s">
        <v>24</v>
      </c>
      <c r="G1274" t="s">
        <v>62</v>
      </c>
      <c r="H1274" t="s">
        <v>121</v>
      </c>
      <c r="I1274">
        <v>4423.97</v>
      </c>
      <c r="J1274">
        <v>4059.77</v>
      </c>
      <c r="K1274" t="s">
        <v>17</v>
      </c>
      <c r="L1274" t="b">
        <v>0</v>
      </c>
      <c r="N1274" s="2" t="str">
        <f t="shared" si="104"/>
        <v/>
      </c>
      <c r="Q1274" t="str">
        <f t="shared" si="105"/>
        <v/>
      </c>
    </row>
    <row r="1275" spans="1:17" hidden="1">
      <c r="A1275" t="s">
        <v>1380</v>
      </c>
      <c r="B1275" s="1">
        <v>45093</v>
      </c>
      <c r="C1275">
        <v>2023</v>
      </c>
      <c r="D1275">
        <v>6</v>
      </c>
      <c r="E1275" t="s">
        <v>13</v>
      </c>
      <c r="F1275" t="s">
        <v>28</v>
      </c>
      <c r="G1275" t="s">
        <v>68</v>
      </c>
      <c r="H1275" t="s">
        <v>69</v>
      </c>
      <c r="I1275">
        <v>5436.29</v>
      </c>
      <c r="J1275">
        <v>5765.52</v>
      </c>
      <c r="K1275" t="s">
        <v>17</v>
      </c>
      <c r="L1275" t="b">
        <v>0</v>
      </c>
      <c r="N1275" s="2" t="str">
        <f t="shared" si="104"/>
        <v/>
      </c>
      <c r="Q1275" t="str">
        <f t="shared" si="105"/>
        <v/>
      </c>
    </row>
    <row r="1276" spans="1:17" hidden="1">
      <c r="A1276" t="s">
        <v>1381</v>
      </c>
      <c r="B1276" s="1">
        <v>45093</v>
      </c>
      <c r="C1276">
        <v>2023</v>
      </c>
      <c r="D1276">
        <v>6</v>
      </c>
      <c r="E1276" t="s">
        <v>13</v>
      </c>
      <c r="F1276" t="s">
        <v>28</v>
      </c>
      <c r="G1276" t="s">
        <v>102</v>
      </c>
      <c r="H1276" t="s">
        <v>145</v>
      </c>
      <c r="I1276">
        <v>1396.1</v>
      </c>
      <c r="J1276">
        <v>1416.37</v>
      </c>
      <c r="K1276" t="s">
        <v>17</v>
      </c>
      <c r="L1276" t="b">
        <v>0</v>
      </c>
      <c r="N1276" s="2" t="str">
        <f t="shared" si="104"/>
        <v/>
      </c>
      <c r="Q1276" t="str">
        <f t="shared" si="105"/>
        <v/>
      </c>
    </row>
    <row r="1277" spans="1:17" hidden="1">
      <c r="A1277" t="s">
        <v>1382</v>
      </c>
      <c r="B1277" s="1">
        <v>45093</v>
      </c>
      <c r="C1277">
        <v>2023</v>
      </c>
      <c r="D1277">
        <v>6</v>
      </c>
      <c r="E1277" t="s">
        <v>47</v>
      </c>
      <c r="F1277" t="s">
        <v>14</v>
      </c>
      <c r="G1277" t="s">
        <v>91</v>
      </c>
      <c r="H1277" t="s">
        <v>249</v>
      </c>
      <c r="I1277">
        <v>16345.35</v>
      </c>
      <c r="J1277">
        <v>13834.2</v>
      </c>
      <c r="K1277" t="s">
        <v>17</v>
      </c>
      <c r="L1277" t="b">
        <v>0</v>
      </c>
      <c r="N1277" s="2" t="b">
        <f t="shared" si="104"/>
        <v>1</v>
      </c>
      <c r="O1277" t="str">
        <f t="shared" ref="O1277:O1278" si="109">IF(AND(E1266="HR",K1266="EXPENSE"),I1266&lt;J1266,"")</f>
        <v/>
      </c>
      <c r="Q1277" t="str">
        <f t="shared" si="105"/>
        <v/>
      </c>
    </row>
    <row r="1278" spans="1:17" hidden="1">
      <c r="A1278" t="s">
        <v>1383</v>
      </c>
      <c r="B1278" s="1">
        <v>45093</v>
      </c>
      <c r="C1278">
        <v>2023</v>
      </c>
      <c r="D1278">
        <v>6</v>
      </c>
      <c r="E1278" t="s">
        <v>47</v>
      </c>
      <c r="F1278" t="s">
        <v>24</v>
      </c>
      <c r="G1278" t="s">
        <v>51</v>
      </c>
      <c r="H1278" t="s">
        <v>52</v>
      </c>
      <c r="I1278">
        <v>13934.31</v>
      </c>
      <c r="J1278">
        <v>12035.89</v>
      </c>
      <c r="K1278" t="s">
        <v>17</v>
      </c>
      <c r="L1278" t="b">
        <v>0</v>
      </c>
      <c r="N1278" s="2" t="b">
        <f t="shared" si="104"/>
        <v>1</v>
      </c>
      <c r="O1278" t="str">
        <f t="shared" si="109"/>
        <v/>
      </c>
      <c r="Q1278" t="str">
        <f t="shared" si="105"/>
        <v/>
      </c>
    </row>
    <row r="1279" spans="1:17" hidden="1">
      <c r="A1279" t="s">
        <v>1384</v>
      </c>
      <c r="B1279" s="1">
        <v>45093</v>
      </c>
      <c r="C1279">
        <v>2023</v>
      </c>
      <c r="D1279">
        <v>6</v>
      </c>
      <c r="E1279" t="s">
        <v>19</v>
      </c>
      <c r="F1279" t="s">
        <v>28</v>
      </c>
      <c r="G1279" t="s">
        <v>80</v>
      </c>
      <c r="H1279" t="s">
        <v>113</v>
      </c>
      <c r="I1279">
        <v>5715.9</v>
      </c>
      <c r="J1279">
        <v>5931.54</v>
      </c>
      <c r="K1279" t="s">
        <v>17</v>
      </c>
      <c r="L1279" t="b">
        <v>0</v>
      </c>
      <c r="N1279" s="2" t="str">
        <f t="shared" si="104"/>
        <v/>
      </c>
      <c r="Q1279" t="str">
        <f t="shared" si="105"/>
        <v/>
      </c>
    </row>
    <row r="1280" spans="1:17" hidden="1">
      <c r="A1280" t="s">
        <v>1385</v>
      </c>
      <c r="B1280" s="1">
        <v>45093</v>
      </c>
      <c r="C1280">
        <v>2023</v>
      </c>
      <c r="D1280">
        <v>6</v>
      </c>
      <c r="E1280" t="s">
        <v>23</v>
      </c>
      <c r="F1280" t="s">
        <v>14</v>
      </c>
      <c r="G1280" t="s">
        <v>30</v>
      </c>
      <c r="H1280" t="s">
        <v>106</v>
      </c>
      <c r="I1280">
        <v>6167.05</v>
      </c>
      <c r="J1280">
        <v>6770.74</v>
      </c>
      <c r="K1280" t="s">
        <v>17</v>
      </c>
      <c r="L1280" t="b">
        <v>0</v>
      </c>
      <c r="N1280" s="2" t="str">
        <f t="shared" si="104"/>
        <v/>
      </c>
      <c r="Q1280" t="str">
        <f t="shared" si="105"/>
        <v/>
      </c>
    </row>
    <row r="1281" spans="1:17" hidden="1">
      <c r="A1281" t="s">
        <v>1386</v>
      </c>
      <c r="B1281" s="1">
        <v>45093</v>
      </c>
      <c r="C1281">
        <v>2023</v>
      </c>
      <c r="D1281">
        <v>6</v>
      </c>
      <c r="E1281" t="s">
        <v>23</v>
      </c>
      <c r="F1281" t="s">
        <v>28</v>
      </c>
      <c r="G1281" t="s">
        <v>141</v>
      </c>
      <c r="H1281" t="s">
        <v>142</v>
      </c>
      <c r="I1281">
        <v>4296.46</v>
      </c>
      <c r="J1281">
        <v>4093.02</v>
      </c>
      <c r="K1281" t="s">
        <v>17</v>
      </c>
      <c r="L1281" t="b">
        <v>0</v>
      </c>
      <c r="N1281" s="2" t="str">
        <f t="shared" si="104"/>
        <v/>
      </c>
      <c r="Q1281" t="str">
        <f t="shared" si="105"/>
        <v/>
      </c>
    </row>
    <row r="1282" spans="1:17" hidden="1">
      <c r="A1282" t="s">
        <v>1387</v>
      </c>
      <c r="B1282" s="1">
        <v>45094</v>
      </c>
      <c r="C1282">
        <v>2023</v>
      </c>
      <c r="D1282">
        <v>6</v>
      </c>
      <c r="E1282" t="s">
        <v>47</v>
      </c>
      <c r="F1282" t="s">
        <v>14</v>
      </c>
      <c r="G1282" t="s">
        <v>77</v>
      </c>
      <c r="H1282" t="s">
        <v>130</v>
      </c>
      <c r="I1282">
        <v>16347.95</v>
      </c>
      <c r="J1282">
        <v>14150.51</v>
      </c>
      <c r="K1282" t="s">
        <v>17</v>
      </c>
      <c r="L1282" t="b">
        <v>0</v>
      </c>
      <c r="N1282" s="2" t="b">
        <f t="shared" si="104"/>
        <v>1</v>
      </c>
      <c r="O1282" t="str">
        <f t="shared" ref="O1282:O1283" si="110">IF(AND(E1271="HR",K1271="EXPENSE"),I1271&lt;J1271,"")</f>
        <v/>
      </c>
      <c r="Q1282" t="str">
        <f t="shared" si="105"/>
        <v/>
      </c>
    </row>
    <row r="1283" spans="1:17" hidden="1">
      <c r="A1283" t="s">
        <v>1388</v>
      </c>
      <c r="B1283" s="1">
        <v>45094</v>
      </c>
      <c r="C1283">
        <v>2023</v>
      </c>
      <c r="D1283">
        <v>6</v>
      </c>
      <c r="E1283" t="s">
        <v>47</v>
      </c>
      <c r="F1283" t="s">
        <v>14</v>
      </c>
      <c r="G1283" t="s">
        <v>77</v>
      </c>
      <c r="H1283" t="s">
        <v>130</v>
      </c>
      <c r="I1283">
        <v>20287.63</v>
      </c>
      <c r="J1283">
        <v>17022.150000000001</v>
      </c>
      <c r="K1283" t="s">
        <v>17</v>
      </c>
      <c r="L1283" t="b">
        <v>0</v>
      </c>
      <c r="N1283" s="2" t="b">
        <f t="shared" ref="N1283:N1346" si="111">IF(AND(E1283="IT",K1283="EXPENSE"),I1283&gt;J1283,"")</f>
        <v>1</v>
      </c>
      <c r="O1283" t="str">
        <f t="shared" si="110"/>
        <v/>
      </c>
      <c r="Q1283" t="str">
        <f t="shared" ref="Q1283:Q1346" si="112">IF(L1283=TRUE,OR(H1283="Apex Solutions Inc",H1283="Global Trade Partners",H1283="NovaTech Services"),"")</f>
        <v/>
      </c>
    </row>
    <row r="1284" spans="1:17" hidden="1">
      <c r="A1284" t="s">
        <v>1389</v>
      </c>
      <c r="B1284" s="1">
        <v>45094</v>
      </c>
      <c r="C1284">
        <v>2023</v>
      </c>
      <c r="D1284">
        <v>6</v>
      </c>
      <c r="E1284" t="s">
        <v>23</v>
      </c>
      <c r="F1284" t="s">
        <v>28</v>
      </c>
      <c r="G1284" t="s">
        <v>59</v>
      </c>
      <c r="H1284" t="s">
        <v>155</v>
      </c>
      <c r="I1284">
        <v>3649.51</v>
      </c>
      <c r="J1284">
        <v>3418.01</v>
      </c>
      <c r="K1284" t="s">
        <v>17</v>
      </c>
      <c r="L1284" t="b">
        <v>0</v>
      </c>
      <c r="N1284" s="2" t="str">
        <f t="shared" si="111"/>
        <v/>
      </c>
      <c r="Q1284" t="str">
        <f t="shared" si="112"/>
        <v/>
      </c>
    </row>
    <row r="1285" spans="1:17" hidden="1">
      <c r="A1285" t="s">
        <v>1390</v>
      </c>
      <c r="B1285" s="1">
        <v>45094</v>
      </c>
      <c r="C1285">
        <v>2023</v>
      </c>
      <c r="D1285">
        <v>6</v>
      </c>
      <c r="E1285" t="s">
        <v>23</v>
      </c>
      <c r="F1285" t="s">
        <v>28</v>
      </c>
      <c r="G1285" t="s">
        <v>59</v>
      </c>
      <c r="H1285" t="s">
        <v>60</v>
      </c>
      <c r="I1285">
        <v>3724.77</v>
      </c>
      <c r="J1285">
        <v>3945.22</v>
      </c>
      <c r="K1285" t="s">
        <v>17</v>
      </c>
      <c r="L1285" t="b">
        <v>0</v>
      </c>
      <c r="N1285" s="2" t="str">
        <f t="shared" si="111"/>
        <v/>
      </c>
      <c r="Q1285" t="str">
        <f t="shared" si="112"/>
        <v/>
      </c>
    </row>
    <row r="1286" spans="1:17" hidden="1">
      <c r="A1286" t="s">
        <v>1391</v>
      </c>
      <c r="B1286" s="1">
        <v>45094</v>
      </c>
      <c r="C1286">
        <v>2023</v>
      </c>
      <c r="D1286">
        <v>6</v>
      </c>
      <c r="E1286" t="s">
        <v>23</v>
      </c>
      <c r="F1286" t="s">
        <v>24</v>
      </c>
      <c r="G1286" t="s">
        <v>59</v>
      </c>
      <c r="H1286" t="s">
        <v>60</v>
      </c>
      <c r="I1286">
        <v>4959</v>
      </c>
      <c r="J1286">
        <v>4927.33</v>
      </c>
      <c r="K1286" t="s">
        <v>17</v>
      </c>
      <c r="L1286" t="b">
        <v>0</v>
      </c>
      <c r="N1286" s="2" t="str">
        <f t="shared" si="111"/>
        <v/>
      </c>
      <c r="Q1286" t="str">
        <f t="shared" si="112"/>
        <v/>
      </c>
    </row>
    <row r="1287" spans="1:17" hidden="1">
      <c r="A1287" t="s">
        <v>1392</v>
      </c>
      <c r="B1287" s="1">
        <v>45094</v>
      </c>
      <c r="C1287">
        <v>2023</v>
      </c>
      <c r="D1287">
        <v>6</v>
      </c>
      <c r="E1287" t="s">
        <v>37</v>
      </c>
      <c r="F1287" t="s">
        <v>14</v>
      </c>
      <c r="G1287" t="s">
        <v>98</v>
      </c>
      <c r="H1287" t="s">
        <v>185</v>
      </c>
      <c r="I1287">
        <v>5370.72</v>
      </c>
      <c r="J1287">
        <v>5809.22</v>
      </c>
      <c r="K1287" t="s">
        <v>17</v>
      </c>
      <c r="L1287" t="b">
        <v>0</v>
      </c>
      <c r="N1287" s="2" t="str">
        <f t="shared" si="111"/>
        <v/>
      </c>
      <c r="Q1287" t="str">
        <f t="shared" si="112"/>
        <v/>
      </c>
    </row>
    <row r="1288" spans="1:17" hidden="1">
      <c r="A1288" t="s">
        <v>1393</v>
      </c>
      <c r="B1288" s="1">
        <v>45095</v>
      </c>
      <c r="C1288">
        <v>2023</v>
      </c>
      <c r="D1288">
        <v>6</v>
      </c>
      <c r="E1288" t="s">
        <v>19</v>
      </c>
      <c r="F1288" t="s">
        <v>14</v>
      </c>
      <c r="G1288" t="s">
        <v>80</v>
      </c>
      <c r="H1288" t="s">
        <v>113</v>
      </c>
      <c r="I1288">
        <v>1800.06</v>
      </c>
      <c r="J1288">
        <v>1933.45</v>
      </c>
      <c r="K1288" t="s">
        <v>17</v>
      </c>
      <c r="L1288" t="b">
        <v>0</v>
      </c>
      <c r="N1288" s="2" t="str">
        <f t="shared" si="111"/>
        <v/>
      </c>
      <c r="Q1288" t="str">
        <f t="shared" si="112"/>
        <v/>
      </c>
    </row>
    <row r="1289" spans="1:17" hidden="1">
      <c r="A1289" t="s">
        <v>1394</v>
      </c>
      <c r="B1289" s="1">
        <v>45095</v>
      </c>
      <c r="C1289">
        <v>2023</v>
      </c>
      <c r="D1289">
        <v>6</v>
      </c>
      <c r="E1289" t="s">
        <v>19</v>
      </c>
      <c r="F1289" t="s">
        <v>24</v>
      </c>
      <c r="G1289" t="s">
        <v>132</v>
      </c>
      <c r="H1289" t="s">
        <v>133</v>
      </c>
      <c r="I1289">
        <v>2974.03</v>
      </c>
      <c r="J1289">
        <v>2716.22</v>
      </c>
      <c r="K1289" t="s">
        <v>17</v>
      </c>
      <c r="L1289" t="b">
        <v>0</v>
      </c>
      <c r="N1289" s="2" t="str">
        <f t="shared" si="111"/>
        <v/>
      </c>
      <c r="Q1289" t="str">
        <f t="shared" si="112"/>
        <v/>
      </c>
    </row>
    <row r="1290" spans="1:17" hidden="1">
      <c r="A1290" t="s">
        <v>1395</v>
      </c>
      <c r="B1290" s="1">
        <v>45095</v>
      </c>
      <c r="C1290">
        <v>2023</v>
      </c>
      <c r="D1290">
        <v>6</v>
      </c>
      <c r="E1290" t="s">
        <v>23</v>
      </c>
      <c r="F1290" t="s">
        <v>28</v>
      </c>
      <c r="G1290" t="s">
        <v>30</v>
      </c>
      <c r="H1290" t="s">
        <v>106</v>
      </c>
      <c r="I1290">
        <v>5071.88</v>
      </c>
      <c r="J1290">
        <v>5201.04</v>
      </c>
      <c r="K1290" t="s">
        <v>17</v>
      </c>
      <c r="L1290" t="b">
        <v>0</v>
      </c>
      <c r="N1290" s="2" t="str">
        <f t="shared" si="111"/>
        <v/>
      </c>
      <c r="Q1290" t="str">
        <f t="shared" si="112"/>
        <v/>
      </c>
    </row>
    <row r="1291" spans="1:17" hidden="1">
      <c r="A1291" t="s">
        <v>1396</v>
      </c>
      <c r="B1291" s="1">
        <v>45095</v>
      </c>
      <c r="C1291">
        <v>2023</v>
      </c>
      <c r="D1291">
        <v>6</v>
      </c>
      <c r="E1291" t="s">
        <v>37</v>
      </c>
      <c r="F1291" t="s">
        <v>14</v>
      </c>
      <c r="G1291" t="s">
        <v>98</v>
      </c>
      <c r="H1291" t="s">
        <v>99</v>
      </c>
      <c r="I1291">
        <v>6593.59</v>
      </c>
      <c r="J1291">
        <v>5945.26</v>
      </c>
      <c r="K1291" t="s">
        <v>17</v>
      </c>
      <c r="L1291" t="b">
        <v>0</v>
      </c>
      <c r="N1291" s="2" t="str">
        <f t="shared" si="111"/>
        <v/>
      </c>
      <c r="Q1291" t="str">
        <f t="shared" si="112"/>
        <v/>
      </c>
    </row>
    <row r="1292" spans="1:17" hidden="1">
      <c r="A1292" t="s">
        <v>1397</v>
      </c>
      <c r="B1292" s="1">
        <v>45095</v>
      </c>
      <c r="C1292">
        <v>2023</v>
      </c>
      <c r="D1292">
        <v>6</v>
      </c>
      <c r="E1292" t="s">
        <v>37</v>
      </c>
      <c r="F1292" t="s">
        <v>24</v>
      </c>
      <c r="G1292" t="s">
        <v>41</v>
      </c>
      <c r="H1292" t="s">
        <v>42</v>
      </c>
      <c r="I1292">
        <v>4952.62</v>
      </c>
      <c r="J1292">
        <v>4779.5600000000004</v>
      </c>
      <c r="K1292" t="s">
        <v>17</v>
      </c>
      <c r="L1292" t="b">
        <v>0</v>
      </c>
      <c r="N1292" s="2" t="str">
        <f t="shared" si="111"/>
        <v/>
      </c>
      <c r="Q1292" t="str">
        <f t="shared" si="112"/>
        <v/>
      </c>
    </row>
    <row r="1293" spans="1:17" hidden="1">
      <c r="A1293" t="s">
        <v>1398</v>
      </c>
      <c r="B1293" s="1">
        <v>45096</v>
      </c>
      <c r="C1293">
        <v>2023</v>
      </c>
      <c r="D1293">
        <v>6</v>
      </c>
      <c r="E1293" t="s">
        <v>13</v>
      </c>
      <c r="F1293" t="s">
        <v>14</v>
      </c>
      <c r="G1293" t="s">
        <v>108</v>
      </c>
      <c r="H1293" t="s">
        <v>123</v>
      </c>
      <c r="I1293">
        <v>2891.73</v>
      </c>
      <c r="J1293">
        <v>2699.34</v>
      </c>
      <c r="K1293" t="s">
        <v>17</v>
      </c>
      <c r="L1293" t="b">
        <v>0</v>
      </c>
      <c r="N1293" s="2" t="str">
        <f t="shared" si="111"/>
        <v/>
      </c>
      <c r="Q1293" t="str">
        <f t="shared" si="112"/>
        <v/>
      </c>
    </row>
    <row r="1294" spans="1:17" hidden="1">
      <c r="A1294" t="s">
        <v>1399</v>
      </c>
      <c r="B1294" s="1">
        <v>45096</v>
      </c>
      <c r="C1294">
        <v>2023</v>
      </c>
      <c r="D1294">
        <v>6</v>
      </c>
      <c r="E1294" t="s">
        <v>13</v>
      </c>
      <c r="F1294" t="s">
        <v>28</v>
      </c>
      <c r="G1294" t="s">
        <v>15</v>
      </c>
      <c r="H1294" t="s">
        <v>16</v>
      </c>
      <c r="I1294">
        <v>4421.83</v>
      </c>
      <c r="J1294">
        <v>4689.4799999999996</v>
      </c>
      <c r="K1294" t="s">
        <v>17</v>
      </c>
      <c r="L1294" t="b">
        <v>0</v>
      </c>
      <c r="N1294" s="2" t="str">
        <f t="shared" si="111"/>
        <v/>
      </c>
      <c r="Q1294" t="str">
        <f t="shared" si="112"/>
        <v/>
      </c>
    </row>
    <row r="1295" spans="1:17" hidden="1">
      <c r="A1295" t="s">
        <v>1400</v>
      </c>
      <c r="B1295" s="1">
        <v>45096</v>
      </c>
      <c r="C1295">
        <v>2023</v>
      </c>
      <c r="D1295">
        <v>6</v>
      </c>
      <c r="E1295" t="s">
        <v>13</v>
      </c>
      <c r="F1295" t="s">
        <v>24</v>
      </c>
      <c r="G1295" t="s">
        <v>108</v>
      </c>
      <c r="H1295" t="s">
        <v>109</v>
      </c>
      <c r="I1295">
        <v>3012.28</v>
      </c>
      <c r="J1295">
        <v>3168.49</v>
      </c>
      <c r="K1295" t="s">
        <v>17</v>
      </c>
      <c r="L1295" t="b">
        <v>0</v>
      </c>
      <c r="N1295" s="2" t="str">
        <f t="shared" si="111"/>
        <v/>
      </c>
      <c r="Q1295" t="str">
        <f t="shared" si="112"/>
        <v/>
      </c>
    </row>
    <row r="1296" spans="1:17" hidden="1">
      <c r="A1296" t="s">
        <v>1401</v>
      </c>
      <c r="B1296" s="1">
        <v>45096</v>
      </c>
      <c r="C1296">
        <v>2023</v>
      </c>
      <c r="D1296">
        <v>6</v>
      </c>
      <c r="E1296" t="s">
        <v>47</v>
      </c>
      <c r="F1296" t="s">
        <v>28</v>
      </c>
      <c r="G1296" t="s">
        <v>51</v>
      </c>
      <c r="H1296" t="s">
        <v>52</v>
      </c>
      <c r="I1296">
        <v>11021.38</v>
      </c>
      <c r="J1296">
        <v>9229.73</v>
      </c>
      <c r="K1296" t="s">
        <v>17</v>
      </c>
      <c r="L1296" t="b">
        <v>0</v>
      </c>
      <c r="N1296" s="2" t="b">
        <f t="shared" si="111"/>
        <v>1</v>
      </c>
      <c r="O1296" t="str">
        <f t="shared" ref="O1296:O1297" si="113">IF(AND(E1285="HR",K1285="EXPENSE"),I1285&lt;J1285,"")</f>
        <v/>
      </c>
      <c r="Q1296" t="str">
        <f t="shared" si="112"/>
        <v/>
      </c>
    </row>
    <row r="1297" spans="1:17" hidden="1">
      <c r="A1297" t="s">
        <v>1402</v>
      </c>
      <c r="B1297" s="1">
        <v>45096</v>
      </c>
      <c r="C1297">
        <v>2023</v>
      </c>
      <c r="D1297">
        <v>6</v>
      </c>
      <c r="E1297" t="s">
        <v>47</v>
      </c>
      <c r="F1297" t="s">
        <v>24</v>
      </c>
      <c r="G1297" t="s">
        <v>77</v>
      </c>
      <c r="H1297" t="s">
        <v>147</v>
      </c>
      <c r="I1297">
        <v>13276.71</v>
      </c>
      <c r="J1297">
        <v>11168.76</v>
      </c>
      <c r="K1297" t="s">
        <v>17</v>
      </c>
      <c r="L1297" t="b">
        <v>0</v>
      </c>
      <c r="N1297" s="2" t="b">
        <f t="shared" si="111"/>
        <v>1</v>
      </c>
      <c r="O1297" t="str">
        <f t="shared" si="113"/>
        <v/>
      </c>
      <c r="Q1297" t="str">
        <f t="shared" si="112"/>
        <v/>
      </c>
    </row>
    <row r="1298" spans="1:17" hidden="1">
      <c r="A1298" t="s">
        <v>1403</v>
      </c>
      <c r="B1298" s="1">
        <v>45096</v>
      </c>
      <c r="C1298">
        <v>2023</v>
      </c>
      <c r="D1298">
        <v>6</v>
      </c>
      <c r="E1298" t="s">
        <v>19</v>
      </c>
      <c r="F1298" t="s">
        <v>28</v>
      </c>
      <c r="G1298" t="s">
        <v>54</v>
      </c>
      <c r="H1298" t="s">
        <v>163</v>
      </c>
      <c r="I1298">
        <v>7108.97</v>
      </c>
      <c r="J1298">
        <v>6691.32</v>
      </c>
      <c r="K1298" t="s">
        <v>17</v>
      </c>
      <c r="L1298" t="b">
        <v>0</v>
      </c>
      <c r="N1298" s="2" t="str">
        <f t="shared" si="111"/>
        <v/>
      </c>
      <c r="Q1298" t="str">
        <f t="shared" si="112"/>
        <v/>
      </c>
    </row>
    <row r="1299" spans="1:17" hidden="1">
      <c r="A1299" t="s">
        <v>1404</v>
      </c>
      <c r="B1299" s="1">
        <v>45096</v>
      </c>
      <c r="C1299">
        <v>2023</v>
      </c>
      <c r="D1299">
        <v>6</v>
      </c>
      <c r="E1299" t="s">
        <v>23</v>
      </c>
      <c r="F1299" t="s">
        <v>14</v>
      </c>
      <c r="G1299" t="s">
        <v>141</v>
      </c>
      <c r="H1299" t="s">
        <v>209</v>
      </c>
      <c r="I1299">
        <v>3322.25</v>
      </c>
      <c r="J1299">
        <v>3471.75</v>
      </c>
      <c r="K1299" t="s">
        <v>17</v>
      </c>
      <c r="L1299" t="b">
        <v>0</v>
      </c>
      <c r="N1299" s="2" t="str">
        <f t="shared" si="111"/>
        <v/>
      </c>
      <c r="Q1299" t="str">
        <f t="shared" si="112"/>
        <v/>
      </c>
    </row>
    <row r="1300" spans="1:17" hidden="1">
      <c r="A1300" t="s">
        <v>1405</v>
      </c>
      <c r="B1300" s="1">
        <v>45096</v>
      </c>
      <c r="C1300">
        <v>2023</v>
      </c>
      <c r="D1300">
        <v>6</v>
      </c>
      <c r="E1300" t="s">
        <v>23</v>
      </c>
      <c r="F1300" t="s">
        <v>14</v>
      </c>
      <c r="G1300" t="s">
        <v>25</v>
      </c>
      <c r="H1300" t="s">
        <v>95</v>
      </c>
      <c r="I1300">
        <v>1981.02</v>
      </c>
      <c r="J1300">
        <v>2010.46</v>
      </c>
      <c r="K1300" t="s">
        <v>17</v>
      </c>
      <c r="L1300" t="b">
        <v>0</v>
      </c>
      <c r="N1300" s="2" t="str">
        <f t="shared" si="111"/>
        <v/>
      </c>
      <c r="Q1300" t="str">
        <f t="shared" si="112"/>
        <v/>
      </c>
    </row>
    <row r="1301" spans="1:17" hidden="1">
      <c r="A1301" t="s">
        <v>1406</v>
      </c>
      <c r="B1301" s="1">
        <v>45096</v>
      </c>
      <c r="C1301">
        <v>2023</v>
      </c>
      <c r="D1301">
        <v>6</v>
      </c>
      <c r="E1301" t="s">
        <v>37</v>
      </c>
      <c r="F1301" t="s">
        <v>14</v>
      </c>
      <c r="G1301" t="s">
        <v>62</v>
      </c>
      <c r="H1301" t="s">
        <v>63</v>
      </c>
      <c r="I1301">
        <v>5814.4</v>
      </c>
      <c r="J1301">
        <v>5795.78</v>
      </c>
      <c r="K1301" t="s">
        <v>17</v>
      </c>
      <c r="L1301" t="b">
        <v>0</v>
      </c>
      <c r="N1301" s="2" t="str">
        <f t="shared" si="111"/>
        <v/>
      </c>
      <c r="Q1301" t="str">
        <f t="shared" si="112"/>
        <v/>
      </c>
    </row>
    <row r="1302" spans="1:17" hidden="1">
      <c r="A1302" t="s">
        <v>1407</v>
      </c>
      <c r="B1302" s="1">
        <v>45096</v>
      </c>
      <c r="C1302">
        <v>2023</v>
      </c>
      <c r="D1302">
        <v>6</v>
      </c>
      <c r="E1302" t="s">
        <v>37</v>
      </c>
      <c r="F1302" t="s">
        <v>14</v>
      </c>
      <c r="G1302" t="s">
        <v>38</v>
      </c>
      <c r="H1302" t="s">
        <v>227</v>
      </c>
      <c r="I1302">
        <v>6819.78</v>
      </c>
      <c r="J1302">
        <v>7163.15</v>
      </c>
      <c r="K1302" t="s">
        <v>17</v>
      </c>
      <c r="L1302" t="b">
        <v>0</v>
      </c>
      <c r="N1302" s="2" t="str">
        <f t="shared" si="111"/>
        <v/>
      </c>
      <c r="Q1302" t="str">
        <f t="shared" si="112"/>
        <v/>
      </c>
    </row>
    <row r="1303" spans="1:17" hidden="1">
      <c r="A1303" t="s">
        <v>1408</v>
      </c>
      <c r="B1303" s="1">
        <v>45096</v>
      </c>
      <c r="C1303">
        <v>2023</v>
      </c>
      <c r="D1303">
        <v>6</v>
      </c>
      <c r="E1303" t="s">
        <v>37</v>
      </c>
      <c r="F1303" t="s">
        <v>28</v>
      </c>
      <c r="G1303" t="s">
        <v>62</v>
      </c>
      <c r="H1303" t="s">
        <v>63</v>
      </c>
      <c r="I1303">
        <v>3477.51</v>
      </c>
      <c r="J1303">
        <v>3459.37</v>
      </c>
      <c r="K1303" t="s">
        <v>17</v>
      </c>
      <c r="L1303" t="b">
        <v>0</v>
      </c>
      <c r="N1303" s="2" t="str">
        <f t="shared" si="111"/>
        <v/>
      </c>
      <c r="Q1303" t="str">
        <f t="shared" si="112"/>
        <v/>
      </c>
    </row>
    <row r="1304" spans="1:17" hidden="1">
      <c r="A1304" t="s">
        <v>1409</v>
      </c>
      <c r="B1304" s="1">
        <v>45097</v>
      </c>
      <c r="C1304">
        <v>2023</v>
      </c>
      <c r="D1304">
        <v>6</v>
      </c>
      <c r="E1304" t="s">
        <v>13</v>
      </c>
      <c r="F1304" t="s">
        <v>14</v>
      </c>
      <c r="G1304" t="s">
        <v>108</v>
      </c>
      <c r="H1304" t="s">
        <v>123</v>
      </c>
      <c r="I1304">
        <v>4242.0600000000004</v>
      </c>
      <c r="J1304">
        <v>4347.78</v>
      </c>
      <c r="K1304" t="s">
        <v>17</v>
      </c>
      <c r="L1304" t="b">
        <v>0</v>
      </c>
      <c r="N1304" s="2" t="str">
        <f t="shared" si="111"/>
        <v/>
      </c>
      <c r="Q1304" t="str">
        <f t="shared" si="112"/>
        <v/>
      </c>
    </row>
    <row r="1305" spans="1:17" hidden="1">
      <c r="A1305" t="s">
        <v>1410</v>
      </c>
      <c r="B1305" s="1">
        <v>45097</v>
      </c>
      <c r="C1305">
        <v>2023</v>
      </c>
      <c r="D1305">
        <v>6</v>
      </c>
      <c r="E1305" t="s">
        <v>23</v>
      </c>
      <c r="F1305" t="s">
        <v>14</v>
      </c>
      <c r="G1305" t="s">
        <v>25</v>
      </c>
      <c r="H1305" t="s">
        <v>35</v>
      </c>
      <c r="I1305">
        <v>3722.71</v>
      </c>
      <c r="J1305">
        <v>3692.62</v>
      </c>
      <c r="K1305" t="s">
        <v>17</v>
      </c>
      <c r="L1305" t="b">
        <v>0</v>
      </c>
      <c r="N1305" s="2" t="str">
        <f t="shared" si="111"/>
        <v/>
      </c>
      <c r="Q1305" t="str">
        <f t="shared" si="112"/>
        <v/>
      </c>
    </row>
    <row r="1306" spans="1:17" hidden="1">
      <c r="A1306" t="s">
        <v>1411</v>
      </c>
      <c r="B1306" s="1">
        <v>45097</v>
      </c>
      <c r="C1306">
        <v>2023</v>
      </c>
      <c r="D1306">
        <v>6</v>
      </c>
      <c r="E1306" t="s">
        <v>37</v>
      </c>
      <c r="F1306" t="s">
        <v>14</v>
      </c>
      <c r="G1306" t="s">
        <v>62</v>
      </c>
      <c r="H1306" t="s">
        <v>63</v>
      </c>
      <c r="I1306">
        <v>5872.38</v>
      </c>
      <c r="J1306">
        <v>5514.13</v>
      </c>
      <c r="K1306" t="s">
        <v>17</v>
      </c>
      <c r="L1306" t="b">
        <v>0</v>
      </c>
      <c r="N1306" s="2" t="str">
        <f t="shared" si="111"/>
        <v/>
      </c>
      <c r="Q1306" t="str">
        <f t="shared" si="112"/>
        <v/>
      </c>
    </row>
    <row r="1307" spans="1:17" hidden="1">
      <c r="A1307" t="s">
        <v>1412</v>
      </c>
      <c r="B1307" s="1">
        <v>45097</v>
      </c>
      <c r="C1307">
        <v>2023</v>
      </c>
      <c r="D1307">
        <v>6</v>
      </c>
      <c r="E1307" t="s">
        <v>37</v>
      </c>
      <c r="F1307" t="s">
        <v>28</v>
      </c>
      <c r="G1307" t="s">
        <v>62</v>
      </c>
      <c r="H1307" t="s">
        <v>63</v>
      </c>
      <c r="I1307">
        <v>5335.84</v>
      </c>
      <c r="J1307">
        <v>5089.87</v>
      </c>
      <c r="K1307" t="s">
        <v>17</v>
      </c>
      <c r="L1307" t="b">
        <v>0</v>
      </c>
      <c r="N1307" s="2" t="str">
        <f t="shared" si="111"/>
        <v/>
      </c>
      <c r="Q1307" t="str">
        <f t="shared" si="112"/>
        <v/>
      </c>
    </row>
    <row r="1308" spans="1:17" hidden="1">
      <c r="A1308" t="s">
        <v>1413</v>
      </c>
      <c r="B1308" s="1">
        <v>45098</v>
      </c>
      <c r="C1308">
        <v>2023</v>
      </c>
      <c r="D1308">
        <v>6</v>
      </c>
      <c r="E1308" t="s">
        <v>13</v>
      </c>
      <c r="F1308" t="s">
        <v>28</v>
      </c>
      <c r="G1308" t="s">
        <v>68</v>
      </c>
      <c r="H1308" t="s">
        <v>87</v>
      </c>
      <c r="I1308">
        <v>5181.83</v>
      </c>
      <c r="J1308">
        <v>5284.74</v>
      </c>
      <c r="K1308" t="s">
        <v>17</v>
      </c>
      <c r="L1308" t="b">
        <v>0</v>
      </c>
      <c r="N1308" s="2" t="str">
        <f t="shared" si="111"/>
        <v/>
      </c>
      <c r="Q1308" t="str">
        <f t="shared" si="112"/>
        <v/>
      </c>
    </row>
    <row r="1309" spans="1:17" hidden="1">
      <c r="A1309" t="s">
        <v>1414</v>
      </c>
      <c r="B1309" s="1">
        <v>45098</v>
      </c>
      <c r="C1309">
        <v>2023</v>
      </c>
      <c r="D1309">
        <v>6</v>
      </c>
      <c r="E1309" t="s">
        <v>13</v>
      </c>
      <c r="F1309" t="s">
        <v>28</v>
      </c>
      <c r="G1309" t="s">
        <v>68</v>
      </c>
      <c r="H1309" t="s">
        <v>69</v>
      </c>
      <c r="I1309">
        <v>3535.74</v>
      </c>
      <c r="J1309">
        <v>3833.66</v>
      </c>
      <c r="K1309" t="s">
        <v>17</v>
      </c>
      <c r="L1309" t="b">
        <v>0</v>
      </c>
      <c r="N1309" s="2" t="str">
        <f t="shared" si="111"/>
        <v/>
      </c>
      <c r="Q1309" t="str">
        <f t="shared" si="112"/>
        <v/>
      </c>
    </row>
    <row r="1310" spans="1:17" hidden="1">
      <c r="A1310" t="s">
        <v>1415</v>
      </c>
      <c r="B1310" s="1">
        <v>45098</v>
      </c>
      <c r="C1310">
        <v>2023</v>
      </c>
      <c r="D1310">
        <v>6</v>
      </c>
      <c r="E1310" t="s">
        <v>19</v>
      </c>
      <c r="F1310" t="s">
        <v>24</v>
      </c>
      <c r="G1310" t="s">
        <v>80</v>
      </c>
      <c r="H1310" t="s">
        <v>150</v>
      </c>
      <c r="I1310">
        <v>6713.07</v>
      </c>
      <c r="J1310">
        <v>6131.68</v>
      </c>
      <c r="K1310" t="s">
        <v>17</v>
      </c>
      <c r="L1310" t="b">
        <v>0</v>
      </c>
      <c r="N1310" s="2" t="str">
        <f t="shared" si="111"/>
        <v/>
      </c>
      <c r="Q1310" t="str">
        <f t="shared" si="112"/>
        <v/>
      </c>
    </row>
    <row r="1311" spans="1:17" hidden="1">
      <c r="A1311" t="s">
        <v>1416</v>
      </c>
      <c r="B1311" s="1">
        <v>45098</v>
      </c>
      <c r="C1311">
        <v>2023</v>
      </c>
      <c r="D1311">
        <v>6</v>
      </c>
      <c r="E1311" t="s">
        <v>23</v>
      </c>
      <c r="F1311" t="s">
        <v>28</v>
      </c>
      <c r="G1311" t="s">
        <v>30</v>
      </c>
      <c r="H1311" t="s">
        <v>106</v>
      </c>
      <c r="I1311">
        <v>3266.28</v>
      </c>
      <c r="J1311">
        <v>3300.68</v>
      </c>
      <c r="K1311" t="s">
        <v>17</v>
      </c>
      <c r="L1311" t="b">
        <v>0</v>
      </c>
      <c r="N1311" s="2" t="str">
        <f t="shared" si="111"/>
        <v/>
      </c>
      <c r="Q1311" t="str">
        <f t="shared" si="112"/>
        <v/>
      </c>
    </row>
    <row r="1312" spans="1:17" hidden="1">
      <c r="A1312" t="s">
        <v>1417</v>
      </c>
      <c r="B1312" s="1">
        <v>45098</v>
      </c>
      <c r="C1312">
        <v>2023</v>
      </c>
      <c r="D1312">
        <v>6</v>
      </c>
      <c r="E1312" t="s">
        <v>23</v>
      </c>
      <c r="F1312" t="s">
        <v>24</v>
      </c>
      <c r="G1312" t="s">
        <v>141</v>
      </c>
      <c r="H1312" t="s">
        <v>209</v>
      </c>
      <c r="I1312">
        <v>6029.94</v>
      </c>
      <c r="J1312">
        <v>5778.45</v>
      </c>
      <c r="K1312" t="s">
        <v>17</v>
      </c>
      <c r="L1312" t="b">
        <v>0</v>
      </c>
      <c r="N1312" s="2" t="str">
        <f t="shared" si="111"/>
        <v/>
      </c>
      <c r="Q1312" t="str">
        <f t="shared" si="112"/>
        <v/>
      </c>
    </row>
    <row r="1313" spans="1:17" hidden="1">
      <c r="A1313" t="s">
        <v>1418</v>
      </c>
      <c r="B1313" s="1">
        <v>45098</v>
      </c>
      <c r="C1313">
        <v>2023</v>
      </c>
      <c r="D1313">
        <v>6</v>
      </c>
      <c r="E1313" t="s">
        <v>23</v>
      </c>
      <c r="F1313" t="s">
        <v>24</v>
      </c>
      <c r="G1313" t="s">
        <v>30</v>
      </c>
      <c r="H1313" t="s">
        <v>33</v>
      </c>
      <c r="I1313">
        <v>5759.1</v>
      </c>
      <c r="J1313">
        <v>5744.43</v>
      </c>
      <c r="K1313" t="s">
        <v>17</v>
      </c>
      <c r="L1313" t="b">
        <v>0</v>
      </c>
      <c r="N1313" s="2" t="str">
        <f t="shared" si="111"/>
        <v/>
      </c>
      <c r="Q1313" t="str">
        <f t="shared" si="112"/>
        <v/>
      </c>
    </row>
    <row r="1314" spans="1:17" hidden="1">
      <c r="A1314" t="s">
        <v>1419</v>
      </c>
      <c r="B1314" s="1">
        <v>45098</v>
      </c>
      <c r="C1314">
        <v>2023</v>
      </c>
      <c r="D1314">
        <v>6</v>
      </c>
      <c r="E1314" t="s">
        <v>37</v>
      </c>
      <c r="F1314" t="s">
        <v>24</v>
      </c>
      <c r="G1314" t="s">
        <v>38</v>
      </c>
      <c r="H1314" t="s">
        <v>39</v>
      </c>
      <c r="I1314">
        <v>3706.44</v>
      </c>
      <c r="J1314">
        <v>3912.54</v>
      </c>
      <c r="K1314" t="s">
        <v>17</v>
      </c>
      <c r="L1314" t="b">
        <v>0</v>
      </c>
      <c r="N1314" s="2" t="str">
        <f t="shared" si="111"/>
        <v/>
      </c>
      <c r="Q1314" t="str">
        <f t="shared" si="112"/>
        <v/>
      </c>
    </row>
    <row r="1315" spans="1:17" hidden="1">
      <c r="A1315" t="s">
        <v>1420</v>
      </c>
      <c r="B1315" s="1">
        <v>45099</v>
      </c>
      <c r="C1315">
        <v>2023</v>
      </c>
      <c r="D1315">
        <v>6</v>
      </c>
      <c r="E1315" t="s">
        <v>13</v>
      </c>
      <c r="F1315" t="s">
        <v>24</v>
      </c>
      <c r="G1315" t="s">
        <v>108</v>
      </c>
      <c r="H1315" t="s">
        <v>126</v>
      </c>
      <c r="I1315">
        <v>3448.57</v>
      </c>
      <c r="J1315">
        <v>3424.44</v>
      </c>
      <c r="K1315" t="s">
        <v>17</v>
      </c>
      <c r="L1315" t="b">
        <v>0</v>
      </c>
      <c r="N1315" s="2" t="str">
        <f t="shared" si="111"/>
        <v/>
      </c>
      <c r="Q1315" t="str">
        <f t="shared" si="112"/>
        <v/>
      </c>
    </row>
    <row r="1316" spans="1:17" hidden="1">
      <c r="A1316" t="s">
        <v>1421</v>
      </c>
      <c r="B1316" s="1">
        <v>45099</v>
      </c>
      <c r="C1316">
        <v>2023</v>
      </c>
      <c r="D1316">
        <v>6</v>
      </c>
      <c r="E1316" t="s">
        <v>47</v>
      </c>
      <c r="F1316" t="s">
        <v>28</v>
      </c>
      <c r="G1316" t="s">
        <v>48</v>
      </c>
      <c r="H1316" t="s">
        <v>111</v>
      </c>
      <c r="I1316">
        <v>15099.9</v>
      </c>
      <c r="J1316">
        <v>12516.95</v>
      </c>
      <c r="K1316" t="s">
        <v>17</v>
      </c>
      <c r="L1316" t="b">
        <v>0</v>
      </c>
      <c r="N1316" s="2" t="b">
        <f t="shared" si="111"/>
        <v>1</v>
      </c>
      <c r="O1316" t="str">
        <f t="shared" ref="O1316:O1317" si="114">IF(AND(E1305="HR",K1305="EXPENSE"),I1305&lt;J1305,"")</f>
        <v/>
      </c>
      <c r="Q1316" t="str">
        <f t="shared" si="112"/>
        <v/>
      </c>
    </row>
    <row r="1317" spans="1:17" hidden="1">
      <c r="A1317" t="s">
        <v>1422</v>
      </c>
      <c r="B1317" s="1">
        <v>45099</v>
      </c>
      <c r="C1317">
        <v>2023</v>
      </c>
      <c r="D1317">
        <v>6</v>
      </c>
      <c r="E1317" t="s">
        <v>47</v>
      </c>
      <c r="F1317" t="s">
        <v>24</v>
      </c>
      <c r="G1317" t="s">
        <v>48</v>
      </c>
      <c r="H1317" t="s">
        <v>75</v>
      </c>
      <c r="I1317">
        <v>8846.69</v>
      </c>
      <c r="J1317">
        <v>7388.34</v>
      </c>
      <c r="K1317" t="s">
        <v>17</v>
      </c>
      <c r="L1317" t="b">
        <v>0</v>
      </c>
      <c r="N1317" s="2" t="b">
        <f t="shared" si="111"/>
        <v>1</v>
      </c>
      <c r="O1317" t="str">
        <f t="shared" si="114"/>
        <v/>
      </c>
      <c r="Q1317" t="str">
        <f t="shared" si="112"/>
        <v/>
      </c>
    </row>
    <row r="1318" spans="1:17">
      <c r="A1318" t="s">
        <v>1423</v>
      </c>
      <c r="B1318" s="1">
        <v>45099</v>
      </c>
      <c r="C1318">
        <v>2023</v>
      </c>
      <c r="D1318">
        <v>6</v>
      </c>
      <c r="E1318" t="s">
        <v>19</v>
      </c>
      <c r="F1318" t="s">
        <v>28</v>
      </c>
      <c r="G1318" t="s">
        <v>54</v>
      </c>
      <c r="H1318" t="s">
        <v>322</v>
      </c>
      <c r="I1318">
        <v>25989.74</v>
      </c>
      <c r="J1318">
        <v>9041.6200000000008</v>
      </c>
      <c r="K1318" t="s">
        <v>17</v>
      </c>
      <c r="L1318" t="b">
        <v>1</v>
      </c>
      <c r="N1318" s="2" t="str">
        <f t="shared" si="111"/>
        <v/>
      </c>
      <c r="Q1318" t="b">
        <f t="shared" si="112"/>
        <v>1</v>
      </c>
    </row>
    <row r="1319" spans="1:17" hidden="1">
      <c r="A1319" t="s">
        <v>1424</v>
      </c>
      <c r="B1319" s="1">
        <v>45099</v>
      </c>
      <c r="C1319">
        <v>2023</v>
      </c>
      <c r="D1319">
        <v>6</v>
      </c>
      <c r="E1319" t="s">
        <v>23</v>
      </c>
      <c r="F1319" t="s">
        <v>14</v>
      </c>
      <c r="G1319" t="s">
        <v>30</v>
      </c>
      <c r="H1319" t="s">
        <v>106</v>
      </c>
      <c r="I1319">
        <v>4141.91</v>
      </c>
      <c r="J1319">
        <v>3890.43</v>
      </c>
      <c r="K1319" t="s">
        <v>17</v>
      </c>
      <c r="L1319" t="b">
        <v>0</v>
      </c>
      <c r="N1319" s="2" t="str">
        <f t="shared" si="111"/>
        <v/>
      </c>
      <c r="Q1319" t="str">
        <f t="shared" si="112"/>
        <v/>
      </c>
    </row>
    <row r="1320" spans="1:17" hidden="1">
      <c r="A1320" t="s">
        <v>1425</v>
      </c>
      <c r="B1320" s="1">
        <v>45099</v>
      </c>
      <c r="C1320">
        <v>2023</v>
      </c>
      <c r="D1320">
        <v>6</v>
      </c>
      <c r="E1320" t="s">
        <v>37</v>
      </c>
      <c r="F1320" t="s">
        <v>28</v>
      </c>
      <c r="G1320" t="s">
        <v>38</v>
      </c>
      <c r="H1320" t="s">
        <v>39</v>
      </c>
      <c r="I1320">
        <v>6467.91</v>
      </c>
      <c r="J1320">
        <v>6674.25</v>
      </c>
      <c r="K1320" t="s">
        <v>17</v>
      </c>
      <c r="L1320" t="b">
        <v>0</v>
      </c>
      <c r="N1320" s="2" t="str">
        <f t="shared" si="111"/>
        <v/>
      </c>
      <c r="Q1320" t="str">
        <f t="shared" si="112"/>
        <v/>
      </c>
    </row>
    <row r="1321" spans="1:17" hidden="1">
      <c r="A1321" t="s">
        <v>1426</v>
      </c>
      <c r="B1321" s="1">
        <v>45100</v>
      </c>
      <c r="C1321">
        <v>2023</v>
      </c>
      <c r="D1321">
        <v>6</v>
      </c>
      <c r="E1321" t="s">
        <v>13</v>
      </c>
      <c r="F1321" t="s">
        <v>14</v>
      </c>
      <c r="G1321" t="s">
        <v>15</v>
      </c>
      <c r="H1321" t="s">
        <v>16</v>
      </c>
      <c r="I1321">
        <v>2490.19</v>
      </c>
      <c r="J1321">
        <v>2503.98</v>
      </c>
      <c r="K1321" t="s">
        <v>17</v>
      </c>
      <c r="L1321" t="b">
        <v>0</v>
      </c>
      <c r="N1321" s="2" t="str">
        <f t="shared" si="111"/>
        <v/>
      </c>
      <c r="Q1321" t="str">
        <f t="shared" si="112"/>
        <v/>
      </c>
    </row>
    <row r="1322" spans="1:17" hidden="1">
      <c r="A1322" t="s">
        <v>1427</v>
      </c>
      <c r="B1322" s="1">
        <v>45100</v>
      </c>
      <c r="C1322">
        <v>2023</v>
      </c>
      <c r="D1322">
        <v>6</v>
      </c>
      <c r="E1322" t="s">
        <v>47</v>
      </c>
      <c r="F1322" t="s">
        <v>14</v>
      </c>
      <c r="G1322" t="s">
        <v>48</v>
      </c>
      <c r="H1322" t="s">
        <v>191</v>
      </c>
      <c r="I1322">
        <v>15606.48</v>
      </c>
      <c r="J1322">
        <v>13015.38</v>
      </c>
      <c r="K1322" t="s">
        <v>17</v>
      </c>
      <c r="L1322" t="b">
        <v>0</v>
      </c>
      <c r="N1322" s="2" t="b">
        <f t="shared" si="111"/>
        <v>1</v>
      </c>
      <c r="O1322" t="str">
        <f t="shared" ref="O1322:O1323" si="115">IF(AND(E1311="HR",K1311="EXPENSE"),I1311&lt;J1311,"")</f>
        <v/>
      </c>
      <c r="Q1322" t="str">
        <f t="shared" si="112"/>
        <v/>
      </c>
    </row>
    <row r="1323" spans="1:17" hidden="1">
      <c r="A1323" t="s">
        <v>1428</v>
      </c>
      <c r="B1323" s="1">
        <v>45100</v>
      </c>
      <c r="C1323">
        <v>2023</v>
      </c>
      <c r="D1323">
        <v>6</v>
      </c>
      <c r="E1323" t="s">
        <v>47</v>
      </c>
      <c r="F1323" t="s">
        <v>24</v>
      </c>
      <c r="G1323" t="s">
        <v>48</v>
      </c>
      <c r="H1323" t="s">
        <v>189</v>
      </c>
      <c r="I1323">
        <v>13708.01</v>
      </c>
      <c r="J1323">
        <v>11699.38</v>
      </c>
      <c r="K1323" t="s">
        <v>17</v>
      </c>
      <c r="L1323" t="b">
        <v>0</v>
      </c>
      <c r="N1323" s="2" t="b">
        <f t="shared" si="111"/>
        <v>1</v>
      </c>
      <c r="O1323" t="str">
        <f t="shared" si="115"/>
        <v/>
      </c>
      <c r="Q1323" t="str">
        <f t="shared" si="112"/>
        <v/>
      </c>
    </row>
    <row r="1324" spans="1:17" hidden="1">
      <c r="A1324" t="s">
        <v>1429</v>
      </c>
      <c r="B1324" s="1">
        <v>45100</v>
      </c>
      <c r="C1324">
        <v>2023</v>
      </c>
      <c r="D1324">
        <v>6</v>
      </c>
      <c r="E1324" t="s">
        <v>19</v>
      </c>
      <c r="F1324" t="s">
        <v>14</v>
      </c>
      <c r="G1324" t="s">
        <v>132</v>
      </c>
      <c r="H1324" t="s">
        <v>171</v>
      </c>
      <c r="I1324">
        <v>3460.09</v>
      </c>
      <c r="J1324">
        <v>3266.01</v>
      </c>
      <c r="K1324" t="s">
        <v>17</v>
      </c>
      <c r="L1324" t="b">
        <v>0</v>
      </c>
      <c r="N1324" s="2" t="str">
        <f t="shared" si="111"/>
        <v/>
      </c>
      <c r="Q1324" t="str">
        <f t="shared" si="112"/>
        <v/>
      </c>
    </row>
    <row r="1325" spans="1:17" hidden="1">
      <c r="A1325" t="s">
        <v>1430</v>
      </c>
      <c r="B1325" s="1">
        <v>45100</v>
      </c>
      <c r="C1325">
        <v>2023</v>
      </c>
      <c r="D1325">
        <v>6</v>
      </c>
      <c r="E1325" t="s">
        <v>37</v>
      </c>
      <c r="F1325" t="s">
        <v>14</v>
      </c>
      <c r="G1325" t="s">
        <v>38</v>
      </c>
      <c r="H1325" t="s">
        <v>227</v>
      </c>
      <c r="I1325">
        <v>5835.43</v>
      </c>
      <c r="J1325">
        <v>5329.45</v>
      </c>
      <c r="K1325" t="s">
        <v>17</v>
      </c>
      <c r="L1325" t="b">
        <v>0</v>
      </c>
      <c r="N1325" s="2" t="str">
        <f t="shared" si="111"/>
        <v/>
      </c>
      <c r="Q1325" t="str">
        <f t="shared" si="112"/>
        <v/>
      </c>
    </row>
    <row r="1326" spans="1:17" hidden="1">
      <c r="A1326" t="s">
        <v>1431</v>
      </c>
      <c r="B1326" s="1">
        <v>45101</v>
      </c>
      <c r="C1326">
        <v>2023</v>
      </c>
      <c r="D1326">
        <v>6</v>
      </c>
      <c r="E1326" t="s">
        <v>13</v>
      </c>
      <c r="F1326" t="s">
        <v>14</v>
      </c>
      <c r="G1326" t="s">
        <v>102</v>
      </c>
      <c r="H1326" t="s">
        <v>103</v>
      </c>
      <c r="I1326">
        <v>4841.91</v>
      </c>
      <c r="J1326">
        <v>4371.6499999999996</v>
      </c>
      <c r="K1326" t="s">
        <v>17</v>
      </c>
      <c r="L1326" t="b">
        <v>0</v>
      </c>
      <c r="N1326" s="2" t="str">
        <f t="shared" si="111"/>
        <v/>
      </c>
      <c r="Q1326" t="str">
        <f t="shared" si="112"/>
        <v/>
      </c>
    </row>
    <row r="1327" spans="1:17" hidden="1">
      <c r="A1327" t="s">
        <v>1432</v>
      </c>
      <c r="B1327" s="1">
        <v>45101</v>
      </c>
      <c r="C1327">
        <v>2023</v>
      </c>
      <c r="D1327">
        <v>6</v>
      </c>
      <c r="E1327" t="s">
        <v>47</v>
      </c>
      <c r="F1327" t="s">
        <v>14</v>
      </c>
      <c r="G1327" t="s">
        <v>48</v>
      </c>
      <c r="H1327" t="s">
        <v>189</v>
      </c>
      <c r="I1327">
        <v>17705.939999999999</v>
      </c>
      <c r="J1327">
        <v>15388.68</v>
      </c>
      <c r="K1327" t="s">
        <v>17</v>
      </c>
      <c r="L1327" t="b">
        <v>0</v>
      </c>
      <c r="N1327" s="2" t="b">
        <f t="shared" si="111"/>
        <v>1</v>
      </c>
      <c r="O1327" t="str">
        <f t="shared" ref="O1327:O1328" si="116">IF(AND(E1316="HR",K1316="EXPENSE"),I1316&lt;J1316,"")</f>
        <v/>
      </c>
      <c r="Q1327" t="str">
        <f t="shared" si="112"/>
        <v/>
      </c>
    </row>
    <row r="1328" spans="1:17" hidden="1">
      <c r="A1328" t="s">
        <v>1433</v>
      </c>
      <c r="B1328" s="1">
        <v>45101</v>
      </c>
      <c r="C1328">
        <v>2023</v>
      </c>
      <c r="D1328">
        <v>6</v>
      </c>
      <c r="E1328" t="s">
        <v>47</v>
      </c>
      <c r="F1328" t="s">
        <v>24</v>
      </c>
      <c r="G1328" t="s">
        <v>91</v>
      </c>
      <c r="H1328" t="s">
        <v>254</v>
      </c>
      <c r="I1328">
        <v>11376.13</v>
      </c>
      <c r="J1328">
        <v>9350.01</v>
      </c>
      <c r="K1328" t="s">
        <v>17</v>
      </c>
      <c r="L1328" t="b">
        <v>0</v>
      </c>
      <c r="N1328" s="2" t="b">
        <f t="shared" si="111"/>
        <v>1</v>
      </c>
      <c r="O1328" t="str">
        <f t="shared" si="116"/>
        <v/>
      </c>
      <c r="Q1328" t="str">
        <f t="shared" si="112"/>
        <v/>
      </c>
    </row>
    <row r="1329" spans="1:17" hidden="1">
      <c r="A1329" t="s">
        <v>1434</v>
      </c>
      <c r="B1329" s="1">
        <v>45101</v>
      </c>
      <c r="C1329">
        <v>2023</v>
      </c>
      <c r="D1329">
        <v>6</v>
      </c>
      <c r="E1329" t="s">
        <v>23</v>
      </c>
      <c r="F1329" t="s">
        <v>28</v>
      </c>
      <c r="G1329" t="s">
        <v>59</v>
      </c>
      <c r="H1329" t="s">
        <v>60</v>
      </c>
      <c r="I1329">
        <v>3240.5</v>
      </c>
      <c r="J1329">
        <v>3233.77</v>
      </c>
      <c r="K1329" t="s">
        <v>17</v>
      </c>
      <c r="L1329" t="b">
        <v>0</v>
      </c>
      <c r="N1329" s="2" t="str">
        <f t="shared" si="111"/>
        <v/>
      </c>
      <c r="Q1329" t="str">
        <f t="shared" si="112"/>
        <v/>
      </c>
    </row>
    <row r="1330" spans="1:17" hidden="1">
      <c r="A1330" t="s">
        <v>1435</v>
      </c>
      <c r="B1330" s="1">
        <v>45101</v>
      </c>
      <c r="C1330">
        <v>2023</v>
      </c>
      <c r="D1330">
        <v>6</v>
      </c>
      <c r="E1330" t="s">
        <v>23</v>
      </c>
      <c r="F1330" t="s">
        <v>28</v>
      </c>
      <c r="G1330" t="s">
        <v>141</v>
      </c>
      <c r="H1330" t="s">
        <v>142</v>
      </c>
      <c r="I1330">
        <v>3668.78</v>
      </c>
      <c r="J1330">
        <v>3720.79</v>
      </c>
      <c r="K1330" t="s">
        <v>17</v>
      </c>
      <c r="L1330" t="b">
        <v>0</v>
      </c>
      <c r="N1330" s="2" t="str">
        <f t="shared" si="111"/>
        <v/>
      </c>
      <c r="Q1330" t="str">
        <f t="shared" si="112"/>
        <v/>
      </c>
    </row>
    <row r="1331" spans="1:17" hidden="1">
      <c r="A1331" t="s">
        <v>1436</v>
      </c>
      <c r="B1331" s="1">
        <v>45101</v>
      </c>
      <c r="C1331">
        <v>2023</v>
      </c>
      <c r="D1331">
        <v>6</v>
      </c>
      <c r="E1331" t="s">
        <v>37</v>
      </c>
      <c r="F1331" t="s">
        <v>24</v>
      </c>
      <c r="G1331" t="s">
        <v>38</v>
      </c>
      <c r="H1331" t="s">
        <v>39</v>
      </c>
      <c r="I1331">
        <v>2728.63</v>
      </c>
      <c r="J1331">
        <v>2597.42</v>
      </c>
      <c r="K1331" t="s">
        <v>17</v>
      </c>
      <c r="L1331" t="b">
        <v>0</v>
      </c>
      <c r="N1331" s="2" t="str">
        <f t="shared" si="111"/>
        <v/>
      </c>
      <c r="Q1331" t="str">
        <f t="shared" si="112"/>
        <v/>
      </c>
    </row>
    <row r="1332" spans="1:17" hidden="1">
      <c r="A1332" t="s">
        <v>1437</v>
      </c>
      <c r="B1332" s="1">
        <v>45102</v>
      </c>
      <c r="C1332">
        <v>2023</v>
      </c>
      <c r="D1332">
        <v>6</v>
      </c>
      <c r="E1332" t="s">
        <v>13</v>
      </c>
      <c r="F1332" t="s">
        <v>28</v>
      </c>
      <c r="G1332" t="s">
        <v>108</v>
      </c>
      <c r="H1332" t="s">
        <v>126</v>
      </c>
      <c r="I1332">
        <v>3149.65</v>
      </c>
      <c r="J1332">
        <v>2853.6</v>
      </c>
      <c r="K1332" t="s">
        <v>17</v>
      </c>
      <c r="L1332" t="b">
        <v>0</v>
      </c>
      <c r="N1332" s="2" t="str">
        <f t="shared" si="111"/>
        <v/>
      </c>
      <c r="Q1332" t="str">
        <f t="shared" si="112"/>
        <v/>
      </c>
    </row>
    <row r="1333" spans="1:17" hidden="1">
      <c r="A1333" t="s">
        <v>1438</v>
      </c>
      <c r="B1333" s="1">
        <v>45102</v>
      </c>
      <c r="C1333">
        <v>2023</v>
      </c>
      <c r="D1333">
        <v>6</v>
      </c>
      <c r="E1333" t="s">
        <v>13</v>
      </c>
      <c r="F1333" t="s">
        <v>24</v>
      </c>
      <c r="G1333" t="s">
        <v>15</v>
      </c>
      <c r="H1333" t="s">
        <v>89</v>
      </c>
      <c r="I1333">
        <v>3096.62</v>
      </c>
      <c r="J1333">
        <v>3281.36</v>
      </c>
      <c r="K1333" t="s">
        <v>17</v>
      </c>
      <c r="L1333" t="b">
        <v>0</v>
      </c>
      <c r="N1333" s="2" t="str">
        <f t="shared" si="111"/>
        <v/>
      </c>
      <c r="Q1333" t="str">
        <f t="shared" si="112"/>
        <v/>
      </c>
    </row>
    <row r="1334" spans="1:17" hidden="1">
      <c r="A1334" t="s">
        <v>1439</v>
      </c>
      <c r="B1334" s="1">
        <v>45102</v>
      </c>
      <c r="C1334">
        <v>2023</v>
      </c>
      <c r="D1334">
        <v>6</v>
      </c>
      <c r="E1334" t="s">
        <v>47</v>
      </c>
      <c r="F1334" t="s">
        <v>14</v>
      </c>
      <c r="G1334" t="s">
        <v>51</v>
      </c>
      <c r="H1334" t="s">
        <v>72</v>
      </c>
      <c r="I1334">
        <v>17342.87</v>
      </c>
      <c r="J1334">
        <v>14508.06</v>
      </c>
      <c r="K1334" t="s">
        <v>17</v>
      </c>
      <c r="L1334" t="b">
        <v>0</v>
      </c>
      <c r="N1334" s="2" t="b">
        <f t="shared" si="111"/>
        <v>1</v>
      </c>
      <c r="O1334" t="str">
        <f t="shared" ref="O1334:O1337" si="117">IF(AND(E1323="HR",K1323="EXPENSE"),I1323&lt;J1323,"")</f>
        <v/>
      </c>
      <c r="Q1334" t="str">
        <f t="shared" si="112"/>
        <v/>
      </c>
    </row>
    <row r="1335" spans="1:17" hidden="1">
      <c r="A1335" t="s">
        <v>1440</v>
      </c>
      <c r="B1335" s="1">
        <v>45102</v>
      </c>
      <c r="C1335">
        <v>2023</v>
      </c>
      <c r="D1335">
        <v>6</v>
      </c>
      <c r="E1335" t="s">
        <v>47</v>
      </c>
      <c r="F1335" t="s">
        <v>14</v>
      </c>
      <c r="G1335" t="s">
        <v>91</v>
      </c>
      <c r="H1335" t="s">
        <v>249</v>
      </c>
      <c r="I1335">
        <v>12894.31</v>
      </c>
      <c r="J1335">
        <v>11202.14</v>
      </c>
      <c r="K1335" t="s">
        <v>17</v>
      </c>
      <c r="L1335" t="b">
        <v>0</v>
      </c>
      <c r="N1335" s="2" t="b">
        <f t="shared" si="111"/>
        <v>1</v>
      </c>
      <c r="O1335" t="str">
        <f t="shared" si="117"/>
        <v/>
      </c>
      <c r="Q1335" t="str">
        <f t="shared" si="112"/>
        <v/>
      </c>
    </row>
    <row r="1336" spans="1:17" hidden="1">
      <c r="A1336" t="s">
        <v>1441</v>
      </c>
      <c r="B1336" s="1">
        <v>45102</v>
      </c>
      <c r="C1336">
        <v>2023</v>
      </c>
      <c r="D1336">
        <v>6</v>
      </c>
      <c r="E1336" t="s">
        <v>47</v>
      </c>
      <c r="F1336" t="s">
        <v>28</v>
      </c>
      <c r="G1336" t="s">
        <v>77</v>
      </c>
      <c r="H1336" t="s">
        <v>130</v>
      </c>
      <c r="I1336">
        <v>11582.73</v>
      </c>
      <c r="J1336">
        <v>9725.94</v>
      </c>
      <c r="K1336" t="s">
        <v>17</v>
      </c>
      <c r="L1336" t="b">
        <v>0</v>
      </c>
      <c r="N1336" s="2" t="b">
        <f t="shared" si="111"/>
        <v>1</v>
      </c>
      <c r="O1336" t="str">
        <f t="shared" si="117"/>
        <v/>
      </c>
      <c r="Q1336" t="str">
        <f t="shared" si="112"/>
        <v/>
      </c>
    </row>
    <row r="1337" spans="1:17" hidden="1">
      <c r="A1337" t="s">
        <v>1442</v>
      </c>
      <c r="B1337" s="1">
        <v>45102</v>
      </c>
      <c r="C1337">
        <v>2023</v>
      </c>
      <c r="D1337">
        <v>6</v>
      </c>
      <c r="E1337" t="s">
        <v>47</v>
      </c>
      <c r="F1337" t="s">
        <v>28</v>
      </c>
      <c r="G1337" t="s">
        <v>91</v>
      </c>
      <c r="H1337" t="s">
        <v>254</v>
      </c>
      <c r="I1337">
        <v>8914.1200000000008</v>
      </c>
      <c r="J1337">
        <v>7333.47</v>
      </c>
      <c r="K1337" t="s">
        <v>17</v>
      </c>
      <c r="L1337" t="b">
        <v>0</v>
      </c>
      <c r="N1337" s="2" t="b">
        <f t="shared" si="111"/>
        <v>1</v>
      </c>
      <c r="O1337" t="b">
        <f t="shared" si="117"/>
        <v>0</v>
      </c>
      <c r="Q1337" t="str">
        <f t="shared" si="112"/>
        <v/>
      </c>
    </row>
    <row r="1338" spans="1:17" hidden="1">
      <c r="A1338" t="s">
        <v>1443</v>
      </c>
      <c r="B1338" s="1">
        <v>45102</v>
      </c>
      <c r="C1338">
        <v>2023</v>
      </c>
      <c r="D1338">
        <v>6</v>
      </c>
      <c r="E1338" t="s">
        <v>23</v>
      </c>
      <c r="F1338" t="s">
        <v>14</v>
      </c>
      <c r="G1338" t="s">
        <v>59</v>
      </c>
      <c r="H1338" t="s">
        <v>60</v>
      </c>
      <c r="I1338">
        <v>5031.47</v>
      </c>
      <c r="J1338">
        <v>5111.28</v>
      </c>
      <c r="K1338" t="s">
        <v>17</v>
      </c>
      <c r="L1338" t="b">
        <v>0</v>
      </c>
      <c r="N1338" s="2" t="str">
        <f t="shared" si="111"/>
        <v/>
      </c>
      <c r="Q1338" t="str">
        <f t="shared" si="112"/>
        <v/>
      </c>
    </row>
    <row r="1339" spans="1:17" hidden="1">
      <c r="A1339" t="s">
        <v>1444</v>
      </c>
      <c r="B1339" s="1">
        <v>45102</v>
      </c>
      <c r="C1339">
        <v>2023</v>
      </c>
      <c r="D1339">
        <v>6</v>
      </c>
      <c r="E1339" t="s">
        <v>23</v>
      </c>
      <c r="F1339" t="s">
        <v>28</v>
      </c>
      <c r="G1339" t="s">
        <v>30</v>
      </c>
      <c r="H1339" t="s">
        <v>33</v>
      </c>
      <c r="I1339">
        <v>5171.28</v>
      </c>
      <c r="J1339">
        <v>5657.31</v>
      </c>
      <c r="K1339" t="s">
        <v>17</v>
      </c>
      <c r="L1339" t="b">
        <v>0</v>
      </c>
      <c r="N1339" s="2" t="str">
        <f t="shared" si="111"/>
        <v/>
      </c>
      <c r="Q1339" t="str">
        <f t="shared" si="112"/>
        <v/>
      </c>
    </row>
    <row r="1340" spans="1:17" hidden="1">
      <c r="A1340" t="s">
        <v>1445</v>
      </c>
      <c r="B1340" s="1">
        <v>45102</v>
      </c>
      <c r="C1340">
        <v>2023</v>
      </c>
      <c r="D1340">
        <v>6</v>
      </c>
      <c r="E1340" t="s">
        <v>23</v>
      </c>
      <c r="F1340" t="s">
        <v>24</v>
      </c>
      <c r="G1340" t="s">
        <v>141</v>
      </c>
      <c r="H1340" t="s">
        <v>153</v>
      </c>
      <c r="I1340">
        <v>7329.93</v>
      </c>
      <c r="J1340">
        <v>6655.66</v>
      </c>
      <c r="K1340" t="s">
        <v>17</v>
      </c>
      <c r="L1340" t="b">
        <v>0</v>
      </c>
      <c r="N1340" s="2" t="str">
        <f t="shared" si="111"/>
        <v/>
      </c>
      <c r="Q1340" t="str">
        <f t="shared" si="112"/>
        <v/>
      </c>
    </row>
    <row r="1341" spans="1:17" hidden="1">
      <c r="A1341" t="s">
        <v>1446</v>
      </c>
      <c r="B1341" s="1">
        <v>45103</v>
      </c>
      <c r="C1341">
        <v>2023</v>
      </c>
      <c r="D1341">
        <v>6</v>
      </c>
      <c r="E1341" t="s">
        <v>13</v>
      </c>
      <c r="F1341" t="s">
        <v>28</v>
      </c>
      <c r="G1341" t="s">
        <v>108</v>
      </c>
      <c r="H1341" t="s">
        <v>123</v>
      </c>
      <c r="I1341">
        <v>4776.5</v>
      </c>
      <c r="J1341">
        <v>4810.83</v>
      </c>
      <c r="K1341" t="s">
        <v>17</v>
      </c>
      <c r="L1341" t="b">
        <v>0</v>
      </c>
      <c r="N1341" s="2" t="str">
        <f t="shared" si="111"/>
        <v/>
      </c>
      <c r="Q1341" t="str">
        <f t="shared" si="112"/>
        <v/>
      </c>
    </row>
    <row r="1342" spans="1:17" hidden="1">
      <c r="A1342" t="s">
        <v>1447</v>
      </c>
      <c r="B1342" s="1">
        <v>45103</v>
      </c>
      <c r="C1342">
        <v>2023</v>
      </c>
      <c r="D1342">
        <v>6</v>
      </c>
      <c r="E1342" t="s">
        <v>47</v>
      </c>
      <c r="F1342" t="s">
        <v>14</v>
      </c>
      <c r="G1342" t="s">
        <v>48</v>
      </c>
      <c r="H1342" t="s">
        <v>191</v>
      </c>
      <c r="I1342">
        <v>21426.959999999999</v>
      </c>
      <c r="J1342">
        <v>18283.89</v>
      </c>
      <c r="K1342" t="s">
        <v>17</v>
      </c>
      <c r="L1342" t="b">
        <v>0</v>
      </c>
      <c r="N1342" s="2" t="b">
        <f t="shared" si="111"/>
        <v>1</v>
      </c>
      <c r="O1342" t="str">
        <f t="shared" ref="O1342:O1343" si="118">IF(AND(E1331="HR",K1331="EXPENSE"),I1331&lt;J1331,"")</f>
        <v/>
      </c>
      <c r="Q1342" t="str">
        <f t="shared" si="112"/>
        <v/>
      </c>
    </row>
    <row r="1343" spans="1:17" hidden="1">
      <c r="A1343" t="s">
        <v>1448</v>
      </c>
      <c r="B1343" s="1">
        <v>45103</v>
      </c>
      <c r="C1343">
        <v>2023</v>
      </c>
      <c r="D1343">
        <v>6</v>
      </c>
      <c r="E1343" t="s">
        <v>47</v>
      </c>
      <c r="F1343" t="s">
        <v>28</v>
      </c>
      <c r="G1343" t="s">
        <v>48</v>
      </c>
      <c r="H1343" t="s">
        <v>111</v>
      </c>
      <c r="I1343">
        <v>13898.54</v>
      </c>
      <c r="J1343">
        <v>11940.85</v>
      </c>
      <c r="K1343" t="s">
        <v>17</v>
      </c>
      <c r="L1343" t="b">
        <v>0</v>
      </c>
      <c r="N1343" s="2" t="b">
        <f t="shared" si="111"/>
        <v>1</v>
      </c>
      <c r="O1343" t="b">
        <f t="shared" si="118"/>
        <v>0</v>
      </c>
      <c r="Q1343" t="str">
        <f t="shared" si="112"/>
        <v/>
      </c>
    </row>
    <row r="1344" spans="1:17" hidden="1">
      <c r="A1344" t="s">
        <v>1449</v>
      </c>
      <c r="B1344" s="1">
        <v>45103</v>
      </c>
      <c r="C1344">
        <v>2023</v>
      </c>
      <c r="D1344">
        <v>6</v>
      </c>
      <c r="E1344" t="s">
        <v>19</v>
      </c>
      <c r="F1344" t="s">
        <v>24</v>
      </c>
      <c r="G1344" t="s">
        <v>20</v>
      </c>
      <c r="H1344" t="s">
        <v>136</v>
      </c>
      <c r="I1344">
        <v>6884.15</v>
      </c>
      <c r="J1344">
        <v>7403.69</v>
      </c>
      <c r="K1344" t="s">
        <v>17</v>
      </c>
      <c r="L1344" t="b">
        <v>0</v>
      </c>
      <c r="N1344" s="2" t="str">
        <f t="shared" si="111"/>
        <v/>
      </c>
      <c r="Q1344" t="str">
        <f t="shared" si="112"/>
        <v/>
      </c>
    </row>
    <row r="1345" spans="1:17" hidden="1">
      <c r="A1345" t="s">
        <v>1450</v>
      </c>
      <c r="B1345" s="1">
        <v>45103</v>
      </c>
      <c r="C1345">
        <v>2023</v>
      </c>
      <c r="D1345">
        <v>6</v>
      </c>
      <c r="E1345" t="s">
        <v>19</v>
      </c>
      <c r="F1345" t="s">
        <v>24</v>
      </c>
      <c r="G1345" t="s">
        <v>54</v>
      </c>
      <c r="H1345" t="s">
        <v>57</v>
      </c>
      <c r="I1345">
        <v>8225.02</v>
      </c>
      <c r="J1345">
        <v>8994.99</v>
      </c>
      <c r="K1345" t="s">
        <v>17</v>
      </c>
      <c r="L1345" t="b">
        <v>0</v>
      </c>
      <c r="N1345" s="2" t="str">
        <f t="shared" si="111"/>
        <v/>
      </c>
      <c r="Q1345" t="str">
        <f t="shared" si="112"/>
        <v/>
      </c>
    </row>
    <row r="1346" spans="1:17" hidden="1">
      <c r="A1346" t="s">
        <v>1451</v>
      </c>
      <c r="B1346" s="1">
        <v>45103</v>
      </c>
      <c r="C1346">
        <v>2023</v>
      </c>
      <c r="D1346">
        <v>6</v>
      </c>
      <c r="E1346" t="s">
        <v>19</v>
      </c>
      <c r="F1346" t="s">
        <v>24</v>
      </c>
      <c r="G1346" t="s">
        <v>132</v>
      </c>
      <c r="H1346" t="s">
        <v>138</v>
      </c>
      <c r="I1346">
        <v>5726.56</v>
      </c>
      <c r="J1346">
        <v>5577.18</v>
      </c>
      <c r="K1346" t="s">
        <v>17</v>
      </c>
      <c r="L1346" t="b">
        <v>0</v>
      </c>
      <c r="N1346" s="2" t="str">
        <f t="shared" si="111"/>
        <v/>
      </c>
      <c r="Q1346" t="str">
        <f t="shared" si="112"/>
        <v/>
      </c>
    </row>
    <row r="1347" spans="1:17" hidden="1">
      <c r="A1347" t="s">
        <v>1452</v>
      </c>
      <c r="B1347" s="1">
        <v>45103</v>
      </c>
      <c r="C1347">
        <v>2023</v>
      </c>
      <c r="D1347">
        <v>6</v>
      </c>
      <c r="E1347" t="s">
        <v>23</v>
      </c>
      <c r="F1347" t="s">
        <v>24</v>
      </c>
      <c r="G1347" t="s">
        <v>141</v>
      </c>
      <c r="H1347" t="s">
        <v>153</v>
      </c>
      <c r="I1347">
        <v>9014.85</v>
      </c>
      <c r="J1347">
        <v>9915.5300000000007</v>
      </c>
      <c r="K1347" t="s">
        <v>17</v>
      </c>
      <c r="L1347" t="b">
        <v>0</v>
      </c>
      <c r="N1347" s="2" t="str">
        <f t="shared" ref="N1347:N1410" si="119">IF(AND(E1347="IT",K1347="EXPENSE"),I1347&gt;J1347,"")</f>
        <v/>
      </c>
      <c r="Q1347" t="str">
        <f t="shared" ref="Q1347:Q1410" si="120">IF(L1347=TRUE,OR(H1347="Apex Solutions Inc",H1347="Global Trade Partners",H1347="NovaTech Services"),"")</f>
        <v/>
      </c>
    </row>
    <row r="1348" spans="1:17" hidden="1">
      <c r="A1348" t="s">
        <v>1453</v>
      </c>
      <c r="B1348" s="1">
        <v>45103</v>
      </c>
      <c r="C1348">
        <v>2023</v>
      </c>
      <c r="D1348">
        <v>6</v>
      </c>
      <c r="E1348" t="s">
        <v>37</v>
      </c>
      <c r="F1348" t="s">
        <v>28</v>
      </c>
      <c r="G1348" t="s">
        <v>98</v>
      </c>
      <c r="H1348" t="s">
        <v>99</v>
      </c>
      <c r="I1348">
        <v>3040.35</v>
      </c>
      <c r="J1348">
        <v>3044.64</v>
      </c>
      <c r="K1348" t="s">
        <v>17</v>
      </c>
      <c r="L1348" t="b">
        <v>0</v>
      </c>
      <c r="N1348" s="2" t="str">
        <f t="shared" si="119"/>
        <v/>
      </c>
      <c r="Q1348" t="str">
        <f t="shared" si="120"/>
        <v/>
      </c>
    </row>
    <row r="1349" spans="1:17" hidden="1">
      <c r="A1349" t="s">
        <v>1454</v>
      </c>
      <c r="B1349" s="1">
        <v>45103</v>
      </c>
      <c r="C1349">
        <v>2023</v>
      </c>
      <c r="D1349">
        <v>6</v>
      </c>
      <c r="E1349" t="s">
        <v>37</v>
      </c>
      <c r="F1349" t="s">
        <v>24</v>
      </c>
      <c r="G1349" t="s">
        <v>41</v>
      </c>
      <c r="H1349" t="s">
        <v>42</v>
      </c>
      <c r="I1349">
        <v>6370.7</v>
      </c>
      <c r="J1349">
        <v>6826.87</v>
      </c>
      <c r="K1349" t="s">
        <v>17</v>
      </c>
      <c r="L1349" t="b">
        <v>0</v>
      </c>
      <c r="N1349" s="2" t="str">
        <f t="shared" si="119"/>
        <v/>
      </c>
      <c r="Q1349" t="str">
        <f t="shared" si="120"/>
        <v/>
      </c>
    </row>
    <row r="1350" spans="1:17" hidden="1">
      <c r="A1350" t="s">
        <v>1455</v>
      </c>
      <c r="B1350" s="1">
        <v>45104</v>
      </c>
      <c r="C1350">
        <v>2023</v>
      </c>
      <c r="D1350">
        <v>6</v>
      </c>
      <c r="E1350" t="s">
        <v>13</v>
      </c>
      <c r="F1350" t="s">
        <v>24</v>
      </c>
      <c r="G1350" t="s">
        <v>102</v>
      </c>
      <c r="H1350" t="s">
        <v>103</v>
      </c>
      <c r="I1350">
        <v>3591.73</v>
      </c>
      <c r="J1350">
        <v>3478.7</v>
      </c>
      <c r="K1350" t="s">
        <v>17</v>
      </c>
      <c r="L1350" t="b">
        <v>0</v>
      </c>
      <c r="N1350" s="2" t="str">
        <f t="shared" si="119"/>
        <v/>
      </c>
      <c r="Q1350" t="str">
        <f t="shared" si="120"/>
        <v/>
      </c>
    </row>
    <row r="1351" spans="1:17" hidden="1">
      <c r="A1351" t="s">
        <v>1456</v>
      </c>
      <c r="B1351" s="1">
        <v>45104</v>
      </c>
      <c r="C1351">
        <v>2023</v>
      </c>
      <c r="D1351">
        <v>6</v>
      </c>
      <c r="E1351" t="s">
        <v>47</v>
      </c>
      <c r="F1351" t="s">
        <v>28</v>
      </c>
      <c r="G1351" t="s">
        <v>91</v>
      </c>
      <c r="H1351" t="s">
        <v>92</v>
      </c>
      <c r="I1351">
        <v>9248.61</v>
      </c>
      <c r="J1351">
        <v>7698.89</v>
      </c>
      <c r="K1351" t="s">
        <v>17</v>
      </c>
      <c r="L1351" t="b">
        <v>0</v>
      </c>
      <c r="N1351" s="2" t="b">
        <f t="shared" si="119"/>
        <v>1</v>
      </c>
      <c r="O1351" t="str">
        <f t="shared" ref="O1351:O1352" si="121">IF(AND(E1340="HR",K1340="EXPENSE"),I1340&lt;J1340,"")</f>
        <v/>
      </c>
      <c r="Q1351" t="str">
        <f t="shared" si="120"/>
        <v/>
      </c>
    </row>
    <row r="1352" spans="1:17" hidden="1">
      <c r="A1352" t="s">
        <v>1457</v>
      </c>
      <c r="B1352" s="1">
        <v>45104</v>
      </c>
      <c r="C1352">
        <v>2023</v>
      </c>
      <c r="D1352">
        <v>6</v>
      </c>
      <c r="E1352" t="s">
        <v>47</v>
      </c>
      <c r="F1352" t="s">
        <v>24</v>
      </c>
      <c r="G1352" t="s">
        <v>51</v>
      </c>
      <c r="H1352" t="s">
        <v>72</v>
      </c>
      <c r="I1352">
        <v>16038.45</v>
      </c>
      <c r="J1352">
        <v>13859.95</v>
      </c>
      <c r="K1352" t="s">
        <v>17</v>
      </c>
      <c r="L1352" t="b">
        <v>0</v>
      </c>
      <c r="N1352" s="2" t="b">
        <f t="shared" si="119"/>
        <v>1</v>
      </c>
      <c r="O1352" t="b">
        <f t="shared" si="121"/>
        <v>1</v>
      </c>
      <c r="Q1352" t="str">
        <f t="shared" si="120"/>
        <v/>
      </c>
    </row>
    <row r="1353" spans="1:17" hidden="1">
      <c r="A1353" t="s">
        <v>1458</v>
      </c>
      <c r="B1353" s="1">
        <v>45104</v>
      </c>
      <c r="C1353">
        <v>2023</v>
      </c>
      <c r="D1353">
        <v>6</v>
      </c>
      <c r="E1353" t="s">
        <v>19</v>
      </c>
      <c r="F1353" t="s">
        <v>14</v>
      </c>
      <c r="G1353" t="s">
        <v>54</v>
      </c>
      <c r="H1353" t="s">
        <v>55</v>
      </c>
      <c r="I1353">
        <v>4532.59</v>
      </c>
      <c r="J1353">
        <v>4949.46</v>
      </c>
      <c r="K1353" t="s">
        <v>17</v>
      </c>
      <c r="L1353" t="b">
        <v>0</v>
      </c>
      <c r="N1353" s="2" t="str">
        <f t="shared" si="119"/>
        <v/>
      </c>
      <c r="Q1353" t="str">
        <f t="shared" si="120"/>
        <v/>
      </c>
    </row>
    <row r="1354" spans="1:17" hidden="1">
      <c r="A1354" t="s">
        <v>1459</v>
      </c>
      <c r="B1354" s="1">
        <v>45104</v>
      </c>
      <c r="C1354">
        <v>2023</v>
      </c>
      <c r="D1354">
        <v>6</v>
      </c>
      <c r="E1354" t="s">
        <v>23</v>
      </c>
      <c r="F1354" t="s">
        <v>24</v>
      </c>
      <c r="G1354" t="s">
        <v>59</v>
      </c>
      <c r="H1354" t="s">
        <v>155</v>
      </c>
      <c r="I1354">
        <v>6640.95</v>
      </c>
      <c r="J1354">
        <v>6973.36</v>
      </c>
      <c r="K1354" t="s">
        <v>17</v>
      </c>
      <c r="L1354" t="b">
        <v>0</v>
      </c>
      <c r="N1354" s="2" t="str">
        <f t="shared" si="119"/>
        <v/>
      </c>
      <c r="Q1354" t="str">
        <f t="shared" si="120"/>
        <v/>
      </c>
    </row>
    <row r="1355" spans="1:17" hidden="1">
      <c r="A1355" t="s">
        <v>1460</v>
      </c>
      <c r="B1355" s="1">
        <v>45104</v>
      </c>
      <c r="C1355">
        <v>2023</v>
      </c>
      <c r="D1355">
        <v>6</v>
      </c>
      <c r="E1355" t="s">
        <v>37</v>
      </c>
      <c r="F1355" t="s">
        <v>14</v>
      </c>
      <c r="G1355" t="s">
        <v>98</v>
      </c>
      <c r="H1355" t="s">
        <v>185</v>
      </c>
      <c r="I1355">
        <v>5104.78</v>
      </c>
      <c r="J1355">
        <v>4737.57</v>
      </c>
      <c r="K1355" t="s">
        <v>17</v>
      </c>
      <c r="L1355" t="b">
        <v>0</v>
      </c>
      <c r="N1355" s="2" t="str">
        <f t="shared" si="119"/>
        <v/>
      </c>
      <c r="Q1355" t="str">
        <f t="shared" si="120"/>
        <v/>
      </c>
    </row>
    <row r="1356" spans="1:17" hidden="1">
      <c r="A1356" t="s">
        <v>1461</v>
      </c>
      <c r="B1356" s="1">
        <v>45104</v>
      </c>
      <c r="C1356">
        <v>2023</v>
      </c>
      <c r="D1356">
        <v>6</v>
      </c>
      <c r="E1356" t="s">
        <v>37</v>
      </c>
      <c r="F1356" t="s">
        <v>24</v>
      </c>
      <c r="G1356" t="s">
        <v>41</v>
      </c>
      <c r="H1356" t="s">
        <v>42</v>
      </c>
      <c r="I1356">
        <v>5805.88</v>
      </c>
      <c r="J1356">
        <v>5514.44</v>
      </c>
      <c r="K1356" t="s">
        <v>17</v>
      </c>
      <c r="L1356" t="b">
        <v>0</v>
      </c>
      <c r="N1356" s="2" t="str">
        <f t="shared" si="119"/>
        <v/>
      </c>
      <c r="Q1356" t="str">
        <f t="shared" si="120"/>
        <v/>
      </c>
    </row>
    <row r="1357" spans="1:17" hidden="1">
      <c r="A1357" t="s">
        <v>1462</v>
      </c>
      <c r="B1357" s="1">
        <v>45105</v>
      </c>
      <c r="C1357">
        <v>2023</v>
      </c>
      <c r="D1357">
        <v>6</v>
      </c>
      <c r="E1357" t="s">
        <v>47</v>
      </c>
      <c r="F1357" t="s">
        <v>14</v>
      </c>
      <c r="G1357" t="s">
        <v>48</v>
      </c>
      <c r="H1357" t="s">
        <v>49</v>
      </c>
      <c r="I1357">
        <v>13050.74</v>
      </c>
      <c r="J1357">
        <v>10750.04</v>
      </c>
      <c r="K1357" t="s">
        <v>17</v>
      </c>
      <c r="L1357" t="b">
        <v>0</v>
      </c>
      <c r="N1357" s="2" t="b">
        <f t="shared" si="119"/>
        <v>1</v>
      </c>
      <c r="O1357" t="str">
        <f t="shared" ref="O1357:O1358" si="122">IF(AND(E1346="HR",K1346="EXPENSE"),I1346&lt;J1346,"")</f>
        <v/>
      </c>
      <c r="Q1357" t="str">
        <f t="shared" si="120"/>
        <v/>
      </c>
    </row>
    <row r="1358" spans="1:17" hidden="1">
      <c r="A1358" t="s">
        <v>1463</v>
      </c>
      <c r="B1358" s="1">
        <v>45105</v>
      </c>
      <c r="C1358">
        <v>2023</v>
      </c>
      <c r="D1358">
        <v>6</v>
      </c>
      <c r="E1358" t="s">
        <v>47</v>
      </c>
      <c r="F1358" t="s">
        <v>24</v>
      </c>
      <c r="G1358" t="s">
        <v>48</v>
      </c>
      <c r="H1358" t="s">
        <v>75</v>
      </c>
      <c r="I1358">
        <v>10780.18</v>
      </c>
      <c r="J1358">
        <v>9334.02</v>
      </c>
      <c r="K1358" t="s">
        <v>17</v>
      </c>
      <c r="L1358" t="b">
        <v>0</v>
      </c>
      <c r="N1358" s="2" t="b">
        <f t="shared" si="119"/>
        <v>1</v>
      </c>
      <c r="O1358" t="str">
        <f t="shared" si="122"/>
        <v/>
      </c>
      <c r="Q1358" t="str">
        <f t="shared" si="120"/>
        <v/>
      </c>
    </row>
    <row r="1359" spans="1:17" hidden="1">
      <c r="A1359" t="s">
        <v>1464</v>
      </c>
      <c r="B1359" s="1">
        <v>45105</v>
      </c>
      <c r="C1359">
        <v>2023</v>
      </c>
      <c r="D1359">
        <v>6</v>
      </c>
      <c r="E1359" t="s">
        <v>23</v>
      </c>
      <c r="F1359" t="s">
        <v>14</v>
      </c>
      <c r="G1359" t="s">
        <v>25</v>
      </c>
      <c r="H1359" t="s">
        <v>26</v>
      </c>
      <c r="I1359">
        <v>6055.63</v>
      </c>
      <c r="J1359">
        <v>6494.3</v>
      </c>
      <c r="K1359" t="s">
        <v>17</v>
      </c>
      <c r="L1359" t="b">
        <v>0</v>
      </c>
      <c r="N1359" s="2" t="str">
        <f t="shared" si="119"/>
        <v/>
      </c>
      <c r="Q1359" t="str">
        <f t="shared" si="120"/>
        <v/>
      </c>
    </row>
    <row r="1360" spans="1:17" hidden="1">
      <c r="A1360" t="s">
        <v>1465</v>
      </c>
      <c r="B1360" s="1">
        <v>45105</v>
      </c>
      <c r="C1360">
        <v>2023</v>
      </c>
      <c r="D1360">
        <v>6</v>
      </c>
      <c r="E1360" t="s">
        <v>23</v>
      </c>
      <c r="F1360" t="s">
        <v>28</v>
      </c>
      <c r="G1360" t="s">
        <v>30</v>
      </c>
      <c r="H1360" t="s">
        <v>106</v>
      </c>
      <c r="I1360">
        <v>5196.91</v>
      </c>
      <c r="J1360">
        <v>4869.79</v>
      </c>
      <c r="K1360" t="s">
        <v>17</v>
      </c>
      <c r="L1360" t="b">
        <v>0</v>
      </c>
      <c r="N1360" s="2" t="str">
        <f t="shared" si="119"/>
        <v/>
      </c>
      <c r="Q1360" t="str">
        <f t="shared" si="120"/>
        <v/>
      </c>
    </row>
    <row r="1361" spans="1:17" hidden="1">
      <c r="A1361" t="s">
        <v>1466</v>
      </c>
      <c r="B1361" s="1">
        <v>45105</v>
      </c>
      <c r="C1361">
        <v>2023</v>
      </c>
      <c r="D1361">
        <v>6</v>
      </c>
      <c r="E1361" t="s">
        <v>23</v>
      </c>
      <c r="F1361" t="s">
        <v>28</v>
      </c>
      <c r="G1361" t="s">
        <v>30</v>
      </c>
      <c r="H1361" t="s">
        <v>33</v>
      </c>
      <c r="I1361">
        <v>5358.45</v>
      </c>
      <c r="J1361">
        <v>4823.3</v>
      </c>
      <c r="K1361" t="s">
        <v>17</v>
      </c>
      <c r="L1361" t="b">
        <v>0</v>
      </c>
      <c r="N1361" s="2" t="str">
        <f t="shared" si="119"/>
        <v/>
      </c>
      <c r="Q1361" t="str">
        <f t="shared" si="120"/>
        <v/>
      </c>
    </row>
    <row r="1362" spans="1:17" hidden="1">
      <c r="A1362" t="s">
        <v>1467</v>
      </c>
      <c r="B1362" s="1">
        <v>45105</v>
      </c>
      <c r="C1362">
        <v>2023</v>
      </c>
      <c r="D1362">
        <v>6</v>
      </c>
      <c r="E1362" t="s">
        <v>37</v>
      </c>
      <c r="F1362" t="s">
        <v>28</v>
      </c>
      <c r="G1362" t="s">
        <v>98</v>
      </c>
      <c r="H1362" t="s">
        <v>185</v>
      </c>
      <c r="I1362">
        <v>5153.82</v>
      </c>
      <c r="J1362">
        <v>5376.88</v>
      </c>
      <c r="K1362" t="s">
        <v>17</v>
      </c>
      <c r="L1362" t="b">
        <v>0</v>
      </c>
      <c r="N1362" s="2" t="str">
        <f t="shared" si="119"/>
        <v/>
      </c>
      <c r="Q1362" t="str">
        <f t="shared" si="120"/>
        <v/>
      </c>
    </row>
    <row r="1363" spans="1:17" hidden="1">
      <c r="A1363" t="s">
        <v>1468</v>
      </c>
      <c r="B1363" s="1">
        <v>45105</v>
      </c>
      <c r="C1363">
        <v>2023</v>
      </c>
      <c r="D1363">
        <v>6</v>
      </c>
      <c r="E1363" t="s">
        <v>37</v>
      </c>
      <c r="F1363" t="s">
        <v>28</v>
      </c>
      <c r="G1363" t="s">
        <v>62</v>
      </c>
      <c r="H1363" t="s">
        <v>360</v>
      </c>
      <c r="I1363">
        <v>4888.87</v>
      </c>
      <c r="J1363">
        <v>4717.29</v>
      </c>
      <c r="K1363" t="s">
        <v>17</v>
      </c>
      <c r="L1363" t="b">
        <v>0</v>
      </c>
      <c r="N1363" s="2" t="str">
        <f t="shared" si="119"/>
        <v/>
      </c>
      <c r="Q1363" t="str">
        <f t="shared" si="120"/>
        <v/>
      </c>
    </row>
    <row r="1364" spans="1:17" hidden="1">
      <c r="A1364" t="s">
        <v>1469</v>
      </c>
      <c r="B1364" s="1">
        <v>45106</v>
      </c>
      <c r="C1364">
        <v>2023</v>
      </c>
      <c r="D1364">
        <v>6</v>
      </c>
      <c r="E1364" t="s">
        <v>13</v>
      </c>
      <c r="F1364" t="s">
        <v>14</v>
      </c>
      <c r="G1364" t="s">
        <v>68</v>
      </c>
      <c r="H1364" t="s">
        <v>69</v>
      </c>
      <c r="I1364">
        <v>3667.45</v>
      </c>
      <c r="J1364">
        <v>3716</v>
      </c>
      <c r="K1364" t="s">
        <v>17</v>
      </c>
      <c r="L1364" t="b">
        <v>0</v>
      </c>
      <c r="N1364" s="2" t="str">
        <f t="shared" si="119"/>
        <v/>
      </c>
      <c r="Q1364" t="str">
        <f t="shared" si="120"/>
        <v/>
      </c>
    </row>
    <row r="1365" spans="1:17" hidden="1">
      <c r="A1365" t="s">
        <v>1470</v>
      </c>
      <c r="B1365" s="1">
        <v>45106</v>
      </c>
      <c r="C1365">
        <v>2023</v>
      </c>
      <c r="D1365">
        <v>6</v>
      </c>
      <c r="E1365" t="s">
        <v>13</v>
      </c>
      <c r="F1365" t="s">
        <v>14</v>
      </c>
      <c r="G1365" t="s">
        <v>108</v>
      </c>
      <c r="H1365" t="s">
        <v>109</v>
      </c>
      <c r="I1365">
        <v>2622.24</v>
      </c>
      <c r="J1365">
        <v>2687.14</v>
      </c>
      <c r="K1365" t="s">
        <v>17</v>
      </c>
      <c r="L1365" t="b">
        <v>0</v>
      </c>
      <c r="N1365" s="2" t="str">
        <f t="shared" si="119"/>
        <v/>
      </c>
      <c r="Q1365" t="str">
        <f t="shared" si="120"/>
        <v/>
      </c>
    </row>
    <row r="1366" spans="1:17" hidden="1">
      <c r="A1366" t="s">
        <v>1471</v>
      </c>
      <c r="B1366" s="1">
        <v>45106</v>
      </c>
      <c r="C1366">
        <v>2023</v>
      </c>
      <c r="D1366">
        <v>6</v>
      </c>
      <c r="E1366" t="s">
        <v>13</v>
      </c>
      <c r="F1366" t="s">
        <v>24</v>
      </c>
      <c r="G1366" t="s">
        <v>102</v>
      </c>
      <c r="H1366" t="s">
        <v>278</v>
      </c>
      <c r="I1366">
        <v>2955.55</v>
      </c>
      <c r="J1366">
        <v>2784.6</v>
      </c>
      <c r="K1366" t="s">
        <v>17</v>
      </c>
      <c r="L1366" t="b">
        <v>0</v>
      </c>
      <c r="N1366" s="2" t="str">
        <f t="shared" si="119"/>
        <v/>
      </c>
      <c r="Q1366" t="str">
        <f t="shared" si="120"/>
        <v/>
      </c>
    </row>
    <row r="1367" spans="1:17" hidden="1">
      <c r="A1367" t="s">
        <v>1472</v>
      </c>
      <c r="B1367" s="1">
        <v>45106</v>
      </c>
      <c r="C1367">
        <v>2023</v>
      </c>
      <c r="D1367">
        <v>6</v>
      </c>
      <c r="E1367" t="s">
        <v>13</v>
      </c>
      <c r="F1367" t="s">
        <v>24</v>
      </c>
      <c r="G1367" t="s">
        <v>108</v>
      </c>
      <c r="H1367" t="s">
        <v>123</v>
      </c>
      <c r="I1367">
        <v>2745.26</v>
      </c>
      <c r="J1367">
        <v>2551.59</v>
      </c>
      <c r="K1367" t="s">
        <v>17</v>
      </c>
      <c r="L1367" t="b">
        <v>0</v>
      </c>
      <c r="N1367" s="2" t="str">
        <f t="shared" si="119"/>
        <v/>
      </c>
      <c r="Q1367" t="str">
        <f t="shared" si="120"/>
        <v/>
      </c>
    </row>
    <row r="1368" spans="1:17" hidden="1">
      <c r="A1368" t="s">
        <v>1473</v>
      </c>
      <c r="B1368" s="1">
        <v>45106</v>
      </c>
      <c r="C1368">
        <v>2023</v>
      </c>
      <c r="D1368">
        <v>6</v>
      </c>
      <c r="E1368" t="s">
        <v>47</v>
      </c>
      <c r="F1368" t="s">
        <v>14</v>
      </c>
      <c r="G1368" t="s">
        <v>91</v>
      </c>
      <c r="H1368" t="s">
        <v>249</v>
      </c>
      <c r="I1368">
        <v>14977.93</v>
      </c>
      <c r="J1368">
        <v>12293.21</v>
      </c>
      <c r="K1368" t="s">
        <v>17</v>
      </c>
      <c r="L1368" t="b">
        <v>0</v>
      </c>
      <c r="N1368" s="2" t="b">
        <f t="shared" si="119"/>
        <v>1</v>
      </c>
      <c r="O1368" t="str">
        <f t="shared" ref="O1368:O1369" si="123">IF(AND(E1357="HR",K1357="EXPENSE"),I1357&lt;J1357,"")</f>
        <v/>
      </c>
      <c r="Q1368" t="str">
        <f t="shared" si="120"/>
        <v/>
      </c>
    </row>
    <row r="1369" spans="1:17" hidden="1">
      <c r="A1369" t="s">
        <v>1474</v>
      </c>
      <c r="B1369" s="1">
        <v>45106</v>
      </c>
      <c r="C1369">
        <v>2023</v>
      </c>
      <c r="D1369">
        <v>6</v>
      </c>
      <c r="E1369" t="s">
        <v>47</v>
      </c>
      <c r="F1369" t="s">
        <v>28</v>
      </c>
      <c r="G1369" t="s">
        <v>51</v>
      </c>
      <c r="H1369" t="s">
        <v>72</v>
      </c>
      <c r="I1369">
        <v>10136.23</v>
      </c>
      <c r="J1369">
        <v>8655.51</v>
      </c>
      <c r="K1369" t="s">
        <v>17</v>
      </c>
      <c r="L1369" t="b">
        <v>0</v>
      </c>
      <c r="N1369" s="2" t="b">
        <f t="shared" si="119"/>
        <v>1</v>
      </c>
      <c r="O1369" t="str">
        <f t="shared" si="123"/>
        <v/>
      </c>
      <c r="Q1369" t="str">
        <f t="shared" si="120"/>
        <v/>
      </c>
    </row>
    <row r="1370" spans="1:17" hidden="1">
      <c r="A1370" t="s">
        <v>1475</v>
      </c>
      <c r="B1370" s="1">
        <v>45106</v>
      </c>
      <c r="C1370">
        <v>2023</v>
      </c>
      <c r="D1370">
        <v>6</v>
      </c>
      <c r="E1370" t="s">
        <v>19</v>
      </c>
      <c r="F1370" t="s">
        <v>28</v>
      </c>
      <c r="G1370" t="s">
        <v>54</v>
      </c>
      <c r="H1370" t="s">
        <v>55</v>
      </c>
      <c r="I1370">
        <v>7452.31</v>
      </c>
      <c r="J1370">
        <v>7463.95</v>
      </c>
      <c r="K1370" t="s">
        <v>17</v>
      </c>
      <c r="L1370" t="b">
        <v>0</v>
      </c>
      <c r="N1370" s="2" t="str">
        <f t="shared" si="119"/>
        <v/>
      </c>
      <c r="Q1370" t="str">
        <f t="shared" si="120"/>
        <v/>
      </c>
    </row>
    <row r="1371" spans="1:17" hidden="1">
      <c r="A1371" t="s">
        <v>1476</v>
      </c>
      <c r="B1371" s="1">
        <v>45106</v>
      </c>
      <c r="C1371">
        <v>2023</v>
      </c>
      <c r="D1371">
        <v>6</v>
      </c>
      <c r="E1371" t="s">
        <v>19</v>
      </c>
      <c r="F1371" t="s">
        <v>24</v>
      </c>
      <c r="G1371" t="s">
        <v>80</v>
      </c>
      <c r="H1371" t="s">
        <v>113</v>
      </c>
      <c r="I1371">
        <v>6441.37</v>
      </c>
      <c r="J1371">
        <v>6934.21</v>
      </c>
      <c r="K1371" t="s">
        <v>17</v>
      </c>
      <c r="L1371" t="b">
        <v>0</v>
      </c>
      <c r="N1371" s="2" t="str">
        <f t="shared" si="119"/>
        <v/>
      </c>
      <c r="Q1371" t="str">
        <f t="shared" si="120"/>
        <v/>
      </c>
    </row>
    <row r="1372" spans="1:17" hidden="1">
      <c r="A1372" t="s">
        <v>1477</v>
      </c>
      <c r="B1372" s="1">
        <v>45106</v>
      </c>
      <c r="C1372">
        <v>2023</v>
      </c>
      <c r="D1372">
        <v>6</v>
      </c>
      <c r="E1372" t="s">
        <v>19</v>
      </c>
      <c r="F1372" t="s">
        <v>24</v>
      </c>
      <c r="G1372" t="s">
        <v>20</v>
      </c>
      <c r="H1372" t="s">
        <v>174</v>
      </c>
      <c r="I1372">
        <v>7837.01</v>
      </c>
      <c r="J1372">
        <v>7602.72</v>
      </c>
      <c r="K1372" t="s">
        <v>17</v>
      </c>
      <c r="L1372" t="b">
        <v>0</v>
      </c>
      <c r="N1372" s="2" t="str">
        <f t="shared" si="119"/>
        <v/>
      </c>
      <c r="Q1372" t="str">
        <f t="shared" si="120"/>
        <v/>
      </c>
    </row>
    <row r="1373" spans="1:17" hidden="1">
      <c r="A1373" t="s">
        <v>1478</v>
      </c>
      <c r="B1373" s="1">
        <v>45106</v>
      </c>
      <c r="C1373">
        <v>2023</v>
      </c>
      <c r="D1373">
        <v>6</v>
      </c>
      <c r="E1373" t="s">
        <v>23</v>
      </c>
      <c r="F1373" t="s">
        <v>14</v>
      </c>
      <c r="G1373" t="s">
        <v>30</v>
      </c>
      <c r="H1373" t="s">
        <v>31</v>
      </c>
      <c r="I1373">
        <v>2988.08</v>
      </c>
      <c r="J1373">
        <v>2905.25</v>
      </c>
      <c r="K1373" t="s">
        <v>17</v>
      </c>
      <c r="L1373" t="b">
        <v>0</v>
      </c>
      <c r="N1373" s="2" t="str">
        <f t="shared" si="119"/>
        <v/>
      </c>
      <c r="Q1373" t="str">
        <f t="shared" si="120"/>
        <v/>
      </c>
    </row>
    <row r="1374" spans="1:17" hidden="1">
      <c r="A1374" t="s">
        <v>1479</v>
      </c>
      <c r="B1374" s="1">
        <v>45106</v>
      </c>
      <c r="C1374">
        <v>2023</v>
      </c>
      <c r="D1374">
        <v>6</v>
      </c>
      <c r="E1374" t="s">
        <v>37</v>
      </c>
      <c r="F1374" t="s">
        <v>24</v>
      </c>
      <c r="G1374" t="s">
        <v>41</v>
      </c>
      <c r="H1374" t="s">
        <v>42</v>
      </c>
      <c r="I1374">
        <v>6266.71</v>
      </c>
      <c r="J1374">
        <v>6753.15</v>
      </c>
      <c r="K1374" t="s">
        <v>17</v>
      </c>
      <c r="L1374" t="b">
        <v>0</v>
      </c>
      <c r="N1374" s="2" t="str">
        <f t="shared" si="119"/>
        <v/>
      </c>
      <c r="Q1374" t="str">
        <f t="shared" si="120"/>
        <v/>
      </c>
    </row>
    <row r="1375" spans="1:17" hidden="1">
      <c r="A1375" t="s">
        <v>1480</v>
      </c>
      <c r="B1375" s="1">
        <v>45107</v>
      </c>
      <c r="C1375">
        <v>2023</v>
      </c>
      <c r="D1375">
        <v>6</v>
      </c>
      <c r="E1375" t="s">
        <v>13</v>
      </c>
      <c r="F1375" t="s">
        <v>24</v>
      </c>
      <c r="G1375" t="s">
        <v>68</v>
      </c>
      <c r="H1375" t="s">
        <v>87</v>
      </c>
      <c r="I1375">
        <v>3123.83</v>
      </c>
      <c r="J1375">
        <v>3163.45</v>
      </c>
      <c r="K1375" t="s">
        <v>17</v>
      </c>
      <c r="L1375" t="b">
        <v>0</v>
      </c>
      <c r="N1375" s="2" t="str">
        <f t="shared" si="119"/>
        <v/>
      </c>
      <c r="Q1375" t="str">
        <f t="shared" si="120"/>
        <v/>
      </c>
    </row>
    <row r="1376" spans="1:17" hidden="1">
      <c r="A1376" t="s">
        <v>1481</v>
      </c>
      <c r="B1376" s="1">
        <v>45107</v>
      </c>
      <c r="C1376">
        <v>2023</v>
      </c>
      <c r="D1376">
        <v>6</v>
      </c>
      <c r="E1376" t="s">
        <v>47</v>
      </c>
      <c r="F1376" t="s">
        <v>28</v>
      </c>
      <c r="G1376" t="s">
        <v>51</v>
      </c>
      <c r="H1376" t="s">
        <v>189</v>
      </c>
      <c r="I1376">
        <v>10460.67</v>
      </c>
      <c r="J1376">
        <v>8756.35</v>
      </c>
      <c r="K1376" t="s">
        <v>17</v>
      </c>
      <c r="L1376" t="b">
        <v>0</v>
      </c>
      <c r="N1376" s="2" t="b">
        <f t="shared" si="119"/>
        <v>1</v>
      </c>
      <c r="O1376" t="b">
        <f t="shared" ref="O1376:O1378" si="124">IF(AND(E1365="HR",K1365="EXPENSE"),I1365&lt;J1365,"")</f>
        <v>1</v>
      </c>
      <c r="Q1376" t="str">
        <f t="shared" si="120"/>
        <v/>
      </c>
    </row>
    <row r="1377" spans="1:17" hidden="1">
      <c r="A1377" t="s">
        <v>1482</v>
      </c>
      <c r="B1377" s="1">
        <v>45107</v>
      </c>
      <c r="C1377">
        <v>2023</v>
      </c>
      <c r="D1377">
        <v>6</v>
      </c>
      <c r="E1377" t="s">
        <v>47</v>
      </c>
      <c r="F1377" t="s">
        <v>28</v>
      </c>
      <c r="G1377" t="s">
        <v>51</v>
      </c>
      <c r="H1377" t="s">
        <v>52</v>
      </c>
      <c r="I1377">
        <v>9634.5400000000009</v>
      </c>
      <c r="J1377">
        <v>8346.09</v>
      </c>
      <c r="K1377" t="s">
        <v>17</v>
      </c>
      <c r="L1377" t="b">
        <v>0</v>
      </c>
      <c r="N1377" s="2" t="b">
        <f t="shared" si="119"/>
        <v>1</v>
      </c>
      <c r="O1377" t="b">
        <f t="shared" si="124"/>
        <v>0</v>
      </c>
      <c r="Q1377" t="str">
        <f t="shared" si="120"/>
        <v/>
      </c>
    </row>
    <row r="1378" spans="1:17" hidden="1">
      <c r="A1378" t="s">
        <v>1483</v>
      </c>
      <c r="B1378" s="1">
        <v>45107</v>
      </c>
      <c r="C1378">
        <v>2023</v>
      </c>
      <c r="D1378">
        <v>6</v>
      </c>
      <c r="E1378" t="s">
        <v>47</v>
      </c>
      <c r="F1378" t="s">
        <v>24</v>
      </c>
      <c r="G1378" t="s">
        <v>91</v>
      </c>
      <c r="H1378" t="s">
        <v>92</v>
      </c>
      <c r="I1378">
        <v>12112.03</v>
      </c>
      <c r="J1378">
        <v>10430.379999999999</v>
      </c>
      <c r="K1378" t="s">
        <v>17</v>
      </c>
      <c r="L1378" t="b">
        <v>0</v>
      </c>
      <c r="N1378" s="2" t="b">
        <f t="shared" si="119"/>
        <v>1</v>
      </c>
      <c r="O1378" t="b">
        <f t="shared" si="124"/>
        <v>0</v>
      </c>
      <c r="Q1378" t="str">
        <f t="shared" si="120"/>
        <v/>
      </c>
    </row>
    <row r="1379" spans="1:17" hidden="1">
      <c r="A1379" t="s">
        <v>1484</v>
      </c>
      <c r="B1379" s="1">
        <v>45107</v>
      </c>
      <c r="C1379">
        <v>2023</v>
      </c>
      <c r="D1379">
        <v>6</v>
      </c>
      <c r="E1379" t="s">
        <v>19</v>
      </c>
      <c r="F1379" t="s">
        <v>24</v>
      </c>
      <c r="G1379" t="s">
        <v>80</v>
      </c>
      <c r="H1379" t="s">
        <v>217</v>
      </c>
      <c r="I1379">
        <v>5756.49</v>
      </c>
      <c r="J1379">
        <v>5613.12</v>
      </c>
      <c r="K1379" t="s">
        <v>17</v>
      </c>
      <c r="L1379" t="b">
        <v>0</v>
      </c>
      <c r="N1379" s="2" t="str">
        <f t="shared" si="119"/>
        <v/>
      </c>
      <c r="Q1379" t="str">
        <f t="shared" si="120"/>
        <v/>
      </c>
    </row>
    <row r="1380" spans="1:17" hidden="1">
      <c r="A1380" t="s">
        <v>1485</v>
      </c>
      <c r="B1380" s="1">
        <v>45107</v>
      </c>
      <c r="C1380">
        <v>2023</v>
      </c>
      <c r="D1380">
        <v>6</v>
      </c>
      <c r="E1380" t="s">
        <v>23</v>
      </c>
      <c r="F1380" t="s">
        <v>14</v>
      </c>
      <c r="G1380" t="s">
        <v>59</v>
      </c>
      <c r="H1380" t="s">
        <v>60</v>
      </c>
      <c r="I1380">
        <v>7901.5</v>
      </c>
      <c r="J1380">
        <v>7543.78</v>
      </c>
      <c r="K1380" t="s">
        <v>17</v>
      </c>
      <c r="L1380" t="b">
        <v>0</v>
      </c>
      <c r="N1380" s="2" t="str">
        <f t="shared" si="119"/>
        <v/>
      </c>
      <c r="Q1380" t="str">
        <f t="shared" si="120"/>
        <v/>
      </c>
    </row>
    <row r="1381" spans="1:17" hidden="1">
      <c r="A1381" t="s">
        <v>1486</v>
      </c>
      <c r="B1381" s="1">
        <v>45107</v>
      </c>
      <c r="C1381">
        <v>2023</v>
      </c>
      <c r="D1381">
        <v>6</v>
      </c>
      <c r="E1381" t="s">
        <v>23</v>
      </c>
      <c r="F1381" t="s">
        <v>28</v>
      </c>
      <c r="G1381" t="s">
        <v>30</v>
      </c>
      <c r="H1381" t="s">
        <v>106</v>
      </c>
      <c r="I1381">
        <v>5336.11</v>
      </c>
      <c r="J1381">
        <v>5037.83</v>
      </c>
      <c r="K1381" t="s">
        <v>17</v>
      </c>
      <c r="L1381" t="b">
        <v>0</v>
      </c>
      <c r="N1381" s="2" t="str">
        <f t="shared" si="119"/>
        <v/>
      </c>
      <c r="Q1381" t="str">
        <f t="shared" si="120"/>
        <v/>
      </c>
    </row>
    <row r="1382" spans="1:17" hidden="1">
      <c r="A1382" t="s">
        <v>1487</v>
      </c>
      <c r="B1382" s="1">
        <v>45107</v>
      </c>
      <c r="C1382">
        <v>2023</v>
      </c>
      <c r="D1382">
        <v>6</v>
      </c>
      <c r="E1382" t="s">
        <v>37</v>
      </c>
      <c r="F1382" t="s">
        <v>14</v>
      </c>
      <c r="G1382" t="s">
        <v>41</v>
      </c>
      <c r="H1382" t="s">
        <v>42</v>
      </c>
      <c r="I1382">
        <v>3577.89</v>
      </c>
      <c r="J1382">
        <v>3223.91</v>
      </c>
      <c r="K1382" t="s">
        <v>17</v>
      </c>
      <c r="L1382" t="b">
        <v>0</v>
      </c>
      <c r="N1382" s="2" t="str">
        <f t="shared" si="119"/>
        <v/>
      </c>
      <c r="Q1382" t="str">
        <f t="shared" si="120"/>
        <v/>
      </c>
    </row>
    <row r="1383" spans="1:17" hidden="1">
      <c r="A1383" t="s">
        <v>1488</v>
      </c>
      <c r="B1383" s="1">
        <v>45107</v>
      </c>
      <c r="C1383">
        <v>2023</v>
      </c>
      <c r="D1383">
        <v>6</v>
      </c>
      <c r="E1383" t="s">
        <v>37</v>
      </c>
      <c r="F1383" t="s">
        <v>28</v>
      </c>
      <c r="G1383" t="s">
        <v>83</v>
      </c>
      <c r="H1383" t="s">
        <v>84</v>
      </c>
      <c r="I1383">
        <v>165142.41</v>
      </c>
      <c r="J1383">
        <v>156885.29</v>
      </c>
      <c r="K1383" t="s">
        <v>85</v>
      </c>
      <c r="L1383" t="b">
        <v>0</v>
      </c>
      <c r="N1383" s="2" t="str">
        <f t="shared" si="119"/>
        <v/>
      </c>
      <c r="Q1383" t="str">
        <f t="shared" si="120"/>
        <v/>
      </c>
    </row>
    <row r="1384" spans="1:17" hidden="1">
      <c r="A1384" t="s">
        <v>1489</v>
      </c>
      <c r="B1384" s="1">
        <v>45107</v>
      </c>
      <c r="C1384">
        <v>2023</v>
      </c>
      <c r="D1384">
        <v>6</v>
      </c>
      <c r="E1384" t="s">
        <v>37</v>
      </c>
      <c r="F1384" t="s">
        <v>24</v>
      </c>
      <c r="G1384" t="s">
        <v>83</v>
      </c>
      <c r="H1384" t="s">
        <v>84</v>
      </c>
      <c r="I1384">
        <v>99609.91</v>
      </c>
      <c r="J1384">
        <v>94629.41</v>
      </c>
      <c r="K1384" t="s">
        <v>85</v>
      </c>
      <c r="L1384" t="b">
        <v>0</v>
      </c>
      <c r="N1384" s="2" t="str">
        <f t="shared" si="119"/>
        <v/>
      </c>
      <c r="Q1384" t="str">
        <f t="shared" si="120"/>
        <v/>
      </c>
    </row>
    <row r="1385" spans="1:17" hidden="1">
      <c r="A1385" t="s">
        <v>1490</v>
      </c>
      <c r="B1385" s="1">
        <v>45108</v>
      </c>
      <c r="C1385">
        <v>2023</v>
      </c>
      <c r="D1385">
        <v>7</v>
      </c>
      <c r="E1385" t="s">
        <v>13</v>
      </c>
      <c r="F1385" t="s">
        <v>14</v>
      </c>
      <c r="G1385" t="s">
        <v>15</v>
      </c>
      <c r="H1385" t="s">
        <v>16</v>
      </c>
      <c r="I1385">
        <v>6548.9</v>
      </c>
      <c r="J1385">
        <v>6705.28</v>
      </c>
      <c r="K1385" t="s">
        <v>17</v>
      </c>
      <c r="L1385" t="b">
        <v>0</v>
      </c>
      <c r="N1385" s="2" t="str">
        <f t="shared" si="119"/>
        <v/>
      </c>
      <c r="Q1385" t="str">
        <f t="shared" si="120"/>
        <v/>
      </c>
    </row>
    <row r="1386" spans="1:17" hidden="1">
      <c r="A1386" t="s">
        <v>1491</v>
      </c>
      <c r="B1386" s="1">
        <v>45108</v>
      </c>
      <c r="C1386">
        <v>2023</v>
      </c>
      <c r="D1386">
        <v>7</v>
      </c>
      <c r="E1386" t="s">
        <v>47</v>
      </c>
      <c r="F1386" t="s">
        <v>14</v>
      </c>
      <c r="G1386" t="s">
        <v>51</v>
      </c>
      <c r="H1386" t="s">
        <v>72</v>
      </c>
      <c r="I1386">
        <v>18299.189999999999</v>
      </c>
      <c r="J1386">
        <v>15545.82</v>
      </c>
      <c r="K1386" t="s">
        <v>17</v>
      </c>
      <c r="L1386" t="b">
        <v>0</v>
      </c>
      <c r="N1386" s="2" t="b">
        <f t="shared" si="119"/>
        <v>1</v>
      </c>
      <c r="O1386" t="b">
        <f t="shared" ref="O1386:O1387" si="125">IF(AND(E1375="HR",K1375="EXPENSE"),I1375&lt;J1375,"")</f>
        <v>1</v>
      </c>
      <c r="Q1386" t="str">
        <f t="shared" si="120"/>
        <v/>
      </c>
    </row>
    <row r="1387" spans="1:17" hidden="1">
      <c r="A1387" t="s">
        <v>1492</v>
      </c>
      <c r="B1387" s="1">
        <v>45108</v>
      </c>
      <c r="C1387">
        <v>2023</v>
      </c>
      <c r="D1387">
        <v>7</v>
      </c>
      <c r="E1387" t="s">
        <v>47</v>
      </c>
      <c r="F1387" t="s">
        <v>24</v>
      </c>
      <c r="G1387" t="s">
        <v>77</v>
      </c>
      <c r="H1387" t="s">
        <v>130</v>
      </c>
      <c r="I1387">
        <v>17562.580000000002</v>
      </c>
      <c r="J1387">
        <v>15176.41</v>
      </c>
      <c r="K1387" t="s">
        <v>17</v>
      </c>
      <c r="L1387" t="b">
        <v>0</v>
      </c>
      <c r="N1387" s="2" t="b">
        <f t="shared" si="119"/>
        <v>1</v>
      </c>
      <c r="O1387" t="str">
        <f t="shared" si="125"/>
        <v/>
      </c>
      <c r="Q1387" t="str">
        <f t="shared" si="120"/>
        <v/>
      </c>
    </row>
    <row r="1388" spans="1:17" hidden="1">
      <c r="A1388" t="s">
        <v>1493</v>
      </c>
      <c r="B1388" s="1">
        <v>45109</v>
      </c>
      <c r="C1388">
        <v>2023</v>
      </c>
      <c r="D1388">
        <v>7</v>
      </c>
      <c r="E1388" t="s">
        <v>13</v>
      </c>
      <c r="F1388" t="s">
        <v>14</v>
      </c>
      <c r="G1388" t="s">
        <v>108</v>
      </c>
      <c r="H1388" t="s">
        <v>123</v>
      </c>
      <c r="I1388">
        <v>5421.29</v>
      </c>
      <c r="J1388">
        <v>5950.86</v>
      </c>
      <c r="K1388" t="s">
        <v>17</v>
      </c>
      <c r="L1388" t="b">
        <v>0</v>
      </c>
      <c r="N1388" s="2" t="str">
        <f t="shared" si="119"/>
        <v/>
      </c>
      <c r="Q1388" t="str">
        <f t="shared" si="120"/>
        <v/>
      </c>
    </row>
    <row r="1389" spans="1:17" hidden="1">
      <c r="A1389" t="s">
        <v>1494</v>
      </c>
      <c r="B1389" s="1">
        <v>45109</v>
      </c>
      <c r="C1389">
        <v>2023</v>
      </c>
      <c r="D1389">
        <v>7</v>
      </c>
      <c r="E1389" t="s">
        <v>13</v>
      </c>
      <c r="F1389" t="s">
        <v>24</v>
      </c>
      <c r="G1389" t="s">
        <v>108</v>
      </c>
      <c r="H1389" t="s">
        <v>109</v>
      </c>
      <c r="I1389">
        <v>3199.64</v>
      </c>
      <c r="J1389">
        <v>3455.77</v>
      </c>
      <c r="K1389" t="s">
        <v>17</v>
      </c>
      <c r="L1389" t="b">
        <v>0</v>
      </c>
      <c r="N1389" s="2" t="str">
        <f t="shared" si="119"/>
        <v/>
      </c>
      <c r="Q1389" t="str">
        <f t="shared" si="120"/>
        <v/>
      </c>
    </row>
    <row r="1390" spans="1:17" hidden="1">
      <c r="A1390" t="s">
        <v>1495</v>
      </c>
      <c r="B1390" s="1">
        <v>45109</v>
      </c>
      <c r="C1390">
        <v>2023</v>
      </c>
      <c r="D1390">
        <v>7</v>
      </c>
      <c r="E1390" t="s">
        <v>47</v>
      </c>
      <c r="F1390" t="s">
        <v>28</v>
      </c>
      <c r="G1390" t="s">
        <v>48</v>
      </c>
      <c r="H1390" t="s">
        <v>75</v>
      </c>
      <c r="I1390">
        <v>14345.56</v>
      </c>
      <c r="J1390">
        <v>11883.15</v>
      </c>
      <c r="K1390" t="s">
        <v>17</v>
      </c>
      <c r="L1390" t="b">
        <v>0</v>
      </c>
      <c r="N1390" s="2" t="b">
        <f t="shared" si="119"/>
        <v>1</v>
      </c>
      <c r="O1390" t="str">
        <f>IF(AND(E1379="HR",K1379="EXPENSE"),I1379&lt;J1379,"")</f>
        <v/>
      </c>
      <c r="Q1390" t="str">
        <f t="shared" si="120"/>
        <v/>
      </c>
    </row>
    <row r="1391" spans="1:17" hidden="1">
      <c r="A1391" t="s">
        <v>1496</v>
      </c>
      <c r="B1391" s="1">
        <v>45109</v>
      </c>
      <c r="C1391">
        <v>2023</v>
      </c>
      <c r="D1391">
        <v>7</v>
      </c>
      <c r="E1391" t="s">
        <v>19</v>
      </c>
      <c r="F1391" t="s">
        <v>28</v>
      </c>
      <c r="G1391" t="s">
        <v>54</v>
      </c>
      <c r="H1391" t="s">
        <v>163</v>
      </c>
      <c r="I1391">
        <v>2761.71</v>
      </c>
      <c r="J1391">
        <v>2574.59</v>
      </c>
      <c r="K1391" t="s">
        <v>17</v>
      </c>
      <c r="L1391" t="b">
        <v>0</v>
      </c>
      <c r="N1391" s="2" t="str">
        <f t="shared" si="119"/>
        <v/>
      </c>
      <c r="Q1391" t="str">
        <f t="shared" si="120"/>
        <v/>
      </c>
    </row>
    <row r="1392" spans="1:17" hidden="1">
      <c r="A1392" t="s">
        <v>1497</v>
      </c>
      <c r="B1392" s="1">
        <v>45109</v>
      </c>
      <c r="C1392">
        <v>2023</v>
      </c>
      <c r="D1392">
        <v>7</v>
      </c>
      <c r="E1392" t="s">
        <v>23</v>
      </c>
      <c r="F1392" t="s">
        <v>14</v>
      </c>
      <c r="G1392" t="s">
        <v>25</v>
      </c>
      <c r="H1392" t="s">
        <v>26</v>
      </c>
      <c r="I1392">
        <v>4566.17</v>
      </c>
      <c r="J1392">
        <v>4388.76</v>
      </c>
      <c r="K1392" t="s">
        <v>17</v>
      </c>
      <c r="L1392" t="b">
        <v>0</v>
      </c>
      <c r="N1392" s="2" t="str">
        <f t="shared" si="119"/>
        <v/>
      </c>
      <c r="Q1392" t="str">
        <f t="shared" si="120"/>
        <v/>
      </c>
    </row>
    <row r="1393" spans="1:17" hidden="1">
      <c r="A1393" t="s">
        <v>1498</v>
      </c>
      <c r="B1393" s="1">
        <v>45109</v>
      </c>
      <c r="C1393">
        <v>2023</v>
      </c>
      <c r="D1393">
        <v>7</v>
      </c>
      <c r="E1393" t="s">
        <v>37</v>
      </c>
      <c r="F1393" t="s">
        <v>14</v>
      </c>
      <c r="G1393" t="s">
        <v>38</v>
      </c>
      <c r="H1393" t="s">
        <v>118</v>
      </c>
      <c r="I1393">
        <v>5021.74</v>
      </c>
      <c r="J1393">
        <v>5356.11</v>
      </c>
      <c r="K1393" t="s">
        <v>17</v>
      </c>
      <c r="L1393" t="b">
        <v>0</v>
      </c>
      <c r="N1393" s="2" t="str">
        <f t="shared" si="119"/>
        <v/>
      </c>
      <c r="Q1393" t="str">
        <f t="shared" si="120"/>
        <v/>
      </c>
    </row>
    <row r="1394" spans="1:17" hidden="1">
      <c r="A1394" t="s">
        <v>1499</v>
      </c>
      <c r="B1394" s="1">
        <v>45109</v>
      </c>
      <c r="C1394">
        <v>2023</v>
      </c>
      <c r="D1394">
        <v>7</v>
      </c>
      <c r="E1394" t="s">
        <v>37</v>
      </c>
      <c r="F1394" t="s">
        <v>28</v>
      </c>
      <c r="G1394" t="s">
        <v>41</v>
      </c>
      <c r="H1394" t="s">
        <v>42</v>
      </c>
      <c r="I1394">
        <v>4428.62</v>
      </c>
      <c r="J1394">
        <v>4333.9399999999996</v>
      </c>
      <c r="K1394" t="s">
        <v>17</v>
      </c>
      <c r="L1394" t="b">
        <v>0</v>
      </c>
      <c r="N1394" s="2" t="str">
        <f t="shared" si="119"/>
        <v/>
      </c>
      <c r="Q1394" t="str">
        <f t="shared" si="120"/>
        <v/>
      </c>
    </row>
    <row r="1395" spans="1:17" hidden="1">
      <c r="A1395" t="s">
        <v>1500</v>
      </c>
      <c r="B1395" s="1">
        <v>45109</v>
      </c>
      <c r="C1395">
        <v>2023</v>
      </c>
      <c r="D1395">
        <v>7</v>
      </c>
      <c r="E1395" t="s">
        <v>37</v>
      </c>
      <c r="F1395" t="s">
        <v>28</v>
      </c>
      <c r="G1395" t="s">
        <v>38</v>
      </c>
      <c r="H1395" t="s">
        <v>118</v>
      </c>
      <c r="I1395">
        <v>4659.87</v>
      </c>
      <c r="J1395">
        <v>4543.1099999999997</v>
      </c>
      <c r="K1395" t="s">
        <v>17</v>
      </c>
      <c r="L1395" t="b">
        <v>0</v>
      </c>
      <c r="N1395" s="2" t="str">
        <f t="shared" si="119"/>
        <v/>
      </c>
      <c r="Q1395" t="str">
        <f t="shared" si="120"/>
        <v/>
      </c>
    </row>
    <row r="1396" spans="1:17" hidden="1">
      <c r="A1396" t="s">
        <v>1501</v>
      </c>
      <c r="B1396" s="1">
        <v>45109</v>
      </c>
      <c r="C1396">
        <v>2023</v>
      </c>
      <c r="D1396">
        <v>7</v>
      </c>
      <c r="E1396" t="s">
        <v>37</v>
      </c>
      <c r="F1396" t="s">
        <v>24</v>
      </c>
      <c r="G1396" t="s">
        <v>83</v>
      </c>
      <c r="H1396" t="s">
        <v>84</v>
      </c>
      <c r="I1396">
        <v>108633.94</v>
      </c>
      <c r="J1396">
        <v>103202.25</v>
      </c>
      <c r="K1396" t="s">
        <v>85</v>
      </c>
      <c r="L1396" t="b">
        <v>0</v>
      </c>
      <c r="N1396" s="2" t="str">
        <f t="shared" si="119"/>
        <v/>
      </c>
      <c r="Q1396" t="str">
        <f t="shared" si="120"/>
        <v/>
      </c>
    </row>
    <row r="1397" spans="1:17" hidden="1">
      <c r="A1397" t="s">
        <v>1502</v>
      </c>
      <c r="B1397" s="1">
        <v>45110</v>
      </c>
      <c r="C1397">
        <v>2023</v>
      </c>
      <c r="D1397">
        <v>7</v>
      </c>
      <c r="E1397" t="s">
        <v>47</v>
      </c>
      <c r="F1397" t="s">
        <v>14</v>
      </c>
      <c r="G1397" t="s">
        <v>48</v>
      </c>
      <c r="H1397" t="s">
        <v>75</v>
      </c>
      <c r="I1397">
        <v>13744.04</v>
      </c>
      <c r="J1397">
        <v>11633.37</v>
      </c>
      <c r="K1397" t="s">
        <v>17</v>
      </c>
      <c r="L1397" t="b">
        <v>0</v>
      </c>
      <c r="N1397" s="2" t="b">
        <f t="shared" si="119"/>
        <v>1</v>
      </c>
      <c r="O1397" t="str">
        <f>IF(AND(E1386="HR",K1386="EXPENSE"),I1386&lt;J1386,"")</f>
        <v/>
      </c>
      <c r="Q1397" t="str">
        <f t="shared" si="120"/>
        <v/>
      </c>
    </row>
    <row r="1398" spans="1:17" hidden="1">
      <c r="A1398" t="s">
        <v>1503</v>
      </c>
      <c r="B1398" s="1">
        <v>45110</v>
      </c>
      <c r="C1398">
        <v>2023</v>
      </c>
      <c r="D1398">
        <v>7</v>
      </c>
      <c r="E1398" t="s">
        <v>19</v>
      </c>
      <c r="F1398" t="s">
        <v>14</v>
      </c>
      <c r="G1398" t="s">
        <v>132</v>
      </c>
      <c r="H1398" t="s">
        <v>138</v>
      </c>
      <c r="I1398">
        <v>4160.82</v>
      </c>
      <c r="J1398">
        <v>4430.07</v>
      </c>
      <c r="K1398" t="s">
        <v>17</v>
      </c>
      <c r="L1398" t="b">
        <v>0</v>
      </c>
      <c r="N1398" s="2" t="str">
        <f t="shared" si="119"/>
        <v/>
      </c>
      <c r="Q1398" t="str">
        <f t="shared" si="120"/>
        <v/>
      </c>
    </row>
    <row r="1399" spans="1:17" hidden="1">
      <c r="A1399" t="s">
        <v>1504</v>
      </c>
      <c r="B1399" s="1">
        <v>45110</v>
      </c>
      <c r="C1399">
        <v>2023</v>
      </c>
      <c r="D1399">
        <v>7</v>
      </c>
      <c r="E1399" t="s">
        <v>19</v>
      </c>
      <c r="F1399" t="s">
        <v>24</v>
      </c>
      <c r="G1399" t="s">
        <v>54</v>
      </c>
      <c r="H1399" t="s">
        <v>163</v>
      </c>
      <c r="I1399">
        <v>7128.95</v>
      </c>
      <c r="J1399">
        <v>7381.94</v>
      </c>
      <c r="K1399" t="s">
        <v>17</v>
      </c>
      <c r="L1399" t="b">
        <v>0</v>
      </c>
      <c r="N1399" s="2" t="str">
        <f t="shared" si="119"/>
        <v/>
      </c>
      <c r="Q1399" t="str">
        <f t="shared" si="120"/>
        <v/>
      </c>
    </row>
    <row r="1400" spans="1:17" hidden="1">
      <c r="A1400" t="s">
        <v>1505</v>
      </c>
      <c r="B1400" s="1">
        <v>45110</v>
      </c>
      <c r="C1400">
        <v>2023</v>
      </c>
      <c r="D1400">
        <v>7</v>
      </c>
      <c r="E1400" t="s">
        <v>23</v>
      </c>
      <c r="F1400" t="s">
        <v>14</v>
      </c>
      <c r="G1400" t="s">
        <v>141</v>
      </c>
      <c r="H1400" t="s">
        <v>153</v>
      </c>
      <c r="I1400">
        <v>5270.65</v>
      </c>
      <c r="J1400">
        <v>5304.24</v>
      </c>
      <c r="K1400" t="s">
        <v>17</v>
      </c>
      <c r="L1400" t="b">
        <v>0</v>
      </c>
      <c r="N1400" s="2" t="str">
        <f t="shared" si="119"/>
        <v/>
      </c>
      <c r="Q1400" t="str">
        <f t="shared" si="120"/>
        <v/>
      </c>
    </row>
    <row r="1401" spans="1:17" hidden="1">
      <c r="A1401" t="s">
        <v>1506</v>
      </c>
      <c r="B1401" s="1">
        <v>45110</v>
      </c>
      <c r="C1401">
        <v>2023</v>
      </c>
      <c r="D1401">
        <v>7</v>
      </c>
      <c r="E1401" t="s">
        <v>23</v>
      </c>
      <c r="F1401" t="s">
        <v>28</v>
      </c>
      <c r="G1401" t="s">
        <v>141</v>
      </c>
      <c r="H1401" t="s">
        <v>153</v>
      </c>
      <c r="I1401">
        <v>4425.5600000000004</v>
      </c>
      <c r="J1401">
        <v>4529.22</v>
      </c>
      <c r="K1401" t="s">
        <v>17</v>
      </c>
      <c r="L1401" t="b">
        <v>0</v>
      </c>
      <c r="N1401" s="2" t="str">
        <f t="shared" si="119"/>
        <v/>
      </c>
      <c r="Q1401" t="str">
        <f t="shared" si="120"/>
        <v/>
      </c>
    </row>
    <row r="1402" spans="1:17" hidden="1">
      <c r="A1402" t="s">
        <v>1507</v>
      </c>
      <c r="B1402" s="1">
        <v>45110</v>
      </c>
      <c r="C1402">
        <v>2023</v>
      </c>
      <c r="D1402">
        <v>7</v>
      </c>
      <c r="E1402" t="s">
        <v>23</v>
      </c>
      <c r="F1402" t="s">
        <v>24</v>
      </c>
      <c r="G1402" t="s">
        <v>25</v>
      </c>
      <c r="H1402" t="s">
        <v>35</v>
      </c>
      <c r="I1402">
        <v>6807.85</v>
      </c>
      <c r="J1402">
        <v>7083.04</v>
      </c>
      <c r="K1402" t="s">
        <v>17</v>
      </c>
      <c r="L1402" t="b">
        <v>0</v>
      </c>
      <c r="N1402" s="2" t="str">
        <f t="shared" si="119"/>
        <v/>
      </c>
      <c r="Q1402" t="str">
        <f t="shared" si="120"/>
        <v/>
      </c>
    </row>
    <row r="1403" spans="1:17" hidden="1">
      <c r="A1403" t="s">
        <v>1508</v>
      </c>
      <c r="B1403" s="1">
        <v>45110</v>
      </c>
      <c r="C1403">
        <v>2023</v>
      </c>
      <c r="D1403">
        <v>7</v>
      </c>
      <c r="E1403" t="s">
        <v>23</v>
      </c>
      <c r="F1403" t="s">
        <v>24</v>
      </c>
      <c r="G1403" t="s">
        <v>59</v>
      </c>
      <c r="H1403" t="s">
        <v>155</v>
      </c>
      <c r="I1403">
        <v>6762.13</v>
      </c>
      <c r="J1403">
        <v>6770.15</v>
      </c>
      <c r="K1403" t="s">
        <v>17</v>
      </c>
      <c r="L1403" t="b">
        <v>0</v>
      </c>
      <c r="N1403" s="2" t="str">
        <f t="shared" si="119"/>
        <v/>
      </c>
      <c r="Q1403" t="str">
        <f t="shared" si="120"/>
        <v/>
      </c>
    </row>
    <row r="1404" spans="1:17" hidden="1">
      <c r="A1404" t="s">
        <v>1509</v>
      </c>
      <c r="B1404" s="1">
        <v>45110</v>
      </c>
      <c r="C1404">
        <v>2023</v>
      </c>
      <c r="D1404">
        <v>7</v>
      </c>
      <c r="E1404" t="s">
        <v>37</v>
      </c>
      <c r="F1404" t="s">
        <v>14</v>
      </c>
      <c r="G1404" t="s">
        <v>38</v>
      </c>
      <c r="H1404" t="s">
        <v>227</v>
      </c>
      <c r="I1404">
        <v>4874.57</v>
      </c>
      <c r="J1404">
        <v>4724.24</v>
      </c>
      <c r="K1404" t="s">
        <v>17</v>
      </c>
      <c r="L1404" t="b">
        <v>0</v>
      </c>
      <c r="N1404" s="2" t="str">
        <f t="shared" si="119"/>
        <v/>
      </c>
      <c r="Q1404" t="str">
        <f t="shared" si="120"/>
        <v/>
      </c>
    </row>
    <row r="1405" spans="1:17" hidden="1">
      <c r="A1405" t="s">
        <v>1510</v>
      </c>
      <c r="B1405" s="1">
        <v>45110</v>
      </c>
      <c r="C1405">
        <v>2023</v>
      </c>
      <c r="D1405">
        <v>7</v>
      </c>
      <c r="E1405" t="s">
        <v>37</v>
      </c>
      <c r="F1405" t="s">
        <v>28</v>
      </c>
      <c r="G1405" t="s">
        <v>41</v>
      </c>
      <c r="H1405" t="s">
        <v>42</v>
      </c>
      <c r="I1405">
        <v>4209.71</v>
      </c>
      <c r="J1405">
        <v>4020.48</v>
      </c>
      <c r="K1405" t="s">
        <v>17</v>
      </c>
      <c r="L1405" t="b">
        <v>0</v>
      </c>
      <c r="N1405" s="2" t="str">
        <f t="shared" si="119"/>
        <v/>
      </c>
      <c r="Q1405" t="str">
        <f t="shared" si="120"/>
        <v/>
      </c>
    </row>
    <row r="1406" spans="1:17" hidden="1">
      <c r="A1406" t="s">
        <v>1511</v>
      </c>
      <c r="B1406" s="1">
        <v>45110</v>
      </c>
      <c r="C1406">
        <v>2023</v>
      </c>
      <c r="D1406">
        <v>7</v>
      </c>
      <c r="E1406" t="s">
        <v>37</v>
      </c>
      <c r="F1406" t="s">
        <v>24</v>
      </c>
      <c r="G1406" t="s">
        <v>41</v>
      </c>
      <c r="H1406" t="s">
        <v>42</v>
      </c>
      <c r="I1406">
        <v>3538.73</v>
      </c>
      <c r="J1406">
        <v>3755.05</v>
      </c>
      <c r="K1406" t="s">
        <v>17</v>
      </c>
      <c r="L1406" t="b">
        <v>0</v>
      </c>
      <c r="N1406" s="2" t="str">
        <f t="shared" si="119"/>
        <v/>
      </c>
      <c r="Q1406" t="str">
        <f t="shared" si="120"/>
        <v/>
      </c>
    </row>
    <row r="1407" spans="1:17" hidden="1">
      <c r="A1407" t="s">
        <v>1512</v>
      </c>
      <c r="B1407" s="1">
        <v>45111</v>
      </c>
      <c r="C1407">
        <v>2023</v>
      </c>
      <c r="D1407">
        <v>7</v>
      </c>
      <c r="E1407" t="s">
        <v>13</v>
      </c>
      <c r="F1407" t="s">
        <v>14</v>
      </c>
      <c r="G1407" t="s">
        <v>15</v>
      </c>
      <c r="H1407" t="s">
        <v>89</v>
      </c>
      <c r="I1407">
        <v>5575.08</v>
      </c>
      <c r="J1407">
        <v>5191.87</v>
      </c>
      <c r="K1407" t="s">
        <v>17</v>
      </c>
      <c r="L1407" t="b">
        <v>0</v>
      </c>
      <c r="N1407" s="2" t="str">
        <f t="shared" si="119"/>
        <v/>
      </c>
      <c r="Q1407" t="str">
        <f t="shared" si="120"/>
        <v/>
      </c>
    </row>
    <row r="1408" spans="1:17" hidden="1">
      <c r="A1408" t="s">
        <v>1513</v>
      </c>
      <c r="B1408" s="1">
        <v>45111</v>
      </c>
      <c r="C1408">
        <v>2023</v>
      </c>
      <c r="D1408">
        <v>7</v>
      </c>
      <c r="E1408" t="s">
        <v>13</v>
      </c>
      <c r="F1408" t="s">
        <v>28</v>
      </c>
      <c r="G1408" t="s">
        <v>68</v>
      </c>
      <c r="H1408" t="s">
        <v>87</v>
      </c>
      <c r="I1408">
        <v>3048.32</v>
      </c>
      <c r="J1408">
        <v>2849.96</v>
      </c>
      <c r="K1408" t="s">
        <v>17</v>
      </c>
      <c r="L1408" t="b">
        <v>0</v>
      </c>
      <c r="N1408" s="2" t="str">
        <f t="shared" si="119"/>
        <v/>
      </c>
      <c r="Q1408" t="str">
        <f t="shared" si="120"/>
        <v/>
      </c>
    </row>
    <row r="1409" spans="1:17" hidden="1">
      <c r="A1409" t="s">
        <v>1514</v>
      </c>
      <c r="B1409" s="1">
        <v>45111</v>
      </c>
      <c r="C1409">
        <v>2023</v>
      </c>
      <c r="D1409">
        <v>7</v>
      </c>
      <c r="E1409" t="s">
        <v>13</v>
      </c>
      <c r="F1409" t="s">
        <v>24</v>
      </c>
      <c r="G1409" t="s">
        <v>108</v>
      </c>
      <c r="H1409" t="s">
        <v>109</v>
      </c>
      <c r="I1409">
        <v>1780.98</v>
      </c>
      <c r="J1409">
        <v>1747.71</v>
      </c>
      <c r="K1409" t="s">
        <v>17</v>
      </c>
      <c r="L1409" t="b">
        <v>0</v>
      </c>
      <c r="N1409" s="2" t="str">
        <f t="shared" si="119"/>
        <v/>
      </c>
      <c r="Q1409" t="str">
        <f t="shared" si="120"/>
        <v/>
      </c>
    </row>
    <row r="1410" spans="1:17" hidden="1">
      <c r="A1410" t="s">
        <v>1515</v>
      </c>
      <c r="B1410" s="1">
        <v>45111</v>
      </c>
      <c r="C1410">
        <v>2023</v>
      </c>
      <c r="D1410">
        <v>7</v>
      </c>
      <c r="E1410" t="s">
        <v>47</v>
      </c>
      <c r="F1410" t="s">
        <v>14</v>
      </c>
      <c r="G1410" t="s">
        <v>77</v>
      </c>
      <c r="H1410" t="s">
        <v>78</v>
      </c>
      <c r="I1410">
        <v>11082.65</v>
      </c>
      <c r="J1410">
        <v>9130.98</v>
      </c>
      <c r="K1410" t="s">
        <v>17</v>
      </c>
      <c r="L1410" t="b">
        <v>0</v>
      </c>
      <c r="N1410" s="2" t="b">
        <f t="shared" si="119"/>
        <v>1</v>
      </c>
      <c r="O1410" t="str">
        <f t="shared" ref="O1410:O1412" si="126">IF(AND(E1399="HR",K1399="EXPENSE"),I1399&lt;J1399,"")</f>
        <v/>
      </c>
      <c r="Q1410" t="str">
        <f t="shared" si="120"/>
        <v/>
      </c>
    </row>
    <row r="1411" spans="1:17" hidden="1">
      <c r="A1411" t="s">
        <v>1516</v>
      </c>
      <c r="B1411" s="1">
        <v>45111</v>
      </c>
      <c r="C1411">
        <v>2023</v>
      </c>
      <c r="D1411">
        <v>7</v>
      </c>
      <c r="E1411" t="s">
        <v>47</v>
      </c>
      <c r="F1411" t="s">
        <v>28</v>
      </c>
      <c r="G1411" t="s">
        <v>51</v>
      </c>
      <c r="H1411" t="s">
        <v>52</v>
      </c>
      <c r="I1411">
        <v>15737.83</v>
      </c>
      <c r="J1411">
        <v>13430.11</v>
      </c>
      <c r="K1411" t="s">
        <v>17</v>
      </c>
      <c r="L1411" t="b">
        <v>0</v>
      </c>
      <c r="N1411" s="2" t="b">
        <f t="shared" ref="N1411:N1474" si="127">IF(AND(E1411="IT",K1411="EXPENSE"),I1411&gt;J1411,"")</f>
        <v>1</v>
      </c>
      <c r="O1411" t="str">
        <f t="shared" si="126"/>
        <v/>
      </c>
      <c r="Q1411" t="str">
        <f t="shared" ref="Q1411:Q1474" si="128">IF(L1411=TRUE,OR(H1411="Apex Solutions Inc",H1411="Global Trade Partners",H1411="NovaTech Services"),"")</f>
        <v/>
      </c>
    </row>
    <row r="1412" spans="1:17" hidden="1">
      <c r="A1412" t="s">
        <v>1517</v>
      </c>
      <c r="B1412" s="1">
        <v>45111</v>
      </c>
      <c r="C1412">
        <v>2023</v>
      </c>
      <c r="D1412">
        <v>7</v>
      </c>
      <c r="E1412" t="s">
        <v>47</v>
      </c>
      <c r="F1412" t="s">
        <v>28</v>
      </c>
      <c r="G1412" t="s">
        <v>51</v>
      </c>
      <c r="H1412" t="s">
        <v>72</v>
      </c>
      <c r="I1412">
        <v>9515.36</v>
      </c>
      <c r="J1412">
        <v>7851.47</v>
      </c>
      <c r="K1412" t="s">
        <v>17</v>
      </c>
      <c r="L1412" t="b">
        <v>0</v>
      </c>
      <c r="N1412" s="2" t="b">
        <f t="shared" si="127"/>
        <v>1</v>
      </c>
      <c r="O1412" t="str">
        <f t="shared" si="126"/>
        <v/>
      </c>
      <c r="Q1412" t="str">
        <f t="shared" si="128"/>
        <v/>
      </c>
    </row>
    <row r="1413" spans="1:17" hidden="1">
      <c r="A1413" t="s">
        <v>1518</v>
      </c>
      <c r="B1413" s="1">
        <v>45111</v>
      </c>
      <c r="C1413">
        <v>2023</v>
      </c>
      <c r="D1413">
        <v>7</v>
      </c>
      <c r="E1413" t="s">
        <v>19</v>
      </c>
      <c r="F1413" t="s">
        <v>24</v>
      </c>
      <c r="G1413" t="s">
        <v>54</v>
      </c>
      <c r="H1413" t="s">
        <v>57</v>
      </c>
      <c r="I1413">
        <v>5582.2</v>
      </c>
      <c r="J1413">
        <v>5420.2</v>
      </c>
      <c r="K1413" t="s">
        <v>17</v>
      </c>
      <c r="L1413" t="b">
        <v>0</v>
      </c>
      <c r="N1413" s="2" t="str">
        <f t="shared" si="127"/>
        <v/>
      </c>
      <c r="Q1413" t="str">
        <f t="shared" si="128"/>
        <v/>
      </c>
    </row>
    <row r="1414" spans="1:17" hidden="1">
      <c r="A1414" t="s">
        <v>1519</v>
      </c>
      <c r="B1414" s="1">
        <v>45111</v>
      </c>
      <c r="C1414">
        <v>2023</v>
      </c>
      <c r="D1414">
        <v>7</v>
      </c>
      <c r="E1414" t="s">
        <v>37</v>
      </c>
      <c r="F1414" t="s">
        <v>14</v>
      </c>
      <c r="G1414" t="s">
        <v>41</v>
      </c>
      <c r="H1414" t="s">
        <v>42</v>
      </c>
      <c r="I1414">
        <v>6231.05</v>
      </c>
      <c r="J1414">
        <v>6465.39</v>
      </c>
      <c r="K1414" t="s">
        <v>17</v>
      </c>
      <c r="L1414" t="b">
        <v>0</v>
      </c>
      <c r="N1414" s="2" t="str">
        <f t="shared" si="127"/>
        <v/>
      </c>
      <c r="Q1414" t="str">
        <f t="shared" si="128"/>
        <v/>
      </c>
    </row>
    <row r="1415" spans="1:17" hidden="1">
      <c r="A1415" t="s">
        <v>1520</v>
      </c>
      <c r="B1415" s="1">
        <v>45111</v>
      </c>
      <c r="C1415">
        <v>2023</v>
      </c>
      <c r="D1415">
        <v>7</v>
      </c>
      <c r="E1415" t="s">
        <v>37</v>
      </c>
      <c r="F1415" t="s">
        <v>24</v>
      </c>
      <c r="G1415" t="s">
        <v>41</v>
      </c>
      <c r="H1415" t="s">
        <v>42</v>
      </c>
      <c r="I1415">
        <v>2341.84</v>
      </c>
      <c r="J1415">
        <v>2134.21</v>
      </c>
      <c r="K1415" t="s">
        <v>17</v>
      </c>
      <c r="L1415" t="b">
        <v>0</v>
      </c>
      <c r="N1415" s="2" t="str">
        <f t="shared" si="127"/>
        <v/>
      </c>
      <c r="Q1415" t="str">
        <f t="shared" si="128"/>
        <v/>
      </c>
    </row>
    <row r="1416" spans="1:17" hidden="1">
      <c r="A1416" t="s">
        <v>1521</v>
      </c>
      <c r="B1416" s="1">
        <v>45111</v>
      </c>
      <c r="C1416">
        <v>2023</v>
      </c>
      <c r="D1416">
        <v>7</v>
      </c>
      <c r="E1416" t="s">
        <v>37</v>
      </c>
      <c r="F1416" t="s">
        <v>24</v>
      </c>
      <c r="G1416" t="s">
        <v>38</v>
      </c>
      <c r="H1416" t="s">
        <v>227</v>
      </c>
      <c r="I1416">
        <v>4975.03</v>
      </c>
      <c r="J1416">
        <v>5368.74</v>
      </c>
      <c r="K1416" t="s">
        <v>17</v>
      </c>
      <c r="L1416" t="b">
        <v>0</v>
      </c>
      <c r="N1416" s="2" t="str">
        <f t="shared" si="127"/>
        <v/>
      </c>
      <c r="Q1416" t="str">
        <f t="shared" si="128"/>
        <v/>
      </c>
    </row>
    <row r="1417" spans="1:17" hidden="1">
      <c r="A1417" t="s">
        <v>1522</v>
      </c>
      <c r="B1417" s="1">
        <v>45112</v>
      </c>
      <c r="C1417">
        <v>2023</v>
      </c>
      <c r="D1417">
        <v>7</v>
      </c>
      <c r="E1417" t="s">
        <v>13</v>
      </c>
      <c r="F1417" t="s">
        <v>14</v>
      </c>
      <c r="G1417" t="s">
        <v>15</v>
      </c>
      <c r="H1417" t="s">
        <v>16</v>
      </c>
      <c r="I1417">
        <v>3359.21</v>
      </c>
      <c r="J1417">
        <v>3184.89</v>
      </c>
      <c r="K1417" t="s">
        <v>17</v>
      </c>
      <c r="L1417" t="b">
        <v>0</v>
      </c>
      <c r="N1417" s="2" t="str">
        <f t="shared" si="127"/>
        <v/>
      </c>
      <c r="Q1417" t="str">
        <f t="shared" si="128"/>
        <v/>
      </c>
    </row>
    <row r="1418" spans="1:17" hidden="1">
      <c r="A1418" t="s">
        <v>1523</v>
      </c>
      <c r="B1418" s="1">
        <v>45112</v>
      </c>
      <c r="C1418">
        <v>2023</v>
      </c>
      <c r="D1418">
        <v>7</v>
      </c>
      <c r="E1418" t="s">
        <v>13</v>
      </c>
      <c r="F1418" t="s">
        <v>24</v>
      </c>
      <c r="G1418" t="s">
        <v>108</v>
      </c>
      <c r="H1418" t="s">
        <v>123</v>
      </c>
      <c r="I1418">
        <v>3733.89</v>
      </c>
      <c r="J1418">
        <v>3894.24</v>
      </c>
      <c r="K1418" t="s">
        <v>17</v>
      </c>
      <c r="L1418" t="b">
        <v>0</v>
      </c>
      <c r="N1418" s="2" t="str">
        <f t="shared" si="127"/>
        <v/>
      </c>
      <c r="Q1418" t="str">
        <f t="shared" si="128"/>
        <v/>
      </c>
    </row>
    <row r="1419" spans="1:17" hidden="1">
      <c r="A1419" t="s">
        <v>1524</v>
      </c>
      <c r="B1419" s="1">
        <v>45112</v>
      </c>
      <c r="C1419">
        <v>2023</v>
      </c>
      <c r="D1419">
        <v>7</v>
      </c>
      <c r="E1419" t="s">
        <v>47</v>
      </c>
      <c r="F1419" t="s">
        <v>14</v>
      </c>
      <c r="G1419" t="s">
        <v>91</v>
      </c>
      <c r="H1419" t="s">
        <v>128</v>
      </c>
      <c r="I1419">
        <v>16172.73</v>
      </c>
      <c r="J1419">
        <v>13745.51</v>
      </c>
      <c r="K1419" t="s">
        <v>17</v>
      </c>
      <c r="L1419" t="b">
        <v>0</v>
      </c>
      <c r="N1419" s="2" t="b">
        <f t="shared" si="127"/>
        <v>1</v>
      </c>
      <c r="O1419" t="b">
        <f>IF(AND(E1408="HR",K1408="EXPENSE"),I1408&lt;J1408,"")</f>
        <v>0</v>
      </c>
      <c r="Q1419" t="str">
        <f t="shared" si="128"/>
        <v/>
      </c>
    </row>
    <row r="1420" spans="1:17" hidden="1">
      <c r="A1420" t="s">
        <v>1525</v>
      </c>
      <c r="B1420" s="1">
        <v>45112</v>
      </c>
      <c r="C1420">
        <v>2023</v>
      </c>
      <c r="D1420">
        <v>7</v>
      </c>
      <c r="E1420" t="s">
        <v>19</v>
      </c>
      <c r="F1420" t="s">
        <v>14</v>
      </c>
      <c r="G1420" t="s">
        <v>132</v>
      </c>
      <c r="H1420" t="s">
        <v>133</v>
      </c>
      <c r="I1420">
        <v>9988.0400000000009</v>
      </c>
      <c r="J1420">
        <v>10215.709999999999</v>
      </c>
      <c r="K1420" t="s">
        <v>17</v>
      </c>
      <c r="L1420" t="b">
        <v>0</v>
      </c>
      <c r="N1420" s="2" t="str">
        <f t="shared" si="127"/>
        <v/>
      </c>
      <c r="Q1420" t="str">
        <f t="shared" si="128"/>
        <v/>
      </c>
    </row>
    <row r="1421" spans="1:17">
      <c r="A1421" t="s">
        <v>1526</v>
      </c>
      <c r="B1421" s="1">
        <v>45112</v>
      </c>
      <c r="C1421">
        <v>2023</v>
      </c>
      <c r="D1421">
        <v>7</v>
      </c>
      <c r="E1421" t="s">
        <v>19</v>
      </c>
      <c r="F1421" t="s">
        <v>14</v>
      </c>
      <c r="G1421" t="s">
        <v>20</v>
      </c>
      <c r="H1421" t="s">
        <v>207</v>
      </c>
      <c r="I1421">
        <v>19546.830000000002</v>
      </c>
      <c r="J1421">
        <v>5861.53</v>
      </c>
      <c r="K1421" t="s">
        <v>17</v>
      </c>
      <c r="L1421" t="b">
        <v>1</v>
      </c>
      <c r="N1421" s="2" t="str">
        <f t="shared" si="127"/>
        <v/>
      </c>
      <c r="Q1421" t="b">
        <f t="shared" si="128"/>
        <v>1</v>
      </c>
    </row>
    <row r="1422" spans="1:17" hidden="1">
      <c r="A1422" t="s">
        <v>1527</v>
      </c>
      <c r="B1422" s="1">
        <v>45112</v>
      </c>
      <c r="C1422">
        <v>2023</v>
      </c>
      <c r="D1422">
        <v>7</v>
      </c>
      <c r="E1422" t="s">
        <v>23</v>
      </c>
      <c r="F1422" t="s">
        <v>14</v>
      </c>
      <c r="G1422" t="s">
        <v>141</v>
      </c>
      <c r="H1422" t="s">
        <v>209</v>
      </c>
      <c r="I1422">
        <v>5746.3</v>
      </c>
      <c r="J1422">
        <v>5968.59</v>
      </c>
      <c r="K1422" t="s">
        <v>17</v>
      </c>
      <c r="L1422" t="b">
        <v>0</v>
      </c>
      <c r="N1422" s="2" t="str">
        <f t="shared" si="127"/>
        <v/>
      </c>
      <c r="Q1422" t="str">
        <f t="shared" si="128"/>
        <v/>
      </c>
    </row>
    <row r="1423" spans="1:17" hidden="1">
      <c r="A1423" t="s">
        <v>1528</v>
      </c>
      <c r="B1423" s="1">
        <v>45112</v>
      </c>
      <c r="C1423">
        <v>2023</v>
      </c>
      <c r="D1423">
        <v>7</v>
      </c>
      <c r="E1423" t="s">
        <v>37</v>
      </c>
      <c r="F1423" t="s">
        <v>14</v>
      </c>
      <c r="G1423" t="s">
        <v>83</v>
      </c>
      <c r="H1423" t="s">
        <v>84</v>
      </c>
      <c r="I1423">
        <v>246573.59</v>
      </c>
      <c r="J1423">
        <v>234244.91</v>
      </c>
      <c r="K1423" t="s">
        <v>85</v>
      </c>
      <c r="L1423" t="b">
        <v>0</v>
      </c>
      <c r="N1423" s="2" t="str">
        <f t="shared" si="127"/>
        <v/>
      </c>
      <c r="Q1423" t="str">
        <f t="shared" si="128"/>
        <v/>
      </c>
    </row>
    <row r="1424" spans="1:17" hidden="1">
      <c r="A1424" t="s">
        <v>1529</v>
      </c>
      <c r="B1424" s="1">
        <v>45113</v>
      </c>
      <c r="C1424">
        <v>2023</v>
      </c>
      <c r="D1424">
        <v>7</v>
      </c>
      <c r="E1424" t="s">
        <v>19</v>
      </c>
      <c r="F1424" t="s">
        <v>24</v>
      </c>
      <c r="G1424" t="s">
        <v>80</v>
      </c>
      <c r="H1424" t="s">
        <v>217</v>
      </c>
      <c r="I1424">
        <v>6114.47</v>
      </c>
      <c r="J1424">
        <v>6514.73</v>
      </c>
      <c r="K1424" t="s">
        <v>17</v>
      </c>
      <c r="L1424" t="b">
        <v>0</v>
      </c>
      <c r="N1424" s="2" t="str">
        <f t="shared" si="127"/>
        <v/>
      </c>
      <c r="Q1424" t="str">
        <f t="shared" si="128"/>
        <v/>
      </c>
    </row>
    <row r="1425" spans="1:17" hidden="1">
      <c r="A1425" t="s">
        <v>1530</v>
      </c>
      <c r="B1425" s="1">
        <v>45113</v>
      </c>
      <c r="C1425">
        <v>2023</v>
      </c>
      <c r="D1425">
        <v>7</v>
      </c>
      <c r="E1425" t="s">
        <v>23</v>
      </c>
      <c r="F1425" t="s">
        <v>14</v>
      </c>
      <c r="G1425" t="s">
        <v>59</v>
      </c>
      <c r="H1425" t="s">
        <v>155</v>
      </c>
      <c r="I1425">
        <v>6914.16</v>
      </c>
      <c r="J1425">
        <v>6658.67</v>
      </c>
      <c r="K1425" t="s">
        <v>17</v>
      </c>
      <c r="L1425" t="b">
        <v>0</v>
      </c>
      <c r="N1425" s="2" t="str">
        <f t="shared" si="127"/>
        <v/>
      </c>
      <c r="Q1425" t="str">
        <f t="shared" si="128"/>
        <v/>
      </c>
    </row>
    <row r="1426" spans="1:17" hidden="1">
      <c r="A1426" t="s">
        <v>1531</v>
      </c>
      <c r="B1426" s="1">
        <v>45113</v>
      </c>
      <c r="C1426">
        <v>2023</v>
      </c>
      <c r="D1426">
        <v>7</v>
      </c>
      <c r="E1426" t="s">
        <v>23</v>
      </c>
      <c r="F1426" t="s">
        <v>24</v>
      </c>
      <c r="G1426" t="s">
        <v>25</v>
      </c>
      <c r="H1426" t="s">
        <v>95</v>
      </c>
      <c r="I1426">
        <v>6207.91</v>
      </c>
      <c r="J1426">
        <v>5788.16</v>
      </c>
      <c r="K1426" t="s">
        <v>17</v>
      </c>
      <c r="L1426" t="b">
        <v>0</v>
      </c>
      <c r="N1426" s="2" t="str">
        <f t="shared" si="127"/>
        <v/>
      </c>
      <c r="Q1426" t="str">
        <f t="shared" si="128"/>
        <v/>
      </c>
    </row>
    <row r="1427" spans="1:17" hidden="1">
      <c r="A1427" t="s">
        <v>1532</v>
      </c>
      <c r="B1427" s="1">
        <v>45113</v>
      </c>
      <c r="C1427">
        <v>2023</v>
      </c>
      <c r="D1427">
        <v>7</v>
      </c>
      <c r="E1427" t="s">
        <v>37</v>
      </c>
      <c r="F1427" t="s">
        <v>14</v>
      </c>
      <c r="G1427" t="s">
        <v>38</v>
      </c>
      <c r="H1427" t="s">
        <v>118</v>
      </c>
      <c r="I1427">
        <v>5560.73</v>
      </c>
      <c r="J1427">
        <v>6057.58</v>
      </c>
      <c r="K1427" t="s">
        <v>17</v>
      </c>
      <c r="L1427" t="b">
        <v>0</v>
      </c>
      <c r="N1427" s="2" t="str">
        <f t="shared" si="127"/>
        <v/>
      </c>
      <c r="Q1427" t="str">
        <f t="shared" si="128"/>
        <v/>
      </c>
    </row>
    <row r="1428" spans="1:17" hidden="1">
      <c r="A1428" t="s">
        <v>1533</v>
      </c>
      <c r="B1428" s="1">
        <v>45113</v>
      </c>
      <c r="C1428">
        <v>2023</v>
      </c>
      <c r="D1428">
        <v>7</v>
      </c>
      <c r="E1428" t="s">
        <v>37</v>
      </c>
      <c r="F1428" t="s">
        <v>28</v>
      </c>
      <c r="G1428" t="s">
        <v>41</v>
      </c>
      <c r="H1428" t="s">
        <v>42</v>
      </c>
      <c r="I1428">
        <v>4762.91</v>
      </c>
      <c r="J1428">
        <v>4807.16</v>
      </c>
      <c r="K1428" t="s">
        <v>17</v>
      </c>
      <c r="L1428" t="b">
        <v>0</v>
      </c>
      <c r="N1428" s="2" t="str">
        <f t="shared" si="127"/>
        <v/>
      </c>
      <c r="Q1428" t="str">
        <f t="shared" si="128"/>
        <v/>
      </c>
    </row>
    <row r="1429" spans="1:17" hidden="1">
      <c r="A1429" t="s">
        <v>1534</v>
      </c>
      <c r="B1429" s="1">
        <v>45114</v>
      </c>
      <c r="C1429">
        <v>2023</v>
      </c>
      <c r="D1429">
        <v>7</v>
      </c>
      <c r="E1429" t="s">
        <v>13</v>
      </c>
      <c r="F1429" t="s">
        <v>28</v>
      </c>
      <c r="G1429" t="s">
        <v>15</v>
      </c>
      <c r="H1429" t="s">
        <v>89</v>
      </c>
      <c r="I1429">
        <v>4517.6000000000004</v>
      </c>
      <c r="J1429">
        <v>4106.5</v>
      </c>
      <c r="K1429" t="s">
        <v>17</v>
      </c>
      <c r="L1429" t="b">
        <v>0</v>
      </c>
      <c r="N1429" s="2" t="str">
        <f t="shared" si="127"/>
        <v/>
      </c>
      <c r="Q1429" t="str">
        <f t="shared" si="128"/>
        <v/>
      </c>
    </row>
    <row r="1430" spans="1:17" hidden="1">
      <c r="A1430" t="s">
        <v>1535</v>
      </c>
      <c r="B1430" s="1">
        <v>45114</v>
      </c>
      <c r="C1430">
        <v>2023</v>
      </c>
      <c r="D1430">
        <v>7</v>
      </c>
      <c r="E1430" t="s">
        <v>47</v>
      </c>
      <c r="F1430" t="s">
        <v>28</v>
      </c>
      <c r="G1430" t="s">
        <v>51</v>
      </c>
      <c r="H1430" t="s">
        <v>189</v>
      </c>
      <c r="I1430">
        <v>8907.7800000000007</v>
      </c>
      <c r="J1430">
        <v>7587.89</v>
      </c>
      <c r="K1430" t="s">
        <v>17</v>
      </c>
      <c r="L1430" t="b">
        <v>0</v>
      </c>
      <c r="N1430" s="2" t="b">
        <f t="shared" si="127"/>
        <v>1</v>
      </c>
      <c r="O1430" t="str">
        <f t="shared" ref="O1430:O1431" si="129">IF(AND(E1419="HR",K1419="EXPENSE"),I1419&lt;J1419,"")</f>
        <v/>
      </c>
      <c r="Q1430" t="str">
        <f t="shared" si="128"/>
        <v/>
      </c>
    </row>
    <row r="1431" spans="1:17" hidden="1">
      <c r="A1431" t="s">
        <v>1536</v>
      </c>
      <c r="B1431" s="1">
        <v>45114</v>
      </c>
      <c r="C1431">
        <v>2023</v>
      </c>
      <c r="D1431">
        <v>7</v>
      </c>
      <c r="E1431" t="s">
        <v>47</v>
      </c>
      <c r="F1431" t="s">
        <v>24</v>
      </c>
      <c r="G1431" t="s">
        <v>48</v>
      </c>
      <c r="H1431" t="s">
        <v>111</v>
      </c>
      <c r="I1431">
        <v>16022.39</v>
      </c>
      <c r="J1431">
        <v>13179.75</v>
      </c>
      <c r="K1431" t="s">
        <v>17</v>
      </c>
      <c r="L1431" t="b">
        <v>0</v>
      </c>
      <c r="N1431" s="2" t="b">
        <f t="shared" si="127"/>
        <v>1</v>
      </c>
      <c r="O1431" t="str">
        <f t="shared" si="129"/>
        <v/>
      </c>
      <c r="Q1431" t="str">
        <f t="shared" si="128"/>
        <v/>
      </c>
    </row>
    <row r="1432" spans="1:17" hidden="1">
      <c r="A1432" t="s">
        <v>1537</v>
      </c>
      <c r="B1432" s="1">
        <v>45114</v>
      </c>
      <c r="C1432">
        <v>2023</v>
      </c>
      <c r="D1432">
        <v>7</v>
      </c>
      <c r="E1432" t="s">
        <v>19</v>
      </c>
      <c r="F1432" t="s">
        <v>24</v>
      </c>
      <c r="G1432" t="s">
        <v>54</v>
      </c>
      <c r="H1432" t="s">
        <v>57</v>
      </c>
      <c r="I1432">
        <v>9728.91</v>
      </c>
      <c r="J1432">
        <v>10036.65</v>
      </c>
      <c r="K1432" t="s">
        <v>17</v>
      </c>
      <c r="L1432" t="b">
        <v>0</v>
      </c>
      <c r="N1432" s="2" t="str">
        <f t="shared" si="127"/>
        <v/>
      </c>
      <c r="Q1432" t="str">
        <f t="shared" si="128"/>
        <v/>
      </c>
    </row>
    <row r="1433" spans="1:17" hidden="1">
      <c r="A1433" t="s">
        <v>1538</v>
      </c>
      <c r="B1433" s="1">
        <v>45115</v>
      </c>
      <c r="C1433">
        <v>2023</v>
      </c>
      <c r="D1433">
        <v>7</v>
      </c>
      <c r="E1433" t="s">
        <v>47</v>
      </c>
      <c r="F1433" t="s">
        <v>28</v>
      </c>
      <c r="G1433" t="s">
        <v>91</v>
      </c>
      <c r="H1433" t="s">
        <v>249</v>
      </c>
      <c r="I1433">
        <v>11607.07</v>
      </c>
      <c r="J1433">
        <v>9980.27</v>
      </c>
      <c r="K1433" t="s">
        <v>17</v>
      </c>
      <c r="L1433" t="b">
        <v>0</v>
      </c>
      <c r="N1433" s="2" t="b">
        <f t="shared" si="127"/>
        <v>1</v>
      </c>
      <c r="O1433" t="str">
        <f>IF(AND(E1422="HR",K1422="EXPENSE"),I1422&lt;J1422,"")</f>
        <v/>
      </c>
      <c r="Q1433" t="str">
        <f t="shared" si="128"/>
        <v/>
      </c>
    </row>
    <row r="1434" spans="1:17" hidden="1">
      <c r="A1434" t="s">
        <v>1539</v>
      </c>
      <c r="B1434" s="1">
        <v>45115</v>
      </c>
      <c r="C1434">
        <v>2023</v>
      </c>
      <c r="D1434">
        <v>7</v>
      </c>
      <c r="E1434" t="s">
        <v>19</v>
      </c>
      <c r="F1434" t="s">
        <v>14</v>
      </c>
      <c r="G1434" t="s">
        <v>80</v>
      </c>
      <c r="H1434" t="s">
        <v>81</v>
      </c>
      <c r="I1434">
        <v>8821.8700000000008</v>
      </c>
      <c r="J1434">
        <v>9392.8700000000008</v>
      </c>
      <c r="K1434" t="s">
        <v>17</v>
      </c>
      <c r="L1434" t="b">
        <v>0</v>
      </c>
      <c r="N1434" s="2" t="str">
        <f t="shared" si="127"/>
        <v/>
      </c>
      <c r="Q1434" t="str">
        <f t="shared" si="128"/>
        <v/>
      </c>
    </row>
    <row r="1435" spans="1:17" hidden="1">
      <c r="A1435" t="s">
        <v>1540</v>
      </c>
      <c r="B1435" s="1">
        <v>45115</v>
      </c>
      <c r="C1435">
        <v>2023</v>
      </c>
      <c r="D1435">
        <v>7</v>
      </c>
      <c r="E1435" t="s">
        <v>19</v>
      </c>
      <c r="F1435" t="s">
        <v>24</v>
      </c>
      <c r="G1435" t="s">
        <v>80</v>
      </c>
      <c r="H1435" t="s">
        <v>217</v>
      </c>
      <c r="I1435">
        <v>4216.5200000000004</v>
      </c>
      <c r="J1435">
        <v>4218.57</v>
      </c>
      <c r="K1435" t="s">
        <v>17</v>
      </c>
      <c r="L1435" t="b">
        <v>0</v>
      </c>
      <c r="N1435" s="2" t="str">
        <f t="shared" si="127"/>
        <v/>
      </c>
      <c r="Q1435" t="str">
        <f t="shared" si="128"/>
        <v/>
      </c>
    </row>
    <row r="1436" spans="1:17" hidden="1">
      <c r="A1436" t="s">
        <v>1541</v>
      </c>
      <c r="B1436" s="1">
        <v>45115</v>
      </c>
      <c r="C1436">
        <v>2023</v>
      </c>
      <c r="D1436">
        <v>7</v>
      </c>
      <c r="E1436" t="s">
        <v>23</v>
      </c>
      <c r="F1436" t="s">
        <v>28</v>
      </c>
      <c r="G1436" t="s">
        <v>59</v>
      </c>
      <c r="H1436" t="s">
        <v>60</v>
      </c>
      <c r="I1436">
        <v>7463.58</v>
      </c>
      <c r="J1436">
        <v>7093.85</v>
      </c>
      <c r="K1436" t="s">
        <v>17</v>
      </c>
      <c r="L1436" t="b">
        <v>0</v>
      </c>
      <c r="N1436" s="2" t="str">
        <f t="shared" si="127"/>
        <v/>
      </c>
      <c r="Q1436" t="str">
        <f t="shared" si="128"/>
        <v/>
      </c>
    </row>
    <row r="1437" spans="1:17" hidden="1">
      <c r="A1437" t="s">
        <v>1542</v>
      </c>
      <c r="B1437" s="1">
        <v>45115</v>
      </c>
      <c r="C1437">
        <v>2023</v>
      </c>
      <c r="D1437">
        <v>7</v>
      </c>
      <c r="E1437" t="s">
        <v>37</v>
      </c>
      <c r="F1437" t="s">
        <v>28</v>
      </c>
      <c r="G1437" t="s">
        <v>41</v>
      </c>
      <c r="H1437" t="s">
        <v>42</v>
      </c>
      <c r="I1437">
        <v>4628.13</v>
      </c>
      <c r="J1437">
        <v>4821.99</v>
      </c>
      <c r="K1437" t="s">
        <v>17</v>
      </c>
      <c r="L1437" t="b">
        <v>0</v>
      </c>
      <c r="N1437" s="2" t="str">
        <f t="shared" si="127"/>
        <v/>
      </c>
      <c r="Q1437" t="str">
        <f t="shared" si="128"/>
        <v/>
      </c>
    </row>
    <row r="1438" spans="1:17" hidden="1">
      <c r="A1438" t="s">
        <v>1543</v>
      </c>
      <c r="B1438" s="1">
        <v>45116</v>
      </c>
      <c r="C1438">
        <v>2023</v>
      </c>
      <c r="D1438">
        <v>7</v>
      </c>
      <c r="E1438" t="s">
        <v>13</v>
      </c>
      <c r="F1438" t="s">
        <v>14</v>
      </c>
      <c r="G1438" t="s">
        <v>102</v>
      </c>
      <c r="H1438" t="s">
        <v>103</v>
      </c>
      <c r="I1438">
        <v>3681.5</v>
      </c>
      <c r="J1438">
        <v>3921.58</v>
      </c>
      <c r="K1438" t="s">
        <v>17</v>
      </c>
      <c r="L1438" t="b">
        <v>0</v>
      </c>
      <c r="N1438" s="2" t="str">
        <f t="shared" si="127"/>
        <v/>
      </c>
      <c r="Q1438" t="str">
        <f t="shared" si="128"/>
        <v/>
      </c>
    </row>
    <row r="1439" spans="1:17" hidden="1">
      <c r="A1439" t="s">
        <v>1544</v>
      </c>
      <c r="B1439" s="1">
        <v>45116</v>
      </c>
      <c r="C1439">
        <v>2023</v>
      </c>
      <c r="D1439">
        <v>7</v>
      </c>
      <c r="E1439" t="s">
        <v>47</v>
      </c>
      <c r="F1439" t="s">
        <v>14</v>
      </c>
      <c r="G1439" t="s">
        <v>91</v>
      </c>
      <c r="H1439" t="s">
        <v>92</v>
      </c>
      <c r="I1439">
        <v>13148.86</v>
      </c>
      <c r="J1439">
        <v>11241.48</v>
      </c>
      <c r="K1439" t="s">
        <v>17</v>
      </c>
      <c r="L1439" t="b">
        <v>0</v>
      </c>
      <c r="N1439" s="2" t="b">
        <f t="shared" si="127"/>
        <v>1</v>
      </c>
      <c r="O1439" t="str">
        <f t="shared" ref="O1439:O1441" si="130">IF(AND(E1428="HR",K1428="EXPENSE"),I1428&lt;J1428,"")</f>
        <v/>
      </c>
      <c r="Q1439" t="str">
        <f t="shared" si="128"/>
        <v/>
      </c>
    </row>
    <row r="1440" spans="1:17" hidden="1">
      <c r="A1440" t="s">
        <v>1545</v>
      </c>
      <c r="B1440" s="1">
        <v>45116</v>
      </c>
      <c r="C1440">
        <v>2023</v>
      </c>
      <c r="D1440">
        <v>7</v>
      </c>
      <c r="E1440" t="s">
        <v>47</v>
      </c>
      <c r="F1440" t="s">
        <v>14</v>
      </c>
      <c r="G1440" t="s">
        <v>77</v>
      </c>
      <c r="H1440" t="s">
        <v>130</v>
      </c>
      <c r="I1440">
        <v>21706.03</v>
      </c>
      <c r="J1440">
        <v>18852.830000000002</v>
      </c>
      <c r="K1440" t="s">
        <v>17</v>
      </c>
      <c r="L1440" t="b">
        <v>0</v>
      </c>
      <c r="N1440" s="2" t="b">
        <f t="shared" si="127"/>
        <v>1</v>
      </c>
      <c r="O1440" t="b">
        <f t="shared" si="130"/>
        <v>0</v>
      </c>
      <c r="Q1440" t="str">
        <f t="shared" si="128"/>
        <v/>
      </c>
    </row>
    <row r="1441" spans="1:17" hidden="1">
      <c r="A1441" t="s">
        <v>1546</v>
      </c>
      <c r="B1441" s="1">
        <v>45116</v>
      </c>
      <c r="C1441">
        <v>2023</v>
      </c>
      <c r="D1441">
        <v>7</v>
      </c>
      <c r="E1441" t="s">
        <v>47</v>
      </c>
      <c r="F1441" t="s">
        <v>28</v>
      </c>
      <c r="G1441" t="s">
        <v>91</v>
      </c>
      <c r="H1441" t="s">
        <v>92</v>
      </c>
      <c r="I1441">
        <v>12622.57</v>
      </c>
      <c r="J1441">
        <v>10670.26</v>
      </c>
      <c r="K1441" t="s">
        <v>17</v>
      </c>
      <c r="L1441" t="b">
        <v>0</v>
      </c>
      <c r="N1441" s="2" t="b">
        <f t="shared" si="127"/>
        <v>1</v>
      </c>
      <c r="O1441" t="str">
        <f t="shared" si="130"/>
        <v/>
      </c>
      <c r="Q1441" t="str">
        <f t="shared" si="128"/>
        <v/>
      </c>
    </row>
    <row r="1442" spans="1:17" hidden="1">
      <c r="A1442" t="s">
        <v>1547</v>
      </c>
      <c r="B1442" s="1">
        <v>45116</v>
      </c>
      <c r="C1442">
        <v>2023</v>
      </c>
      <c r="D1442">
        <v>7</v>
      </c>
      <c r="E1442" t="s">
        <v>23</v>
      </c>
      <c r="F1442" t="s">
        <v>28</v>
      </c>
      <c r="G1442" t="s">
        <v>25</v>
      </c>
      <c r="H1442" t="s">
        <v>26</v>
      </c>
      <c r="I1442">
        <v>5298.54</v>
      </c>
      <c r="J1442">
        <v>5386.63</v>
      </c>
      <c r="K1442" t="s">
        <v>17</v>
      </c>
      <c r="L1442" t="b">
        <v>0</v>
      </c>
      <c r="N1442" s="2" t="str">
        <f t="shared" si="127"/>
        <v/>
      </c>
      <c r="Q1442" t="str">
        <f t="shared" si="128"/>
        <v/>
      </c>
    </row>
    <row r="1443" spans="1:17" hidden="1">
      <c r="A1443" t="s">
        <v>1548</v>
      </c>
      <c r="B1443" s="1">
        <v>45117</v>
      </c>
      <c r="C1443">
        <v>2023</v>
      </c>
      <c r="D1443">
        <v>7</v>
      </c>
      <c r="E1443" t="s">
        <v>47</v>
      </c>
      <c r="F1443" t="s">
        <v>14</v>
      </c>
      <c r="G1443" t="s">
        <v>91</v>
      </c>
      <c r="H1443" t="s">
        <v>92</v>
      </c>
      <c r="I1443">
        <v>30281.71</v>
      </c>
      <c r="J1443">
        <v>25647.85</v>
      </c>
      <c r="K1443" t="s">
        <v>17</v>
      </c>
      <c r="L1443" t="b">
        <v>0</v>
      </c>
      <c r="N1443" s="2" t="b">
        <f t="shared" si="127"/>
        <v>1</v>
      </c>
      <c r="O1443" t="str">
        <f t="shared" ref="O1443:O1444" si="131">IF(AND(E1432="HR",K1432="EXPENSE"),I1432&lt;J1432,"")</f>
        <v/>
      </c>
      <c r="Q1443" t="str">
        <f t="shared" si="128"/>
        <v/>
      </c>
    </row>
    <row r="1444" spans="1:17" hidden="1">
      <c r="A1444" t="s">
        <v>1549</v>
      </c>
      <c r="B1444" s="1">
        <v>45117</v>
      </c>
      <c r="C1444">
        <v>2023</v>
      </c>
      <c r="D1444">
        <v>7</v>
      </c>
      <c r="E1444" t="s">
        <v>47</v>
      </c>
      <c r="F1444" t="s">
        <v>28</v>
      </c>
      <c r="G1444" t="s">
        <v>77</v>
      </c>
      <c r="H1444" t="s">
        <v>78</v>
      </c>
      <c r="I1444">
        <v>18449.38</v>
      </c>
      <c r="J1444">
        <v>15201.66</v>
      </c>
      <c r="K1444" t="s">
        <v>17</v>
      </c>
      <c r="L1444" t="b">
        <v>0</v>
      </c>
      <c r="N1444" s="2" t="b">
        <f t="shared" si="127"/>
        <v>1</v>
      </c>
      <c r="O1444" t="str">
        <f t="shared" si="131"/>
        <v/>
      </c>
      <c r="Q1444" t="str">
        <f t="shared" si="128"/>
        <v/>
      </c>
    </row>
    <row r="1445" spans="1:17" hidden="1">
      <c r="A1445" t="s">
        <v>1550</v>
      </c>
      <c r="B1445" s="1">
        <v>45117</v>
      </c>
      <c r="C1445">
        <v>2023</v>
      </c>
      <c r="D1445">
        <v>7</v>
      </c>
      <c r="E1445" t="s">
        <v>37</v>
      </c>
      <c r="F1445" t="s">
        <v>14</v>
      </c>
      <c r="G1445" t="s">
        <v>98</v>
      </c>
      <c r="H1445" t="s">
        <v>99</v>
      </c>
      <c r="I1445">
        <v>5266.72</v>
      </c>
      <c r="J1445">
        <v>4894.29</v>
      </c>
      <c r="K1445" t="s">
        <v>17</v>
      </c>
      <c r="L1445" t="b">
        <v>0</v>
      </c>
      <c r="N1445" s="2" t="str">
        <f t="shared" si="127"/>
        <v/>
      </c>
      <c r="Q1445" t="str">
        <f t="shared" si="128"/>
        <v/>
      </c>
    </row>
    <row r="1446" spans="1:17" hidden="1">
      <c r="A1446" t="s">
        <v>1551</v>
      </c>
      <c r="B1446" s="1">
        <v>45118</v>
      </c>
      <c r="C1446">
        <v>2023</v>
      </c>
      <c r="D1446">
        <v>7</v>
      </c>
      <c r="E1446" t="s">
        <v>13</v>
      </c>
      <c r="F1446" t="s">
        <v>14</v>
      </c>
      <c r="G1446" t="s">
        <v>15</v>
      </c>
      <c r="H1446" t="s">
        <v>45</v>
      </c>
      <c r="I1446">
        <v>3094.92</v>
      </c>
      <c r="J1446">
        <v>3399.82</v>
      </c>
      <c r="K1446" t="s">
        <v>17</v>
      </c>
      <c r="L1446" t="b">
        <v>0</v>
      </c>
      <c r="N1446" s="2" t="str">
        <f t="shared" si="127"/>
        <v/>
      </c>
      <c r="Q1446" t="str">
        <f t="shared" si="128"/>
        <v/>
      </c>
    </row>
    <row r="1447" spans="1:17" hidden="1">
      <c r="A1447" t="s">
        <v>1552</v>
      </c>
      <c r="B1447" s="1">
        <v>45118</v>
      </c>
      <c r="C1447">
        <v>2023</v>
      </c>
      <c r="D1447">
        <v>7</v>
      </c>
      <c r="E1447" t="s">
        <v>13</v>
      </c>
      <c r="F1447" t="s">
        <v>24</v>
      </c>
      <c r="G1447" t="s">
        <v>102</v>
      </c>
      <c r="H1447" t="s">
        <v>278</v>
      </c>
      <c r="I1447">
        <v>3061.66</v>
      </c>
      <c r="J1447">
        <v>2807.58</v>
      </c>
      <c r="K1447" t="s">
        <v>17</v>
      </c>
      <c r="L1447" t="b">
        <v>0</v>
      </c>
      <c r="N1447" s="2" t="str">
        <f t="shared" si="127"/>
        <v/>
      </c>
      <c r="Q1447" t="str">
        <f t="shared" si="128"/>
        <v/>
      </c>
    </row>
    <row r="1448" spans="1:17" hidden="1">
      <c r="A1448" t="s">
        <v>1553</v>
      </c>
      <c r="B1448" s="1">
        <v>45118</v>
      </c>
      <c r="C1448">
        <v>2023</v>
      </c>
      <c r="D1448">
        <v>7</v>
      </c>
      <c r="E1448" t="s">
        <v>47</v>
      </c>
      <c r="F1448" t="s">
        <v>14</v>
      </c>
      <c r="G1448" t="s">
        <v>77</v>
      </c>
      <c r="H1448" t="s">
        <v>78</v>
      </c>
      <c r="I1448">
        <v>20346.759999999998</v>
      </c>
      <c r="J1448">
        <v>17441.29</v>
      </c>
      <c r="K1448" t="s">
        <v>17</v>
      </c>
      <c r="L1448" t="b">
        <v>0</v>
      </c>
      <c r="N1448" s="2" t="b">
        <f t="shared" si="127"/>
        <v>1</v>
      </c>
      <c r="O1448" t="str">
        <f t="shared" ref="O1448:O1450" si="132">IF(AND(E1437="HR",K1437="EXPENSE"),I1437&lt;J1437,"")</f>
        <v/>
      </c>
      <c r="Q1448" t="str">
        <f t="shared" si="128"/>
        <v/>
      </c>
    </row>
    <row r="1449" spans="1:17" hidden="1">
      <c r="A1449" t="s">
        <v>1554</v>
      </c>
      <c r="B1449" s="1">
        <v>45118</v>
      </c>
      <c r="C1449">
        <v>2023</v>
      </c>
      <c r="D1449">
        <v>7</v>
      </c>
      <c r="E1449" t="s">
        <v>47</v>
      </c>
      <c r="F1449" t="s">
        <v>24</v>
      </c>
      <c r="G1449" t="s">
        <v>77</v>
      </c>
      <c r="H1449" t="s">
        <v>147</v>
      </c>
      <c r="I1449">
        <v>14276.23</v>
      </c>
      <c r="J1449">
        <v>12200.28</v>
      </c>
      <c r="K1449" t="s">
        <v>17</v>
      </c>
      <c r="L1449" t="b">
        <v>0</v>
      </c>
      <c r="N1449" s="2" t="b">
        <f t="shared" si="127"/>
        <v>1</v>
      </c>
      <c r="O1449" t="b">
        <f t="shared" si="132"/>
        <v>1</v>
      </c>
      <c r="Q1449" t="str">
        <f t="shared" si="128"/>
        <v/>
      </c>
    </row>
    <row r="1450" spans="1:17" hidden="1">
      <c r="A1450" t="s">
        <v>1555</v>
      </c>
      <c r="B1450" s="1">
        <v>45118</v>
      </c>
      <c r="C1450">
        <v>2023</v>
      </c>
      <c r="D1450">
        <v>7</v>
      </c>
      <c r="E1450" t="s">
        <v>47</v>
      </c>
      <c r="F1450" t="s">
        <v>24</v>
      </c>
      <c r="G1450" t="s">
        <v>91</v>
      </c>
      <c r="H1450" t="s">
        <v>128</v>
      </c>
      <c r="I1450">
        <v>14677.44</v>
      </c>
      <c r="J1450">
        <v>12673.06</v>
      </c>
      <c r="K1450" t="s">
        <v>17</v>
      </c>
      <c r="L1450" t="b">
        <v>0</v>
      </c>
      <c r="N1450" s="2" t="b">
        <f t="shared" si="127"/>
        <v>1</v>
      </c>
      <c r="O1450" t="str">
        <f t="shared" si="132"/>
        <v/>
      </c>
      <c r="Q1450" t="str">
        <f t="shared" si="128"/>
        <v/>
      </c>
    </row>
    <row r="1451" spans="1:17" hidden="1">
      <c r="A1451" t="s">
        <v>1556</v>
      </c>
      <c r="B1451" s="1">
        <v>45118</v>
      </c>
      <c r="C1451">
        <v>2023</v>
      </c>
      <c r="D1451">
        <v>7</v>
      </c>
      <c r="E1451" t="s">
        <v>23</v>
      </c>
      <c r="F1451" t="s">
        <v>14</v>
      </c>
      <c r="G1451" t="s">
        <v>59</v>
      </c>
      <c r="H1451" t="s">
        <v>155</v>
      </c>
      <c r="I1451">
        <v>6829.02</v>
      </c>
      <c r="J1451">
        <v>6328.06</v>
      </c>
      <c r="K1451" t="s">
        <v>17</v>
      </c>
      <c r="L1451" t="b">
        <v>0</v>
      </c>
      <c r="N1451" s="2" t="str">
        <f t="shared" si="127"/>
        <v/>
      </c>
      <c r="Q1451" t="str">
        <f t="shared" si="128"/>
        <v/>
      </c>
    </row>
    <row r="1452" spans="1:17" hidden="1">
      <c r="A1452" t="s">
        <v>1557</v>
      </c>
      <c r="B1452" s="1">
        <v>45118</v>
      </c>
      <c r="C1452">
        <v>2023</v>
      </c>
      <c r="D1452">
        <v>7</v>
      </c>
      <c r="E1452" t="s">
        <v>37</v>
      </c>
      <c r="F1452" t="s">
        <v>14</v>
      </c>
      <c r="G1452" t="s">
        <v>98</v>
      </c>
      <c r="H1452" t="s">
        <v>185</v>
      </c>
      <c r="I1452">
        <v>4570.13</v>
      </c>
      <c r="J1452">
        <v>4410.37</v>
      </c>
      <c r="K1452" t="s">
        <v>17</v>
      </c>
      <c r="L1452" t="b">
        <v>0</v>
      </c>
      <c r="N1452" s="2" t="str">
        <f t="shared" si="127"/>
        <v/>
      </c>
      <c r="Q1452" t="str">
        <f t="shared" si="128"/>
        <v/>
      </c>
    </row>
    <row r="1453" spans="1:17" hidden="1">
      <c r="A1453" t="s">
        <v>1558</v>
      </c>
      <c r="B1453" s="1">
        <v>45118</v>
      </c>
      <c r="C1453">
        <v>2023</v>
      </c>
      <c r="D1453">
        <v>7</v>
      </c>
      <c r="E1453" t="s">
        <v>37</v>
      </c>
      <c r="F1453" t="s">
        <v>24</v>
      </c>
      <c r="G1453" t="s">
        <v>41</v>
      </c>
      <c r="H1453" t="s">
        <v>42</v>
      </c>
      <c r="I1453">
        <v>3429.56</v>
      </c>
      <c r="J1453">
        <v>3647.2</v>
      </c>
      <c r="K1453" t="s">
        <v>17</v>
      </c>
      <c r="L1453" t="b">
        <v>0</v>
      </c>
      <c r="N1453" s="2" t="str">
        <f t="shared" si="127"/>
        <v/>
      </c>
      <c r="Q1453" t="str">
        <f t="shared" si="128"/>
        <v/>
      </c>
    </row>
    <row r="1454" spans="1:17" hidden="1">
      <c r="A1454" t="s">
        <v>1559</v>
      </c>
      <c r="B1454" s="1">
        <v>45118</v>
      </c>
      <c r="C1454">
        <v>2023</v>
      </c>
      <c r="D1454">
        <v>7</v>
      </c>
      <c r="E1454" t="s">
        <v>37</v>
      </c>
      <c r="F1454" t="s">
        <v>24</v>
      </c>
      <c r="G1454" t="s">
        <v>98</v>
      </c>
      <c r="H1454" t="s">
        <v>185</v>
      </c>
      <c r="I1454">
        <v>4066.02</v>
      </c>
      <c r="J1454">
        <v>4226.3500000000004</v>
      </c>
      <c r="K1454" t="s">
        <v>17</v>
      </c>
      <c r="L1454" t="b">
        <v>0</v>
      </c>
      <c r="N1454" s="2" t="str">
        <f t="shared" si="127"/>
        <v/>
      </c>
      <c r="Q1454" t="str">
        <f t="shared" si="128"/>
        <v/>
      </c>
    </row>
    <row r="1455" spans="1:17" hidden="1">
      <c r="A1455" t="s">
        <v>1560</v>
      </c>
      <c r="B1455" s="1">
        <v>45119</v>
      </c>
      <c r="C1455">
        <v>2023</v>
      </c>
      <c r="D1455">
        <v>7</v>
      </c>
      <c r="E1455" t="s">
        <v>13</v>
      </c>
      <c r="F1455" t="s">
        <v>28</v>
      </c>
      <c r="G1455" t="s">
        <v>68</v>
      </c>
      <c r="H1455" t="s">
        <v>87</v>
      </c>
      <c r="I1455">
        <v>3160.53</v>
      </c>
      <c r="J1455">
        <v>3060.23</v>
      </c>
      <c r="K1455" t="s">
        <v>17</v>
      </c>
      <c r="L1455" t="b">
        <v>0</v>
      </c>
      <c r="N1455" s="2" t="str">
        <f t="shared" si="127"/>
        <v/>
      </c>
      <c r="Q1455" t="str">
        <f t="shared" si="128"/>
        <v/>
      </c>
    </row>
    <row r="1456" spans="1:17" hidden="1">
      <c r="A1456" t="s">
        <v>1561</v>
      </c>
      <c r="B1456" s="1">
        <v>45119</v>
      </c>
      <c r="C1456">
        <v>2023</v>
      </c>
      <c r="D1456">
        <v>7</v>
      </c>
      <c r="E1456" t="s">
        <v>47</v>
      </c>
      <c r="F1456" t="s">
        <v>28</v>
      </c>
      <c r="G1456" t="s">
        <v>77</v>
      </c>
      <c r="H1456" t="s">
        <v>78</v>
      </c>
      <c r="I1456">
        <v>15676.83</v>
      </c>
      <c r="J1456">
        <v>12935.32</v>
      </c>
      <c r="K1456" t="s">
        <v>17</v>
      </c>
      <c r="L1456" t="b">
        <v>0</v>
      </c>
      <c r="N1456" s="2" t="b">
        <f t="shared" si="127"/>
        <v>1</v>
      </c>
      <c r="O1456" t="str">
        <f>IF(AND(E1445="HR",K1445="EXPENSE"),I1445&lt;J1445,"")</f>
        <v/>
      </c>
      <c r="Q1456" t="str">
        <f t="shared" si="128"/>
        <v/>
      </c>
    </row>
    <row r="1457" spans="1:17" hidden="1">
      <c r="A1457" t="s">
        <v>1562</v>
      </c>
      <c r="B1457" s="1">
        <v>45119</v>
      </c>
      <c r="C1457">
        <v>2023</v>
      </c>
      <c r="D1457">
        <v>7</v>
      </c>
      <c r="E1457" t="s">
        <v>19</v>
      </c>
      <c r="F1457" t="s">
        <v>28</v>
      </c>
      <c r="G1457" t="s">
        <v>20</v>
      </c>
      <c r="H1457" t="s">
        <v>174</v>
      </c>
      <c r="I1457">
        <v>6597.89</v>
      </c>
      <c r="J1457">
        <v>6094.67</v>
      </c>
      <c r="K1457" t="s">
        <v>17</v>
      </c>
      <c r="L1457" t="b">
        <v>0</v>
      </c>
      <c r="N1457" s="2" t="str">
        <f t="shared" si="127"/>
        <v/>
      </c>
      <c r="Q1457" t="str">
        <f t="shared" si="128"/>
        <v/>
      </c>
    </row>
    <row r="1458" spans="1:17" hidden="1">
      <c r="A1458" t="s">
        <v>1563</v>
      </c>
      <c r="B1458" s="1">
        <v>45119</v>
      </c>
      <c r="C1458">
        <v>2023</v>
      </c>
      <c r="D1458">
        <v>7</v>
      </c>
      <c r="E1458" t="s">
        <v>23</v>
      </c>
      <c r="F1458" t="s">
        <v>28</v>
      </c>
      <c r="G1458" t="s">
        <v>30</v>
      </c>
      <c r="H1458" t="s">
        <v>33</v>
      </c>
      <c r="I1458">
        <v>4629.9399999999996</v>
      </c>
      <c r="J1458">
        <v>5059.12</v>
      </c>
      <c r="K1458" t="s">
        <v>17</v>
      </c>
      <c r="L1458" t="b">
        <v>0</v>
      </c>
      <c r="N1458" s="2" t="str">
        <f t="shared" si="127"/>
        <v/>
      </c>
      <c r="Q1458" t="str">
        <f t="shared" si="128"/>
        <v/>
      </c>
    </row>
    <row r="1459" spans="1:17" hidden="1">
      <c r="A1459" t="s">
        <v>1564</v>
      </c>
      <c r="B1459" s="1">
        <v>45119</v>
      </c>
      <c r="C1459">
        <v>2023</v>
      </c>
      <c r="D1459">
        <v>7</v>
      </c>
      <c r="E1459" t="s">
        <v>23</v>
      </c>
      <c r="F1459" t="s">
        <v>28</v>
      </c>
      <c r="G1459" t="s">
        <v>59</v>
      </c>
      <c r="H1459" t="s">
        <v>60</v>
      </c>
      <c r="I1459">
        <v>8193.36</v>
      </c>
      <c r="J1459">
        <v>8261.16</v>
      </c>
      <c r="K1459" t="s">
        <v>17</v>
      </c>
      <c r="L1459" t="b">
        <v>0</v>
      </c>
      <c r="N1459" s="2" t="str">
        <f t="shared" si="127"/>
        <v/>
      </c>
      <c r="Q1459" t="str">
        <f t="shared" si="128"/>
        <v/>
      </c>
    </row>
    <row r="1460" spans="1:17" hidden="1">
      <c r="A1460" t="s">
        <v>1565</v>
      </c>
      <c r="B1460" s="1">
        <v>45119</v>
      </c>
      <c r="C1460">
        <v>2023</v>
      </c>
      <c r="D1460">
        <v>7</v>
      </c>
      <c r="E1460" t="s">
        <v>37</v>
      </c>
      <c r="F1460" t="s">
        <v>14</v>
      </c>
      <c r="G1460" t="s">
        <v>62</v>
      </c>
      <c r="H1460" t="s">
        <v>121</v>
      </c>
      <c r="I1460">
        <v>4566.57</v>
      </c>
      <c r="J1460">
        <v>4456.1000000000004</v>
      </c>
      <c r="K1460" t="s">
        <v>17</v>
      </c>
      <c r="L1460" t="b">
        <v>0</v>
      </c>
      <c r="N1460" s="2" t="str">
        <f t="shared" si="127"/>
        <v/>
      </c>
      <c r="Q1460" t="str">
        <f t="shared" si="128"/>
        <v/>
      </c>
    </row>
    <row r="1461" spans="1:17" hidden="1">
      <c r="A1461" t="s">
        <v>1566</v>
      </c>
      <c r="B1461" s="1">
        <v>45119</v>
      </c>
      <c r="C1461">
        <v>2023</v>
      </c>
      <c r="D1461">
        <v>7</v>
      </c>
      <c r="E1461" t="s">
        <v>37</v>
      </c>
      <c r="F1461" t="s">
        <v>28</v>
      </c>
      <c r="G1461" t="s">
        <v>98</v>
      </c>
      <c r="H1461" t="s">
        <v>99</v>
      </c>
      <c r="I1461">
        <v>2177.75</v>
      </c>
      <c r="J1461">
        <v>1972.46</v>
      </c>
      <c r="K1461" t="s">
        <v>17</v>
      </c>
      <c r="L1461" t="b">
        <v>0</v>
      </c>
      <c r="N1461" s="2" t="str">
        <f t="shared" si="127"/>
        <v/>
      </c>
      <c r="Q1461" t="str">
        <f t="shared" si="128"/>
        <v/>
      </c>
    </row>
    <row r="1462" spans="1:17" hidden="1">
      <c r="A1462" t="s">
        <v>1567</v>
      </c>
      <c r="B1462" s="1">
        <v>45120</v>
      </c>
      <c r="C1462">
        <v>2023</v>
      </c>
      <c r="D1462">
        <v>7</v>
      </c>
      <c r="E1462" t="s">
        <v>13</v>
      </c>
      <c r="F1462" t="s">
        <v>28</v>
      </c>
      <c r="G1462" t="s">
        <v>15</v>
      </c>
      <c r="H1462" t="s">
        <v>16</v>
      </c>
      <c r="I1462">
        <v>4641.79</v>
      </c>
      <c r="J1462">
        <v>4737.55</v>
      </c>
      <c r="K1462" t="s">
        <v>17</v>
      </c>
      <c r="L1462" t="b">
        <v>0</v>
      </c>
      <c r="N1462" s="2" t="str">
        <f t="shared" si="127"/>
        <v/>
      </c>
      <c r="Q1462" t="str">
        <f t="shared" si="128"/>
        <v/>
      </c>
    </row>
    <row r="1463" spans="1:17" hidden="1">
      <c r="A1463" t="s">
        <v>1568</v>
      </c>
      <c r="B1463" s="1">
        <v>45120</v>
      </c>
      <c r="C1463">
        <v>2023</v>
      </c>
      <c r="D1463">
        <v>7</v>
      </c>
      <c r="E1463" t="s">
        <v>13</v>
      </c>
      <c r="F1463" t="s">
        <v>24</v>
      </c>
      <c r="G1463" t="s">
        <v>108</v>
      </c>
      <c r="H1463" t="s">
        <v>123</v>
      </c>
      <c r="I1463">
        <v>4023.78</v>
      </c>
      <c r="J1463">
        <v>4306.37</v>
      </c>
      <c r="K1463" t="s">
        <v>17</v>
      </c>
      <c r="L1463" t="b">
        <v>0</v>
      </c>
      <c r="N1463" s="2" t="str">
        <f t="shared" si="127"/>
        <v/>
      </c>
      <c r="Q1463" t="str">
        <f t="shared" si="128"/>
        <v/>
      </c>
    </row>
    <row r="1464" spans="1:17" hidden="1">
      <c r="A1464" t="s">
        <v>1569</v>
      </c>
      <c r="B1464" s="1">
        <v>45120</v>
      </c>
      <c r="C1464">
        <v>2023</v>
      </c>
      <c r="D1464">
        <v>7</v>
      </c>
      <c r="E1464" t="s">
        <v>47</v>
      </c>
      <c r="F1464" t="s">
        <v>14</v>
      </c>
      <c r="G1464" t="s">
        <v>77</v>
      </c>
      <c r="H1464" t="s">
        <v>130</v>
      </c>
      <c r="I1464">
        <v>15863.04</v>
      </c>
      <c r="J1464">
        <v>13599.89</v>
      </c>
      <c r="K1464" t="s">
        <v>17</v>
      </c>
      <c r="L1464" t="b">
        <v>0</v>
      </c>
      <c r="N1464" s="2" t="b">
        <f t="shared" si="127"/>
        <v>1</v>
      </c>
      <c r="O1464" t="str">
        <f>IF(AND(E1453="HR",K1453="EXPENSE"),I1453&lt;J1453,"")</f>
        <v/>
      </c>
      <c r="Q1464" t="str">
        <f t="shared" si="128"/>
        <v/>
      </c>
    </row>
    <row r="1465" spans="1:17" hidden="1">
      <c r="A1465" t="s">
        <v>1570</v>
      </c>
      <c r="B1465" s="1">
        <v>45120</v>
      </c>
      <c r="C1465">
        <v>2023</v>
      </c>
      <c r="D1465">
        <v>7</v>
      </c>
      <c r="E1465" t="s">
        <v>37</v>
      </c>
      <c r="F1465" t="s">
        <v>14</v>
      </c>
      <c r="G1465" t="s">
        <v>62</v>
      </c>
      <c r="H1465" t="s">
        <v>360</v>
      </c>
      <c r="I1465">
        <v>5055.38</v>
      </c>
      <c r="J1465">
        <v>4954.49</v>
      </c>
      <c r="K1465" t="s">
        <v>17</v>
      </c>
      <c r="L1465" t="b">
        <v>0</v>
      </c>
      <c r="N1465" s="2" t="str">
        <f t="shared" si="127"/>
        <v/>
      </c>
      <c r="Q1465" t="str">
        <f t="shared" si="128"/>
        <v/>
      </c>
    </row>
    <row r="1466" spans="1:17" hidden="1">
      <c r="A1466" t="s">
        <v>1571</v>
      </c>
      <c r="B1466" s="1">
        <v>45120</v>
      </c>
      <c r="C1466">
        <v>2023</v>
      </c>
      <c r="D1466">
        <v>7</v>
      </c>
      <c r="E1466" t="s">
        <v>37</v>
      </c>
      <c r="F1466" t="s">
        <v>28</v>
      </c>
      <c r="G1466" t="s">
        <v>98</v>
      </c>
      <c r="H1466" t="s">
        <v>99</v>
      </c>
      <c r="I1466">
        <v>3887.87</v>
      </c>
      <c r="J1466">
        <v>3926.65</v>
      </c>
      <c r="K1466" t="s">
        <v>17</v>
      </c>
      <c r="L1466" t="b">
        <v>0</v>
      </c>
      <c r="N1466" s="2" t="str">
        <f t="shared" si="127"/>
        <v/>
      </c>
      <c r="Q1466" t="str">
        <f t="shared" si="128"/>
        <v/>
      </c>
    </row>
    <row r="1467" spans="1:17" hidden="1">
      <c r="A1467" t="s">
        <v>1572</v>
      </c>
      <c r="B1467" s="1">
        <v>45120</v>
      </c>
      <c r="C1467">
        <v>2023</v>
      </c>
      <c r="D1467">
        <v>7</v>
      </c>
      <c r="E1467" t="s">
        <v>37</v>
      </c>
      <c r="F1467" t="s">
        <v>24</v>
      </c>
      <c r="G1467" t="s">
        <v>62</v>
      </c>
      <c r="H1467" t="s">
        <v>66</v>
      </c>
      <c r="I1467">
        <v>4051.39</v>
      </c>
      <c r="J1467">
        <v>3919.68</v>
      </c>
      <c r="K1467" t="s">
        <v>17</v>
      </c>
      <c r="L1467" t="b">
        <v>0</v>
      </c>
      <c r="N1467" s="2" t="str">
        <f t="shared" si="127"/>
        <v/>
      </c>
      <c r="Q1467" t="str">
        <f t="shared" si="128"/>
        <v/>
      </c>
    </row>
    <row r="1468" spans="1:17" hidden="1">
      <c r="A1468" t="s">
        <v>1573</v>
      </c>
      <c r="B1468" s="1">
        <v>45121</v>
      </c>
      <c r="C1468">
        <v>2023</v>
      </c>
      <c r="D1468">
        <v>7</v>
      </c>
      <c r="E1468" t="s">
        <v>13</v>
      </c>
      <c r="F1468" t="s">
        <v>28</v>
      </c>
      <c r="G1468" t="s">
        <v>15</v>
      </c>
      <c r="H1468" t="s">
        <v>89</v>
      </c>
      <c r="I1468">
        <v>6075.85</v>
      </c>
      <c r="J1468">
        <v>5743.22</v>
      </c>
      <c r="K1468" t="s">
        <v>17</v>
      </c>
      <c r="L1468" t="b">
        <v>0</v>
      </c>
      <c r="N1468" s="2" t="str">
        <f t="shared" si="127"/>
        <v/>
      </c>
      <c r="Q1468" t="str">
        <f t="shared" si="128"/>
        <v/>
      </c>
    </row>
    <row r="1469" spans="1:17" hidden="1">
      <c r="A1469" t="s">
        <v>1574</v>
      </c>
      <c r="B1469" s="1">
        <v>45121</v>
      </c>
      <c r="C1469">
        <v>2023</v>
      </c>
      <c r="D1469">
        <v>7</v>
      </c>
      <c r="E1469" t="s">
        <v>47</v>
      </c>
      <c r="F1469" t="s">
        <v>24</v>
      </c>
      <c r="G1469" t="s">
        <v>77</v>
      </c>
      <c r="H1469" t="s">
        <v>78</v>
      </c>
      <c r="I1469">
        <v>15240.19</v>
      </c>
      <c r="J1469">
        <v>12505.9</v>
      </c>
      <c r="K1469" t="s">
        <v>17</v>
      </c>
      <c r="L1469" t="b">
        <v>0</v>
      </c>
      <c r="N1469" s="2" t="b">
        <f t="shared" si="127"/>
        <v>1</v>
      </c>
      <c r="O1469" t="str">
        <f>IF(AND(E1458="HR",K1458="EXPENSE"),I1458&lt;J1458,"")</f>
        <v/>
      </c>
      <c r="Q1469" t="str">
        <f t="shared" si="128"/>
        <v/>
      </c>
    </row>
    <row r="1470" spans="1:17" hidden="1">
      <c r="A1470" t="s">
        <v>1575</v>
      </c>
      <c r="B1470" s="1">
        <v>45121</v>
      </c>
      <c r="C1470">
        <v>2023</v>
      </c>
      <c r="D1470">
        <v>7</v>
      </c>
      <c r="E1470" t="s">
        <v>19</v>
      </c>
      <c r="F1470" t="s">
        <v>28</v>
      </c>
      <c r="G1470" t="s">
        <v>54</v>
      </c>
      <c r="H1470" t="s">
        <v>57</v>
      </c>
      <c r="I1470">
        <v>7717.32</v>
      </c>
      <c r="J1470">
        <v>7795.52</v>
      </c>
      <c r="K1470" t="s">
        <v>17</v>
      </c>
      <c r="L1470" t="b">
        <v>0</v>
      </c>
      <c r="N1470" s="2" t="str">
        <f t="shared" si="127"/>
        <v/>
      </c>
      <c r="Q1470" t="str">
        <f t="shared" si="128"/>
        <v/>
      </c>
    </row>
    <row r="1471" spans="1:17" hidden="1">
      <c r="A1471" t="s">
        <v>1576</v>
      </c>
      <c r="B1471" s="1">
        <v>45121</v>
      </c>
      <c r="C1471">
        <v>2023</v>
      </c>
      <c r="D1471">
        <v>7</v>
      </c>
      <c r="E1471" t="s">
        <v>23</v>
      </c>
      <c r="F1471" t="s">
        <v>24</v>
      </c>
      <c r="G1471" t="s">
        <v>141</v>
      </c>
      <c r="H1471" t="s">
        <v>153</v>
      </c>
      <c r="I1471">
        <v>5002.8900000000003</v>
      </c>
      <c r="J1471">
        <v>5259.29</v>
      </c>
      <c r="K1471" t="s">
        <v>17</v>
      </c>
      <c r="L1471" t="b">
        <v>0</v>
      </c>
      <c r="N1471" s="2" t="str">
        <f t="shared" si="127"/>
        <v/>
      </c>
      <c r="Q1471" t="str">
        <f t="shared" si="128"/>
        <v/>
      </c>
    </row>
    <row r="1472" spans="1:17" hidden="1">
      <c r="A1472" t="s">
        <v>1577</v>
      </c>
      <c r="B1472" s="1">
        <v>45121</v>
      </c>
      <c r="C1472">
        <v>2023</v>
      </c>
      <c r="D1472">
        <v>7</v>
      </c>
      <c r="E1472" t="s">
        <v>23</v>
      </c>
      <c r="F1472" t="s">
        <v>24</v>
      </c>
      <c r="G1472" t="s">
        <v>141</v>
      </c>
      <c r="H1472" t="s">
        <v>142</v>
      </c>
      <c r="I1472">
        <v>5868.55</v>
      </c>
      <c r="J1472">
        <v>5416.84</v>
      </c>
      <c r="K1472" t="s">
        <v>17</v>
      </c>
      <c r="L1472" t="b">
        <v>0</v>
      </c>
      <c r="N1472" s="2" t="str">
        <f t="shared" si="127"/>
        <v/>
      </c>
      <c r="Q1472" t="str">
        <f t="shared" si="128"/>
        <v/>
      </c>
    </row>
    <row r="1473" spans="1:17" hidden="1">
      <c r="A1473" t="s">
        <v>1578</v>
      </c>
      <c r="B1473" s="1">
        <v>45121</v>
      </c>
      <c r="C1473">
        <v>2023</v>
      </c>
      <c r="D1473">
        <v>7</v>
      </c>
      <c r="E1473" t="s">
        <v>37</v>
      </c>
      <c r="F1473" t="s">
        <v>28</v>
      </c>
      <c r="G1473" t="s">
        <v>98</v>
      </c>
      <c r="H1473" t="s">
        <v>185</v>
      </c>
      <c r="I1473">
        <v>2819.64</v>
      </c>
      <c r="J1473">
        <v>2710.93</v>
      </c>
      <c r="K1473" t="s">
        <v>17</v>
      </c>
      <c r="L1473" t="b">
        <v>0</v>
      </c>
      <c r="N1473" s="2" t="str">
        <f t="shared" si="127"/>
        <v/>
      </c>
      <c r="Q1473" t="str">
        <f t="shared" si="128"/>
        <v/>
      </c>
    </row>
    <row r="1474" spans="1:17" hidden="1">
      <c r="A1474" t="s">
        <v>1579</v>
      </c>
      <c r="B1474" s="1">
        <v>45122</v>
      </c>
      <c r="C1474">
        <v>2023</v>
      </c>
      <c r="D1474">
        <v>7</v>
      </c>
      <c r="E1474" t="s">
        <v>13</v>
      </c>
      <c r="F1474" t="s">
        <v>14</v>
      </c>
      <c r="G1474" t="s">
        <v>102</v>
      </c>
      <c r="H1474" t="s">
        <v>103</v>
      </c>
      <c r="I1474">
        <v>5141.21</v>
      </c>
      <c r="J1474">
        <v>4997.75</v>
      </c>
      <c r="K1474" t="s">
        <v>17</v>
      </c>
      <c r="L1474" t="b">
        <v>0</v>
      </c>
      <c r="N1474" s="2" t="str">
        <f t="shared" si="127"/>
        <v/>
      </c>
      <c r="Q1474" t="str">
        <f t="shared" si="128"/>
        <v/>
      </c>
    </row>
    <row r="1475" spans="1:17" hidden="1">
      <c r="A1475" t="s">
        <v>1580</v>
      </c>
      <c r="B1475" s="1">
        <v>45122</v>
      </c>
      <c r="C1475">
        <v>2023</v>
      </c>
      <c r="D1475">
        <v>7</v>
      </c>
      <c r="E1475" t="s">
        <v>13</v>
      </c>
      <c r="F1475" t="s">
        <v>14</v>
      </c>
      <c r="G1475" t="s">
        <v>108</v>
      </c>
      <c r="H1475" t="s">
        <v>123</v>
      </c>
      <c r="I1475">
        <v>5594.14</v>
      </c>
      <c r="J1475">
        <v>5358.56</v>
      </c>
      <c r="K1475" t="s">
        <v>17</v>
      </c>
      <c r="L1475" t="b">
        <v>0</v>
      </c>
      <c r="N1475" s="2" t="str">
        <f t="shared" ref="N1475:N1538" si="133">IF(AND(E1475="IT",K1475="EXPENSE"),I1475&gt;J1475,"")</f>
        <v/>
      </c>
      <c r="Q1475" t="str">
        <f t="shared" ref="Q1475:Q1538" si="134">IF(L1475=TRUE,OR(H1475="Apex Solutions Inc",H1475="Global Trade Partners",H1475="NovaTech Services"),"")</f>
        <v/>
      </c>
    </row>
    <row r="1476" spans="1:17" hidden="1">
      <c r="A1476" t="s">
        <v>1581</v>
      </c>
      <c r="B1476" s="1">
        <v>45122</v>
      </c>
      <c r="C1476">
        <v>2023</v>
      </c>
      <c r="D1476">
        <v>7</v>
      </c>
      <c r="E1476" t="s">
        <v>13</v>
      </c>
      <c r="F1476" t="s">
        <v>28</v>
      </c>
      <c r="G1476" t="s">
        <v>68</v>
      </c>
      <c r="H1476" t="s">
        <v>213</v>
      </c>
      <c r="I1476">
        <v>4902.26</v>
      </c>
      <c r="J1476">
        <v>4682.5600000000004</v>
      </c>
      <c r="K1476" t="s">
        <v>17</v>
      </c>
      <c r="L1476" t="b">
        <v>0</v>
      </c>
      <c r="N1476" s="2" t="str">
        <f t="shared" si="133"/>
        <v/>
      </c>
      <c r="Q1476" t="str">
        <f t="shared" si="134"/>
        <v/>
      </c>
    </row>
    <row r="1477" spans="1:17" hidden="1">
      <c r="A1477" t="s">
        <v>1582</v>
      </c>
      <c r="B1477" s="1">
        <v>45122</v>
      </c>
      <c r="C1477">
        <v>2023</v>
      </c>
      <c r="D1477">
        <v>7</v>
      </c>
      <c r="E1477" t="s">
        <v>47</v>
      </c>
      <c r="F1477" t="s">
        <v>24</v>
      </c>
      <c r="G1477" t="s">
        <v>48</v>
      </c>
      <c r="H1477" t="s">
        <v>49</v>
      </c>
      <c r="I1477">
        <v>18534.59</v>
      </c>
      <c r="J1477">
        <v>15428.65</v>
      </c>
      <c r="K1477" t="s">
        <v>17</v>
      </c>
      <c r="L1477" t="b">
        <v>0</v>
      </c>
      <c r="N1477" s="2" t="b">
        <f t="shared" si="133"/>
        <v>1</v>
      </c>
      <c r="O1477" t="str">
        <f>IF(AND(E1466="HR",K1466="EXPENSE"),I1466&lt;J1466,"")</f>
        <v/>
      </c>
      <c r="Q1477" t="str">
        <f t="shared" si="134"/>
        <v/>
      </c>
    </row>
    <row r="1478" spans="1:17" hidden="1">
      <c r="A1478" t="s">
        <v>1583</v>
      </c>
      <c r="B1478" s="1">
        <v>45122</v>
      </c>
      <c r="C1478">
        <v>2023</v>
      </c>
      <c r="D1478">
        <v>7</v>
      </c>
      <c r="E1478" t="s">
        <v>19</v>
      </c>
      <c r="F1478" t="s">
        <v>28</v>
      </c>
      <c r="G1478" t="s">
        <v>54</v>
      </c>
      <c r="H1478" t="s">
        <v>57</v>
      </c>
      <c r="I1478">
        <v>8124.09</v>
      </c>
      <c r="J1478">
        <v>7422.9</v>
      </c>
      <c r="K1478" t="s">
        <v>17</v>
      </c>
      <c r="L1478" t="b">
        <v>0</v>
      </c>
      <c r="N1478" s="2" t="str">
        <f t="shared" si="133"/>
        <v/>
      </c>
      <c r="Q1478" t="str">
        <f t="shared" si="134"/>
        <v/>
      </c>
    </row>
    <row r="1479" spans="1:17" hidden="1">
      <c r="A1479" t="s">
        <v>1584</v>
      </c>
      <c r="B1479" s="1">
        <v>45122</v>
      </c>
      <c r="C1479">
        <v>2023</v>
      </c>
      <c r="D1479">
        <v>7</v>
      </c>
      <c r="E1479" t="s">
        <v>23</v>
      </c>
      <c r="F1479" t="s">
        <v>14</v>
      </c>
      <c r="G1479" t="s">
        <v>141</v>
      </c>
      <c r="H1479" t="s">
        <v>142</v>
      </c>
      <c r="I1479">
        <v>4490.29</v>
      </c>
      <c r="J1479">
        <v>4200.13</v>
      </c>
      <c r="K1479" t="s">
        <v>17</v>
      </c>
      <c r="L1479" t="b">
        <v>0</v>
      </c>
      <c r="N1479" s="2" t="str">
        <f t="shared" si="133"/>
        <v/>
      </c>
      <c r="Q1479" t="str">
        <f t="shared" si="134"/>
        <v/>
      </c>
    </row>
    <row r="1480" spans="1:17" hidden="1">
      <c r="A1480" t="s">
        <v>1585</v>
      </c>
      <c r="B1480" s="1">
        <v>45122</v>
      </c>
      <c r="C1480">
        <v>2023</v>
      </c>
      <c r="D1480">
        <v>7</v>
      </c>
      <c r="E1480" t="s">
        <v>23</v>
      </c>
      <c r="F1480" t="s">
        <v>24</v>
      </c>
      <c r="G1480" t="s">
        <v>141</v>
      </c>
      <c r="H1480" t="s">
        <v>209</v>
      </c>
      <c r="I1480">
        <v>5350.02</v>
      </c>
      <c r="J1480">
        <v>5219.3</v>
      </c>
      <c r="K1480" t="s">
        <v>17</v>
      </c>
      <c r="L1480" t="b">
        <v>0</v>
      </c>
      <c r="N1480" s="2" t="str">
        <f t="shared" si="133"/>
        <v/>
      </c>
      <c r="Q1480" t="str">
        <f t="shared" si="134"/>
        <v/>
      </c>
    </row>
    <row r="1481" spans="1:17" hidden="1">
      <c r="A1481" t="s">
        <v>1586</v>
      </c>
      <c r="B1481" s="1">
        <v>45122</v>
      </c>
      <c r="C1481">
        <v>2023</v>
      </c>
      <c r="D1481">
        <v>7</v>
      </c>
      <c r="E1481" t="s">
        <v>37</v>
      </c>
      <c r="F1481" t="s">
        <v>24</v>
      </c>
      <c r="G1481" t="s">
        <v>98</v>
      </c>
      <c r="H1481" t="s">
        <v>185</v>
      </c>
      <c r="I1481">
        <v>4063.44</v>
      </c>
      <c r="J1481">
        <v>4333.55</v>
      </c>
      <c r="K1481" t="s">
        <v>17</v>
      </c>
      <c r="L1481" t="b">
        <v>0</v>
      </c>
      <c r="N1481" s="2" t="str">
        <f t="shared" si="133"/>
        <v/>
      </c>
      <c r="Q1481" t="str">
        <f t="shared" si="134"/>
        <v/>
      </c>
    </row>
    <row r="1482" spans="1:17" hidden="1">
      <c r="A1482" t="s">
        <v>1587</v>
      </c>
      <c r="B1482" s="1">
        <v>45123</v>
      </c>
      <c r="C1482">
        <v>2023</v>
      </c>
      <c r="D1482">
        <v>7</v>
      </c>
      <c r="E1482" t="s">
        <v>13</v>
      </c>
      <c r="F1482" t="s">
        <v>14</v>
      </c>
      <c r="G1482" t="s">
        <v>102</v>
      </c>
      <c r="H1482" t="s">
        <v>278</v>
      </c>
      <c r="I1482">
        <v>2422.15</v>
      </c>
      <c r="J1482">
        <v>2277.56</v>
      </c>
      <c r="K1482" t="s">
        <v>17</v>
      </c>
      <c r="L1482" t="b">
        <v>0</v>
      </c>
      <c r="N1482" s="2" t="str">
        <f t="shared" si="133"/>
        <v/>
      </c>
      <c r="Q1482" t="str">
        <f t="shared" si="134"/>
        <v/>
      </c>
    </row>
    <row r="1483" spans="1:17" hidden="1">
      <c r="A1483" t="s">
        <v>1588</v>
      </c>
      <c r="B1483" s="1">
        <v>45123</v>
      </c>
      <c r="C1483">
        <v>2023</v>
      </c>
      <c r="D1483">
        <v>7</v>
      </c>
      <c r="E1483" t="s">
        <v>13</v>
      </c>
      <c r="F1483" t="s">
        <v>24</v>
      </c>
      <c r="G1483" t="s">
        <v>68</v>
      </c>
      <c r="H1483" t="s">
        <v>87</v>
      </c>
      <c r="I1483">
        <v>4393.3500000000004</v>
      </c>
      <c r="J1483">
        <v>4537.3</v>
      </c>
      <c r="K1483" t="s">
        <v>17</v>
      </c>
      <c r="L1483" t="b">
        <v>0</v>
      </c>
      <c r="N1483" s="2" t="str">
        <f t="shared" si="133"/>
        <v/>
      </c>
      <c r="Q1483" t="str">
        <f t="shared" si="134"/>
        <v/>
      </c>
    </row>
    <row r="1484" spans="1:17" hidden="1">
      <c r="A1484" t="s">
        <v>1589</v>
      </c>
      <c r="B1484" s="1">
        <v>45123</v>
      </c>
      <c r="C1484">
        <v>2023</v>
      </c>
      <c r="D1484">
        <v>7</v>
      </c>
      <c r="E1484" t="s">
        <v>47</v>
      </c>
      <c r="F1484" t="s">
        <v>24</v>
      </c>
      <c r="G1484" t="s">
        <v>51</v>
      </c>
      <c r="H1484" t="s">
        <v>189</v>
      </c>
      <c r="I1484">
        <v>7997.21</v>
      </c>
      <c r="J1484">
        <v>6775.17</v>
      </c>
      <c r="K1484" t="s">
        <v>17</v>
      </c>
      <c r="L1484" t="b">
        <v>0</v>
      </c>
      <c r="N1484" s="2" t="b">
        <f t="shared" si="133"/>
        <v>1</v>
      </c>
      <c r="O1484" t="str">
        <f>IF(AND(E1473="HR",K1473="EXPENSE"),I1473&lt;J1473,"")</f>
        <v/>
      </c>
      <c r="Q1484" t="str">
        <f t="shared" si="134"/>
        <v/>
      </c>
    </row>
    <row r="1485" spans="1:17" hidden="1">
      <c r="A1485" t="s">
        <v>1590</v>
      </c>
      <c r="B1485" s="1">
        <v>45123</v>
      </c>
      <c r="C1485">
        <v>2023</v>
      </c>
      <c r="D1485">
        <v>7</v>
      </c>
      <c r="E1485" t="s">
        <v>19</v>
      </c>
      <c r="F1485" t="s">
        <v>24</v>
      </c>
      <c r="G1485" t="s">
        <v>54</v>
      </c>
      <c r="H1485" t="s">
        <v>163</v>
      </c>
      <c r="I1485">
        <v>6627.29</v>
      </c>
      <c r="J1485">
        <v>6187.51</v>
      </c>
      <c r="K1485" t="s">
        <v>17</v>
      </c>
      <c r="L1485" t="b">
        <v>0</v>
      </c>
      <c r="N1485" s="2" t="str">
        <f t="shared" si="133"/>
        <v/>
      </c>
      <c r="Q1485" t="str">
        <f t="shared" si="134"/>
        <v/>
      </c>
    </row>
    <row r="1486" spans="1:17" hidden="1">
      <c r="A1486" t="s">
        <v>1591</v>
      </c>
      <c r="B1486" s="1">
        <v>45123</v>
      </c>
      <c r="C1486">
        <v>2023</v>
      </c>
      <c r="D1486">
        <v>7</v>
      </c>
      <c r="E1486" t="s">
        <v>23</v>
      </c>
      <c r="F1486" t="s">
        <v>28</v>
      </c>
      <c r="G1486" t="s">
        <v>59</v>
      </c>
      <c r="H1486" t="s">
        <v>60</v>
      </c>
      <c r="I1486">
        <v>6707.69</v>
      </c>
      <c r="J1486">
        <v>6662.32</v>
      </c>
      <c r="K1486" t="s">
        <v>17</v>
      </c>
      <c r="L1486" t="b">
        <v>0</v>
      </c>
      <c r="N1486" s="2" t="str">
        <f t="shared" si="133"/>
        <v/>
      </c>
      <c r="Q1486" t="str">
        <f t="shared" si="134"/>
        <v/>
      </c>
    </row>
    <row r="1487" spans="1:17" hidden="1">
      <c r="A1487" t="s">
        <v>1592</v>
      </c>
      <c r="B1487" s="1">
        <v>45123</v>
      </c>
      <c r="C1487">
        <v>2023</v>
      </c>
      <c r="D1487">
        <v>7</v>
      </c>
      <c r="E1487" t="s">
        <v>37</v>
      </c>
      <c r="F1487" t="s">
        <v>28</v>
      </c>
      <c r="G1487" t="s">
        <v>62</v>
      </c>
      <c r="H1487" t="s">
        <v>63</v>
      </c>
      <c r="I1487">
        <v>3871.73</v>
      </c>
      <c r="J1487">
        <v>3808.35</v>
      </c>
      <c r="K1487" t="s">
        <v>17</v>
      </c>
      <c r="L1487" t="b">
        <v>0</v>
      </c>
      <c r="N1487" s="2" t="str">
        <f t="shared" si="133"/>
        <v/>
      </c>
      <c r="Q1487" t="str">
        <f t="shared" si="134"/>
        <v/>
      </c>
    </row>
    <row r="1488" spans="1:17" hidden="1">
      <c r="A1488" t="s">
        <v>1593</v>
      </c>
      <c r="B1488" s="1">
        <v>45124</v>
      </c>
      <c r="C1488">
        <v>2023</v>
      </c>
      <c r="D1488">
        <v>7</v>
      </c>
      <c r="E1488" t="s">
        <v>13</v>
      </c>
      <c r="F1488" t="s">
        <v>24</v>
      </c>
      <c r="G1488" t="s">
        <v>102</v>
      </c>
      <c r="H1488" t="s">
        <v>103</v>
      </c>
      <c r="I1488">
        <v>3520.33</v>
      </c>
      <c r="J1488">
        <v>3717.34</v>
      </c>
      <c r="K1488" t="s">
        <v>17</v>
      </c>
      <c r="L1488" t="b">
        <v>0</v>
      </c>
      <c r="N1488" s="2" t="str">
        <f t="shared" si="133"/>
        <v/>
      </c>
      <c r="Q1488" t="str">
        <f t="shared" si="134"/>
        <v/>
      </c>
    </row>
    <row r="1489" spans="1:17" hidden="1">
      <c r="A1489" t="s">
        <v>1594</v>
      </c>
      <c r="B1489" s="1">
        <v>45124</v>
      </c>
      <c r="C1489">
        <v>2023</v>
      </c>
      <c r="D1489">
        <v>7</v>
      </c>
      <c r="E1489" t="s">
        <v>19</v>
      </c>
      <c r="F1489" t="s">
        <v>14</v>
      </c>
      <c r="G1489" t="s">
        <v>54</v>
      </c>
      <c r="H1489" t="s">
        <v>57</v>
      </c>
      <c r="I1489">
        <v>7610.24</v>
      </c>
      <c r="J1489">
        <v>7395.95</v>
      </c>
      <c r="K1489" t="s">
        <v>17</v>
      </c>
      <c r="L1489" t="b">
        <v>0</v>
      </c>
      <c r="N1489" s="2" t="str">
        <f t="shared" si="133"/>
        <v/>
      </c>
      <c r="Q1489" t="str">
        <f t="shared" si="134"/>
        <v/>
      </c>
    </row>
    <row r="1490" spans="1:17" hidden="1">
      <c r="A1490" t="s">
        <v>1595</v>
      </c>
      <c r="B1490" s="1">
        <v>45124</v>
      </c>
      <c r="C1490">
        <v>2023</v>
      </c>
      <c r="D1490">
        <v>7</v>
      </c>
      <c r="E1490" t="s">
        <v>19</v>
      </c>
      <c r="F1490" t="s">
        <v>28</v>
      </c>
      <c r="G1490" t="s">
        <v>54</v>
      </c>
      <c r="H1490" t="s">
        <v>163</v>
      </c>
      <c r="I1490">
        <v>3891.82</v>
      </c>
      <c r="J1490">
        <v>4228.5</v>
      </c>
      <c r="K1490" t="s">
        <v>17</v>
      </c>
      <c r="L1490" t="b">
        <v>0</v>
      </c>
      <c r="N1490" s="2" t="str">
        <f t="shared" si="133"/>
        <v/>
      </c>
      <c r="Q1490" t="str">
        <f t="shared" si="134"/>
        <v/>
      </c>
    </row>
    <row r="1491" spans="1:17" hidden="1">
      <c r="A1491" t="s">
        <v>1596</v>
      </c>
      <c r="B1491" s="1">
        <v>45124</v>
      </c>
      <c r="C1491">
        <v>2023</v>
      </c>
      <c r="D1491">
        <v>7</v>
      </c>
      <c r="E1491" t="s">
        <v>19</v>
      </c>
      <c r="F1491" t="s">
        <v>28</v>
      </c>
      <c r="G1491" t="s">
        <v>54</v>
      </c>
      <c r="H1491" t="s">
        <v>163</v>
      </c>
      <c r="I1491">
        <v>9425.23</v>
      </c>
      <c r="J1491">
        <v>10018.4</v>
      </c>
      <c r="K1491" t="s">
        <v>17</v>
      </c>
      <c r="L1491" t="b">
        <v>0</v>
      </c>
      <c r="N1491" s="2" t="str">
        <f t="shared" si="133"/>
        <v/>
      </c>
      <c r="Q1491" t="str">
        <f t="shared" si="134"/>
        <v/>
      </c>
    </row>
    <row r="1492" spans="1:17" hidden="1">
      <c r="A1492" t="s">
        <v>1597</v>
      </c>
      <c r="B1492" s="1">
        <v>45124</v>
      </c>
      <c r="C1492">
        <v>2023</v>
      </c>
      <c r="D1492">
        <v>7</v>
      </c>
      <c r="E1492" t="s">
        <v>23</v>
      </c>
      <c r="F1492" t="s">
        <v>28</v>
      </c>
      <c r="G1492" t="s">
        <v>141</v>
      </c>
      <c r="H1492" t="s">
        <v>142</v>
      </c>
      <c r="I1492">
        <v>3849.7</v>
      </c>
      <c r="J1492">
        <v>3740.85</v>
      </c>
      <c r="K1492" t="s">
        <v>17</v>
      </c>
      <c r="L1492" t="b">
        <v>0</v>
      </c>
      <c r="N1492" s="2" t="str">
        <f t="shared" si="133"/>
        <v/>
      </c>
      <c r="Q1492" t="str">
        <f t="shared" si="134"/>
        <v/>
      </c>
    </row>
    <row r="1493" spans="1:17" hidden="1">
      <c r="A1493" t="s">
        <v>1598</v>
      </c>
      <c r="B1493" s="1">
        <v>45124</v>
      </c>
      <c r="C1493">
        <v>2023</v>
      </c>
      <c r="D1493">
        <v>7</v>
      </c>
      <c r="E1493" t="s">
        <v>37</v>
      </c>
      <c r="F1493" t="s">
        <v>28</v>
      </c>
      <c r="G1493" t="s">
        <v>98</v>
      </c>
      <c r="H1493" t="s">
        <v>99</v>
      </c>
      <c r="I1493">
        <v>4678.34</v>
      </c>
      <c r="J1493">
        <v>5077.37</v>
      </c>
      <c r="K1493" t="s">
        <v>17</v>
      </c>
      <c r="L1493" t="b">
        <v>0</v>
      </c>
      <c r="N1493" s="2" t="str">
        <f t="shared" si="133"/>
        <v/>
      </c>
      <c r="Q1493" t="str">
        <f t="shared" si="134"/>
        <v/>
      </c>
    </row>
    <row r="1494" spans="1:17" hidden="1">
      <c r="A1494" t="s">
        <v>1599</v>
      </c>
      <c r="B1494" s="1">
        <v>45124</v>
      </c>
      <c r="C1494">
        <v>2023</v>
      </c>
      <c r="D1494">
        <v>7</v>
      </c>
      <c r="E1494" t="s">
        <v>37</v>
      </c>
      <c r="F1494" t="s">
        <v>24</v>
      </c>
      <c r="G1494" t="s">
        <v>38</v>
      </c>
      <c r="H1494" t="s">
        <v>227</v>
      </c>
      <c r="I1494">
        <v>2794.65</v>
      </c>
      <c r="J1494">
        <v>3010.45</v>
      </c>
      <c r="K1494" t="s">
        <v>17</v>
      </c>
      <c r="L1494" t="b">
        <v>0</v>
      </c>
      <c r="N1494" s="2" t="str">
        <f t="shared" si="133"/>
        <v/>
      </c>
      <c r="Q1494" t="str">
        <f t="shared" si="134"/>
        <v/>
      </c>
    </row>
    <row r="1495" spans="1:17" hidden="1">
      <c r="A1495" t="s">
        <v>1600</v>
      </c>
      <c r="B1495" s="1">
        <v>45125</v>
      </c>
      <c r="C1495">
        <v>2023</v>
      </c>
      <c r="D1495">
        <v>7</v>
      </c>
      <c r="E1495" t="s">
        <v>13</v>
      </c>
      <c r="F1495" t="s">
        <v>28</v>
      </c>
      <c r="G1495" t="s">
        <v>68</v>
      </c>
      <c r="H1495" t="s">
        <v>87</v>
      </c>
      <c r="I1495">
        <v>3080.38</v>
      </c>
      <c r="J1495">
        <v>3232.6</v>
      </c>
      <c r="K1495" t="s">
        <v>17</v>
      </c>
      <c r="L1495" t="b">
        <v>0</v>
      </c>
      <c r="N1495" s="2" t="str">
        <f t="shared" si="133"/>
        <v/>
      </c>
      <c r="Q1495" t="str">
        <f t="shared" si="134"/>
        <v/>
      </c>
    </row>
    <row r="1496" spans="1:17" hidden="1">
      <c r="A1496" t="s">
        <v>1601</v>
      </c>
      <c r="B1496" s="1">
        <v>45125</v>
      </c>
      <c r="C1496">
        <v>2023</v>
      </c>
      <c r="D1496">
        <v>7</v>
      </c>
      <c r="E1496" t="s">
        <v>13</v>
      </c>
      <c r="F1496" t="s">
        <v>28</v>
      </c>
      <c r="G1496" t="s">
        <v>15</v>
      </c>
      <c r="H1496" t="s">
        <v>45</v>
      </c>
      <c r="I1496">
        <v>4024.42</v>
      </c>
      <c r="J1496">
        <v>3687.66</v>
      </c>
      <c r="K1496" t="s">
        <v>17</v>
      </c>
      <c r="L1496" t="b">
        <v>0</v>
      </c>
      <c r="N1496" s="2" t="str">
        <f t="shared" si="133"/>
        <v/>
      </c>
      <c r="Q1496" t="str">
        <f t="shared" si="134"/>
        <v/>
      </c>
    </row>
    <row r="1497" spans="1:17" hidden="1">
      <c r="A1497" t="s">
        <v>1602</v>
      </c>
      <c r="B1497" s="1">
        <v>45125</v>
      </c>
      <c r="C1497">
        <v>2023</v>
      </c>
      <c r="D1497">
        <v>7</v>
      </c>
      <c r="E1497" t="s">
        <v>47</v>
      </c>
      <c r="F1497" t="s">
        <v>28</v>
      </c>
      <c r="G1497" t="s">
        <v>51</v>
      </c>
      <c r="H1497" t="s">
        <v>72</v>
      </c>
      <c r="I1497">
        <v>13426.1</v>
      </c>
      <c r="J1497">
        <v>11211.82</v>
      </c>
      <c r="K1497" t="s">
        <v>17</v>
      </c>
      <c r="L1497" t="b">
        <v>0</v>
      </c>
      <c r="N1497" s="2" t="b">
        <f t="shared" si="133"/>
        <v>1</v>
      </c>
      <c r="O1497" t="str">
        <f>IF(AND(E1486="HR",K1486="EXPENSE"),I1486&lt;J1486,"")</f>
        <v/>
      </c>
      <c r="Q1497" t="str">
        <f t="shared" si="134"/>
        <v/>
      </c>
    </row>
    <row r="1498" spans="1:17" hidden="1">
      <c r="A1498" t="s">
        <v>1603</v>
      </c>
      <c r="B1498" s="1">
        <v>45125</v>
      </c>
      <c r="C1498">
        <v>2023</v>
      </c>
      <c r="D1498">
        <v>7</v>
      </c>
      <c r="E1498" t="s">
        <v>19</v>
      </c>
      <c r="F1498" t="s">
        <v>28</v>
      </c>
      <c r="G1498" t="s">
        <v>80</v>
      </c>
      <c r="H1498" t="s">
        <v>81</v>
      </c>
      <c r="I1498">
        <v>5548.85</v>
      </c>
      <c r="J1498">
        <v>5674.03</v>
      </c>
      <c r="K1498" t="s">
        <v>17</v>
      </c>
      <c r="L1498" t="b">
        <v>0</v>
      </c>
      <c r="N1498" s="2" t="str">
        <f t="shared" si="133"/>
        <v/>
      </c>
      <c r="Q1498" t="str">
        <f t="shared" si="134"/>
        <v/>
      </c>
    </row>
    <row r="1499" spans="1:17" hidden="1">
      <c r="A1499" t="s">
        <v>1604</v>
      </c>
      <c r="B1499" s="1">
        <v>45125</v>
      </c>
      <c r="C1499">
        <v>2023</v>
      </c>
      <c r="D1499">
        <v>7</v>
      </c>
      <c r="E1499" t="s">
        <v>23</v>
      </c>
      <c r="F1499" t="s">
        <v>14</v>
      </c>
      <c r="G1499" t="s">
        <v>30</v>
      </c>
      <c r="H1499" t="s">
        <v>31</v>
      </c>
      <c r="I1499">
        <v>6660.08</v>
      </c>
      <c r="J1499">
        <v>6530.48</v>
      </c>
      <c r="K1499" t="s">
        <v>17</v>
      </c>
      <c r="L1499" t="b">
        <v>0</v>
      </c>
      <c r="N1499" s="2" t="str">
        <f t="shared" si="133"/>
        <v/>
      </c>
      <c r="Q1499" t="str">
        <f t="shared" si="134"/>
        <v/>
      </c>
    </row>
    <row r="1500" spans="1:17" hidden="1">
      <c r="A1500" t="s">
        <v>1605</v>
      </c>
      <c r="B1500" s="1">
        <v>45125</v>
      </c>
      <c r="C1500">
        <v>2023</v>
      </c>
      <c r="D1500">
        <v>7</v>
      </c>
      <c r="E1500" t="s">
        <v>23</v>
      </c>
      <c r="F1500" t="s">
        <v>28</v>
      </c>
      <c r="G1500" t="s">
        <v>141</v>
      </c>
      <c r="H1500" t="s">
        <v>142</v>
      </c>
      <c r="I1500">
        <v>2827.36</v>
      </c>
      <c r="J1500">
        <v>3025.25</v>
      </c>
      <c r="K1500" t="s">
        <v>17</v>
      </c>
      <c r="L1500" t="b">
        <v>0</v>
      </c>
      <c r="N1500" s="2" t="str">
        <f t="shared" si="133"/>
        <v/>
      </c>
      <c r="Q1500" t="str">
        <f t="shared" si="134"/>
        <v/>
      </c>
    </row>
    <row r="1501" spans="1:17" hidden="1">
      <c r="A1501" t="s">
        <v>1606</v>
      </c>
      <c r="B1501" s="1">
        <v>45125</v>
      </c>
      <c r="C1501">
        <v>2023</v>
      </c>
      <c r="D1501">
        <v>7</v>
      </c>
      <c r="E1501" t="s">
        <v>23</v>
      </c>
      <c r="F1501" t="s">
        <v>24</v>
      </c>
      <c r="G1501" t="s">
        <v>25</v>
      </c>
      <c r="H1501" t="s">
        <v>95</v>
      </c>
      <c r="I1501">
        <v>3087.89</v>
      </c>
      <c r="J1501">
        <v>3356.37</v>
      </c>
      <c r="K1501" t="s">
        <v>17</v>
      </c>
      <c r="L1501" t="b">
        <v>0</v>
      </c>
      <c r="N1501" s="2" t="str">
        <f t="shared" si="133"/>
        <v/>
      </c>
      <c r="Q1501" t="str">
        <f t="shared" si="134"/>
        <v/>
      </c>
    </row>
    <row r="1502" spans="1:17" hidden="1">
      <c r="A1502" t="s">
        <v>1607</v>
      </c>
      <c r="B1502" s="1">
        <v>45125</v>
      </c>
      <c r="C1502">
        <v>2023</v>
      </c>
      <c r="D1502">
        <v>7</v>
      </c>
      <c r="E1502" t="s">
        <v>37</v>
      </c>
      <c r="F1502" t="s">
        <v>24</v>
      </c>
      <c r="G1502" t="s">
        <v>41</v>
      </c>
      <c r="H1502" t="s">
        <v>42</v>
      </c>
      <c r="I1502">
        <v>3232.66</v>
      </c>
      <c r="J1502">
        <v>3472.33</v>
      </c>
      <c r="K1502" t="s">
        <v>17</v>
      </c>
      <c r="L1502" t="b">
        <v>0</v>
      </c>
      <c r="N1502" s="2" t="str">
        <f t="shared" si="133"/>
        <v/>
      </c>
      <c r="Q1502" t="str">
        <f t="shared" si="134"/>
        <v/>
      </c>
    </row>
    <row r="1503" spans="1:17" hidden="1">
      <c r="A1503" t="s">
        <v>1608</v>
      </c>
      <c r="B1503" s="1">
        <v>45125</v>
      </c>
      <c r="C1503">
        <v>2023</v>
      </c>
      <c r="D1503">
        <v>7</v>
      </c>
      <c r="E1503" t="s">
        <v>37</v>
      </c>
      <c r="F1503" t="s">
        <v>24</v>
      </c>
      <c r="G1503" t="s">
        <v>38</v>
      </c>
      <c r="H1503" t="s">
        <v>227</v>
      </c>
      <c r="I1503">
        <v>3776.23</v>
      </c>
      <c r="J1503">
        <v>3696.6</v>
      </c>
      <c r="K1503" t="s">
        <v>17</v>
      </c>
      <c r="L1503" t="b">
        <v>0</v>
      </c>
      <c r="N1503" s="2" t="str">
        <f t="shared" si="133"/>
        <v/>
      </c>
      <c r="Q1503" t="str">
        <f t="shared" si="134"/>
        <v/>
      </c>
    </row>
    <row r="1504" spans="1:17" hidden="1">
      <c r="A1504" t="s">
        <v>1609</v>
      </c>
      <c r="B1504" s="1">
        <v>45125</v>
      </c>
      <c r="C1504">
        <v>2023</v>
      </c>
      <c r="D1504">
        <v>7</v>
      </c>
      <c r="E1504" t="s">
        <v>37</v>
      </c>
      <c r="F1504" t="s">
        <v>24</v>
      </c>
      <c r="G1504" t="s">
        <v>41</v>
      </c>
      <c r="H1504" t="s">
        <v>42</v>
      </c>
      <c r="I1504">
        <v>4641.57</v>
      </c>
      <c r="J1504">
        <v>4426.3599999999997</v>
      </c>
      <c r="K1504" t="s">
        <v>17</v>
      </c>
      <c r="L1504" t="b">
        <v>0</v>
      </c>
      <c r="N1504" s="2" t="str">
        <f t="shared" si="133"/>
        <v/>
      </c>
      <c r="Q1504" t="str">
        <f t="shared" si="134"/>
        <v/>
      </c>
    </row>
    <row r="1505" spans="1:17" hidden="1">
      <c r="A1505" t="s">
        <v>1610</v>
      </c>
      <c r="B1505" s="1">
        <v>45126</v>
      </c>
      <c r="C1505">
        <v>2023</v>
      </c>
      <c r="D1505">
        <v>7</v>
      </c>
      <c r="E1505" t="s">
        <v>13</v>
      </c>
      <c r="F1505" t="s">
        <v>14</v>
      </c>
      <c r="G1505" t="s">
        <v>15</v>
      </c>
      <c r="H1505" t="s">
        <v>45</v>
      </c>
      <c r="I1505">
        <v>4775.97</v>
      </c>
      <c r="J1505">
        <v>4829.6400000000003</v>
      </c>
      <c r="K1505" t="s">
        <v>17</v>
      </c>
      <c r="L1505" t="b">
        <v>0</v>
      </c>
      <c r="N1505" s="2" t="str">
        <f t="shared" si="133"/>
        <v/>
      </c>
      <c r="Q1505" t="str">
        <f t="shared" si="134"/>
        <v/>
      </c>
    </row>
    <row r="1506" spans="1:17" hidden="1">
      <c r="A1506" t="s">
        <v>1611</v>
      </c>
      <c r="B1506" s="1">
        <v>45126</v>
      </c>
      <c r="C1506">
        <v>2023</v>
      </c>
      <c r="D1506">
        <v>7</v>
      </c>
      <c r="E1506" t="s">
        <v>23</v>
      </c>
      <c r="F1506" t="s">
        <v>24</v>
      </c>
      <c r="G1506" t="s">
        <v>59</v>
      </c>
      <c r="H1506" t="s">
        <v>155</v>
      </c>
      <c r="I1506">
        <v>3426.64</v>
      </c>
      <c r="J1506">
        <v>3358.59</v>
      </c>
      <c r="K1506" t="s">
        <v>17</v>
      </c>
      <c r="L1506" t="b">
        <v>0</v>
      </c>
      <c r="N1506" s="2" t="str">
        <f t="shared" si="133"/>
        <v/>
      </c>
      <c r="Q1506" t="str">
        <f t="shared" si="134"/>
        <v/>
      </c>
    </row>
    <row r="1507" spans="1:17" hidden="1">
      <c r="A1507" t="s">
        <v>1612</v>
      </c>
      <c r="B1507" s="1">
        <v>45127</v>
      </c>
      <c r="C1507">
        <v>2023</v>
      </c>
      <c r="D1507">
        <v>7</v>
      </c>
      <c r="E1507" t="s">
        <v>13</v>
      </c>
      <c r="F1507" t="s">
        <v>28</v>
      </c>
      <c r="G1507" t="s">
        <v>102</v>
      </c>
      <c r="H1507" t="s">
        <v>145</v>
      </c>
      <c r="I1507">
        <v>5049.1400000000003</v>
      </c>
      <c r="J1507">
        <v>5227.3599999999997</v>
      </c>
      <c r="K1507" t="s">
        <v>17</v>
      </c>
      <c r="L1507" t="b">
        <v>0</v>
      </c>
      <c r="N1507" s="2" t="str">
        <f t="shared" si="133"/>
        <v/>
      </c>
      <c r="Q1507" t="str">
        <f t="shared" si="134"/>
        <v/>
      </c>
    </row>
    <row r="1508" spans="1:17" hidden="1">
      <c r="A1508" t="s">
        <v>1613</v>
      </c>
      <c r="B1508" s="1">
        <v>45127</v>
      </c>
      <c r="C1508">
        <v>2023</v>
      </c>
      <c r="D1508">
        <v>7</v>
      </c>
      <c r="E1508" t="s">
        <v>13</v>
      </c>
      <c r="F1508" t="s">
        <v>24</v>
      </c>
      <c r="G1508" t="s">
        <v>102</v>
      </c>
      <c r="H1508" t="s">
        <v>103</v>
      </c>
      <c r="I1508">
        <v>4375.59</v>
      </c>
      <c r="J1508">
        <v>4665.71</v>
      </c>
      <c r="K1508" t="s">
        <v>17</v>
      </c>
      <c r="L1508" t="b">
        <v>0</v>
      </c>
      <c r="N1508" s="2" t="str">
        <f t="shared" si="133"/>
        <v/>
      </c>
      <c r="Q1508" t="str">
        <f t="shared" si="134"/>
        <v/>
      </c>
    </row>
    <row r="1509" spans="1:17" hidden="1">
      <c r="A1509" t="s">
        <v>1614</v>
      </c>
      <c r="B1509" s="1">
        <v>45127</v>
      </c>
      <c r="C1509">
        <v>2023</v>
      </c>
      <c r="D1509">
        <v>7</v>
      </c>
      <c r="E1509" t="s">
        <v>47</v>
      </c>
      <c r="F1509" t="s">
        <v>24</v>
      </c>
      <c r="G1509" t="s">
        <v>48</v>
      </c>
      <c r="H1509" t="s">
        <v>189</v>
      </c>
      <c r="I1509">
        <v>14835.37</v>
      </c>
      <c r="J1509">
        <v>12546</v>
      </c>
      <c r="K1509" t="s">
        <v>17</v>
      </c>
      <c r="L1509" t="b">
        <v>0</v>
      </c>
      <c r="N1509" s="2" t="b">
        <f t="shared" si="133"/>
        <v>1</v>
      </c>
      <c r="O1509" t="str">
        <f>IF(AND(E1498="HR",K1498="EXPENSE"),I1498&lt;J1498,"")</f>
        <v/>
      </c>
      <c r="Q1509" t="str">
        <f t="shared" si="134"/>
        <v/>
      </c>
    </row>
    <row r="1510" spans="1:17" hidden="1">
      <c r="A1510" t="s">
        <v>1615</v>
      </c>
      <c r="B1510" s="1">
        <v>45127</v>
      </c>
      <c r="C1510">
        <v>2023</v>
      </c>
      <c r="D1510">
        <v>7</v>
      </c>
      <c r="E1510" t="s">
        <v>19</v>
      </c>
      <c r="F1510" t="s">
        <v>28</v>
      </c>
      <c r="G1510" t="s">
        <v>132</v>
      </c>
      <c r="H1510" t="s">
        <v>171</v>
      </c>
      <c r="I1510">
        <v>8128.38</v>
      </c>
      <c r="J1510">
        <v>7368.64</v>
      </c>
      <c r="K1510" t="s">
        <v>17</v>
      </c>
      <c r="L1510" t="b">
        <v>0</v>
      </c>
      <c r="N1510" s="2" t="str">
        <f t="shared" si="133"/>
        <v/>
      </c>
      <c r="Q1510" t="str">
        <f t="shared" si="134"/>
        <v/>
      </c>
    </row>
    <row r="1511" spans="1:17" hidden="1">
      <c r="A1511" t="s">
        <v>1616</v>
      </c>
      <c r="B1511" s="1">
        <v>45127</v>
      </c>
      <c r="C1511">
        <v>2023</v>
      </c>
      <c r="D1511">
        <v>7</v>
      </c>
      <c r="E1511" t="s">
        <v>23</v>
      </c>
      <c r="F1511" t="s">
        <v>14</v>
      </c>
      <c r="G1511" t="s">
        <v>59</v>
      </c>
      <c r="H1511" t="s">
        <v>155</v>
      </c>
      <c r="I1511">
        <v>7196.1</v>
      </c>
      <c r="J1511">
        <v>7035.95</v>
      </c>
      <c r="K1511" t="s">
        <v>17</v>
      </c>
      <c r="L1511" t="b">
        <v>0</v>
      </c>
      <c r="N1511" s="2" t="str">
        <f t="shared" si="133"/>
        <v/>
      </c>
      <c r="Q1511" t="str">
        <f t="shared" si="134"/>
        <v/>
      </c>
    </row>
    <row r="1512" spans="1:17" hidden="1">
      <c r="A1512" t="s">
        <v>1617</v>
      </c>
      <c r="B1512" s="1">
        <v>45127</v>
      </c>
      <c r="C1512">
        <v>2023</v>
      </c>
      <c r="D1512">
        <v>7</v>
      </c>
      <c r="E1512" t="s">
        <v>37</v>
      </c>
      <c r="F1512" t="s">
        <v>28</v>
      </c>
      <c r="G1512" t="s">
        <v>41</v>
      </c>
      <c r="H1512" t="s">
        <v>42</v>
      </c>
      <c r="I1512">
        <v>2956.48</v>
      </c>
      <c r="J1512">
        <v>2761.9</v>
      </c>
      <c r="K1512" t="s">
        <v>17</v>
      </c>
      <c r="L1512" t="b">
        <v>0</v>
      </c>
      <c r="N1512" s="2" t="str">
        <f t="shared" si="133"/>
        <v/>
      </c>
      <c r="Q1512" t="str">
        <f t="shared" si="134"/>
        <v/>
      </c>
    </row>
    <row r="1513" spans="1:17" hidden="1">
      <c r="A1513" t="s">
        <v>1618</v>
      </c>
      <c r="B1513" s="1">
        <v>45128</v>
      </c>
      <c r="C1513">
        <v>2023</v>
      </c>
      <c r="D1513">
        <v>7</v>
      </c>
      <c r="E1513" t="s">
        <v>13</v>
      </c>
      <c r="F1513" t="s">
        <v>28</v>
      </c>
      <c r="G1513" t="s">
        <v>15</v>
      </c>
      <c r="H1513" t="s">
        <v>45</v>
      </c>
      <c r="I1513">
        <v>4926.1099999999997</v>
      </c>
      <c r="J1513">
        <v>4891.95</v>
      </c>
      <c r="K1513" t="s">
        <v>17</v>
      </c>
      <c r="L1513" t="b">
        <v>0</v>
      </c>
      <c r="N1513" s="2" t="str">
        <f t="shared" si="133"/>
        <v/>
      </c>
      <c r="Q1513" t="str">
        <f t="shared" si="134"/>
        <v/>
      </c>
    </row>
    <row r="1514" spans="1:17" hidden="1">
      <c r="A1514" t="s">
        <v>1619</v>
      </c>
      <c r="B1514" s="1">
        <v>45128</v>
      </c>
      <c r="C1514">
        <v>2023</v>
      </c>
      <c r="D1514">
        <v>7</v>
      </c>
      <c r="E1514" t="s">
        <v>13</v>
      </c>
      <c r="F1514" t="s">
        <v>24</v>
      </c>
      <c r="G1514" t="s">
        <v>15</v>
      </c>
      <c r="H1514" t="s">
        <v>45</v>
      </c>
      <c r="I1514">
        <v>3117.65</v>
      </c>
      <c r="J1514">
        <v>3056.56</v>
      </c>
      <c r="K1514" t="s">
        <v>17</v>
      </c>
      <c r="L1514" t="b">
        <v>0</v>
      </c>
      <c r="N1514" s="2" t="str">
        <f t="shared" si="133"/>
        <v/>
      </c>
      <c r="Q1514" t="str">
        <f t="shared" si="134"/>
        <v/>
      </c>
    </row>
    <row r="1515" spans="1:17" hidden="1">
      <c r="A1515" t="s">
        <v>1620</v>
      </c>
      <c r="B1515" s="1">
        <v>45128</v>
      </c>
      <c r="C1515">
        <v>2023</v>
      </c>
      <c r="D1515">
        <v>7</v>
      </c>
      <c r="E1515" t="s">
        <v>47</v>
      </c>
      <c r="F1515" t="s">
        <v>14</v>
      </c>
      <c r="G1515" t="s">
        <v>91</v>
      </c>
      <c r="H1515" t="s">
        <v>92</v>
      </c>
      <c r="I1515">
        <v>16076.89</v>
      </c>
      <c r="J1515">
        <v>13937.81</v>
      </c>
      <c r="K1515" t="s">
        <v>17</v>
      </c>
      <c r="L1515" t="b">
        <v>0</v>
      </c>
      <c r="N1515" s="2" t="b">
        <f t="shared" si="133"/>
        <v>1</v>
      </c>
      <c r="O1515" t="str">
        <f>IF(AND(E1504="HR",K1504="EXPENSE"),I1504&lt;J1504,"")</f>
        <v/>
      </c>
      <c r="Q1515" t="str">
        <f t="shared" si="134"/>
        <v/>
      </c>
    </row>
    <row r="1516" spans="1:17" hidden="1">
      <c r="A1516" t="s">
        <v>1621</v>
      </c>
      <c r="B1516" s="1">
        <v>45128</v>
      </c>
      <c r="C1516">
        <v>2023</v>
      </c>
      <c r="D1516">
        <v>7</v>
      </c>
      <c r="E1516" t="s">
        <v>23</v>
      </c>
      <c r="F1516" t="s">
        <v>24</v>
      </c>
      <c r="G1516" t="s">
        <v>141</v>
      </c>
      <c r="H1516" t="s">
        <v>153</v>
      </c>
      <c r="I1516">
        <v>9250.32</v>
      </c>
      <c r="J1516">
        <v>9057.7999999999993</v>
      </c>
      <c r="K1516" t="s">
        <v>17</v>
      </c>
      <c r="L1516" t="b">
        <v>0</v>
      </c>
      <c r="N1516" s="2" t="str">
        <f t="shared" si="133"/>
        <v/>
      </c>
      <c r="Q1516" t="str">
        <f t="shared" si="134"/>
        <v/>
      </c>
    </row>
    <row r="1517" spans="1:17" hidden="1">
      <c r="A1517" t="s">
        <v>1622</v>
      </c>
      <c r="B1517" s="1">
        <v>45128</v>
      </c>
      <c r="C1517">
        <v>2023</v>
      </c>
      <c r="D1517">
        <v>7</v>
      </c>
      <c r="E1517" t="s">
        <v>37</v>
      </c>
      <c r="F1517" t="s">
        <v>14</v>
      </c>
      <c r="G1517" t="s">
        <v>62</v>
      </c>
      <c r="H1517" t="s">
        <v>121</v>
      </c>
      <c r="I1517">
        <v>6211.61</v>
      </c>
      <c r="J1517">
        <v>6122.73</v>
      </c>
      <c r="K1517" t="s">
        <v>17</v>
      </c>
      <c r="L1517" t="b">
        <v>0</v>
      </c>
      <c r="N1517" s="2" t="str">
        <f t="shared" si="133"/>
        <v/>
      </c>
      <c r="Q1517" t="str">
        <f t="shared" si="134"/>
        <v/>
      </c>
    </row>
    <row r="1518" spans="1:17" hidden="1">
      <c r="A1518" t="s">
        <v>1623</v>
      </c>
      <c r="B1518" s="1">
        <v>45128</v>
      </c>
      <c r="C1518">
        <v>2023</v>
      </c>
      <c r="D1518">
        <v>7</v>
      </c>
      <c r="E1518" t="s">
        <v>37</v>
      </c>
      <c r="F1518" t="s">
        <v>28</v>
      </c>
      <c r="G1518" t="s">
        <v>62</v>
      </c>
      <c r="H1518" t="s">
        <v>121</v>
      </c>
      <c r="I1518">
        <v>5259.07</v>
      </c>
      <c r="J1518">
        <v>4904.63</v>
      </c>
      <c r="K1518" t="s">
        <v>17</v>
      </c>
      <c r="L1518" t="b">
        <v>0</v>
      </c>
      <c r="N1518" s="2" t="str">
        <f t="shared" si="133"/>
        <v/>
      </c>
      <c r="Q1518" t="str">
        <f t="shared" si="134"/>
        <v/>
      </c>
    </row>
    <row r="1519" spans="1:17" hidden="1">
      <c r="A1519" t="s">
        <v>1624</v>
      </c>
      <c r="B1519" s="1">
        <v>45128</v>
      </c>
      <c r="C1519">
        <v>2023</v>
      </c>
      <c r="D1519">
        <v>7</v>
      </c>
      <c r="E1519" t="s">
        <v>37</v>
      </c>
      <c r="F1519" t="s">
        <v>28</v>
      </c>
      <c r="G1519" t="s">
        <v>62</v>
      </c>
      <c r="H1519" t="s">
        <v>66</v>
      </c>
      <c r="I1519">
        <v>4073.71</v>
      </c>
      <c r="J1519">
        <v>4145.7</v>
      </c>
      <c r="K1519" t="s">
        <v>17</v>
      </c>
      <c r="L1519" t="b">
        <v>0</v>
      </c>
      <c r="N1519" s="2" t="str">
        <f t="shared" si="133"/>
        <v/>
      </c>
      <c r="Q1519" t="str">
        <f t="shared" si="134"/>
        <v/>
      </c>
    </row>
    <row r="1520" spans="1:17" hidden="1">
      <c r="A1520" t="s">
        <v>1625</v>
      </c>
      <c r="B1520" s="1">
        <v>45129</v>
      </c>
      <c r="C1520">
        <v>2023</v>
      </c>
      <c r="D1520">
        <v>7</v>
      </c>
      <c r="E1520" t="s">
        <v>13</v>
      </c>
      <c r="F1520" t="s">
        <v>28</v>
      </c>
      <c r="G1520" t="s">
        <v>108</v>
      </c>
      <c r="H1520" t="s">
        <v>123</v>
      </c>
      <c r="I1520">
        <v>3202.23</v>
      </c>
      <c r="J1520">
        <v>3044.06</v>
      </c>
      <c r="K1520" t="s">
        <v>17</v>
      </c>
      <c r="L1520" t="b">
        <v>0</v>
      </c>
      <c r="N1520" s="2" t="str">
        <f t="shared" si="133"/>
        <v/>
      </c>
      <c r="Q1520" t="str">
        <f t="shared" si="134"/>
        <v/>
      </c>
    </row>
    <row r="1521" spans="1:17" hidden="1">
      <c r="A1521" t="s">
        <v>1626</v>
      </c>
      <c r="B1521" s="1">
        <v>45129</v>
      </c>
      <c r="C1521">
        <v>2023</v>
      </c>
      <c r="D1521">
        <v>7</v>
      </c>
      <c r="E1521" t="s">
        <v>13</v>
      </c>
      <c r="F1521" t="s">
        <v>24</v>
      </c>
      <c r="G1521" t="s">
        <v>15</v>
      </c>
      <c r="H1521" t="s">
        <v>16</v>
      </c>
      <c r="I1521">
        <v>3245.99</v>
      </c>
      <c r="J1521">
        <v>2922.11</v>
      </c>
      <c r="K1521" t="s">
        <v>17</v>
      </c>
      <c r="L1521" t="b">
        <v>0</v>
      </c>
      <c r="N1521" s="2" t="str">
        <f t="shared" si="133"/>
        <v/>
      </c>
      <c r="Q1521" t="str">
        <f t="shared" si="134"/>
        <v/>
      </c>
    </row>
    <row r="1522" spans="1:17" hidden="1">
      <c r="A1522" t="s">
        <v>1627</v>
      </c>
      <c r="B1522" s="1">
        <v>45129</v>
      </c>
      <c r="C1522">
        <v>2023</v>
      </c>
      <c r="D1522">
        <v>7</v>
      </c>
      <c r="E1522" t="s">
        <v>13</v>
      </c>
      <c r="F1522" t="s">
        <v>24</v>
      </c>
      <c r="G1522" t="s">
        <v>68</v>
      </c>
      <c r="H1522" t="s">
        <v>87</v>
      </c>
      <c r="I1522">
        <v>2287.56</v>
      </c>
      <c r="J1522">
        <v>2064.6999999999998</v>
      </c>
      <c r="K1522" t="s">
        <v>17</v>
      </c>
      <c r="L1522" t="b">
        <v>0</v>
      </c>
      <c r="N1522" s="2" t="str">
        <f t="shared" si="133"/>
        <v/>
      </c>
      <c r="Q1522" t="str">
        <f t="shared" si="134"/>
        <v/>
      </c>
    </row>
    <row r="1523" spans="1:17" hidden="1">
      <c r="A1523" t="s">
        <v>1628</v>
      </c>
      <c r="B1523" s="1">
        <v>45129</v>
      </c>
      <c r="C1523">
        <v>2023</v>
      </c>
      <c r="D1523">
        <v>7</v>
      </c>
      <c r="E1523" t="s">
        <v>47</v>
      </c>
      <c r="F1523" t="s">
        <v>14</v>
      </c>
      <c r="G1523" t="s">
        <v>48</v>
      </c>
      <c r="H1523" t="s">
        <v>111</v>
      </c>
      <c r="I1523">
        <v>16715.46</v>
      </c>
      <c r="J1523">
        <v>14504.36</v>
      </c>
      <c r="K1523" t="s">
        <v>17</v>
      </c>
      <c r="L1523" t="b">
        <v>0</v>
      </c>
      <c r="N1523" s="2" t="b">
        <f t="shared" si="133"/>
        <v>1</v>
      </c>
      <c r="O1523" t="str">
        <f>IF(AND(E1512="HR",K1512="EXPENSE"),I1512&lt;J1512,"")</f>
        <v/>
      </c>
      <c r="Q1523" t="str">
        <f t="shared" si="134"/>
        <v/>
      </c>
    </row>
    <row r="1524" spans="1:17" hidden="1">
      <c r="A1524" t="s">
        <v>1629</v>
      </c>
      <c r="B1524" s="1">
        <v>45129</v>
      </c>
      <c r="C1524">
        <v>2023</v>
      </c>
      <c r="D1524">
        <v>7</v>
      </c>
      <c r="E1524" t="s">
        <v>19</v>
      </c>
      <c r="F1524" t="s">
        <v>14</v>
      </c>
      <c r="G1524" t="s">
        <v>20</v>
      </c>
      <c r="H1524" t="s">
        <v>174</v>
      </c>
      <c r="I1524">
        <v>3549.26</v>
      </c>
      <c r="J1524">
        <v>3230.07</v>
      </c>
      <c r="K1524" t="s">
        <v>17</v>
      </c>
      <c r="L1524" t="b">
        <v>0</v>
      </c>
      <c r="N1524" s="2" t="str">
        <f t="shared" si="133"/>
        <v/>
      </c>
      <c r="Q1524" t="str">
        <f t="shared" si="134"/>
        <v/>
      </c>
    </row>
    <row r="1525" spans="1:17">
      <c r="A1525" t="s">
        <v>1630</v>
      </c>
      <c r="B1525" s="1">
        <v>45129</v>
      </c>
      <c r="C1525">
        <v>2023</v>
      </c>
      <c r="D1525">
        <v>7</v>
      </c>
      <c r="E1525" t="s">
        <v>19</v>
      </c>
      <c r="F1525" t="s">
        <v>24</v>
      </c>
      <c r="G1525" t="s">
        <v>54</v>
      </c>
      <c r="H1525" t="s">
        <v>207</v>
      </c>
      <c r="I1525">
        <v>32577.52</v>
      </c>
      <c r="J1525">
        <v>7670.69</v>
      </c>
      <c r="K1525" t="s">
        <v>17</v>
      </c>
      <c r="L1525" t="b">
        <v>1</v>
      </c>
      <c r="N1525" s="2" t="str">
        <f t="shared" si="133"/>
        <v/>
      </c>
      <c r="Q1525" t="b">
        <f t="shared" si="134"/>
        <v>1</v>
      </c>
    </row>
    <row r="1526" spans="1:17" hidden="1">
      <c r="A1526" t="s">
        <v>1631</v>
      </c>
      <c r="B1526" s="1">
        <v>45129</v>
      </c>
      <c r="C1526">
        <v>2023</v>
      </c>
      <c r="D1526">
        <v>7</v>
      </c>
      <c r="E1526" t="s">
        <v>23</v>
      </c>
      <c r="F1526" t="s">
        <v>28</v>
      </c>
      <c r="G1526" t="s">
        <v>141</v>
      </c>
      <c r="H1526" t="s">
        <v>209</v>
      </c>
      <c r="I1526">
        <v>4699.8100000000004</v>
      </c>
      <c r="J1526">
        <v>4331.3900000000003</v>
      </c>
      <c r="K1526" t="s">
        <v>17</v>
      </c>
      <c r="L1526" t="b">
        <v>0</v>
      </c>
      <c r="N1526" s="2" t="str">
        <f t="shared" si="133"/>
        <v/>
      </c>
      <c r="Q1526" t="str">
        <f t="shared" si="134"/>
        <v/>
      </c>
    </row>
    <row r="1527" spans="1:17" hidden="1">
      <c r="A1527" t="s">
        <v>1632</v>
      </c>
      <c r="B1527" s="1">
        <v>45129</v>
      </c>
      <c r="C1527">
        <v>2023</v>
      </c>
      <c r="D1527">
        <v>7</v>
      </c>
      <c r="E1527" t="s">
        <v>23</v>
      </c>
      <c r="F1527" t="s">
        <v>28</v>
      </c>
      <c r="G1527" t="s">
        <v>25</v>
      </c>
      <c r="H1527" t="s">
        <v>95</v>
      </c>
      <c r="I1527">
        <v>7848</v>
      </c>
      <c r="J1527">
        <v>8064.25</v>
      </c>
      <c r="K1527" t="s">
        <v>17</v>
      </c>
      <c r="L1527" t="b">
        <v>0</v>
      </c>
      <c r="N1527" s="2" t="str">
        <f t="shared" si="133"/>
        <v/>
      </c>
      <c r="Q1527" t="str">
        <f t="shared" si="134"/>
        <v/>
      </c>
    </row>
    <row r="1528" spans="1:17" hidden="1">
      <c r="A1528" t="s">
        <v>1633</v>
      </c>
      <c r="B1528" s="1">
        <v>45129</v>
      </c>
      <c r="C1528">
        <v>2023</v>
      </c>
      <c r="D1528">
        <v>7</v>
      </c>
      <c r="E1528" t="s">
        <v>23</v>
      </c>
      <c r="F1528" t="s">
        <v>28</v>
      </c>
      <c r="G1528" t="s">
        <v>141</v>
      </c>
      <c r="H1528" t="s">
        <v>209</v>
      </c>
      <c r="I1528">
        <v>4975.66</v>
      </c>
      <c r="J1528">
        <v>4784.37</v>
      </c>
      <c r="K1528" t="s">
        <v>17</v>
      </c>
      <c r="L1528" t="b">
        <v>0</v>
      </c>
      <c r="N1528" s="2" t="str">
        <f t="shared" si="133"/>
        <v/>
      </c>
      <c r="Q1528" t="str">
        <f t="shared" si="134"/>
        <v/>
      </c>
    </row>
    <row r="1529" spans="1:17" hidden="1">
      <c r="A1529" t="s">
        <v>1634</v>
      </c>
      <c r="B1529" s="1">
        <v>45129</v>
      </c>
      <c r="C1529">
        <v>2023</v>
      </c>
      <c r="D1529">
        <v>7</v>
      </c>
      <c r="E1529" t="s">
        <v>23</v>
      </c>
      <c r="F1529" t="s">
        <v>24</v>
      </c>
      <c r="G1529" t="s">
        <v>25</v>
      </c>
      <c r="H1529" t="s">
        <v>35</v>
      </c>
      <c r="I1529">
        <v>7469.42</v>
      </c>
      <c r="J1529">
        <v>8170.53</v>
      </c>
      <c r="K1529" t="s">
        <v>17</v>
      </c>
      <c r="L1529" t="b">
        <v>0</v>
      </c>
      <c r="N1529" s="2" t="str">
        <f t="shared" si="133"/>
        <v/>
      </c>
      <c r="Q1529" t="str">
        <f t="shared" si="134"/>
        <v/>
      </c>
    </row>
    <row r="1530" spans="1:17" hidden="1">
      <c r="A1530" t="s">
        <v>1635</v>
      </c>
      <c r="B1530" s="1">
        <v>45129</v>
      </c>
      <c r="C1530">
        <v>2023</v>
      </c>
      <c r="D1530">
        <v>7</v>
      </c>
      <c r="E1530" t="s">
        <v>37</v>
      </c>
      <c r="F1530" t="s">
        <v>28</v>
      </c>
      <c r="G1530" t="s">
        <v>62</v>
      </c>
      <c r="H1530" t="s">
        <v>360</v>
      </c>
      <c r="I1530">
        <v>3793.72</v>
      </c>
      <c r="J1530">
        <v>3732.74</v>
      </c>
      <c r="K1530" t="s">
        <v>17</v>
      </c>
      <c r="L1530" t="b">
        <v>0</v>
      </c>
      <c r="N1530" s="2" t="str">
        <f t="shared" si="133"/>
        <v/>
      </c>
      <c r="Q1530" t="str">
        <f t="shared" si="134"/>
        <v/>
      </c>
    </row>
    <row r="1531" spans="1:17" hidden="1">
      <c r="A1531" t="s">
        <v>1636</v>
      </c>
      <c r="B1531" s="1">
        <v>45130</v>
      </c>
      <c r="C1531">
        <v>2023</v>
      </c>
      <c r="D1531">
        <v>7</v>
      </c>
      <c r="E1531" t="s">
        <v>47</v>
      </c>
      <c r="F1531" t="s">
        <v>14</v>
      </c>
      <c r="G1531" t="s">
        <v>48</v>
      </c>
      <c r="H1531" t="s">
        <v>111</v>
      </c>
      <c r="I1531">
        <v>19987</v>
      </c>
      <c r="J1531">
        <v>17348.21</v>
      </c>
      <c r="K1531" t="s">
        <v>17</v>
      </c>
      <c r="L1531" t="b">
        <v>0</v>
      </c>
      <c r="N1531" s="2" t="b">
        <f t="shared" si="133"/>
        <v>1</v>
      </c>
      <c r="O1531" t="b">
        <f>IF(AND(E1520="HR",K1520="EXPENSE"),I1520&lt;J1520,"")</f>
        <v>0</v>
      </c>
      <c r="Q1531" t="str">
        <f t="shared" si="134"/>
        <v/>
      </c>
    </row>
    <row r="1532" spans="1:17" hidden="1">
      <c r="A1532" t="s">
        <v>1637</v>
      </c>
      <c r="B1532" s="1">
        <v>45130</v>
      </c>
      <c r="C1532">
        <v>2023</v>
      </c>
      <c r="D1532">
        <v>7</v>
      </c>
      <c r="E1532" t="s">
        <v>19</v>
      </c>
      <c r="F1532" t="s">
        <v>14</v>
      </c>
      <c r="G1532" t="s">
        <v>20</v>
      </c>
      <c r="H1532" t="s">
        <v>174</v>
      </c>
      <c r="I1532">
        <v>6084.06</v>
      </c>
      <c r="J1532">
        <v>5751.29</v>
      </c>
      <c r="K1532" t="s">
        <v>17</v>
      </c>
      <c r="L1532" t="b">
        <v>0</v>
      </c>
      <c r="N1532" s="2" t="str">
        <f t="shared" si="133"/>
        <v/>
      </c>
      <c r="Q1532" t="str">
        <f t="shared" si="134"/>
        <v/>
      </c>
    </row>
    <row r="1533" spans="1:17" hidden="1">
      <c r="A1533" t="s">
        <v>1638</v>
      </c>
      <c r="B1533" s="1">
        <v>45130</v>
      </c>
      <c r="C1533">
        <v>2023</v>
      </c>
      <c r="D1533">
        <v>7</v>
      </c>
      <c r="E1533" t="s">
        <v>19</v>
      </c>
      <c r="F1533" t="s">
        <v>28</v>
      </c>
      <c r="G1533" t="s">
        <v>54</v>
      </c>
      <c r="H1533" t="s">
        <v>55</v>
      </c>
      <c r="I1533">
        <v>7415.45</v>
      </c>
      <c r="J1533">
        <v>7733.95</v>
      </c>
      <c r="K1533" t="s">
        <v>17</v>
      </c>
      <c r="L1533" t="b">
        <v>0</v>
      </c>
      <c r="N1533" s="2" t="str">
        <f t="shared" si="133"/>
        <v/>
      </c>
      <c r="Q1533" t="str">
        <f t="shared" si="134"/>
        <v/>
      </c>
    </row>
    <row r="1534" spans="1:17" hidden="1">
      <c r="A1534" t="s">
        <v>1639</v>
      </c>
      <c r="B1534" s="1">
        <v>45130</v>
      </c>
      <c r="C1534">
        <v>2023</v>
      </c>
      <c r="D1534">
        <v>7</v>
      </c>
      <c r="E1534" t="s">
        <v>19</v>
      </c>
      <c r="F1534" t="s">
        <v>28</v>
      </c>
      <c r="G1534" t="s">
        <v>132</v>
      </c>
      <c r="H1534" t="s">
        <v>133</v>
      </c>
      <c r="I1534">
        <v>6930.23</v>
      </c>
      <c r="J1534">
        <v>7537.99</v>
      </c>
      <c r="K1534" t="s">
        <v>17</v>
      </c>
      <c r="L1534" t="b">
        <v>0</v>
      </c>
      <c r="N1534" s="2" t="str">
        <f t="shared" si="133"/>
        <v/>
      </c>
      <c r="Q1534" t="str">
        <f t="shared" si="134"/>
        <v/>
      </c>
    </row>
    <row r="1535" spans="1:17" hidden="1">
      <c r="A1535" t="s">
        <v>1640</v>
      </c>
      <c r="B1535" s="1">
        <v>45130</v>
      </c>
      <c r="C1535">
        <v>2023</v>
      </c>
      <c r="D1535">
        <v>7</v>
      </c>
      <c r="E1535" t="s">
        <v>19</v>
      </c>
      <c r="F1535" t="s">
        <v>28</v>
      </c>
      <c r="G1535" t="s">
        <v>20</v>
      </c>
      <c r="H1535" t="s">
        <v>174</v>
      </c>
      <c r="I1535">
        <v>6236.14</v>
      </c>
      <c r="J1535">
        <v>6054.88</v>
      </c>
      <c r="K1535" t="s">
        <v>17</v>
      </c>
      <c r="L1535" t="b">
        <v>0</v>
      </c>
      <c r="N1535" s="2" t="str">
        <f t="shared" si="133"/>
        <v/>
      </c>
      <c r="Q1535" t="str">
        <f t="shared" si="134"/>
        <v/>
      </c>
    </row>
    <row r="1536" spans="1:17" hidden="1">
      <c r="A1536" t="s">
        <v>1641</v>
      </c>
      <c r="B1536" s="1">
        <v>45130</v>
      </c>
      <c r="C1536">
        <v>2023</v>
      </c>
      <c r="D1536">
        <v>7</v>
      </c>
      <c r="E1536" t="s">
        <v>19</v>
      </c>
      <c r="F1536" t="s">
        <v>24</v>
      </c>
      <c r="G1536" t="s">
        <v>20</v>
      </c>
      <c r="H1536" t="s">
        <v>21</v>
      </c>
      <c r="I1536">
        <v>4746.3500000000004</v>
      </c>
      <c r="J1536">
        <v>4420.58</v>
      </c>
      <c r="K1536" t="s">
        <v>17</v>
      </c>
      <c r="L1536" t="b">
        <v>0</v>
      </c>
      <c r="N1536" s="2" t="str">
        <f t="shared" si="133"/>
        <v/>
      </c>
      <c r="Q1536" t="str">
        <f t="shared" si="134"/>
        <v/>
      </c>
    </row>
    <row r="1537" spans="1:17" hidden="1">
      <c r="A1537" t="s">
        <v>1642</v>
      </c>
      <c r="B1537" s="1">
        <v>45130</v>
      </c>
      <c r="C1537">
        <v>2023</v>
      </c>
      <c r="D1537">
        <v>7</v>
      </c>
      <c r="E1537" t="s">
        <v>37</v>
      </c>
      <c r="F1537" t="s">
        <v>28</v>
      </c>
      <c r="G1537" t="s">
        <v>38</v>
      </c>
      <c r="H1537" t="s">
        <v>39</v>
      </c>
      <c r="I1537">
        <v>5891.05</v>
      </c>
      <c r="J1537">
        <v>5577.42</v>
      </c>
      <c r="K1537" t="s">
        <v>17</v>
      </c>
      <c r="L1537" t="b">
        <v>0</v>
      </c>
      <c r="N1537" s="2" t="str">
        <f t="shared" si="133"/>
        <v/>
      </c>
      <c r="Q1537" t="str">
        <f t="shared" si="134"/>
        <v/>
      </c>
    </row>
    <row r="1538" spans="1:17" hidden="1">
      <c r="A1538" t="s">
        <v>1643</v>
      </c>
      <c r="B1538" s="1">
        <v>45130</v>
      </c>
      <c r="C1538">
        <v>2023</v>
      </c>
      <c r="D1538">
        <v>7</v>
      </c>
      <c r="E1538" t="s">
        <v>37</v>
      </c>
      <c r="F1538" t="s">
        <v>24</v>
      </c>
      <c r="G1538" t="s">
        <v>41</v>
      </c>
      <c r="H1538" t="s">
        <v>42</v>
      </c>
      <c r="I1538">
        <v>2964.21</v>
      </c>
      <c r="J1538">
        <v>3070.74</v>
      </c>
      <c r="K1538" t="s">
        <v>17</v>
      </c>
      <c r="L1538" t="b">
        <v>0</v>
      </c>
      <c r="N1538" s="2" t="str">
        <f t="shared" si="133"/>
        <v/>
      </c>
      <c r="Q1538" t="str">
        <f t="shared" si="134"/>
        <v/>
      </c>
    </row>
    <row r="1539" spans="1:17" hidden="1">
      <c r="A1539" t="s">
        <v>1644</v>
      </c>
      <c r="B1539" s="1">
        <v>45131</v>
      </c>
      <c r="C1539">
        <v>2023</v>
      </c>
      <c r="D1539">
        <v>7</v>
      </c>
      <c r="E1539" t="s">
        <v>13</v>
      </c>
      <c r="F1539" t="s">
        <v>28</v>
      </c>
      <c r="G1539" t="s">
        <v>68</v>
      </c>
      <c r="H1539" t="s">
        <v>87</v>
      </c>
      <c r="I1539">
        <v>4878.71</v>
      </c>
      <c r="J1539">
        <v>4449.33</v>
      </c>
      <c r="K1539" t="s">
        <v>17</v>
      </c>
      <c r="L1539" t="b">
        <v>0</v>
      </c>
      <c r="N1539" s="2" t="str">
        <f t="shared" ref="N1539:N1602" si="135">IF(AND(E1539="IT",K1539="EXPENSE"),I1539&gt;J1539,"")</f>
        <v/>
      </c>
      <c r="Q1539" t="str">
        <f t="shared" ref="Q1539:Q1602" si="136">IF(L1539=TRUE,OR(H1539="Apex Solutions Inc",H1539="Global Trade Partners",H1539="NovaTech Services"),"")</f>
        <v/>
      </c>
    </row>
    <row r="1540" spans="1:17" hidden="1">
      <c r="A1540" t="s">
        <v>1645</v>
      </c>
      <c r="B1540" s="1">
        <v>45131</v>
      </c>
      <c r="C1540">
        <v>2023</v>
      </c>
      <c r="D1540">
        <v>7</v>
      </c>
      <c r="E1540" t="s">
        <v>13</v>
      </c>
      <c r="F1540" t="s">
        <v>24</v>
      </c>
      <c r="G1540" t="s">
        <v>102</v>
      </c>
      <c r="H1540" t="s">
        <v>278</v>
      </c>
      <c r="I1540">
        <v>3147.45</v>
      </c>
      <c r="J1540">
        <v>3147.62</v>
      </c>
      <c r="K1540" t="s">
        <v>17</v>
      </c>
      <c r="L1540" t="b">
        <v>0</v>
      </c>
      <c r="N1540" s="2" t="str">
        <f t="shared" si="135"/>
        <v/>
      </c>
      <c r="Q1540" t="str">
        <f t="shared" si="136"/>
        <v/>
      </c>
    </row>
    <row r="1541" spans="1:17" hidden="1">
      <c r="A1541" t="s">
        <v>1646</v>
      </c>
      <c r="B1541" s="1">
        <v>45131</v>
      </c>
      <c r="C1541">
        <v>2023</v>
      </c>
      <c r="D1541">
        <v>7</v>
      </c>
      <c r="E1541" t="s">
        <v>47</v>
      </c>
      <c r="F1541" t="s">
        <v>14</v>
      </c>
      <c r="G1541" t="s">
        <v>51</v>
      </c>
      <c r="H1541" t="s">
        <v>52</v>
      </c>
      <c r="I1541">
        <v>15984.02</v>
      </c>
      <c r="J1541">
        <v>13678.1</v>
      </c>
      <c r="K1541" t="s">
        <v>17</v>
      </c>
      <c r="L1541" t="b">
        <v>0</v>
      </c>
      <c r="N1541" s="2" t="b">
        <f t="shared" si="135"/>
        <v>1</v>
      </c>
      <c r="O1541" t="str">
        <f t="shared" ref="O1541:O1543" si="137">IF(AND(E1530="HR",K1530="EXPENSE"),I1530&lt;J1530,"")</f>
        <v/>
      </c>
      <c r="Q1541" t="str">
        <f t="shared" si="136"/>
        <v/>
      </c>
    </row>
    <row r="1542" spans="1:17" hidden="1">
      <c r="A1542" t="s">
        <v>1647</v>
      </c>
      <c r="B1542" s="1">
        <v>45131</v>
      </c>
      <c r="C1542">
        <v>2023</v>
      </c>
      <c r="D1542">
        <v>7</v>
      </c>
      <c r="E1542" t="s">
        <v>47</v>
      </c>
      <c r="F1542" t="s">
        <v>28</v>
      </c>
      <c r="G1542" t="s">
        <v>77</v>
      </c>
      <c r="H1542" t="s">
        <v>147</v>
      </c>
      <c r="I1542">
        <v>17004.2</v>
      </c>
      <c r="J1542">
        <v>14715.56</v>
      </c>
      <c r="K1542" t="s">
        <v>17</v>
      </c>
      <c r="L1542" t="b">
        <v>0</v>
      </c>
      <c r="N1542" s="2" t="b">
        <f t="shared" si="135"/>
        <v>1</v>
      </c>
      <c r="O1542" t="str">
        <f t="shared" si="137"/>
        <v/>
      </c>
      <c r="Q1542" t="str">
        <f t="shared" si="136"/>
        <v/>
      </c>
    </row>
    <row r="1543" spans="1:17" hidden="1">
      <c r="A1543" t="s">
        <v>1648</v>
      </c>
      <c r="B1543" s="1">
        <v>45131</v>
      </c>
      <c r="C1543">
        <v>2023</v>
      </c>
      <c r="D1543">
        <v>7</v>
      </c>
      <c r="E1543" t="s">
        <v>47</v>
      </c>
      <c r="F1543" t="s">
        <v>28</v>
      </c>
      <c r="G1543" t="s">
        <v>91</v>
      </c>
      <c r="H1543" t="s">
        <v>128</v>
      </c>
      <c r="I1543">
        <v>14179.31</v>
      </c>
      <c r="J1543">
        <v>12260.91</v>
      </c>
      <c r="K1543" t="s">
        <v>17</v>
      </c>
      <c r="L1543" t="b">
        <v>0</v>
      </c>
      <c r="N1543" s="2" t="b">
        <f t="shared" si="135"/>
        <v>1</v>
      </c>
      <c r="O1543" t="str">
        <f t="shared" si="137"/>
        <v/>
      </c>
      <c r="Q1543" t="str">
        <f t="shared" si="136"/>
        <v/>
      </c>
    </row>
    <row r="1544" spans="1:17" hidden="1">
      <c r="A1544" t="s">
        <v>1649</v>
      </c>
      <c r="B1544" s="1">
        <v>45131</v>
      </c>
      <c r="C1544">
        <v>2023</v>
      </c>
      <c r="D1544">
        <v>7</v>
      </c>
      <c r="E1544" t="s">
        <v>19</v>
      </c>
      <c r="F1544" t="s">
        <v>14</v>
      </c>
      <c r="G1544" t="s">
        <v>54</v>
      </c>
      <c r="H1544" t="s">
        <v>163</v>
      </c>
      <c r="I1544">
        <v>5326.13</v>
      </c>
      <c r="J1544">
        <v>4849.7299999999996</v>
      </c>
      <c r="K1544" t="s">
        <v>17</v>
      </c>
      <c r="L1544" t="b">
        <v>0</v>
      </c>
      <c r="N1544" s="2" t="str">
        <f t="shared" si="135"/>
        <v/>
      </c>
      <c r="Q1544" t="str">
        <f t="shared" si="136"/>
        <v/>
      </c>
    </row>
    <row r="1545" spans="1:17" hidden="1">
      <c r="A1545" t="s">
        <v>1650</v>
      </c>
      <c r="B1545" s="1">
        <v>45131</v>
      </c>
      <c r="C1545">
        <v>2023</v>
      </c>
      <c r="D1545">
        <v>7</v>
      </c>
      <c r="E1545" t="s">
        <v>19</v>
      </c>
      <c r="F1545" t="s">
        <v>14</v>
      </c>
      <c r="G1545" t="s">
        <v>132</v>
      </c>
      <c r="H1545" t="s">
        <v>133</v>
      </c>
      <c r="I1545">
        <v>9034.83</v>
      </c>
      <c r="J1545">
        <v>8786.48</v>
      </c>
      <c r="K1545" t="s">
        <v>17</v>
      </c>
      <c r="L1545" t="b">
        <v>0</v>
      </c>
      <c r="N1545" s="2" t="str">
        <f t="shared" si="135"/>
        <v/>
      </c>
      <c r="Q1545" t="str">
        <f t="shared" si="136"/>
        <v/>
      </c>
    </row>
    <row r="1546" spans="1:17" hidden="1">
      <c r="A1546" t="s">
        <v>1651</v>
      </c>
      <c r="B1546" s="1">
        <v>45131</v>
      </c>
      <c r="C1546">
        <v>2023</v>
      </c>
      <c r="D1546">
        <v>7</v>
      </c>
      <c r="E1546" t="s">
        <v>19</v>
      </c>
      <c r="F1546" t="s">
        <v>24</v>
      </c>
      <c r="G1546" t="s">
        <v>54</v>
      </c>
      <c r="H1546" t="s">
        <v>163</v>
      </c>
      <c r="I1546">
        <v>4458.7700000000004</v>
      </c>
      <c r="J1546">
        <v>4107.3</v>
      </c>
      <c r="K1546" t="s">
        <v>17</v>
      </c>
      <c r="L1546" t="b">
        <v>0</v>
      </c>
      <c r="N1546" s="2" t="str">
        <f t="shared" si="135"/>
        <v/>
      </c>
      <c r="Q1546" t="str">
        <f t="shared" si="136"/>
        <v/>
      </c>
    </row>
    <row r="1547" spans="1:17" hidden="1">
      <c r="A1547" t="s">
        <v>1652</v>
      </c>
      <c r="B1547" s="1">
        <v>45131</v>
      </c>
      <c r="C1547">
        <v>2023</v>
      </c>
      <c r="D1547">
        <v>7</v>
      </c>
      <c r="E1547" t="s">
        <v>23</v>
      </c>
      <c r="F1547" t="s">
        <v>14</v>
      </c>
      <c r="G1547" t="s">
        <v>25</v>
      </c>
      <c r="H1547" t="s">
        <v>95</v>
      </c>
      <c r="I1547">
        <v>6048.36</v>
      </c>
      <c r="J1547">
        <v>6107.48</v>
      </c>
      <c r="K1547" t="s">
        <v>17</v>
      </c>
      <c r="L1547" t="b">
        <v>0</v>
      </c>
      <c r="N1547" s="2" t="str">
        <f t="shared" si="135"/>
        <v/>
      </c>
      <c r="Q1547" t="str">
        <f t="shared" si="136"/>
        <v/>
      </c>
    </row>
    <row r="1548" spans="1:17" hidden="1">
      <c r="A1548" t="s">
        <v>1653</v>
      </c>
      <c r="B1548" s="1">
        <v>45131</v>
      </c>
      <c r="C1548">
        <v>2023</v>
      </c>
      <c r="D1548">
        <v>7</v>
      </c>
      <c r="E1548" t="s">
        <v>23</v>
      </c>
      <c r="F1548" t="s">
        <v>14</v>
      </c>
      <c r="G1548" t="s">
        <v>141</v>
      </c>
      <c r="H1548" t="s">
        <v>209</v>
      </c>
      <c r="I1548">
        <v>5677.39</v>
      </c>
      <c r="J1548">
        <v>6101.63</v>
      </c>
      <c r="K1548" t="s">
        <v>17</v>
      </c>
      <c r="L1548" t="b">
        <v>0</v>
      </c>
      <c r="N1548" s="2" t="str">
        <f t="shared" si="135"/>
        <v/>
      </c>
      <c r="Q1548" t="str">
        <f t="shared" si="136"/>
        <v/>
      </c>
    </row>
    <row r="1549" spans="1:17" hidden="1">
      <c r="A1549" t="s">
        <v>1654</v>
      </c>
      <c r="B1549" s="1">
        <v>45131</v>
      </c>
      <c r="C1549">
        <v>2023</v>
      </c>
      <c r="D1549">
        <v>7</v>
      </c>
      <c r="E1549" t="s">
        <v>37</v>
      </c>
      <c r="F1549" t="s">
        <v>14</v>
      </c>
      <c r="G1549" t="s">
        <v>38</v>
      </c>
      <c r="H1549" t="s">
        <v>118</v>
      </c>
      <c r="I1549">
        <v>4206.79</v>
      </c>
      <c r="J1549">
        <v>4496.3900000000003</v>
      </c>
      <c r="K1549" t="s">
        <v>17</v>
      </c>
      <c r="L1549" t="b">
        <v>0</v>
      </c>
      <c r="N1549" s="2" t="str">
        <f t="shared" si="135"/>
        <v/>
      </c>
      <c r="Q1549" t="str">
        <f t="shared" si="136"/>
        <v/>
      </c>
    </row>
    <row r="1550" spans="1:17" hidden="1">
      <c r="A1550" t="s">
        <v>1655</v>
      </c>
      <c r="B1550" s="1">
        <v>45131</v>
      </c>
      <c r="C1550">
        <v>2023</v>
      </c>
      <c r="D1550">
        <v>7</v>
      </c>
      <c r="E1550" t="s">
        <v>37</v>
      </c>
      <c r="F1550" t="s">
        <v>24</v>
      </c>
      <c r="G1550" t="s">
        <v>62</v>
      </c>
      <c r="H1550" t="s">
        <v>360</v>
      </c>
      <c r="I1550">
        <v>3424.82</v>
      </c>
      <c r="J1550">
        <v>3719.63</v>
      </c>
      <c r="K1550" t="s">
        <v>17</v>
      </c>
      <c r="L1550" t="b">
        <v>0</v>
      </c>
      <c r="N1550" s="2" t="str">
        <f t="shared" si="135"/>
        <v/>
      </c>
      <c r="Q1550" t="str">
        <f t="shared" si="136"/>
        <v/>
      </c>
    </row>
    <row r="1551" spans="1:17" hidden="1">
      <c r="A1551" t="s">
        <v>1656</v>
      </c>
      <c r="B1551" s="1">
        <v>45132</v>
      </c>
      <c r="C1551">
        <v>2023</v>
      </c>
      <c r="D1551">
        <v>7</v>
      </c>
      <c r="E1551" t="s">
        <v>13</v>
      </c>
      <c r="F1551" t="s">
        <v>24</v>
      </c>
      <c r="G1551" t="s">
        <v>15</v>
      </c>
      <c r="H1551" t="s">
        <v>16</v>
      </c>
      <c r="I1551">
        <v>1627.44</v>
      </c>
      <c r="J1551">
        <v>1684.84</v>
      </c>
      <c r="K1551" t="s">
        <v>17</v>
      </c>
      <c r="L1551" t="b">
        <v>0</v>
      </c>
      <c r="N1551" s="2" t="str">
        <f t="shared" si="135"/>
        <v/>
      </c>
      <c r="Q1551" t="str">
        <f t="shared" si="136"/>
        <v/>
      </c>
    </row>
    <row r="1552" spans="1:17" hidden="1">
      <c r="A1552" t="s">
        <v>1657</v>
      </c>
      <c r="B1552" s="1">
        <v>45132</v>
      </c>
      <c r="C1552">
        <v>2023</v>
      </c>
      <c r="D1552">
        <v>7</v>
      </c>
      <c r="E1552" t="s">
        <v>13</v>
      </c>
      <c r="F1552" t="s">
        <v>24</v>
      </c>
      <c r="G1552" t="s">
        <v>68</v>
      </c>
      <c r="H1552" t="s">
        <v>69</v>
      </c>
      <c r="I1552">
        <v>4118.71</v>
      </c>
      <c r="J1552">
        <v>3973.34</v>
      </c>
      <c r="K1552" t="s">
        <v>17</v>
      </c>
      <c r="L1552" t="b">
        <v>0</v>
      </c>
      <c r="N1552" s="2" t="str">
        <f t="shared" si="135"/>
        <v/>
      </c>
      <c r="Q1552" t="str">
        <f t="shared" si="136"/>
        <v/>
      </c>
    </row>
    <row r="1553" spans="1:17" hidden="1">
      <c r="A1553" t="s">
        <v>1658</v>
      </c>
      <c r="B1553" s="1">
        <v>45132</v>
      </c>
      <c r="C1553">
        <v>2023</v>
      </c>
      <c r="D1553">
        <v>7</v>
      </c>
      <c r="E1553" t="s">
        <v>47</v>
      </c>
      <c r="F1553" t="s">
        <v>24</v>
      </c>
      <c r="G1553" t="s">
        <v>91</v>
      </c>
      <c r="H1553" t="s">
        <v>128</v>
      </c>
      <c r="I1553">
        <v>15785.09</v>
      </c>
      <c r="J1553">
        <v>12989.61</v>
      </c>
      <c r="K1553" t="s">
        <v>17</v>
      </c>
      <c r="L1553" t="b">
        <v>0</v>
      </c>
      <c r="N1553" s="2" t="b">
        <f t="shared" si="135"/>
        <v>1</v>
      </c>
      <c r="O1553" t="str">
        <f t="shared" ref="O1553:O1554" si="138">IF(AND(E1542="HR",K1542="EXPENSE"),I1542&lt;J1542,"")</f>
        <v/>
      </c>
      <c r="Q1553" t="str">
        <f t="shared" si="136"/>
        <v/>
      </c>
    </row>
    <row r="1554" spans="1:17" hidden="1">
      <c r="A1554" t="s">
        <v>1659</v>
      </c>
      <c r="B1554" s="1">
        <v>45132</v>
      </c>
      <c r="C1554">
        <v>2023</v>
      </c>
      <c r="D1554">
        <v>7</v>
      </c>
      <c r="E1554" t="s">
        <v>47</v>
      </c>
      <c r="F1554" t="s">
        <v>24</v>
      </c>
      <c r="G1554" t="s">
        <v>51</v>
      </c>
      <c r="H1554" t="s">
        <v>72</v>
      </c>
      <c r="I1554">
        <v>16392</v>
      </c>
      <c r="J1554">
        <v>13514.86</v>
      </c>
      <c r="K1554" t="s">
        <v>17</v>
      </c>
      <c r="L1554" t="b">
        <v>0</v>
      </c>
      <c r="N1554" s="2" t="b">
        <f t="shared" si="135"/>
        <v>1</v>
      </c>
      <c r="O1554" t="str">
        <f t="shared" si="138"/>
        <v/>
      </c>
      <c r="Q1554" t="str">
        <f t="shared" si="136"/>
        <v/>
      </c>
    </row>
    <row r="1555" spans="1:17" hidden="1">
      <c r="A1555" t="s">
        <v>1660</v>
      </c>
      <c r="B1555" s="1">
        <v>45132</v>
      </c>
      <c r="C1555">
        <v>2023</v>
      </c>
      <c r="D1555">
        <v>7</v>
      </c>
      <c r="E1555" t="s">
        <v>19</v>
      </c>
      <c r="F1555" t="s">
        <v>14</v>
      </c>
      <c r="G1555" t="s">
        <v>80</v>
      </c>
      <c r="H1555" t="s">
        <v>217</v>
      </c>
      <c r="I1555">
        <v>4208.25</v>
      </c>
      <c r="J1555">
        <v>4495.18</v>
      </c>
      <c r="K1555" t="s">
        <v>17</v>
      </c>
      <c r="L1555" t="b">
        <v>0</v>
      </c>
      <c r="N1555" s="2" t="str">
        <f t="shared" si="135"/>
        <v/>
      </c>
      <c r="Q1555" t="str">
        <f t="shared" si="136"/>
        <v/>
      </c>
    </row>
    <row r="1556" spans="1:17" hidden="1">
      <c r="A1556" t="s">
        <v>1661</v>
      </c>
      <c r="B1556" s="1">
        <v>45132</v>
      </c>
      <c r="C1556">
        <v>2023</v>
      </c>
      <c r="D1556">
        <v>7</v>
      </c>
      <c r="E1556" t="s">
        <v>23</v>
      </c>
      <c r="F1556" t="s">
        <v>14</v>
      </c>
      <c r="G1556" t="s">
        <v>59</v>
      </c>
      <c r="H1556" t="s">
        <v>155</v>
      </c>
      <c r="I1556">
        <v>4936.79</v>
      </c>
      <c r="J1556">
        <v>4538.54</v>
      </c>
      <c r="K1556" t="s">
        <v>17</v>
      </c>
      <c r="L1556" t="b">
        <v>0</v>
      </c>
      <c r="N1556" s="2" t="str">
        <f t="shared" si="135"/>
        <v/>
      </c>
      <c r="Q1556" t="str">
        <f t="shared" si="136"/>
        <v/>
      </c>
    </row>
    <row r="1557" spans="1:17" hidden="1">
      <c r="A1557" t="s">
        <v>1662</v>
      </c>
      <c r="B1557" s="1">
        <v>45132</v>
      </c>
      <c r="C1557">
        <v>2023</v>
      </c>
      <c r="D1557">
        <v>7</v>
      </c>
      <c r="E1557" t="s">
        <v>23</v>
      </c>
      <c r="F1557" t="s">
        <v>14</v>
      </c>
      <c r="G1557" t="s">
        <v>59</v>
      </c>
      <c r="H1557" t="s">
        <v>155</v>
      </c>
      <c r="I1557">
        <v>6688.07</v>
      </c>
      <c r="J1557">
        <v>7186.81</v>
      </c>
      <c r="K1557" t="s">
        <v>17</v>
      </c>
      <c r="L1557" t="b">
        <v>0</v>
      </c>
      <c r="N1557" s="2" t="str">
        <f t="shared" si="135"/>
        <v/>
      </c>
      <c r="Q1557" t="str">
        <f t="shared" si="136"/>
        <v/>
      </c>
    </row>
    <row r="1558" spans="1:17" hidden="1">
      <c r="A1558" t="s">
        <v>1663</v>
      </c>
      <c r="B1558" s="1">
        <v>45132</v>
      </c>
      <c r="C1558">
        <v>2023</v>
      </c>
      <c r="D1558">
        <v>7</v>
      </c>
      <c r="E1558" t="s">
        <v>37</v>
      </c>
      <c r="F1558" t="s">
        <v>28</v>
      </c>
      <c r="G1558" t="s">
        <v>83</v>
      </c>
      <c r="H1558" t="s">
        <v>84</v>
      </c>
      <c r="I1558">
        <v>136849.34</v>
      </c>
      <c r="J1558">
        <v>130006.87</v>
      </c>
      <c r="K1558" t="s">
        <v>85</v>
      </c>
      <c r="L1558" t="b">
        <v>0</v>
      </c>
      <c r="N1558" s="2" t="str">
        <f t="shared" si="135"/>
        <v/>
      </c>
      <c r="Q1558" t="str">
        <f t="shared" si="136"/>
        <v/>
      </c>
    </row>
    <row r="1559" spans="1:17" hidden="1">
      <c r="A1559" t="s">
        <v>1664</v>
      </c>
      <c r="B1559" s="1">
        <v>45133</v>
      </c>
      <c r="C1559">
        <v>2023</v>
      </c>
      <c r="D1559">
        <v>7</v>
      </c>
      <c r="E1559" t="s">
        <v>13</v>
      </c>
      <c r="F1559" t="s">
        <v>24</v>
      </c>
      <c r="G1559" t="s">
        <v>68</v>
      </c>
      <c r="H1559" t="s">
        <v>213</v>
      </c>
      <c r="I1559">
        <v>3632.56</v>
      </c>
      <c r="J1559">
        <v>3334.6</v>
      </c>
      <c r="K1559" t="s">
        <v>17</v>
      </c>
      <c r="L1559" t="b">
        <v>0</v>
      </c>
      <c r="N1559" s="2" t="str">
        <f t="shared" si="135"/>
        <v/>
      </c>
      <c r="Q1559" t="str">
        <f t="shared" si="136"/>
        <v/>
      </c>
    </row>
    <row r="1560" spans="1:17" hidden="1">
      <c r="A1560" t="s">
        <v>1665</v>
      </c>
      <c r="B1560" s="1">
        <v>45133</v>
      </c>
      <c r="C1560">
        <v>2023</v>
      </c>
      <c r="D1560">
        <v>7</v>
      </c>
      <c r="E1560" t="s">
        <v>13</v>
      </c>
      <c r="F1560" t="s">
        <v>24</v>
      </c>
      <c r="G1560" t="s">
        <v>108</v>
      </c>
      <c r="H1560" t="s">
        <v>109</v>
      </c>
      <c r="I1560">
        <v>3906.21</v>
      </c>
      <c r="J1560">
        <v>3528.28</v>
      </c>
      <c r="K1560" t="s">
        <v>17</v>
      </c>
      <c r="L1560" t="b">
        <v>0</v>
      </c>
      <c r="N1560" s="2" t="str">
        <f t="shared" si="135"/>
        <v/>
      </c>
      <c r="Q1560" t="str">
        <f t="shared" si="136"/>
        <v/>
      </c>
    </row>
    <row r="1561" spans="1:17" hidden="1">
      <c r="A1561" t="s">
        <v>1666</v>
      </c>
      <c r="B1561" s="1">
        <v>45133</v>
      </c>
      <c r="C1561">
        <v>2023</v>
      </c>
      <c r="D1561">
        <v>7</v>
      </c>
      <c r="E1561" t="s">
        <v>47</v>
      </c>
      <c r="F1561" t="s">
        <v>14</v>
      </c>
      <c r="G1561" t="s">
        <v>51</v>
      </c>
      <c r="H1561" t="s">
        <v>189</v>
      </c>
      <c r="I1561">
        <v>13721.95</v>
      </c>
      <c r="J1561">
        <v>11841.68</v>
      </c>
      <c r="K1561" t="s">
        <v>17</v>
      </c>
      <c r="L1561" t="b">
        <v>0</v>
      </c>
      <c r="N1561" s="2" t="b">
        <f t="shared" si="135"/>
        <v>1</v>
      </c>
      <c r="O1561" t="str">
        <f t="shared" ref="O1561:O1563" si="139">IF(AND(E1550="HR",K1550="EXPENSE"),I1550&lt;J1550,"")</f>
        <v/>
      </c>
      <c r="Q1561" t="str">
        <f t="shared" si="136"/>
        <v/>
      </c>
    </row>
    <row r="1562" spans="1:17" hidden="1">
      <c r="A1562" t="s">
        <v>1667</v>
      </c>
      <c r="B1562" s="1">
        <v>45133</v>
      </c>
      <c r="C1562">
        <v>2023</v>
      </c>
      <c r="D1562">
        <v>7</v>
      </c>
      <c r="E1562" t="s">
        <v>47</v>
      </c>
      <c r="F1562" t="s">
        <v>28</v>
      </c>
      <c r="G1562" t="s">
        <v>91</v>
      </c>
      <c r="H1562" t="s">
        <v>254</v>
      </c>
      <c r="I1562">
        <v>11711.47</v>
      </c>
      <c r="J1562">
        <v>9827.82</v>
      </c>
      <c r="K1562" t="s">
        <v>17</v>
      </c>
      <c r="L1562" t="b">
        <v>0</v>
      </c>
      <c r="N1562" s="2" t="b">
        <f t="shared" si="135"/>
        <v>1</v>
      </c>
      <c r="O1562" t="b">
        <f t="shared" si="139"/>
        <v>1</v>
      </c>
      <c r="Q1562" t="str">
        <f t="shared" si="136"/>
        <v/>
      </c>
    </row>
    <row r="1563" spans="1:17" hidden="1">
      <c r="A1563" t="s">
        <v>1668</v>
      </c>
      <c r="B1563" s="1">
        <v>45133</v>
      </c>
      <c r="C1563">
        <v>2023</v>
      </c>
      <c r="D1563">
        <v>7</v>
      </c>
      <c r="E1563" t="s">
        <v>47</v>
      </c>
      <c r="F1563" t="s">
        <v>24</v>
      </c>
      <c r="G1563" t="s">
        <v>51</v>
      </c>
      <c r="H1563" t="s">
        <v>52</v>
      </c>
      <c r="I1563">
        <v>19962.82</v>
      </c>
      <c r="J1563">
        <v>17020.41</v>
      </c>
      <c r="K1563" t="s">
        <v>17</v>
      </c>
      <c r="L1563" t="b">
        <v>0</v>
      </c>
      <c r="N1563" s="2" t="b">
        <f t="shared" si="135"/>
        <v>1</v>
      </c>
      <c r="O1563" t="b">
        <f t="shared" si="139"/>
        <v>0</v>
      </c>
      <c r="Q1563" t="str">
        <f t="shared" si="136"/>
        <v/>
      </c>
    </row>
    <row r="1564" spans="1:17" hidden="1">
      <c r="A1564" t="s">
        <v>1669</v>
      </c>
      <c r="B1564" s="1">
        <v>45133</v>
      </c>
      <c r="C1564">
        <v>2023</v>
      </c>
      <c r="D1564">
        <v>7</v>
      </c>
      <c r="E1564" t="s">
        <v>23</v>
      </c>
      <c r="F1564" t="s">
        <v>14</v>
      </c>
      <c r="G1564" t="s">
        <v>59</v>
      </c>
      <c r="H1564" t="s">
        <v>60</v>
      </c>
      <c r="I1564">
        <v>6401.2</v>
      </c>
      <c r="J1564">
        <v>6401.15</v>
      </c>
      <c r="K1564" t="s">
        <v>17</v>
      </c>
      <c r="L1564" t="b">
        <v>0</v>
      </c>
      <c r="N1564" s="2" t="str">
        <f t="shared" si="135"/>
        <v/>
      </c>
      <c r="Q1564" t="str">
        <f t="shared" si="136"/>
        <v/>
      </c>
    </row>
    <row r="1565" spans="1:17" hidden="1">
      <c r="A1565" t="s">
        <v>1670</v>
      </c>
      <c r="B1565" s="1">
        <v>45133</v>
      </c>
      <c r="C1565">
        <v>2023</v>
      </c>
      <c r="D1565">
        <v>7</v>
      </c>
      <c r="E1565" t="s">
        <v>23</v>
      </c>
      <c r="F1565" t="s">
        <v>14</v>
      </c>
      <c r="G1565" t="s">
        <v>59</v>
      </c>
      <c r="H1565" t="s">
        <v>155</v>
      </c>
      <c r="I1565">
        <v>6301.99</v>
      </c>
      <c r="J1565">
        <v>5907.04</v>
      </c>
      <c r="K1565" t="s">
        <v>17</v>
      </c>
      <c r="L1565" t="b">
        <v>0</v>
      </c>
      <c r="N1565" s="2" t="str">
        <f t="shared" si="135"/>
        <v/>
      </c>
      <c r="Q1565" t="str">
        <f t="shared" si="136"/>
        <v/>
      </c>
    </row>
    <row r="1566" spans="1:17" hidden="1">
      <c r="A1566" t="s">
        <v>1671</v>
      </c>
      <c r="B1566" s="1">
        <v>45133</v>
      </c>
      <c r="C1566">
        <v>2023</v>
      </c>
      <c r="D1566">
        <v>7</v>
      </c>
      <c r="E1566" t="s">
        <v>37</v>
      </c>
      <c r="F1566" t="s">
        <v>14</v>
      </c>
      <c r="G1566" t="s">
        <v>41</v>
      </c>
      <c r="H1566" t="s">
        <v>42</v>
      </c>
      <c r="I1566">
        <v>5355.39</v>
      </c>
      <c r="J1566">
        <v>4847.45</v>
      </c>
      <c r="K1566" t="s">
        <v>17</v>
      </c>
      <c r="L1566" t="b">
        <v>0</v>
      </c>
      <c r="N1566" s="2" t="str">
        <f t="shared" si="135"/>
        <v/>
      </c>
      <c r="Q1566" t="str">
        <f t="shared" si="136"/>
        <v/>
      </c>
    </row>
    <row r="1567" spans="1:17" hidden="1">
      <c r="A1567" t="s">
        <v>1672</v>
      </c>
      <c r="B1567" s="1">
        <v>45133</v>
      </c>
      <c r="C1567">
        <v>2023</v>
      </c>
      <c r="D1567">
        <v>7</v>
      </c>
      <c r="E1567" t="s">
        <v>37</v>
      </c>
      <c r="F1567" t="s">
        <v>24</v>
      </c>
      <c r="G1567" t="s">
        <v>62</v>
      </c>
      <c r="H1567" t="s">
        <v>66</v>
      </c>
      <c r="I1567">
        <v>1138.55</v>
      </c>
      <c r="J1567">
        <v>1100.8499999999999</v>
      </c>
      <c r="K1567" t="s">
        <v>17</v>
      </c>
      <c r="L1567" t="b">
        <v>0</v>
      </c>
      <c r="N1567" s="2" t="str">
        <f t="shared" si="135"/>
        <v/>
      </c>
      <c r="Q1567" t="str">
        <f t="shared" si="136"/>
        <v/>
      </c>
    </row>
    <row r="1568" spans="1:17" hidden="1">
      <c r="A1568" t="s">
        <v>1673</v>
      </c>
      <c r="B1568" s="1">
        <v>45134</v>
      </c>
      <c r="C1568">
        <v>2023</v>
      </c>
      <c r="D1568">
        <v>7</v>
      </c>
      <c r="E1568" t="s">
        <v>13</v>
      </c>
      <c r="F1568" t="s">
        <v>14</v>
      </c>
      <c r="G1568" t="s">
        <v>15</v>
      </c>
      <c r="H1568" t="s">
        <v>45</v>
      </c>
      <c r="I1568">
        <v>5040.47</v>
      </c>
      <c r="J1568">
        <v>4552.76</v>
      </c>
      <c r="K1568" t="s">
        <v>17</v>
      </c>
      <c r="L1568" t="b">
        <v>0</v>
      </c>
      <c r="N1568" s="2" t="str">
        <f t="shared" si="135"/>
        <v/>
      </c>
      <c r="Q1568" t="str">
        <f t="shared" si="136"/>
        <v/>
      </c>
    </row>
    <row r="1569" spans="1:17" hidden="1">
      <c r="A1569" t="s">
        <v>1674</v>
      </c>
      <c r="B1569" s="1">
        <v>45134</v>
      </c>
      <c r="C1569">
        <v>2023</v>
      </c>
      <c r="D1569">
        <v>7</v>
      </c>
      <c r="E1569" t="s">
        <v>13</v>
      </c>
      <c r="F1569" t="s">
        <v>24</v>
      </c>
      <c r="G1569" t="s">
        <v>68</v>
      </c>
      <c r="H1569" t="s">
        <v>69</v>
      </c>
      <c r="I1569">
        <v>3079.54</v>
      </c>
      <c r="J1569">
        <v>2905.78</v>
      </c>
      <c r="K1569" t="s">
        <v>17</v>
      </c>
      <c r="L1569" t="b">
        <v>0</v>
      </c>
      <c r="N1569" s="2" t="str">
        <f t="shared" si="135"/>
        <v/>
      </c>
      <c r="Q1569" t="str">
        <f t="shared" si="136"/>
        <v/>
      </c>
    </row>
    <row r="1570" spans="1:17" hidden="1">
      <c r="A1570" t="s">
        <v>1675</v>
      </c>
      <c r="B1570" s="1">
        <v>45134</v>
      </c>
      <c r="C1570">
        <v>2023</v>
      </c>
      <c r="D1570">
        <v>7</v>
      </c>
      <c r="E1570" t="s">
        <v>13</v>
      </c>
      <c r="F1570" t="s">
        <v>24</v>
      </c>
      <c r="G1570" t="s">
        <v>108</v>
      </c>
      <c r="H1570" t="s">
        <v>123</v>
      </c>
      <c r="I1570">
        <v>3474.61</v>
      </c>
      <c r="J1570">
        <v>3220.66</v>
      </c>
      <c r="K1570" t="s">
        <v>17</v>
      </c>
      <c r="L1570" t="b">
        <v>0</v>
      </c>
      <c r="N1570" s="2" t="str">
        <f t="shared" si="135"/>
        <v/>
      </c>
      <c r="Q1570" t="str">
        <f t="shared" si="136"/>
        <v/>
      </c>
    </row>
    <row r="1571" spans="1:17" hidden="1">
      <c r="A1571" t="s">
        <v>1676</v>
      </c>
      <c r="B1571" s="1">
        <v>45134</v>
      </c>
      <c r="C1571">
        <v>2023</v>
      </c>
      <c r="D1571">
        <v>7</v>
      </c>
      <c r="E1571" t="s">
        <v>47</v>
      </c>
      <c r="F1571" t="s">
        <v>28</v>
      </c>
      <c r="G1571" t="s">
        <v>91</v>
      </c>
      <c r="H1571" t="s">
        <v>128</v>
      </c>
      <c r="I1571">
        <v>11275.15</v>
      </c>
      <c r="J1571">
        <v>9641.64</v>
      </c>
      <c r="K1571" t="s">
        <v>17</v>
      </c>
      <c r="L1571" t="b">
        <v>0</v>
      </c>
      <c r="N1571" s="2" t="b">
        <f t="shared" si="135"/>
        <v>1</v>
      </c>
      <c r="O1571" t="b">
        <f>IF(AND(E1560="HR",K1560="EXPENSE"),I1560&lt;J1560,"")</f>
        <v>0</v>
      </c>
      <c r="Q1571" t="str">
        <f t="shared" si="136"/>
        <v/>
      </c>
    </row>
    <row r="1572" spans="1:17" hidden="1">
      <c r="A1572" t="s">
        <v>1677</v>
      </c>
      <c r="B1572" s="1">
        <v>45134</v>
      </c>
      <c r="C1572">
        <v>2023</v>
      </c>
      <c r="D1572">
        <v>7</v>
      </c>
      <c r="E1572" t="s">
        <v>19</v>
      </c>
      <c r="F1572" t="s">
        <v>28</v>
      </c>
      <c r="G1572" t="s">
        <v>54</v>
      </c>
      <c r="H1572" t="s">
        <v>163</v>
      </c>
      <c r="I1572">
        <v>6105.12</v>
      </c>
      <c r="J1572">
        <v>6296.1</v>
      </c>
      <c r="K1572" t="s">
        <v>17</v>
      </c>
      <c r="L1572" t="b">
        <v>0</v>
      </c>
      <c r="N1572" s="2" t="str">
        <f t="shared" si="135"/>
        <v/>
      </c>
      <c r="Q1572" t="str">
        <f t="shared" si="136"/>
        <v/>
      </c>
    </row>
    <row r="1573" spans="1:17" hidden="1">
      <c r="A1573" t="s">
        <v>1678</v>
      </c>
      <c r="B1573" s="1">
        <v>45134</v>
      </c>
      <c r="C1573">
        <v>2023</v>
      </c>
      <c r="D1573">
        <v>7</v>
      </c>
      <c r="E1573" t="s">
        <v>19</v>
      </c>
      <c r="F1573" t="s">
        <v>24</v>
      </c>
      <c r="G1573" t="s">
        <v>20</v>
      </c>
      <c r="H1573" t="s">
        <v>21</v>
      </c>
      <c r="I1573">
        <v>6215.28</v>
      </c>
      <c r="J1573">
        <v>6354.29</v>
      </c>
      <c r="K1573" t="s">
        <v>17</v>
      </c>
      <c r="L1573" t="b">
        <v>0</v>
      </c>
      <c r="N1573" s="2" t="str">
        <f t="shared" si="135"/>
        <v/>
      </c>
      <c r="Q1573" t="str">
        <f t="shared" si="136"/>
        <v/>
      </c>
    </row>
    <row r="1574" spans="1:17" hidden="1">
      <c r="A1574" t="s">
        <v>1679</v>
      </c>
      <c r="B1574" s="1">
        <v>45134</v>
      </c>
      <c r="C1574">
        <v>2023</v>
      </c>
      <c r="D1574">
        <v>7</v>
      </c>
      <c r="E1574" t="s">
        <v>19</v>
      </c>
      <c r="F1574" t="s">
        <v>24</v>
      </c>
      <c r="G1574" t="s">
        <v>20</v>
      </c>
      <c r="H1574" t="s">
        <v>21</v>
      </c>
      <c r="I1574">
        <v>5332.26</v>
      </c>
      <c r="J1574">
        <v>4873.8</v>
      </c>
      <c r="K1574" t="s">
        <v>17</v>
      </c>
      <c r="L1574" t="b">
        <v>0</v>
      </c>
      <c r="N1574" s="2" t="str">
        <f t="shared" si="135"/>
        <v/>
      </c>
      <c r="Q1574" t="str">
        <f t="shared" si="136"/>
        <v/>
      </c>
    </row>
    <row r="1575" spans="1:17" hidden="1">
      <c r="A1575" t="s">
        <v>1680</v>
      </c>
      <c r="B1575" s="1">
        <v>45134</v>
      </c>
      <c r="C1575">
        <v>2023</v>
      </c>
      <c r="D1575">
        <v>7</v>
      </c>
      <c r="E1575" t="s">
        <v>19</v>
      </c>
      <c r="F1575" t="s">
        <v>24</v>
      </c>
      <c r="G1575" t="s">
        <v>54</v>
      </c>
      <c r="H1575" t="s">
        <v>55</v>
      </c>
      <c r="I1575">
        <v>7167.86</v>
      </c>
      <c r="J1575">
        <v>7353.97</v>
      </c>
      <c r="K1575" t="s">
        <v>17</v>
      </c>
      <c r="L1575" t="b">
        <v>0</v>
      </c>
      <c r="N1575" s="2" t="str">
        <f t="shared" si="135"/>
        <v/>
      </c>
      <c r="Q1575" t="str">
        <f t="shared" si="136"/>
        <v/>
      </c>
    </row>
    <row r="1576" spans="1:17" hidden="1">
      <c r="A1576" t="s">
        <v>1681</v>
      </c>
      <c r="B1576" s="1">
        <v>45134</v>
      </c>
      <c r="C1576">
        <v>2023</v>
      </c>
      <c r="D1576">
        <v>7</v>
      </c>
      <c r="E1576" t="s">
        <v>23</v>
      </c>
      <c r="F1576" t="s">
        <v>28</v>
      </c>
      <c r="G1576" t="s">
        <v>30</v>
      </c>
      <c r="H1576" t="s">
        <v>106</v>
      </c>
      <c r="I1576">
        <v>6475.61</v>
      </c>
      <c r="J1576">
        <v>6130.78</v>
      </c>
      <c r="K1576" t="s">
        <v>17</v>
      </c>
      <c r="L1576" t="b">
        <v>0</v>
      </c>
      <c r="N1576" s="2" t="str">
        <f t="shared" si="135"/>
        <v/>
      </c>
      <c r="Q1576" t="str">
        <f t="shared" si="136"/>
        <v/>
      </c>
    </row>
    <row r="1577" spans="1:17" hidden="1">
      <c r="A1577" t="s">
        <v>1682</v>
      </c>
      <c r="B1577" s="1">
        <v>45134</v>
      </c>
      <c r="C1577">
        <v>2023</v>
      </c>
      <c r="D1577">
        <v>7</v>
      </c>
      <c r="E1577" t="s">
        <v>23</v>
      </c>
      <c r="F1577" t="s">
        <v>24</v>
      </c>
      <c r="G1577" t="s">
        <v>30</v>
      </c>
      <c r="H1577" t="s">
        <v>106</v>
      </c>
      <c r="I1577">
        <v>4996.51</v>
      </c>
      <c r="J1577">
        <v>4747.5600000000004</v>
      </c>
      <c r="K1577" t="s">
        <v>17</v>
      </c>
      <c r="L1577" t="b">
        <v>0</v>
      </c>
      <c r="N1577" s="2" t="str">
        <f t="shared" si="135"/>
        <v/>
      </c>
      <c r="Q1577" t="str">
        <f t="shared" si="136"/>
        <v/>
      </c>
    </row>
    <row r="1578" spans="1:17" hidden="1">
      <c r="A1578" t="s">
        <v>1683</v>
      </c>
      <c r="B1578" s="1">
        <v>45134</v>
      </c>
      <c r="C1578">
        <v>2023</v>
      </c>
      <c r="D1578">
        <v>7</v>
      </c>
      <c r="E1578" t="s">
        <v>37</v>
      </c>
      <c r="F1578" t="s">
        <v>14</v>
      </c>
      <c r="G1578" t="s">
        <v>41</v>
      </c>
      <c r="H1578" t="s">
        <v>42</v>
      </c>
      <c r="I1578">
        <v>3632.1</v>
      </c>
      <c r="J1578">
        <v>3988.29</v>
      </c>
      <c r="K1578" t="s">
        <v>17</v>
      </c>
      <c r="L1578" t="b">
        <v>0</v>
      </c>
      <c r="N1578" s="2" t="str">
        <f t="shared" si="135"/>
        <v/>
      </c>
      <c r="Q1578" t="str">
        <f t="shared" si="136"/>
        <v/>
      </c>
    </row>
    <row r="1579" spans="1:17" hidden="1">
      <c r="A1579" t="s">
        <v>1684</v>
      </c>
      <c r="B1579" s="1">
        <v>45134</v>
      </c>
      <c r="C1579">
        <v>2023</v>
      </c>
      <c r="D1579">
        <v>7</v>
      </c>
      <c r="E1579" t="s">
        <v>37</v>
      </c>
      <c r="F1579" t="s">
        <v>28</v>
      </c>
      <c r="G1579" t="s">
        <v>41</v>
      </c>
      <c r="H1579" t="s">
        <v>42</v>
      </c>
      <c r="I1579">
        <v>5539.9</v>
      </c>
      <c r="J1579">
        <v>5632.14</v>
      </c>
      <c r="K1579" t="s">
        <v>17</v>
      </c>
      <c r="L1579" t="b">
        <v>0</v>
      </c>
      <c r="N1579" s="2" t="str">
        <f t="shared" si="135"/>
        <v/>
      </c>
      <c r="Q1579" t="str">
        <f t="shared" si="136"/>
        <v/>
      </c>
    </row>
    <row r="1580" spans="1:17" hidden="1">
      <c r="A1580" t="s">
        <v>1685</v>
      </c>
      <c r="B1580" s="1">
        <v>45134</v>
      </c>
      <c r="C1580">
        <v>2023</v>
      </c>
      <c r="D1580">
        <v>7</v>
      </c>
      <c r="E1580" t="s">
        <v>37</v>
      </c>
      <c r="F1580" t="s">
        <v>24</v>
      </c>
      <c r="G1580" t="s">
        <v>38</v>
      </c>
      <c r="H1580" t="s">
        <v>118</v>
      </c>
      <c r="I1580">
        <v>4280.63</v>
      </c>
      <c r="J1580">
        <v>4542.12</v>
      </c>
      <c r="K1580" t="s">
        <v>17</v>
      </c>
      <c r="L1580" t="b">
        <v>0</v>
      </c>
      <c r="N1580" s="2" t="str">
        <f t="shared" si="135"/>
        <v/>
      </c>
      <c r="Q1580" t="str">
        <f t="shared" si="136"/>
        <v/>
      </c>
    </row>
    <row r="1581" spans="1:17" hidden="1">
      <c r="A1581" t="s">
        <v>1686</v>
      </c>
      <c r="B1581" s="1">
        <v>45135</v>
      </c>
      <c r="C1581">
        <v>2023</v>
      </c>
      <c r="D1581">
        <v>7</v>
      </c>
      <c r="E1581" t="s">
        <v>47</v>
      </c>
      <c r="F1581" t="s">
        <v>28</v>
      </c>
      <c r="G1581" t="s">
        <v>91</v>
      </c>
      <c r="H1581" t="s">
        <v>254</v>
      </c>
      <c r="I1581">
        <v>3194.84</v>
      </c>
      <c r="J1581">
        <v>2656.65</v>
      </c>
      <c r="K1581" t="s">
        <v>17</v>
      </c>
      <c r="L1581" t="b">
        <v>0</v>
      </c>
      <c r="N1581" s="2" t="b">
        <f t="shared" si="135"/>
        <v>1</v>
      </c>
      <c r="O1581" t="b">
        <f t="shared" ref="O1581:O1582" si="140">IF(AND(E1570="HR",K1570="EXPENSE"),I1570&lt;J1570,"")</f>
        <v>0</v>
      </c>
      <c r="Q1581" t="str">
        <f t="shared" si="136"/>
        <v/>
      </c>
    </row>
    <row r="1582" spans="1:17" hidden="1">
      <c r="A1582" t="s">
        <v>1687</v>
      </c>
      <c r="B1582" s="1">
        <v>45135</v>
      </c>
      <c r="C1582">
        <v>2023</v>
      </c>
      <c r="D1582">
        <v>7</v>
      </c>
      <c r="E1582" t="s">
        <v>47</v>
      </c>
      <c r="F1582" t="s">
        <v>28</v>
      </c>
      <c r="G1582" t="s">
        <v>77</v>
      </c>
      <c r="H1582" t="s">
        <v>147</v>
      </c>
      <c r="I1582">
        <v>15891.92</v>
      </c>
      <c r="J1582">
        <v>13660.56</v>
      </c>
      <c r="K1582" t="s">
        <v>17</v>
      </c>
      <c r="L1582" t="b">
        <v>0</v>
      </c>
      <c r="N1582" s="2" t="b">
        <f t="shared" si="135"/>
        <v>1</v>
      </c>
      <c r="O1582" t="str">
        <f t="shared" si="140"/>
        <v/>
      </c>
      <c r="Q1582" t="str">
        <f t="shared" si="136"/>
        <v/>
      </c>
    </row>
    <row r="1583" spans="1:17" hidden="1">
      <c r="A1583" t="s">
        <v>1688</v>
      </c>
      <c r="B1583" s="1">
        <v>45135</v>
      </c>
      <c r="C1583">
        <v>2023</v>
      </c>
      <c r="D1583">
        <v>7</v>
      </c>
      <c r="E1583" t="s">
        <v>37</v>
      </c>
      <c r="F1583" t="s">
        <v>14</v>
      </c>
      <c r="G1583" t="s">
        <v>62</v>
      </c>
      <c r="H1583" t="s">
        <v>63</v>
      </c>
      <c r="I1583">
        <v>5735.88</v>
      </c>
      <c r="J1583">
        <v>5657.07</v>
      </c>
      <c r="K1583" t="s">
        <v>17</v>
      </c>
      <c r="L1583" t="b">
        <v>0</v>
      </c>
      <c r="N1583" s="2" t="str">
        <f t="shared" si="135"/>
        <v/>
      </c>
      <c r="Q1583" t="str">
        <f t="shared" si="136"/>
        <v/>
      </c>
    </row>
    <row r="1584" spans="1:17" hidden="1">
      <c r="A1584" t="s">
        <v>1689</v>
      </c>
      <c r="B1584" s="1">
        <v>45135</v>
      </c>
      <c r="C1584">
        <v>2023</v>
      </c>
      <c r="D1584">
        <v>7</v>
      </c>
      <c r="E1584" t="s">
        <v>37</v>
      </c>
      <c r="F1584" t="s">
        <v>14</v>
      </c>
      <c r="G1584" t="s">
        <v>62</v>
      </c>
      <c r="H1584" t="s">
        <v>66</v>
      </c>
      <c r="I1584">
        <v>4753.68</v>
      </c>
      <c r="J1584">
        <v>4738.4799999999996</v>
      </c>
      <c r="K1584" t="s">
        <v>17</v>
      </c>
      <c r="L1584" t="b">
        <v>0</v>
      </c>
      <c r="N1584" s="2" t="str">
        <f t="shared" si="135"/>
        <v/>
      </c>
      <c r="Q1584" t="str">
        <f t="shared" si="136"/>
        <v/>
      </c>
    </row>
    <row r="1585" spans="1:17" hidden="1">
      <c r="A1585" t="s">
        <v>1690</v>
      </c>
      <c r="B1585" s="1">
        <v>45135</v>
      </c>
      <c r="C1585">
        <v>2023</v>
      </c>
      <c r="D1585">
        <v>7</v>
      </c>
      <c r="E1585" t="s">
        <v>37</v>
      </c>
      <c r="F1585" t="s">
        <v>14</v>
      </c>
      <c r="G1585" t="s">
        <v>62</v>
      </c>
      <c r="H1585" t="s">
        <v>66</v>
      </c>
      <c r="I1585">
        <v>2259.81</v>
      </c>
      <c r="J1585">
        <v>2292.83</v>
      </c>
      <c r="K1585" t="s">
        <v>17</v>
      </c>
      <c r="L1585" t="b">
        <v>0</v>
      </c>
      <c r="N1585" s="2" t="str">
        <f t="shared" si="135"/>
        <v/>
      </c>
      <c r="Q1585" t="str">
        <f t="shared" si="136"/>
        <v/>
      </c>
    </row>
    <row r="1586" spans="1:17" hidden="1">
      <c r="A1586" t="s">
        <v>1691</v>
      </c>
      <c r="B1586" s="1">
        <v>45135</v>
      </c>
      <c r="C1586">
        <v>2023</v>
      </c>
      <c r="D1586">
        <v>7</v>
      </c>
      <c r="E1586" t="s">
        <v>37</v>
      </c>
      <c r="F1586" t="s">
        <v>28</v>
      </c>
      <c r="G1586" t="s">
        <v>98</v>
      </c>
      <c r="H1586" t="s">
        <v>99</v>
      </c>
      <c r="I1586">
        <v>4127.53</v>
      </c>
      <c r="J1586">
        <v>4043.07</v>
      </c>
      <c r="K1586" t="s">
        <v>17</v>
      </c>
      <c r="L1586" t="b">
        <v>0</v>
      </c>
      <c r="N1586" s="2" t="str">
        <f t="shared" si="135"/>
        <v/>
      </c>
      <c r="Q1586" t="str">
        <f t="shared" si="136"/>
        <v/>
      </c>
    </row>
    <row r="1587" spans="1:17" hidden="1">
      <c r="A1587" t="s">
        <v>1692</v>
      </c>
      <c r="B1587" s="1">
        <v>45135</v>
      </c>
      <c r="C1587">
        <v>2023</v>
      </c>
      <c r="D1587">
        <v>7</v>
      </c>
      <c r="E1587" t="s">
        <v>37</v>
      </c>
      <c r="F1587" t="s">
        <v>24</v>
      </c>
      <c r="G1587" t="s">
        <v>62</v>
      </c>
      <c r="H1587" t="s">
        <v>63</v>
      </c>
      <c r="I1587">
        <v>3534.89</v>
      </c>
      <c r="J1587">
        <v>3286.92</v>
      </c>
      <c r="K1587" t="s">
        <v>17</v>
      </c>
      <c r="L1587" t="b">
        <v>0</v>
      </c>
      <c r="N1587" s="2" t="str">
        <f t="shared" si="135"/>
        <v/>
      </c>
      <c r="Q1587" t="str">
        <f t="shared" si="136"/>
        <v/>
      </c>
    </row>
    <row r="1588" spans="1:17" hidden="1">
      <c r="A1588" t="s">
        <v>1693</v>
      </c>
      <c r="B1588" s="1">
        <v>45136</v>
      </c>
      <c r="C1588">
        <v>2023</v>
      </c>
      <c r="D1588">
        <v>7</v>
      </c>
      <c r="E1588" t="s">
        <v>13</v>
      </c>
      <c r="F1588" t="s">
        <v>28</v>
      </c>
      <c r="G1588" t="s">
        <v>68</v>
      </c>
      <c r="H1588" t="s">
        <v>87</v>
      </c>
      <c r="I1588">
        <v>3506.88</v>
      </c>
      <c r="J1588">
        <v>3228.32</v>
      </c>
      <c r="K1588" t="s">
        <v>17</v>
      </c>
      <c r="L1588" t="b">
        <v>0</v>
      </c>
      <c r="N1588" s="2" t="str">
        <f t="shared" si="135"/>
        <v/>
      </c>
      <c r="Q1588" t="str">
        <f t="shared" si="136"/>
        <v/>
      </c>
    </row>
    <row r="1589" spans="1:17" hidden="1">
      <c r="A1589" t="s">
        <v>1694</v>
      </c>
      <c r="B1589" s="1">
        <v>45136</v>
      </c>
      <c r="C1589">
        <v>2023</v>
      </c>
      <c r="D1589">
        <v>7</v>
      </c>
      <c r="E1589" t="s">
        <v>47</v>
      </c>
      <c r="F1589" t="s">
        <v>28</v>
      </c>
      <c r="G1589" t="s">
        <v>48</v>
      </c>
      <c r="H1589" t="s">
        <v>75</v>
      </c>
      <c r="I1589">
        <v>17581.060000000001</v>
      </c>
      <c r="J1589">
        <v>15236.31</v>
      </c>
      <c r="K1589" t="s">
        <v>17</v>
      </c>
      <c r="L1589" t="b">
        <v>0</v>
      </c>
      <c r="N1589" s="2" t="b">
        <f t="shared" si="135"/>
        <v>1</v>
      </c>
      <c r="O1589" t="str">
        <f t="shared" ref="O1589:O1591" si="141">IF(AND(E1578="HR",K1578="EXPENSE"),I1578&lt;J1578,"")</f>
        <v/>
      </c>
      <c r="Q1589" t="str">
        <f t="shared" si="136"/>
        <v/>
      </c>
    </row>
    <row r="1590" spans="1:17" hidden="1">
      <c r="A1590" t="s">
        <v>1695</v>
      </c>
      <c r="B1590" s="1">
        <v>45136</v>
      </c>
      <c r="C1590">
        <v>2023</v>
      </c>
      <c r="D1590">
        <v>7</v>
      </c>
      <c r="E1590" t="s">
        <v>47</v>
      </c>
      <c r="F1590" t="s">
        <v>24</v>
      </c>
      <c r="G1590" t="s">
        <v>77</v>
      </c>
      <c r="H1590" t="s">
        <v>78</v>
      </c>
      <c r="I1590">
        <v>19447.650000000001</v>
      </c>
      <c r="J1590">
        <v>16186.88</v>
      </c>
      <c r="K1590" t="s">
        <v>17</v>
      </c>
      <c r="L1590" t="b">
        <v>0</v>
      </c>
      <c r="N1590" s="2" t="b">
        <f t="shared" si="135"/>
        <v>1</v>
      </c>
      <c r="O1590" t="str">
        <f t="shared" si="141"/>
        <v/>
      </c>
      <c r="Q1590" t="str">
        <f t="shared" si="136"/>
        <v/>
      </c>
    </row>
    <row r="1591" spans="1:17" hidden="1">
      <c r="A1591" t="s">
        <v>1696</v>
      </c>
      <c r="B1591" s="1">
        <v>45136</v>
      </c>
      <c r="C1591">
        <v>2023</v>
      </c>
      <c r="D1591">
        <v>7</v>
      </c>
      <c r="E1591" t="s">
        <v>47</v>
      </c>
      <c r="F1591" t="s">
        <v>24</v>
      </c>
      <c r="G1591" t="s">
        <v>91</v>
      </c>
      <c r="H1591" t="s">
        <v>249</v>
      </c>
      <c r="I1591">
        <v>10703.75</v>
      </c>
      <c r="J1591">
        <v>8781.84</v>
      </c>
      <c r="K1591" t="s">
        <v>17</v>
      </c>
      <c r="L1591" t="b">
        <v>0</v>
      </c>
      <c r="N1591" s="2" t="b">
        <f t="shared" si="135"/>
        <v>1</v>
      </c>
      <c r="O1591" t="str">
        <f t="shared" si="141"/>
        <v/>
      </c>
      <c r="Q1591" t="str">
        <f t="shared" si="136"/>
        <v/>
      </c>
    </row>
    <row r="1592" spans="1:17" hidden="1">
      <c r="A1592" t="s">
        <v>1697</v>
      </c>
      <c r="B1592" s="1">
        <v>45136</v>
      </c>
      <c r="C1592">
        <v>2023</v>
      </c>
      <c r="D1592">
        <v>7</v>
      </c>
      <c r="E1592" t="s">
        <v>19</v>
      </c>
      <c r="F1592" t="s">
        <v>14</v>
      </c>
      <c r="G1592" t="s">
        <v>132</v>
      </c>
      <c r="H1592" t="s">
        <v>133</v>
      </c>
      <c r="I1592">
        <v>5795.68</v>
      </c>
      <c r="J1592">
        <v>5458.44</v>
      </c>
      <c r="K1592" t="s">
        <v>17</v>
      </c>
      <c r="L1592" t="b">
        <v>0</v>
      </c>
      <c r="N1592" s="2" t="str">
        <f t="shared" si="135"/>
        <v/>
      </c>
      <c r="Q1592" t="str">
        <f t="shared" si="136"/>
        <v/>
      </c>
    </row>
    <row r="1593" spans="1:17" hidden="1">
      <c r="A1593" t="s">
        <v>1698</v>
      </c>
      <c r="B1593" s="1">
        <v>45136</v>
      </c>
      <c r="C1593">
        <v>2023</v>
      </c>
      <c r="D1593">
        <v>7</v>
      </c>
      <c r="E1593" t="s">
        <v>19</v>
      </c>
      <c r="F1593" t="s">
        <v>14</v>
      </c>
      <c r="G1593" t="s">
        <v>20</v>
      </c>
      <c r="H1593" t="s">
        <v>21</v>
      </c>
      <c r="I1593">
        <v>8547.25</v>
      </c>
      <c r="J1593">
        <v>7837.3</v>
      </c>
      <c r="K1593" t="s">
        <v>17</v>
      </c>
      <c r="L1593" t="b">
        <v>0</v>
      </c>
      <c r="N1593" s="2" t="str">
        <f t="shared" si="135"/>
        <v/>
      </c>
      <c r="Q1593" t="str">
        <f t="shared" si="136"/>
        <v/>
      </c>
    </row>
    <row r="1594" spans="1:17" hidden="1">
      <c r="A1594" t="s">
        <v>1699</v>
      </c>
      <c r="B1594" s="1">
        <v>45136</v>
      </c>
      <c r="C1594">
        <v>2023</v>
      </c>
      <c r="D1594">
        <v>7</v>
      </c>
      <c r="E1594" t="s">
        <v>19</v>
      </c>
      <c r="F1594" t="s">
        <v>28</v>
      </c>
      <c r="G1594" t="s">
        <v>54</v>
      </c>
      <c r="H1594" t="s">
        <v>57</v>
      </c>
      <c r="I1594">
        <v>7655.58</v>
      </c>
      <c r="J1594">
        <v>7703.92</v>
      </c>
      <c r="K1594" t="s">
        <v>17</v>
      </c>
      <c r="L1594" t="b">
        <v>0</v>
      </c>
      <c r="N1594" s="2" t="str">
        <f t="shared" si="135"/>
        <v/>
      </c>
      <c r="Q1594" t="str">
        <f t="shared" si="136"/>
        <v/>
      </c>
    </row>
    <row r="1595" spans="1:17" hidden="1">
      <c r="A1595" t="s">
        <v>1700</v>
      </c>
      <c r="B1595" s="1">
        <v>45136</v>
      </c>
      <c r="C1595">
        <v>2023</v>
      </c>
      <c r="D1595">
        <v>7</v>
      </c>
      <c r="E1595" t="s">
        <v>23</v>
      </c>
      <c r="F1595" t="s">
        <v>28</v>
      </c>
      <c r="G1595" t="s">
        <v>25</v>
      </c>
      <c r="H1595" t="s">
        <v>26</v>
      </c>
      <c r="I1595">
        <v>5748.42</v>
      </c>
      <c r="J1595">
        <v>5813.34</v>
      </c>
      <c r="K1595" t="s">
        <v>17</v>
      </c>
      <c r="L1595" t="b">
        <v>0</v>
      </c>
      <c r="N1595" s="2" t="str">
        <f t="shared" si="135"/>
        <v/>
      </c>
      <c r="Q1595" t="str">
        <f t="shared" si="136"/>
        <v/>
      </c>
    </row>
    <row r="1596" spans="1:17" hidden="1">
      <c r="A1596" t="s">
        <v>1701</v>
      </c>
      <c r="B1596" s="1">
        <v>45136</v>
      </c>
      <c r="C1596">
        <v>2023</v>
      </c>
      <c r="D1596">
        <v>7</v>
      </c>
      <c r="E1596" t="s">
        <v>37</v>
      </c>
      <c r="F1596" t="s">
        <v>28</v>
      </c>
      <c r="G1596" t="s">
        <v>41</v>
      </c>
      <c r="H1596" t="s">
        <v>42</v>
      </c>
      <c r="I1596">
        <v>4571.8500000000004</v>
      </c>
      <c r="J1596">
        <v>4191.59</v>
      </c>
      <c r="K1596" t="s">
        <v>17</v>
      </c>
      <c r="L1596" t="b">
        <v>0</v>
      </c>
      <c r="N1596" s="2" t="str">
        <f t="shared" si="135"/>
        <v/>
      </c>
      <c r="Q1596" t="str">
        <f t="shared" si="136"/>
        <v/>
      </c>
    </row>
    <row r="1597" spans="1:17" hidden="1">
      <c r="A1597" t="s">
        <v>1702</v>
      </c>
      <c r="B1597" s="1">
        <v>45137</v>
      </c>
      <c r="C1597">
        <v>2023</v>
      </c>
      <c r="D1597">
        <v>7</v>
      </c>
      <c r="E1597" t="s">
        <v>13</v>
      </c>
      <c r="F1597" t="s">
        <v>14</v>
      </c>
      <c r="G1597" t="s">
        <v>108</v>
      </c>
      <c r="H1597" t="s">
        <v>109</v>
      </c>
      <c r="I1597">
        <v>2752.16</v>
      </c>
      <c r="J1597">
        <v>2787.52</v>
      </c>
      <c r="K1597" t="s">
        <v>17</v>
      </c>
      <c r="L1597" t="b">
        <v>0</v>
      </c>
      <c r="N1597" s="2" t="str">
        <f t="shared" si="135"/>
        <v/>
      </c>
      <c r="Q1597" t="str">
        <f t="shared" si="136"/>
        <v/>
      </c>
    </row>
    <row r="1598" spans="1:17" hidden="1">
      <c r="A1598" t="s">
        <v>1703</v>
      </c>
      <c r="B1598" s="1">
        <v>45137</v>
      </c>
      <c r="C1598">
        <v>2023</v>
      </c>
      <c r="D1598">
        <v>7</v>
      </c>
      <c r="E1598" t="s">
        <v>19</v>
      </c>
      <c r="F1598" t="s">
        <v>24</v>
      </c>
      <c r="G1598" t="s">
        <v>20</v>
      </c>
      <c r="H1598" t="s">
        <v>136</v>
      </c>
      <c r="I1598">
        <v>5887.74</v>
      </c>
      <c r="J1598">
        <v>6334.42</v>
      </c>
      <c r="K1598" t="s">
        <v>17</v>
      </c>
      <c r="L1598" t="b">
        <v>0</v>
      </c>
      <c r="N1598" s="2" t="str">
        <f t="shared" si="135"/>
        <v/>
      </c>
      <c r="Q1598" t="str">
        <f t="shared" si="136"/>
        <v/>
      </c>
    </row>
    <row r="1599" spans="1:17" hidden="1">
      <c r="A1599" t="s">
        <v>1704</v>
      </c>
      <c r="B1599" s="1">
        <v>45137</v>
      </c>
      <c r="C1599">
        <v>2023</v>
      </c>
      <c r="D1599">
        <v>7</v>
      </c>
      <c r="E1599" t="s">
        <v>23</v>
      </c>
      <c r="F1599" t="s">
        <v>14</v>
      </c>
      <c r="G1599" t="s">
        <v>30</v>
      </c>
      <c r="H1599" t="s">
        <v>33</v>
      </c>
      <c r="I1599">
        <v>3202.35</v>
      </c>
      <c r="J1599">
        <v>3036.02</v>
      </c>
      <c r="K1599" t="s">
        <v>17</v>
      </c>
      <c r="L1599" t="b">
        <v>0</v>
      </c>
      <c r="N1599" s="2" t="str">
        <f t="shared" si="135"/>
        <v/>
      </c>
      <c r="Q1599" t="str">
        <f t="shared" si="136"/>
        <v/>
      </c>
    </row>
    <row r="1600" spans="1:17" hidden="1">
      <c r="A1600" t="s">
        <v>1705</v>
      </c>
      <c r="B1600" s="1">
        <v>45137</v>
      </c>
      <c r="C1600">
        <v>2023</v>
      </c>
      <c r="D1600">
        <v>7</v>
      </c>
      <c r="E1600" t="s">
        <v>23</v>
      </c>
      <c r="F1600" t="s">
        <v>14</v>
      </c>
      <c r="G1600" t="s">
        <v>30</v>
      </c>
      <c r="H1600" t="s">
        <v>106</v>
      </c>
      <c r="I1600">
        <v>4094.71</v>
      </c>
      <c r="J1600">
        <v>4158.99</v>
      </c>
      <c r="K1600" t="s">
        <v>17</v>
      </c>
      <c r="L1600" t="b">
        <v>0</v>
      </c>
      <c r="N1600" s="2" t="str">
        <f t="shared" si="135"/>
        <v/>
      </c>
      <c r="Q1600" t="str">
        <f t="shared" si="136"/>
        <v/>
      </c>
    </row>
    <row r="1601" spans="1:17" hidden="1">
      <c r="A1601" t="s">
        <v>1706</v>
      </c>
      <c r="B1601" s="1">
        <v>45137</v>
      </c>
      <c r="C1601">
        <v>2023</v>
      </c>
      <c r="D1601">
        <v>7</v>
      </c>
      <c r="E1601" t="s">
        <v>23</v>
      </c>
      <c r="F1601" t="s">
        <v>28</v>
      </c>
      <c r="G1601" t="s">
        <v>59</v>
      </c>
      <c r="H1601" t="s">
        <v>60</v>
      </c>
      <c r="I1601">
        <v>6045.41</v>
      </c>
      <c r="J1601">
        <v>6420.13</v>
      </c>
      <c r="K1601" t="s">
        <v>17</v>
      </c>
      <c r="L1601" t="b">
        <v>0</v>
      </c>
      <c r="N1601" s="2" t="str">
        <f t="shared" si="135"/>
        <v/>
      </c>
      <c r="Q1601" t="str">
        <f t="shared" si="136"/>
        <v/>
      </c>
    </row>
    <row r="1602" spans="1:17" hidden="1">
      <c r="A1602" t="s">
        <v>1707</v>
      </c>
      <c r="B1602" s="1">
        <v>45137</v>
      </c>
      <c r="C1602">
        <v>2023</v>
      </c>
      <c r="D1602">
        <v>7</v>
      </c>
      <c r="E1602" t="s">
        <v>23</v>
      </c>
      <c r="F1602" t="s">
        <v>28</v>
      </c>
      <c r="G1602" t="s">
        <v>59</v>
      </c>
      <c r="H1602" t="s">
        <v>155</v>
      </c>
      <c r="I1602">
        <v>3997.31</v>
      </c>
      <c r="J1602">
        <v>4110</v>
      </c>
      <c r="K1602" t="s">
        <v>17</v>
      </c>
      <c r="L1602" t="b">
        <v>0</v>
      </c>
      <c r="N1602" s="2" t="str">
        <f t="shared" si="135"/>
        <v/>
      </c>
      <c r="Q1602" t="str">
        <f t="shared" si="136"/>
        <v/>
      </c>
    </row>
    <row r="1603" spans="1:17" hidden="1">
      <c r="A1603" t="s">
        <v>1708</v>
      </c>
      <c r="B1603" s="1">
        <v>45138</v>
      </c>
      <c r="C1603">
        <v>2023</v>
      </c>
      <c r="D1603">
        <v>7</v>
      </c>
      <c r="E1603" t="s">
        <v>47</v>
      </c>
      <c r="F1603" t="s">
        <v>28</v>
      </c>
      <c r="G1603" t="s">
        <v>91</v>
      </c>
      <c r="H1603" t="s">
        <v>128</v>
      </c>
      <c r="I1603">
        <v>7335.88</v>
      </c>
      <c r="J1603">
        <v>6070.64</v>
      </c>
      <c r="K1603" t="s">
        <v>17</v>
      </c>
      <c r="L1603" t="b">
        <v>0</v>
      </c>
      <c r="N1603" s="2" t="b">
        <f t="shared" ref="N1603:N1666" si="142">IF(AND(E1603="IT",K1603="EXPENSE"),I1603&gt;J1603,"")</f>
        <v>1</v>
      </c>
      <c r="O1603" t="str">
        <f t="shared" ref="O1603:O1604" si="143">IF(AND(E1592="HR",K1592="EXPENSE"),I1592&lt;J1592,"")</f>
        <v/>
      </c>
      <c r="Q1603" t="str">
        <f t="shared" ref="Q1603:Q1666" si="144">IF(L1603=TRUE,OR(H1603="Apex Solutions Inc",H1603="Global Trade Partners",H1603="NovaTech Services"),"")</f>
        <v/>
      </c>
    </row>
    <row r="1604" spans="1:17" hidden="1">
      <c r="A1604" t="s">
        <v>1709</v>
      </c>
      <c r="B1604" s="1">
        <v>45138</v>
      </c>
      <c r="C1604">
        <v>2023</v>
      </c>
      <c r="D1604">
        <v>7</v>
      </c>
      <c r="E1604" t="s">
        <v>47</v>
      </c>
      <c r="F1604" t="s">
        <v>24</v>
      </c>
      <c r="G1604" t="s">
        <v>77</v>
      </c>
      <c r="H1604" t="s">
        <v>130</v>
      </c>
      <c r="I1604">
        <v>20431.23</v>
      </c>
      <c r="J1604">
        <v>17081.39</v>
      </c>
      <c r="K1604" t="s">
        <v>17</v>
      </c>
      <c r="L1604" t="b">
        <v>0</v>
      </c>
      <c r="N1604" s="2" t="b">
        <f t="shared" si="142"/>
        <v>1</v>
      </c>
      <c r="O1604" t="str">
        <f t="shared" si="143"/>
        <v/>
      </c>
      <c r="Q1604" t="str">
        <f t="shared" si="144"/>
        <v/>
      </c>
    </row>
    <row r="1605" spans="1:17" hidden="1">
      <c r="A1605" t="s">
        <v>1710</v>
      </c>
      <c r="B1605" s="1">
        <v>45138</v>
      </c>
      <c r="C1605">
        <v>2023</v>
      </c>
      <c r="D1605">
        <v>7</v>
      </c>
      <c r="E1605" t="s">
        <v>19</v>
      </c>
      <c r="F1605" t="s">
        <v>14</v>
      </c>
      <c r="G1605" t="s">
        <v>54</v>
      </c>
      <c r="H1605" t="s">
        <v>57</v>
      </c>
      <c r="I1605">
        <v>6626.87</v>
      </c>
      <c r="J1605">
        <v>6429.15</v>
      </c>
      <c r="K1605" t="s">
        <v>17</v>
      </c>
      <c r="L1605" t="b">
        <v>0</v>
      </c>
      <c r="N1605" s="2" t="str">
        <f t="shared" si="142"/>
        <v/>
      </c>
      <c r="Q1605" t="str">
        <f t="shared" si="144"/>
        <v/>
      </c>
    </row>
    <row r="1606" spans="1:17" hidden="1">
      <c r="A1606" t="s">
        <v>1711</v>
      </c>
      <c r="B1606" s="1">
        <v>45138</v>
      </c>
      <c r="C1606">
        <v>2023</v>
      </c>
      <c r="D1606">
        <v>7</v>
      </c>
      <c r="E1606" t="s">
        <v>19</v>
      </c>
      <c r="F1606" t="s">
        <v>14</v>
      </c>
      <c r="G1606" t="s">
        <v>20</v>
      </c>
      <c r="H1606" t="s">
        <v>174</v>
      </c>
      <c r="I1606">
        <v>1981.16</v>
      </c>
      <c r="J1606">
        <v>1870.71</v>
      </c>
      <c r="K1606" t="s">
        <v>17</v>
      </c>
      <c r="L1606" t="b">
        <v>0</v>
      </c>
      <c r="N1606" s="2" t="str">
        <f t="shared" si="142"/>
        <v/>
      </c>
      <c r="Q1606" t="str">
        <f t="shared" si="144"/>
        <v/>
      </c>
    </row>
    <row r="1607" spans="1:17" hidden="1">
      <c r="A1607" t="s">
        <v>1712</v>
      </c>
      <c r="B1607" s="1">
        <v>45138</v>
      </c>
      <c r="C1607">
        <v>2023</v>
      </c>
      <c r="D1607">
        <v>7</v>
      </c>
      <c r="E1607" t="s">
        <v>19</v>
      </c>
      <c r="F1607" t="s">
        <v>24</v>
      </c>
      <c r="G1607" t="s">
        <v>80</v>
      </c>
      <c r="H1607" t="s">
        <v>150</v>
      </c>
      <c r="I1607">
        <v>7960.87</v>
      </c>
      <c r="J1607">
        <v>7806.76</v>
      </c>
      <c r="K1607" t="s">
        <v>17</v>
      </c>
      <c r="L1607" t="b">
        <v>0</v>
      </c>
      <c r="N1607" s="2" t="str">
        <f t="shared" si="142"/>
        <v/>
      </c>
      <c r="Q1607" t="str">
        <f t="shared" si="144"/>
        <v/>
      </c>
    </row>
    <row r="1608" spans="1:17" hidden="1">
      <c r="A1608" t="s">
        <v>1713</v>
      </c>
      <c r="B1608" s="1">
        <v>45138</v>
      </c>
      <c r="C1608">
        <v>2023</v>
      </c>
      <c r="D1608">
        <v>7</v>
      </c>
      <c r="E1608" t="s">
        <v>23</v>
      </c>
      <c r="F1608" t="s">
        <v>28</v>
      </c>
      <c r="G1608" t="s">
        <v>59</v>
      </c>
      <c r="H1608" t="s">
        <v>155</v>
      </c>
      <c r="I1608">
        <v>6799.31</v>
      </c>
      <c r="J1608">
        <v>6154.31</v>
      </c>
      <c r="K1608" t="s">
        <v>17</v>
      </c>
      <c r="L1608" t="b">
        <v>0</v>
      </c>
      <c r="N1608" s="2" t="str">
        <f t="shared" si="142"/>
        <v/>
      </c>
      <c r="Q1608" t="str">
        <f t="shared" si="144"/>
        <v/>
      </c>
    </row>
    <row r="1609" spans="1:17" hidden="1">
      <c r="A1609" t="s">
        <v>1714</v>
      </c>
      <c r="B1609" s="1">
        <v>45138</v>
      </c>
      <c r="C1609">
        <v>2023</v>
      </c>
      <c r="D1609">
        <v>7</v>
      </c>
      <c r="E1609" t="s">
        <v>23</v>
      </c>
      <c r="F1609" t="s">
        <v>28</v>
      </c>
      <c r="G1609" t="s">
        <v>59</v>
      </c>
      <c r="H1609" t="s">
        <v>155</v>
      </c>
      <c r="I1609">
        <v>4197.26</v>
      </c>
      <c r="J1609">
        <v>3849.75</v>
      </c>
      <c r="K1609" t="s">
        <v>17</v>
      </c>
      <c r="L1609" t="b">
        <v>0</v>
      </c>
      <c r="N1609" s="2" t="str">
        <f t="shared" si="142"/>
        <v/>
      </c>
      <c r="Q1609" t="str">
        <f t="shared" si="144"/>
        <v/>
      </c>
    </row>
    <row r="1610" spans="1:17" hidden="1">
      <c r="A1610" t="s">
        <v>1715</v>
      </c>
      <c r="B1610" s="1">
        <v>45138</v>
      </c>
      <c r="C1610">
        <v>2023</v>
      </c>
      <c r="D1610">
        <v>7</v>
      </c>
      <c r="E1610" t="s">
        <v>23</v>
      </c>
      <c r="F1610" t="s">
        <v>24</v>
      </c>
      <c r="G1610" t="s">
        <v>25</v>
      </c>
      <c r="H1610" t="s">
        <v>95</v>
      </c>
      <c r="I1610">
        <v>6420.72</v>
      </c>
      <c r="J1610">
        <v>6762.98</v>
      </c>
      <c r="K1610" t="s">
        <v>17</v>
      </c>
      <c r="L1610" t="b">
        <v>0</v>
      </c>
      <c r="N1610" s="2" t="str">
        <f t="shared" si="142"/>
        <v/>
      </c>
      <c r="Q1610" t="str">
        <f t="shared" si="144"/>
        <v/>
      </c>
    </row>
    <row r="1611" spans="1:17" hidden="1">
      <c r="A1611" t="s">
        <v>1716</v>
      </c>
      <c r="B1611" s="1">
        <v>45138</v>
      </c>
      <c r="C1611">
        <v>2023</v>
      </c>
      <c r="D1611">
        <v>7</v>
      </c>
      <c r="E1611" t="s">
        <v>37</v>
      </c>
      <c r="F1611" t="s">
        <v>14</v>
      </c>
      <c r="G1611" t="s">
        <v>38</v>
      </c>
      <c r="H1611" t="s">
        <v>118</v>
      </c>
      <c r="I1611">
        <v>4307.58</v>
      </c>
      <c r="J1611">
        <v>4504.33</v>
      </c>
      <c r="K1611" t="s">
        <v>17</v>
      </c>
      <c r="L1611" t="b">
        <v>0</v>
      </c>
      <c r="N1611" s="2" t="str">
        <f t="shared" si="142"/>
        <v/>
      </c>
      <c r="Q1611" t="str">
        <f t="shared" si="144"/>
        <v/>
      </c>
    </row>
    <row r="1612" spans="1:17" hidden="1">
      <c r="A1612" t="s">
        <v>1717</v>
      </c>
      <c r="B1612" s="1">
        <v>45138</v>
      </c>
      <c r="C1612">
        <v>2023</v>
      </c>
      <c r="D1612">
        <v>7</v>
      </c>
      <c r="E1612" t="s">
        <v>37</v>
      </c>
      <c r="F1612" t="s">
        <v>14</v>
      </c>
      <c r="G1612" t="s">
        <v>98</v>
      </c>
      <c r="H1612" t="s">
        <v>185</v>
      </c>
      <c r="I1612">
        <v>5592.59</v>
      </c>
      <c r="J1612">
        <v>5167.9799999999996</v>
      </c>
      <c r="K1612" t="s">
        <v>17</v>
      </c>
      <c r="L1612" t="b">
        <v>0</v>
      </c>
      <c r="N1612" s="2" t="str">
        <f t="shared" si="142"/>
        <v/>
      </c>
      <c r="Q1612" t="str">
        <f t="shared" si="144"/>
        <v/>
      </c>
    </row>
    <row r="1613" spans="1:17" hidden="1">
      <c r="A1613" t="s">
        <v>1718</v>
      </c>
      <c r="B1613" s="1">
        <v>45138</v>
      </c>
      <c r="C1613">
        <v>2023</v>
      </c>
      <c r="D1613">
        <v>7</v>
      </c>
      <c r="E1613" t="s">
        <v>37</v>
      </c>
      <c r="F1613" t="s">
        <v>24</v>
      </c>
      <c r="G1613" t="s">
        <v>98</v>
      </c>
      <c r="H1613" t="s">
        <v>99</v>
      </c>
      <c r="I1613">
        <v>2877.68</v>
      </c>
      <c r="J1613">
        <v>2919.12</v>
      </c>
      <c r="K1613" t="s">
        <v>17</v>
      </c>
      <c r="L1613" t="b">
        <v>0</v>
      </c>
      <c r="N1613" s="2" t="str">
        <f t="shared" si="142"/>
        <v/>
      </c>
      <c r="Q1613" t="str">
        <f t="shared" si="144"/>
        <v/>
      </c>
    </row>
    <row r="1614" spans="1:17" hidden="1">
      <c r="A1614" t="s">
        <v>1719</v>
      </c>
      <c r="B1614" s="1">
        <v>45138</v>
      </c>
      <c r="C1614">
        <v>2023</v>
      </c>
      <c r="D1614">
        <v>7</v>
      </c>
      <c r="E1614" t="s">
        <v>37</v>
      </c>
      <c r="F1614" t="s">
        <v>24</v>
      </c>
      <c r="G1614" t="s">
        <v>38</v>
      </c>
      <c r="H1614" t="s">
        <v>227</v>
      </c>
      <c r="I1614">
        <v>3733.37</v>
      </c>
      <c r="J1614">
        <v>3504.46</v>
      </c>
      <c r="K1614" t="s">
        <v>17</v>
      </c>
      <c r="L1614" t="b">
        <v>0</v>
      </c>
      <c r="N1614" s="2" t="str">
        <f t="shared" si="142"/>
        <v/>
      </c>
      <c r="Q1614" t="str">
        <f t="shared" si="144"/>
        <v/>
      </c>
    </row>
    <row r="1615" spans="1:17" hidden="1">
      <c r="A1615" t="s">
        <v>1720</v>
      </c>
      <c r="B1615" s="1">
        <v>45139</v>
      </c>
      <c r="C1615">
        <v>2023</v>
      </c>
      <c r="D1615">
        <v>8</v>
      </c>
      <c r="E1615" t="s">
        <v>13</v>
      </c>
      <c r="F1615" t="s">
        <v>14</v>
      </c>
      <c r="G1615" t="s">
        <v>102</v>
      </c>
      <c r="H1615" t="s">
        <v>278</v>
      </c>
      <c r="I1615">
        <v>2917.76</v>
      </c>
      <c r="J1615">
        <v>3135.45</v>
      </c>
      <c r="K1615" t="s">
        <v>17</v>
      </c>
      <c r="L1615" t="b">
        <v>0</v>
      </c>
      <c r="N1615" s="2" t="str">
        <f t="shared" si="142"/>
        <v/>
      </c>
      <c r="Q1615" t="str">
        <f t="shared" si="144"/>
        <v/>
      </c>
    </row>
    <row r="1616" spans="1:17" hidden="1">
      <c r="A1616" t="s">
        <v>1721</v>
      </c>
      <c r="B1616" s="1">
        <v>45139</v>
      </c>
      <c r="C1616">
        <v>2023</v>
      </c>
      <c r="D1616">
        <v>8</v>
      </c>
      <c r="E1616" t="s">
        <v>13</v>
      </c>
      <c r="F1616" t="s">
        <v>24</v>
      </c>
      <c r="G1616" t="s">
        <v>102</v>
      </c>
      <c r="H1616" t="s">
        <v>278</v>
      </c>
      <c r="I1616">
        <v>5567.36</v>
      </c>
      <c r="J1616">
        <v>5050.25</v>
      </c>
      <c r="K1616" t="s">
        <v>17</v>
      </c>
      <c r="L1616" t="b">
        <v>0</v>
      </c>
      <c r="N1616" s="2" t="str">
        <f t="shared" si="142"/>
        <v/>
      </c>
      <c r="Q1616" t="str">
        <f t="shared" si="144"/>
        <v/>
      </c>
    </row>
    <row r="1617" spans="1:17" hidden="1">
      <c r="A1617" t="s">
        <v>1722</v>
      </c>
      <c r="B1617" s="1">
        <v>45139</v>
      </c>
      <c r="C1617">
        <v>2023</v>
      </c>
      <c r="D1617">
        <v>8</v>
      </c>
      <c r="E1617" t="s">
        <v>47</v>
      </c>
      <c r="F1617" t="s">
        <v>14</v>
      </c>
      <c r="G1617" t="s">
        <v>77</v>
      </c>
      <c r="H1617" t="s">
        <v>130</v>
      </c>
      <c r="I1617">
        <v>17572.27</v>
      </c>
      <c r="J1617">
        <v>14700.2</v>
      </c>
      <c r="K1617" t="s">
        <v>17</v>
      </c>
      <c r="L1617" t="b">
        <v>0</v>
      </c>
      <c r="N1617" s="2" t="b">
        <f t="shared" si="142"/>
        <v>1</v>
      </c>
      <c r="O1617" t="str">
        <f t="shared" ref="O1617:O1618" si="145">IF(AND(E1606="HR",K1606="EXPENSE"),I1606&lt;J1606,"")</f>
        <v/>
      </c>
      <c r="Q1617" t="str">
        <f t="shared" si="144"/>
        <v/>
      </c>
    </row>
    <row r="1618" spans="1:17" hidden="1">
      <c r="A1618" t="s">
        <v>1723</v>
      </c>
      <c r="B1618" s="1">
        <v>45139</v>
      </c>
      <c r="C1618">
        <v>2023</v>
      </c>
      <c r="D1618">
        <v>8</v>
      </c>
      <c r="E1618" t="s">
        <v>47</v>
      </c>
      <c r="F1618" t="s">
        <v>24</v>
      </c>
      <c r="G1618" t="s">
        <v>77</v>
      </c>
      <c r="H1618" t="s">
        <v>147</v>
      </c>
      <c r="I1618">
        <v>9104.5400000000009</v>
      </c>
      <c r="J1618">
        <v>7820.69</v>
      </c>
      <c r="K1618" t="s">
        <v>17</v>
      </c>
      <c r="L1618" t="b">
        <v>0</v>
      </c>
      <c r="N1618" s="2" t="b">
        <f t="shared" si="142"/>
        <v>1</v>
      </c>
      <c r="O1618" t="str">
        <f t="shared" si="145"/>
        <v/>
      </c>
      <c r="Q1618" t="str">
        <f t="shared" si="144"/>
        <v/>
      </c>
    </row>
    <row r="1619" spans="1:17" hidden="1">
      <c r="A1619" t="s">
        <v>1724</v>
      </c>
      <c r="B1619" s="1">
        <v>45139</v>
      </c>
      <c r="C1619">
        <v>2023</v>
      </c>
      <c r="D1619">
        <v>8</v>
      </c>
      <c r="E1619" t="s">
        <v>37</v>
      </c>
      <c r="F1619" t="s">
        <v>24</v>
      </c>
      <c r="G1619" t="s">
        <v>41</v>
      </c>
      <c r="H1619" t="s">
        <v>42</v>
      </c>
      <c r="I1619">
        <v>4100.51</v>
      </c>
      <c r="J1619">
        <v>4089.17</v>
      </c>
      <c r="K1619" t="s">
        <v>17</v>
      </c>
      <c r="L1619" t="b">
        <v>0</v>
      </c>
      <c r="N1619" s="2" t="str">
        <f t="shared" si="142"/>
        <v/>
      </c>
      <c r="Q1619" t="str">
        <f t="shared" si="144"/>
        <v/>
      </c>
    </row>
    <row r="1620" spans="1:17" hidden="1">
      <c r="A1620" t="s">
        <v>1725</v>
      </c>
      <c r="B1620" s="1">
        <v>45140</v>
      </c>
      <c r="C1620">
        <v>2023</v>
      </c>
      <c r="D1620">
        <v>8</v>
      </c>
      <c r="E1620" t="s">
        <v>47</v>
      </c>
      <c r="F1620" t="s">
        <v>14</v>
      </c>
      <c r="G1620" t="s">
        <v>51</v>
      </c>
      <c r="H1620" t="s">
        <v>189</v>
      </c>
      <c r="I1620">
        <v>14909.32</v>
      </c>
      <c r="J1620">
        <v>12342.25</v>
      </c>
      <c r="K1620" t="s">
        <v>17</v>
      </c>
      <c r="L1620" t="b">
        <v>0</v>
      </c>
      <c r="N1620" s="2" t="b">
        <f t="shared" si="142"/>
        <v>1</v>
      </c>
      <c r="O1620" t="str">
        <f>IF(AND(E1609="HR",K1609="EXPENSE"),I1609&lt;J1609,"")</f>
        <v/>
      </c>
      <c r="Q1620" t="str">
        <f t="shared" si="144"/>
        <v/>
      </c>
    </row>
    <row r="1621" spans="1:17" hidden="1">
      <c r="A1621" t="s">
        <v>1726</v>
      </c>
      <c r="B1621" s="1">
        <v>45140</v>
      </c>
      <c r="C1621">
        <v>2023</v>
      </c>
      <c r="D1621">
        <v>8</v>
      </c>
      <c r="E1621" t="s">
        <v>19</v>
      </c>
      <c r="F1621" t="s">
        <v>14</v>
      </c>
      <c r="G1621" t="s">
        <v>80</v>
      </c>
      <c r="H1621" t="s">
        <v>217</v>
      </c>
      <c r="I1621">
        <v>7129.3</v>
      </c>
      <c r="J1621">
        <v>7600.72</v>
      </c>
      <c r="K1621" t="s">
        <v>17</v>
      </c>
      <c r="L1621" t="b">
        <v>0</v>
      </c>
      <c r="N1621" s="2" t="str">
        <f t="shared" si="142"/>
        <v/>
      </c>
      <c r="Q1621" t="str">
        <f t="shared" si="144"/>
        <v/>
      </c>
    </row>
    <row r="1622" spans="1:17">
      <c r="A1622" t="s">
        <v>1727</v>
      </c>
      <c r="B1622" s="1">
        <v>45140</v>
      </c>
      <c r="C1622">
        <v>2023</v>
      </c>
      <c r="D1622">
        <v>8</v>
      </c>
      <c r="E1622" t="s">
        <v>19</v>
      </c>
      <c r="F1622" t="s">
        <v>28</v>
      </c>
      <c r="G1622" t="s">
        <v>80</v>
      </c>
      <c r="H1622" t="s">
        <v>322</v>
      </c>
      <c r="I1622">
        <v>21717.119999999999</v>
      </c>
      <c r="J1622">
        <v>7279.91</v>
      </c>
      <c r="K1622" t="s">
        <v>17</v>
      </c>
      <c r="L1622" t="b">
        <v>1</v>
      </c>
      <c r="N1622" s="2" t="str">
        <f t="shared" si="142"/>
        <v/>
      </c>
      <c r="Q1622" t="b">
        <f t="shared" si="144"/>
        <v>1</v>
      </c>
    </row>
    <row r="1623" spans="1:17" hidden="1">
      <c r="A1623" t="s">
        <v>1728</v>
      </c>
      <c r="B1623" s="1">
        <v>45140</v>
      </c>
      <c r="C1623">
        <v>2023</v>
      </c>
      <c r="D1623">
        <v>8</v>
      </c>
      <c r="E1623" t="s">
        <v>37</v>
      </c>
      <c r="F1623" t="s">
        <v>14</v>
      </c>
      <c r="G1623" t="s">
        <v>83</v>
      </c>
      <c r="H1623" t="s">
        <v>84</v>
      </c>
      <c r="I1623">
        <v>261948.39</v>
      </c>
      <c r="J1623">
        <v>248850.97</v>
      </c>
      <c r="K1623" t="s">
        <v>85</v>
      </c>
      <c r="L1623" t="b">
        <v>0</v>
      </c>
      <c r="N1623" s="2" t="str">
        <f t="shared" si="142"/>
        <v/>
      </c>
      <c r="Q1623" t="str">
        <f t="shared" si="144"/>
        <v/>
      </c>
    </row>
    <row r="1624" spans="1:17" hidden="1">
      <c r="A1624" t="s">
        <v>1729</v>
      </c>
      <c r="B1624" s="1">
        <v>45141</v>
      </c>
      <c r="C1624">
        <v>2023</v>
      </c>
      <c r="D1624">
        <v>8</v>
      </c>
      <c r="E1624" t="s">
        <v>13</v>
      </c>
      <c r="F1624" t="s">
        <v>14</v>
      </c>
      <c r="G1624" t="s">
        <v>108</v>
      </c>
      <c r="H1624" t="s">
        <v>109</v>
      </c>
      <c r="I1624">
        <v>5148.82</v>
      </c>
      <c r="J1624">
        <v>5495.27</v>
      </c>
      <c r="K1624" t="s">
        <v>17</v>
      </c>
      <c r="L1624" t="b">
        <v>0</v>
      </c>
      <c r="N1624" s="2" t="str">
        <f t="shared" si="142"/>
        <v/>
      </c>
      <c r="Q1624" t="str">
        <f t="shared" si="144"/>
        <v/>
      </c>
    </row>
    <row r="1625" spans="1:17" hidden="1">
      <c r="A1625" t="s">
        <v>1730</v>
      </c>
      <c r="B1625" s="1">
        <v>45141</v>
      </c>
      <c r="C1625">
        <v>2023</v>
      </c>
      <c r="D1625">
        <v>8</v>
      </c>
      <c r="E1625" t="s">
        <v>47</v>
      </c>
      <c r="F1625" t="s">
        <v>14</v>
      </c>
      <c r="G1625" t="s">
        <v>48</v>
      </c>
      <c r="H1625" t="s">
        <v>111</v>
      </c>
      <c r="I1625">
        <v>16014.72</v>
      </c>
      <c r="J1625">
        <v>13433.75</v>
      </c>
      <c r="K1625" t="s">
        <v>17</v>
      </c>
      <c r="L1625" t="b">
        <v>0</v>
      </c>
      <c r="N1625" s="2" t="b">
        <f t="shared" si="142"/>
        <v>1</v>
      </c>
      <c r="O1625" t="str">
        <f>IF(AND(E1614="HR",K1614="EXPENSE"),I1614&lt;J1614,"")</f>
        <v/>
      </c>
      <c r="Q1625" t="str">
        <f t="shared" si="144"/>
        <v/>
      </c>
    </row>
    <row r="1626" spans="1:17" hidden="1">
      <c r="A1626" t="s">
        <v>1731</v>
      </c>
      <c r="B1626" s="1">
        <v>45141</v>
      </c>
      <c r="C1626">
        <v>2023</v>
      </c>
      <c r="D1626">
        <v>8</v>
      </c>
      <c r="E1626" t="s">
        <v>23</v>
      </c>
      <c r="F1626" t="s">
        <v>24</v>
      </c>
      <c r="G1626" t="s">
        <v>30</v>
      </c>
      <c r="H1626" t="s">
        <v>33</v>
      </c>
      <c r="I1626">
        <v>8687.6200000000008</v>
      </c>
      <c r="J1626">
        <v>8414.1200000000008</v>
      </c>
      <c r="K1626" t="s">
        <v>17</v>
      </c>
      <c r="L1626" t="b">
        <v>0</v>
      </c>
      <c r="N1626" s="2" t="str">
        <f t="shared" si="142"/>
        <v/>
      </c>
      <c r="Q1626" t="str">
        <f t="shared" si="144"/>
        <v/>
      </c>
    </row>
    <row r="1627" spans="1:17" hidden="1">
      <c r="A1627" t="s">
        <v>1732</v>
      </c>
      <c r="B1627" s="1">
        <v>45141</v>
      </c>
      <c r="C1627">
        <v>2023</v>
      </c>
      <c r="D1627">
        <v>8</v>
      </c>
      <c r="E1627" t="s">
        <v>37</v>
      </c>
      <c r="F1627" t="s">
        <v>14</v>
      </c>
      <c r="G1627" t="s">
        <v>62</v>
      </c>
      <c r="H1627" t="s">
        <v>66</v>
      </c>
      <c r="I1627">
        <v>3612.03</v>
      </c>
      <c r="J1627">
        <v>3314.24</v>
      </c>
      <c r="K1627" t="s">
        <v>17</v>
      </c>
      <c r="L1627" t="b">
        <v>0</v>
      </c>
      <c r="N1627" s="2" t="str">
        <f t="shared" si="142"/>
        <v/>
      </c>
      <c r="Q1627" t="str">
        <f t="shared" si="144"/>
        <v/>
      </c>
    </row>
    <row r="1628" spans="1:17" hidden="1">
      <c r="A1628" t="s">
        <v>1733</v>
      </c>
      <c r="B1628" s="1">
        <v>45141</v>
      </c>
      <c r="C1628">
        <v>2023</v>
      </c>
      <c r="D1628">
        <v>8</v>
      </c>
      <c r="E1628" t="s">
        <v>37</v>
      </c>
      <c r="F1628" t="s">
        <v>24</v>
      </c>
      <c r="G1628" t="s">
        <v>41</v>
      </c>
      <c r="H1628" t="s">
        <v>42</v>
      </c>
      <c r="I1628">
        <v>6871.31</v>
      </c>
      <c r="J1628">
        <v>6741.2</v>
      </c>
      <c r="K1628" t="s">
        <v>17</v>
      </c>
      <c r="L1628" t="b">
        <v>0</v>
      </c>
      <c r="N1628" s="2" t="str">
        <f t="shared" si="142"/>
        <v/>
      </c>
      <c r="Q1628" t="str">
        <f t="shared" si="144"/>
        <v/>
      </c>
    </row>
    <row r="1629" spans="1:17" hidden="1">
      <c r="A1629" t="s">
        <v>1734</v>
      </c>
      <c r="B1629" s="1">
        <v>45142</v>
      </c>
      <c r="C1629">
        <v>2023</v>
      </c>
      <c r="D1629">
        <v>8</v>
      </c>
      <c r="E1629" t="s">
        <v>13</v>
      </c>
      <c r="F1629" t="s">
        <v>28</v>
      </c>
      <c r="G1629" t="s">
        <v>108</v>
      </c>
      <c r="H1629" t="s">
        <v>123</v>
      </c>
      <c r="I1629">
        <v>3105.41</v>
      </c>
      <c r="J1629">
        <v>3379.96</v>
      </c>
      <c r="K1629" t="s">
        <v>17</v>
      </c>
      <c r="L1629" t="b">
        <v>0</v>
      </c>
      <c r="N1629" s="2" t="str">
        <f t="shared" si="142"/>
        <v/>
      </c>
      <c r="Q1629" t="str">
        <f t="shared" si="144"/>
        <v/>
      </c>
    </row>
    <row r="1630" spans="1:17" hidden="1">
      <c r="A1630" t="s">
        <v>1735</v>
      </c>
      <c r="B1630" s="1">
        <v>45142</v>
      </c>
      <c r="C1630">
        <v>2023</v>
      </c>
      <c r="D1630">
        <v>8</v>
      </c>
      <c r="E1630" t="s">
        <v>13</v>
      </c>
      <c r="F1630" t="s">
        <v>24</v>
      </c>
      <c r="G1630" t="s">
        <v>15</v>
      </c>
      <c r="H1630" t="s">
        <v>16</v>
      </c>
      <c r="I1630">
        <v>3554.2</v>
      </c>
      <c r="J1630">
        <v>3365.65</v>
      </c>
      <c r="K1630" t="s">
        <v>17</v>
      </c>
      <c r="L1630" t="b">
        <v>0</v>
      </c>
      <c r="N1630" s="2" t="str">
        <f t="shared" si="142"/>
        <v/>
      </c>
      <c r="Q1630" t="str">
        <f t="shared" si="144"/>
        <v/>
      </c>
    </row>
    <row r="1631" spans="1:17" hidden="1">
      <c r="A1631" t="s">
        <v>1736</v>
      </c>
      <c r="B1631" s="1">
        <v>45142</v>
      </c>
      <c r="C1631">
        <v>2023</v>
      </c>
      <c r="D1631">
        <v>8</v>
      </c>
      <c r="E1631" t="s">
        <v>47</v>
      </c>
      <c r="F1631" t="s">
        <v>14</v>
      </c>
      <c r="G1631" t="s">
        <v>77</v>
      </c>
      <c r="H1631" t="s">
        <v>78</v>
      </c>
      <c r="I1631">
        <v>15231.64</v>
      </c>
      <c r="J1631">
        <v>13123.93</v>
      </c>
      <c r="K1631" t="s">
        <v>17</v>
      </c>
      <c r="L1631" t="b">
        <v>0</v>
      </c>
      <c r="N1631" s="2" t="b">
        <f t="shared" si="142"/>
        <v>1</v>
      </c>
      <c r="O1631" t="str">
        <f t="shared" ref="O1631:O1633" si="146">IF(AND(E1620="HR",K1620="EXPENSE"),I1620&lt;J1620,"")</f>
        <v/>
      </c>
      <c r="Q1631" t="str">
        <f t="shared" si="144"/>
        <v/>
      </c>
    </row>
    <row r="1632" spans="1:17" hidden="1">
      <c r="A1632" t="s">
        <v>1737</v>
      </c>
      <c r="B1632" s="1">
        <v>45142</v>
      </c>
      <c r="C1632">
        <v>2023</v>
      </c>
      <c r="D1632">
        <v>8</v>
      </c>
      <c r="E1632" t="s">
        <v>47</v>
      </c>
      <c r="F1632" t="s">
        <v>28</v>
      </c>
      <c r="G1632" t="s">
        <v>91</v>
      </c>
      <c r="H1632" t="s">
        <v>128</v>
      </c>
      <c r="I1632">
        <v>16323.48</v>
      </c>
      <c r="J1632">
        <v>14175.29</v>
      </c>
      <c r="K1632" t="s">
        <v>17</v>
      </c>
      <c r="L1632" t="b">
        <v>0</v>
      </c>
      <c r="N1632" s="2" t="b">
        <f t="shared" si="142"/>
        <v>1</v>
      </c>
      <c r="O1632" t="str">
        <f t="shared" si="146"/>
        <v/>
      </c>
      <c r="Q1632" t="str">
        <f t="shared" si="144"/>
        <v/>
      </c>
    </row>
    <row r="1633" spans="1:17" hidden="1">
      <c r="A1633" t="s">
        <v>1738</v>
      </c>
      <c r="B1633" s="1">
        <v>45142</v>
      </c>
      <c r="C1633">
        <v>2023</v>
      </c>
      <c r="D1633">
        <v>8</v>
      </c>
      <c r="E1633" t="s">
        <v>47</v>
      </c>
      <c r="F1633" t="s">
        <v>28</v>
      </c>
      <c r="G1633" t="s">
        <v>48</v>
      </c>
      <c r="H1633" t="s">
        <v>191</v>
      </c>
      <c r="I1633">
        <v>11920.93</v>
      </c>
      <c r="J1633">
        <v>10094.09</v>
      </c>
      <c r="K1633" t="s">
        <v>17</v>
      </c>
      <c r="L1633" t="b">
        <v>0</v>
      </c>
      <c r="N1633" s="2" t="b">
        <f t="shared" si="142"/>
        <v>1</v>
      </c>
      <c r="O1633" t="str">
        <f t="shared" si="146"/>
        <v/>
      </c>
      <c r="Q1633" t="str">
        <f t="shared" si="144"/>
        <v/>
      </c>
    </row>
    <row r="1634" spans="1:17" hidden="1">
      <c r="A1634" t="s">
        <v>1739</v>
      </c>
      <c r="B1634" s="1">
        <v>45142</v>
      </c>
      <c r="C1634">
        <v>2023</v>
      </c>
      <c r="D1634">
        <v>8</v>
      </c>
      <c r="E1634" t="s">
        <v>23</v>
      </c>
      <c r="F1634" t="s">
        <v>28</v>
      </c>
      <c r="G1634" t="s">
        <v>25</v>
      </c>
      <c r="H1634" t="s">
        <v>26</v>
      </c>
      <c r="I1634">
        <v>6786.37</v>
      </c>
      <c r="J1634">
        <v>6319.16</v>
      </c>
      <c r="K1634" t="s">
        <v>17</v>
      </c>
      <c r="L1634" t="b">
        <v>0</v>
      </c>
      <c r="N1634" s="2" t="str">
        <f t="shared" si="142"/>
        <v/>
      </c>
      <c r="Q1634" t="str">
        <f t="shared" si="144"/>
        <v/>
      </c>
    </row>
    <row r="1635" spans="1:17" hidden="1">
      <c r="A1635" t="s">
        <v>1740</v>
      </c>
      <c r="B1635" s="1">
        <v>45142</v>
      </c>
      <c r="C1635">
        <v>2023</v>
      </c>
      <c r="D1635">
        <v>8</v>
      </c>
      <c r="E1635" t="s">
        <v>23</v>
      </c>
      <c r="F1635" t="s">
        <v>24</v>
      </c>
      <c r="G1635" t="s">
        <v>30</v>
      </c>
      <c r="H1635" t="s">
        <v>33</v>
      </c>
      <c r="I1635">
        <v>6083.84</v>
      </c>
      <c r="J1635">
        <v>5764.42</v>
      </c>
      <c r="K1635" t="s">
        <v>17</v>
      </c>
      <c r="L1635" t="b">
        <v>0</v>
      </c>
      <c r="N1635" s="2" t="str">
        <f t="shared" si="142"/>
        <v/>
      </c>
      <c r="Q1635" t="str">
        <f t="shared" si="144"/>
        <v/>
      </c>
    </row>
    <row r="1636" spans="1:17" hidden="1">
      <c r="A1636" t="s">
        <v>1741</v>
      </c>
      <c r="B1636" s="1">
        <v>45142</v>
      </c>
      <c r="C1636">
        <v>2023</v>
      </c>
      <c r="D1636">
        <v>8</v>
      </c>
      <c r="E1636" t="s">
        <v>37</v>
      </c>
      <c r="F1636" t="s">
        <v>14</v>
      </c>
      <c r="G1636" t="s">
        <v>41</v>
      </c>
      <c r="H1636" t="s">
        <v>42</v>
      </c>
      <c r="I1636">
        <v>3780.67</v>
      </c>
      <c r="J1636">
        <v>3552.8</v>
      </c>
      <c r="K1636" t="s">
        <v>17</v>
      </c>
      <c r="L1636" t="b">
        <v>0</v>
      </c>
      <c r="N1636" s="2" t="str">
        <f t="shared" si="142"/>
        <v/>
      </c>
      <c r="Q1636" t="str">
        <f t="shared" si="144"/>
        <v/>
      </c>
    </row>
    <row r="1637" spans="1:17" hidden="1">
      <c r="A1637" t="s">
        <v>1742</v>
      </c>
      <c r="B1637" s="1">
        <v>45143</v>
      </c>
      <c r="C1637">
        <v>2023</v>
      </c>
      <c r="D1637">
        <v>8</v>
      </c>
      <c r="E1637" t="s">
        <v>19</v>
      </c>
      <c r="F1637" t="s">
        <v>14</v>
      </c>
      <c r="G1637" t="s">
        <v>20</v>
      </c>
      <c r="H1637" t="s">
        <v>136</v>
      </c>
      <c r="I1637">
        <v>7980.3</v>
      </c>
      <c r="J1637">
        <v>7940.54</v>
      </c>
      <c r="K1637" t="s">
        <v>17</v>
      </c>
      <c r="L1637" t="b">
        <v>0</v>
      </c>
      <c r="N1637" s="2" t="str">
        <f t="shared" si="142"/>
        <v/>
      </c>
      <c r="Q1637" t="str">
        <f t="shared" si="144"/>
        <v/>
      </c>
    </row>
    <row r="1638" spans="1:17" hidden="1">
      <c r="A1638" t="s">
        <v>1743</v>
      </c>
      <c r="B1638" s="1">
        <v>45143</v>
      </c>
      <c r="C1638">
        <v>2023</v>
      </c>
      <c r="D1638">
        <v>8</v>
      </c>
      <c r="E1638" t="s">
        <v>19</v>
      </c>
      <c r="F1638" t="s">
        <v>28</v>
      </c>
      <c r="G1638" t="s">
        <v>132</v>
      </c>
      <c r="H1638" t="s">
        <v>138</v>
      </c>
      <c r="I1638">
        <v>8668.6299999999992</v>
      </c>
      <c r="J1638">
        <v>8790.49</v>
      </c>
      <c r="K1638" t="s">
        <v>17</v>
      </c>
      <c r="L1638" t="b">
        <v>0</v>
      </c>
      <c r="N1638" s="2" t="str">
        <f t="shared" si="142"/>
        <v/>
      </c>
      <c r="Q1638" t="str">
        <f t="shared" si="144"/>
        <v/>
      </c>
    </row>
    <row r="1639" spans="1:17" hidden="1">
      <c r="A1639" t="s">
        <v>1744</v>
      </c>
      <c r="B1639" s="1">
        <v>45143</v>
      </c>
      <c r="C1639">
        <v>2023</v>
      </c>
      <c r="D1639">
        <v>8</v>
      </c>
      <c r="E1639" t="s">
        <v>19</v>
      </c>
      <c r="F1639" t="s">
        <v>24</v>
      </c>
      <c r="G1639" t="s">
        <v>54</v>
      </c>
      <c r="H1639" t="s">
        <v>163</v>
      </c>
      <c r="I1639">
        <v>6330.58</v>
      </c>
      <c r="J1639">
        <v>6059.16</v>
      </c>
      <c r="K1639" t="s">
        <v>17</v>
      </c>
      <c r="L1639" t="b">
        <v>0</v>
      </c>
      <c r="N1639" s="2" t="str">
        <f t="shared" si="142"/>
        <v/>
      </c>
      <c r="Q1639" t="str">
        <f t="shared" si="144"/>
        <v/>
      </c>
    </row>
    <row r="1640" spans="1:17" hidden="1">
      <c r="A1640" t="s">
        <v>1745</v>
      </c>
      <c r="B1640" s="1">
        <v>45143</v>
      </c>
      <c r="C1640">
        <v>2023</v>
      </c>
      <c r="D1640">
        <v>8</v>
      </c>
      <c r="E1640" t="s">
        <v>23</v>
      </c>
      <c r="F1640" t="s">
        <v>14</v>
      </c>
      <c r="G1640" t="s">
        <v>141</v>
      </c>
      <c r="H1640" t="s">
        <v>153</v>
      </c>
      <c r="I1640">
        <v>3676.87</v>
      </c>
      <c r="J1640">
        <v>3430</v>
      </c>
      <c r="K1640" t="s">
        <v>17</v>
      </c>
      <c r="L1640" t="b">
        <v>0</v>
      </c>
      <c r="N1640" s="2" t="str">
        <f t="shared" si="142"/>
        <v/>
      </c>
      <c r="Q1640" t="str">
        <f t="shared" si="144"/>
        <v/>
      </c>
    </row>
    <row r="1641" spans="1:17" hidden="1">
      <c r="A1641" t="s">
        <v>1746</v>
      </c>
      <c r="B1641" s="1">
        <v>45143</v>
      </c>
      <c r="C1641">
        <v>2023</v>
      </c>
      <c r="D1641">
        <v>8</v>
      </c>
      <c r="E1641" t="s">
        <v>23</v>
      </c>
      <c r="F1641" t="s">
        <v>14</v>
      </c>
      <c r="G1641" t="s">
        <v>141</v>
      </c>
      <c r="H1641" t="s">
        <v>153</v>
      </c>
      <c r="I1641">
        <v>4415.22</v>
      </c>
      <c r="J1641">
        <v>4042.45</v>
      </c>
      <c r="K1641" t="s">
        <v>17</v>
      </c>
      <c r="L1641" t="b">
        <v>0</v>
      </c>
      <c r="N1641" s="2" t="str">
        <f t="shared" si="142"/>
        <v/>
      </c>
      <c r="Q1641" t="str">
        <f t="shared" si="144"/>
        <v/>
      </c>
    </row>
    <row r="1642" spans="1:17" hidden="1">
      <c r="A1642" t="s">
        <v>1747</v>
      </c>
      <c r="B1642" s="1">
        <v>45143</v>
      </c>
      <c r="C1642">
        <v>2023</v>
      </c>
      <c r="D1642">
        <v>8</v>
      </c>
      <c r="E1642" t="s">
        <v>23</v>
      </c>
      <c r="F1642" t="s">
        <v>24</v>
      </c>
      <c r="G1642" t="s">
        <v>141</v>
      </c>
      <c r="H1642" t="s">
        <v>209</v>
      </c>
      <c r="I1642">
        <v>4727.34</v>
      </c>
      <c r="J1642">
        <v>4591.1499999999996</v>
      </c>
      <c r="K1642" t="s">
        <v>17</v>
      </c>
      <c r="L1642" t="b">
        <v>0</v>
      </c>
      <c r="N1642" s="2" t="str">
        <f t="shared" si="142"/>
        <v/>
      </c>
      <c r="Q1642" t="str">
        <f t="shared" si="144"/>
        <v/>
      </c>
    </row>
    <row r="1643" spans="1:17" hidden="1">
      <c r="A1643" t="s">
        <v>1748</v>
      </c>
      <c r="B1643" s="1">
        <v>45143</v>
      </c>
      <c r="C1643">
        <v>2023</v>
      </c>
      <c r="D1643">
        <v>8</v>
      </c>
      <c r="E1643" t="s">
        <v>37</v>
      </c>
      <c r="F1643" t="s">
        <v>14</v>
      </c>
      <c r="G1643" t="s">
        <v>62</v>
      </c>
      <c r="H1643" t="s">
        <v>360</v>
      </c>
      <c r="I1643">
        <v>4293.3599999999997</v>
      </c>
      <c r="J1643">
        <v>4348.82</v>
      </c>
      <c r="K1643" t="s">
        <v>17</v>
      </c>
      <c r="L1643" t="b">
        <v>0</v>
      </c>
      <c r="N1643" s="2" t="str">
        <f t="shared" si="142"/>
        <v/>
      </c>
      <c r="Q1643" t="str">
        <f t="shared" si="144"/>
        <v/>
      </c>
    </row>
    <row r="1644" spans="1:17" hidden="1">
      <c r="A1644" t="s">
        <v>1749</v>
      </c>
      <c r="B1644" s="1">
        <v>45143</v>
      </c>
      <c r="C1644">
        <v>2023</v>
      </c>
      <c r="D1644">
        <v>8</v>
      </c>
      <c r="E1644" t="s">
        <v>37</v>
      </c>
      <c r="F1644" t="s">
        <v>28</v>
      </c>
      <c r="G1644" t="s">
        <v>38</v>
      </c>
      <c r="H1644" t="s">
        <v>39</v>
      </c>
      <c r="I1644">
        <v>5215.8900000000003</v>
      </c>
      <c r="J1644">
        <v>4838.3900000000003</v>
      </c>
      <c r="K1644" t="s">
        <v>17</v>
      </c>
      <c r="L1644" t="b">
        <v>0</v>
      </c>
      <c r="N1644" s="2" t="str">
        <f t="shared" si="142"/>
        <v/>
      </c>
      <c r="Q1644" t="str">
        <f t="shared" si="144"/>
        <v/>
      </c>
    </row>
    <row r="1645" spans="1:17" hidden="1">
      <c r="A1645" t="s">
        <v>1750</v>
      </c>
      <c r="B1645" s="1">
        <v>45144</v>
      </c>
      <c r="C1645">
        <v>2023</v>
      </c>
      <c r="D1645">
        <v>8</v>
      </c>
      <c r="E1645" t="s">
        <v>13</v>
      </c>
      <c r="F1645" t="s">
        <v>24</v>
      </c>
      <c r="G1645" t="s">
        <v>68</v>
      </c>
      <c r="H1645" t="s">
        <v>213</v>
      </c>
      <c r="I1645">
        <v>3673.46</v>
      </c>
      <c r="J1645">
        <v>3802.47</v>
      </c>
      <c r="K1645" t="s">
        <v>17</v>
      </c>
      <c r="L1645" t="b">
        <v>0</v>
      </c>
      <c r="N1645" s="2" t="str">
        <f t="shared" si="142"/>
        <v/>
      </c>
      <c r="Q1645" t="str">
        <f t="shared" si="144"/>
        <v/>
      </c>
    </row>
    <row r="1646" spans="1:17" hidden="1">
      <c r="A1646" t="s">
        <v>1751</v>
      </c>
      <c r="B1646" s="1">
        <v>45144</v>
      </c>
      <c r="C1646">
        <v>2023</v>
      </c>
      <c r="D1646">
        <v>8</v>
      </c>
      <c r="E1646" t="s">
        <v>47</v>
      </c>
      <c r="F1646" t="s">
        <v>14</v>
      </c>
      <c r="G1646" t="s">
        <v>48</v>
      </c>
      <c r="H1646" t="s">
        <v>75</v>
      </c>
      <c r="I1646">
        <v>7794.36</v>
      </c>
      <c r="J1646">
        <v>6561.91</v>
      </c>
      <c r="K1646" t="s">
        <v>17</v>
      </c>
      <c r="L1646" t="b">
        <v>0</v>
      </c>
      <c r="N1646" s="2" t="b">
        <f t="shared" si="142"/>
        <v>1</v>
      </c>
      <c r="O1646" t="str">
        <f t="shared" ref="O1646:O1647" si="147">IF(AND(E1635="HR",K1635="EXPENSE"),I1635&lt;J1635,"")</f>
        <v/>
      </c>
      <c r="Q1646" t="str">
        <f t="shared" si="144"/>
        <v/>
      </c>
    </row>
    <row r="1647" spans="1:17" hidden="1">
      <c r="A1647" t="s">
        <v>1752</v>
      </c>
      <c r="B1647" s="1">
        <v>45144</v>
      </c>
      <c r="C1647">
        <v>2023</v>
      </c>
      <c r="D1647">
        <v>8</v>
      </c>
      <c r="E1647" t="s">
        <v>47</v>
      </c>
      <c r="F1647" t="s">
        <v>28</v>
      </c>
      <c r="G1647" t="s">
        <v>51</v>
      </c>
      <c r="H1647" t="s">
        <v>189</v>
      </c>
      <c r="I1647">
        <v>11338.8</v>
      </c>
      <c r="J1647">
        <v>9523.24</v>
      </c>
      <c r="K1647" t="s">
        <v>17</v>
      </c>
      <c r="L1647" t="b">
        <v>0</v>
      </c>
      <c r="N1647" s="2" t="b">
        <f t="shared" si="142"/>
        <v>1</v>
      </c>
      <c r="O1647" t="str">
        <f t="shared" si="147"/>
        <v/>
      </c>
      <c r="Q1647" t="str">
        <f t="shared" si="144"/>
        <v/>
      </c>
    </row>
    <row r="1648" spans="1:17" hidden="1">
      <c r="A1648" t="s">
        <v>1753</v>
      </c>
      <c r="B1648" s="1">
        <v>45144</v>
      </c>
      <c r="C1648">
        <v>2023</v>
      </c>
      <c r="D1648">
        <v>8</v>
      </c>
      <c r="E1648" t="s">
        <v>19</v>
      </c>
      <c r="F1648" t="s">
        <v>14</v>
      </c>
      <c r="G1648" t="s">
        <v>80</v>
      </c>
      <c r="H1648" t="s">
        <v>150</v>
      </c>
      <c r="I1648">
        <v>4912.3100000000004</v>
      </c>
      <c r="J1648">
        <v>5189.78</v>
      </c>
      <c r="K1648" t="s">
        <v>17</v>
      </c>
      <c r="L1648" t="b">
        <v>0</v>
      </c>
      <c r="N1648" s="2" t="str">
        <f t="shared" si="142"/>
        <v/>
      </c>
      <c r="Q1648" t="str">
        <f t="shared" si="144"/>
        <v/>
      </c>
    </row>
    <row r="1649" spans="1:17" hidden="1">
      <c r="A1649" t="s">
        <v>1754</v>
      </c>
      <c r="B1649" s="1">
        <v>45144</v>
      </c>
      <c r="C1649">
        <v>2023</v>
      </c>
      <c r="D1649">
        <v>8</v>
      </c>
      <c r="E1649" t="s">
        <v>19</v>
      </c>
      <c r="F1649" t="s">
        <v>28</v>
      </c>
      <c r="G1649" t="s">
        <v>20</v>
      </c>
      <c r="H1649" t="s">
        <v>21</v>
      </c>
      <c r="I1649">
        <v>6785.51</v>
      </c>
      <c r="J1649">
        <v>6888.09</v>
      </c>
      <c r="K1649" t="s">
        <v>17</v>
      </c>
      <c r="L1649" t="b">
        <v>0</v>
      </c>
      <c r="N1649" s="2" t="str">
        <f t="shared" si="142"/>
        <v/>
      </c>
      <c r="Q1649" t="str">
        <f t="shared" si="144"/>
        <v/>
      </c>
    </row>
    <row r="1650" spans="1:17" hidden="1">
      <c r="A1650" t="s">
        <v>1755</v>
      </c>
      <c r="B1650" s="1">
        <v>45144</v>
      </c>
      <c r="C1650">
        <v>2023</v>
      </c>
      <c r="D1650">
        <v>8</v>
      </c>
      <c r="E1650" t="s">
        <v>23</v>
      </c>
      <c r="F1650" t="s">
        <v>14</v>
      </c>
      <c r="G1650" t="s">
        <v>30</v>
      </c>
      <c r="H1650" t="s">
        <v>33</v>
      </c>
      <c r="I1650">
        <v>4746.3500000000004</v>
      </c>
      <c r="J1650">
        <v>5082.34</v>
      </c>
      <c r="K1650" t="s">
        <v>17</v>
      </c>
      <c r="L1650" t="b">
        <v>0</v>
      </c>
      <c r="N1650" s="2" t="str">
        <f t="shared" si="142"/>
        <v/>
      </c>
      <c r="Q1650" t="str">
        <f t="shared" si="144"/>
        <v/>
      </c>
    </row>
    <row r="1651" spans="1:17" hidden="1">
      <c r="A1651" t="s">
        <v>1756</v>
      </c>
      <c r="B1651" s="1">
        <v>45144</v>
      </c>
      <c r="C1651">
        <v>2023</v>
      </c>
      <c r="D1651">
        <v>8</v>
      </c>
      <c r="E1651" t="s">
        <v>23</v>
      </c>
      <c r="F1651" t="s">
        <v>28</v>
      </c>
      <c r="G1651" t="s">
        <v>25</v>
      </c>
      <c r="H1651" t="s">
        <v>35</v>
      </c>
      <c r="I1651">
        <v>4761.09</v>
      </c>
      <c r="J1651">
        <v>4560.1400000000003</v>
      </c>
      <c r="K1651" t="s">
        <v>17</v>
      </c>
      <c r="L1651" t="b">
        <v>0</v>
      </c>
      <c r="N1651" s="2" t="str">
        <f t="shared" si="142"/>
        <v/>
      </c>
      <c r="Q1651" t="str">
        <f t="shared" si="144"/>
        <v/>
      </c>
    </row>
    <row r="1652" spans="1:17" hidden="1">
      <c r="A1652" t="s">
        <v>1757</v>
      </c>
      <c r="B1652" s="1">
        <v>45144</v>
      </c>
      <c r="C1652">
        <v>2023</v>
      </c>
      <c r="D1652">
        <v>8</v>
      </c>
      <c r="E1652" t="s">
        <v>23</v>
      </c>
      <c r="F1652" t="s">
        <v>24</v>
      </c>
      <c r="G1652" t="s">
        <v>30</v>
      </c>
      <c r="H1652" t="s">
        <v>31</v>
      </c>
      <c r="I1652">
        <v>4496.18</v>
      </c>
      <c r="J1652">
        <v>4618.16</v>
      </c>
      <c r="K1652" t="s">
        <v>17</v>
      </c>
      <c r="L1652" t="b">
        <v>0</v>
      </c>
      <c r="N1652" s="2" t="str">
        <f t="shared" si="142"/>
        <v/>
      </c>
      <c r="Q1652" t="str">
        <f t="shared" si="144"/>
        <v/>
      </c>
    </row>
    <row r="1653" spans="1:17" hidden="1">
      <c r="A1653" t="s">
        <v>1758</v>
      </c>
      <c r="B1653" s="1">
        <v>45144</v>
      </c>
      <c r="C1653">
        <v>2023</v>
      </c>
      <c r="D1653">
        <v>8</v>
      </c>
      <c r="E1653" t="s">
        <v>23</v>
      </c>
      <c r="F1653" t="s">
        <v>24</v>
      </c>
      <c r="G1653" t="s">
        <v>25</v>
      </c>
      <c r="H1653" t="s">
        <v>95</v>
      </c>
      <c r="I1653">
        <v>4765.93</v>
      </c>
      <c r="J1653">
        <v>4653.57</v>
      </c>
      <c r="K1653" t="s">
        <v>17</v>
      </c>
      <c r="L1653" t="b">
        <v>0</v>
      </c>
      <c r="N1653" s="2" t="str">
        <f t="shared" si="142"/>
        <v/>
      </c>
      <c r="Q1653" t="str">
        <f t="shared" si="144"/>
        <v/>
      </c>
    </row>
    <row r="1654" spans="1:17" hidden="1">
      <c r="A1654" t="s">
        <v>1759</v>
      </c>
      <c r="B1654" s="1">
        <v>45144</v>
      </c>
      <c r="C1654">
        <v>2023</v>
      </c>
      <c r="D1654">
        <v>8</v>
      </c>
      <c r="E1654" t="s">
        <v>37</v>
      </c>
      <c r="F1654" t="s">
        <v>24</v>
      </c>
      <c r="G1654" t="s">
        <v>98</v>
      </c>
      <c r="H1654" t="s">
        <v>185</v>
      </c>
      <c r="I1654">
        <v>6803.77</v>
      </c>
      <c r="J1654">
        <v>7289.88</v>
      </c>
      <c r="K1654" t="s">
        <v>17</v>
      </c>
      <c r="L1654" t="b">
        <v>0</v>
      </c>
      <c r="N1654" s="2" t="str">
        <f t="shared" si="142"/>
        <v/>
      </c>
      <c r="Q1654" t="str">
        <f t="shared" si="144"/>
        <v/>
      </c>
    </row>
    <row r="1655" spans="1:17" hidden="1">
      <c r="A1655" t="s">
        <v>1760</v>
      </c>
      <c r="B1655" s="1">
        <v>45145</v>
      </c>
      <c r="C1655">
        <v>2023</v>
      </c>
      <c r="D1655">
        <v>8</v>
      </c>
      <c r="E1655" t="s">
        <v>13</v>
      </c>
      <c r="F1655" t="s">
        <v>14</v>
      </c>
      <c r="G1655" t="s">
        <v>102</v>
      </c>
      <c r="H1655" t="s">
        <v>278</v>
      </c>
      <c r="I1655">
        <v>2579.11</v>
      </c>
      <c r="J1655">
        <v>2654.28</v>
      </c>
      <c r="K1655" t="s">
        <v>17</v>
      </c>
      <c r="L1655" t="b">
        <v>0</v>
      </c>
      <c r="N1655" s="2" t="str">
        <f t="shared" si="142"/>
        <v/>
      </c>
      <c r="Q1655" t="str">
        <f t="shared" si="144"/>
        <v/>
      </c>
    </row>
    <row r="1656" spans="1:17" hidden="1">
      <c r="A1656" t="s">
        <v>1761</v>
      </c>
      <c r="B1656" s="1">
        <v>45145</v>
      </c>
      <c r="C1656">
        <v>2023</v>
      </c>
      <c r="D1656">
        <v>8</v>
      </c>
      <c r="E1656" t="s">
        <v>13</v>
      </c>
      <c r="F1656" t="s">
        <v>28</v>
      </c>
      <c r="G1656" t="s">
        <v>15</v>
      </c>
      <c r="H1656" t="s">
        <v>16</v>
      </c>
      <c r="I1656">
        <v>3452.34</v>
      </c>
      <c r="J1656">
        <v>3258.75</v>
      </c>
      <c r="K1656" t="s">
        <v>17</v>
      </c>
      <c r="L1656" t="b">
        <v>0</v>
      </c>
      <c r="N1656" s="2" t="str">
        <f t="shared" si="142"/>
        <v/>
      </c>
      <c r="Q1656" t="str">
        <f t="shared" si="144"/>
        <v/>
      </c>
    </row>
    <row r="1657" spans="1:17" hidden="1">
      <c r="A1657" t="s">
        <v>1762</v>
      </c>
      <c r="B1657" s="1">
        <v>45145</v>
      </c>
      <c r="C1657">
        <v>2023</v>
      </c>
      <c r="D1657">
        <v>8</v>
      </c>
      <c r="E1657" t="s">
        <v>47</v>
      </c>
      <c r="F1657" t="s">
        <v>28</v>
      </c>
      <c r="G1657" t="s">
        <v>48</v>
      </c>
      <c r="H1657" t="s">
        <v>191</v>
      </c>
      <c r="I1657">
        <v>11453.46</v>
      </c>
      <c r="J1657">
        <v>9794.35</v>
      </c>
      <c r="K1657" t="s">
        <v>17</v>
      </c>
      <c r="L1657" t="b">
        <v>0</v>
      </c>
      <c r="N1657" s="2" t="b">
        <f t="shared" si="142"/>
        <v>1</v>
      </c>
      <c r="O1657" t="str">
        <f t="shared" ref="O1657:O1658" si="148">IF(AND(E1646="HR",K1646="EXPENSE"),I1646&lt;J1646,"")</f>
        <v/>
      </c>
      <c r="Q1657" t="str">
        <f t="shared" si="144"/>
        <v/>
      </c>
    </row>
    <row r="1658" spans="1:17" hidden="1">
      <c r="A1658" t="s">
        <v>1763</v>
      </c>
      <c r="B1658" s="1">
        <v>45145</v>
      </c>
      <c r="C1658">
        <v>2023</v>
      </c>
      <c r="D1658">
        <v>8</v>
      </c>
      <c r="E1658" t="s">
        <v>47</v>
      </c>
      <c r="F1658" t="s">
        <v>24</v>
      </c>
      <c r="G1658" t="s">
        <v>51</v>
      </c>
      <c r="H1658" t="s">
        <v>72</v>
      </c>
      <c r="I1658">
        <v>7807.44</v>
      </c>
      <c r="J1658">
        <v>6403.4</v>
      </c>
      <c r="K1658" t="s">
        <v>17</v>
      </c>
      <c r="L1658" t="b">
        <v>0</v>
      </c>
      <c r="N1658" s="2" t="b">
        <f t="shared" si="142"/>
        <v>1</v>
      </c>
      <c r="O1658" t="str">
        <f t="shared" si="148"/>
        <v/>
      </c>
      <c r="Q1658" t="str">
        <f t="shared" si="144"/>
        <v/>
      </c>
    </row>
    <row r="1659" spans="1:17" hidden="1">
      <c r="A1659" t="s">
        <v>1764</v>
      </c>
      <c r="B1659" s="1">
        <v>45145</v>
      </c>
      <c r="C1659">
        <v>2023</v>
      </c>
      <c r="D1659">
        <v>8</v>
      </c>
      <c r="E1659" t="s">
        <v>19</v>
      </c>
      <c r="F1659" t="s">
        <v>24</v>
      </c>
      <c r="G1659" t="s">
        <v>132</v>
      </c>
      <c r="H1659" t="s">
        <v>138</v>
      </c>
      <c r="I1659">
        <v>4922.24</v>
      </c>
      <c r="J1659">
        <v>5045.96</v>
      </c>
      <c r="K1659" t="s">
        <v>17</v>
      </c>
      <c r="L1659" t="b">
        <v>0</v>
      </c>
      <c r="N1659" s="2" t="str">
        <f t="shared" si="142"/>
        <v/>
      </c>
      <c r="Q1659" t="str">
        <f t="shared" si="144"/>
        <v/>
      </c>
    </row>
    <row r="1660" spans="1:17" hidden="1">
      <c r="A1660" t="s">
        <v>1765</v>
      </c>
      <c r="B1660" s="1">
        <v>45145</v>
      </c>
      <c r="C1660">
        <v>2023</v>
      </c>
      <c r="D1660">
        <v>8</v>
      </c>
      <c r="E1660" t="s">
        <v>23</v>
      </c>
      <c r="F1660" t="s">
        <v>14</v>
      </c>
      <c r="G1660" t="s">
        <v>30</v>
      </c>
      <c r="H1660" t="s">
        <v>31</v>
      </c>
      <c r="I1660">
        <v>5606.25</v>
      </c>
      <c r="J1660">
        <v>5656.29</v>
      </c>
      <c r="K1660" t="s">
        <v>17</v>
      </c>
      <c r="L1660" t="b">
        <v>0</v>
      </c>
      <c r="N1660" s="2" t="str">
        <f t="shared" si="142"/>
        <v/>
      </c>
      <c r="Q1660" t="str">
        <f t="shared" si="144"/>
        <v/>
      </c>
    </row>
    <row r="1661" spans="1:17" hidden="1">
      <c r="A1661" t="s">
        <v>1766</v>
      </c>
      <c r="B1661" s="1">
        <v>45145</v>
      </c>
      <c r="C1661">
        <v>2023</v>
      </c>
      <c r="D1661">
        <v>8</v>
      </c>
      <c r="E1661" t="s">
        <v>37</v>
      </c>
      <c r="F1661" t="s">
        <v>14</v>
      </c>
      <c r="G1661" t="s">
        <v>41</v>
      </c>
      <c r="H1661" t="s">
        <v>42</v>
      </c>
      <c r="I1661">
        <v>4631.1899999999996</v>
      </c>
      <c r="J1661">
        <v>4835.1099999999997</v>
      </c>
      <c r="K1661" t="s">
        <v>17</v>
      </c>
      <c r="L1661" t="b">
        <v>0</v>
      </c>
      <c r="N1661" s="2" t="str">
        <f t="shared" si="142"/>
        <v/>
      </c>
      <c r="Q1661" t="str">
        <f t="shared" si="144"/>
        <v/>
      </c>
    </row>
    <row r="1662" spans="1:17" hidden="1">
      <c r="A1662" t="s">
        <v>1767</v>
      </c>
      <c r="B1662" s="1">
        <v>45145</v>
      </c>
      <c r="C1662">
        <v>2023</v>
      </c>
      <c r="D1662">
        <v>8</v>
      </c>
      <c r="E1662" t="s">
        <v>37</v>
      </c>
      <c r="F1662" t="s">
        <v>28</v>
      </c>
      <c r="G1662" t="s">
        <v>98</v>
      </c>
      <c r="H1662" t="s">
        <v>185</v>
      </c>
      <c r="I1662">
        <v>3724.84</v>
      </c>
      <c r="J1662">
        <v>3780.76</v>
      </c>
      <c r="K1662" t="s">
        <v>17</v>
      </c>
      <c r="L1662" t="b">
        <v>0</v>
      </c>
      <c r="N1662" s="2" t="str">
        <f t="shared" si="142"/>
        <v/>
      </c>
      <c r="Q1662" t="str">
        <f t="shared" si="144"/>
        <v/>
      </c>
    </row>
    <row r="1663" spans="1:17" hidden="1">
      <c r="A1663" t="s">
        <v>1768</v>
      </c>
      <c r="B1663" s="1">
        <v>45145</v>
      </c>
      <c r="C1663">
        <v>2023</v>
      </c>
      <c r="D1663">
        <v>8</v>
      </c>
      <c r="E1663" t="s">
        <v>37</v>
      </c>
      <c r="F1663" t="s">
        <v>24</v>
      </c>
      <c r="G1663" t="s">
        <v>98</v>
      </c>
      <c r="H1663" t="s">
        <v>99</v>
      </c>
      <c r="I1663">
        <v>5348.06</v>
      </c>
      <c r="J1663">
        <v>5152.26</v>
      </c>
      <c r="K1663" t="s">
        <v>17</v>
      </c>
      <c r="L1663" t="b">
        <v>0</v>
      </c>
      <c r="N1663" s="2" t="str">
        <f t="shared" si="142"/>
        <v/>
      </c>
      <c r="Q1663" t="str">
        <f t="shared" si="144"/>
        <v/>
      </c>
    </row>
    <row r="1664" spans="1:17" hidden="1">
      <c r="A1664" t="s">
        <v>1769</v>
      </c>
      <c r="B1664" s="1">
        <v>45146</v>
      </c>
      <c r="C1664">
        <v>2023</v>
      </c>
      <c r="D1664">
        <v>8</v>
      </c>
      <c r="E1664" t="s">
        <v>13</v>
      </c>
      <c r="F1664" t="s">
        <v>24</v>
      </c>
      <c r="G1664" t="s">
        <v>68</v>
      </c>
      <c r="H1664" t="s">
        <v>213</v>
      </c>
      <c r="I1664">
        <v>5422.86</v>
      </c>
      <c r="J1664">
        <v>4891.32</v>
      </c>
      <c r="K1664" t="s">
        <v>17</v>
      </c>
      <c r="L1664" t="b">
        <v>0</v>
      </c>
      <c r="N1664" s="2" t="str">
        <f t="shared" si="142"/>
        <v/>
      </c>
      <c r="Q1664" t="str">
        <f t="shared" si="144"/>
        <v/>
      </c>
    </row>
    <row r="1665" spans="1:17" hidden="1">
      <c r="A1665" t="s">
        <v>1770</v>
      </c>
      <c r="B1665" s="1">
        <v>45146</v>
      </c>
      <c r="C1665">
        <v>2023</v>
      </c>
      <c r="D1665">
        <v>8</v>
      </c>
      <c r="E1665" t="s">
        <v>19</v>
      </c>
      <c r="F1665" t="s">
        <v>14</v>
      </c>
      <c r="G1665" t="s">
        <v>54</v>
      </c>
      <c r="H1665" t="s">
        <v>163</v>
      </c>
      <c r="I1665">
        <v>7316.18</v>
      </c>
      <c r="J1665">
        <v>7384.85</v>
      </c>
      <c r="K1665" t="s">
        <v>17</v>
      </c>
      <c r="L1665" t="b">
        <v>0</v>
      </c>
      <c r="N1665" s="2" t="str">
        <f t="shared" si="142"/>
        <v/>
      </c>
      <c r="Q1665" t="str">
        <f t="shared" si="144"/>
        <v/>
      </c>
    </row>
    <row r="1666" spans="1:17" hidden="1">
      <c r="A1666" t="s">
        <v>1771</v>
      </c>
      <c r="B1666" s="1">
        <v>45146</v>
      </c>
      <c r="C1666">
        <v>2023</v>
      </c>
      <c r="D1666">
        <v>8</v>
      </c>
      <c r="E1666" t="s">
        <v>19</v>
      </c>
      <c r="F1666" t="s">
        <v>14</v>
      </c>
      <c r="G1666" t="s">
        <v>20</v>
      </c>
      <c r="H1666" t="s">
        <v>21</v>
      </c>
      <c r="I1666">
        <v>5781.87</v>
      </c>
      <c r="J1666">
        <v>5463.47</v>
      </c>
      <c r="K1666" t="s">
        <v>17</v>
      </c>
      <c r="L1666" t="b">
        <v>0</v>
      </c>
      <c r="N1666" s="2" t="str">
        <f t="shared" si="142"/>
        <v/>
      </c>
      <c r="Q1666" t="str">
        <f t="shared" si="144"/>
        <v/>
      </c>
    </row>
    <row r="1667" spans="1:17" hidden="1">
      <c r="A1667" t="s">
        <v>1772</v>
      </c>
      <c r="B1667" s="1">
        <v>45146</v>
      </c>
      <c r="C1667">
        <v>2023</v>
      </c>
      <c r="D1667">
        <v>8</v>
      </c>
      <c r="E1667" t="s">
        <v>19</v>
      </c>
      <c r="F1667" t="s">
        <v>28</v>
      </c>
      <c r="G1667" t="s">
        <v>54</v>
      </c>
      <c r="H1667" t="s">
        <v>163</v>
      </c>
      <c r="I1667">
        <v>6867.28</v>
      </c>
      <c r="J1667">
        <v>6955.03</v>
      </c>
      <c r="K1667" t="s">
        <v>17</v>
      </c>
      <c r="L1667" t="b">
        <v>0</v>
      </c>
      <c r="N1667" s="2" t="str">
        <f t="shared" ref="N1667:N1730" si="149">IF(AND(E1667="IT",K1667="EXPENSE"),I1667&gt;J1667,"")</f>
        <v/>
      </c>
      <c r="Q1667" t="str">
        <f t="shared" ref="Q1667:Q1730" si="150">IF(L1667=TRUE,OR(H1667="Apex Solutions Inc",H1667="Global Trade Partners",H1667="NovaTech Services"),"")</f>
        <v/>
      </c>
    </row>
    <row r="1668" spans="1:17" hidden="1">
      <c r="A1668" t="s">
        <v>1773</v>
      </c>
      <c r="B1668" s="1">
        <v>45146</v>
      </c>
      <c r="C1668">
        <v>2023</v>
      </c>
      <c r="D1668">
        <v>8</v>
      </c>
      <c r="E1668" t="s">
        <v>19</v>
      </c>
      <c r="F1668" t="s">
        <v>24</v>
      </c>
      <c r="G1668" t="s">
        <v>80</v>
      </c>
      <c r="H1668" t="s">
        <v>81</v>
      </c>
      <c r="I1668">
        <v>10199.049999999999</v>
      </c>
      <c r="J1668">
        <v>9712.2099999999991</v>
      </c>
      <c r="K1668" t="s">
        <v>17</v>
      </c>
      <c r="L1668" t="b">
        <v>0</v>
      </c>
      <c r="N1668" s="2" t="str">
        <f t="shared" si="149"/>
        <v/>
      </c>
      <c r="Q1668" t="str">
        <f t="shared" si="150"/>
        <v/>
      </c>
    </row>
    <row r="1669" spans="1:17" hidden="1">
      <c r="A1669" t="s">
        <v>1774</v>
      </c>
      <c r="B1669" s="1">
        <v>45146</v>
      </c>
      <c r="C1669">
        <v>2023</v>
      </c>
      <c r="D1669">
        <v>8</v>
      </c>
      <c r="E1669" t="s">
        <v>19</v>
      </c>
      <c r="F1669" t="s">
        <v>24</v>
      </c>
      <c r="G1669" t="s">
        <v>80</v>
      </c>
      <c r="H1669" t="s">
        <v>150</v>
      </c>
      <c r="I1669">
        <v>7250.75</v>
      </c>
      <c r="J1669">
        <v>7825.84</v>
      </c>
      <c r="K1669" t="s">
        <v>17</v>
      </c>
      <c r="L1669" t="b">
        <v>0</v>
      </c>
      <c r="N1669" s="2" t="str">
        <f t="shared" si="149"/>
        <v/>
      </c>
      <c r="Q1669" t="str">
        <f t="shared" si="150"/>
        <v/>
      </c>
    </row>
    <row r="1670" spans="1:17" hidden="1">
      <c r="A1670" t="s">
        <v>1775</v>
      </c>
      <c r="B1670" s="1">
        <v>45146</v>
      </c>
      <c r="C1670">
        <v>2023</v>
      </c>
      <c r="D1670">
        <v>8</v>
      </c>
      <c r="E1670" t="s">
        <v>23</v>
      </c>
      <c r="F1670" t="s">
        <v>24</v>
      </c>
      <c r="G1670" t="s">
        <v>141</v>
      </c>
      <c r="H1670" t="s">
        <v>142</v>
      </c>
      <c r="I1670">
        <v>5614.07</v>
      </c>
      <c r="J1670">
        <v>5757.42</v>
      </c>
      <c r="K1670" t="s">
        <v>17</v>
      </c>
      <c r="L1670" t="b">
        <v>0</v>
      </c>
      <c r="N1670" s="2" t="str">
        <f t="shared" si="149"/>
        <v/>
      </c>
      <c r="Q1670" t="str">
        <f t="shared" si="150"/>
        <v/>
      </c>
    </row>
    <row r="1671" spans="1:17" hidden="1">
      <c r="A1671" t="s">
        <v>1776</v>
      </c>
      <c r="B1671" s="1">
        <v>45146</v>
      </c>
      <c r="C1671">
        <v>2023</v>
      </c>
      <c r="D1671">
        <v>8</v>
      </c>
      <c r="E1671" t="s">
        <v>37</v>
      </c>
      <c r="F1671" t="s">
        <v>14</v>
      </c>
      <c r="G1671" t="s">
        <v>62</v>
      </c>
      <c r="H1671" t="s">
        <v>360</v>
      </c>
      <c r="I1671">
        <v>5886.31</v>
      </c>
      <c r="J1671">
        <v>6237.91</v>
      </c>
      <c r="K1671" t="s">
        <v>17</v>
      </c>
      <c r="L1671" t="b">
        <v>0</v>
      </c>
      <c r="N1671" s="2" t="str">
        <f t="shared" si="149"/>
        <v/>
      </c>
      <c r="Q1671" t="str">
        <f t="shared" si="150"/>
        <v/>
      </c>
    </row>
    <row r="1672" spans="1:17" hidden="1">
      <c r="A1672" t="s">
        <v>1777</v>
      </c>
      <c r="B1672" s="1">
        <v>45146</v>
      </c>
      <c r="C1672">
        <v>2023</v>
      </c>
      <c r="D1672">
        <v>8</v>
      </c>
      <c r="E1672" t="s">
        <v>37</v>
      </c>
      <c r="F1672" t="s">
        <v>24</v>
      </c>
      <c r="G1672" t="s">
        <v>62</v>
      </c>
      <c r="H1672" t="s">
        <v>121</v>
      </c>
      <c r="I1672">
        <v>4567.3599999999997</v>
      </c>
      <c r="J1672">
        <v>4826.2299999999996</v>
      </c>
      <c r="K1672" t="s">
        <v>17</v>
      </c>
      <c r="L1672" t="b">
        <v>0</v>
      </c>
      <c r="N1672" s="2" t="str">
        <f t="shared" si="149"/>
        <v/>
      </c>
      <c r="Q1672" t="str">
        <f t="shared" si="150"/>
        <v/>
      </c>
    </row>
    <row r="1673" spans="1:17" hidden="1">
      <c r="A1673" t="s">
        <v>1778</v>
      </c>
      <c r="B1673" s="1">
        <v>45147</v>
      </c>
      <c r="C1673">
        <v>2023</v>
      </c>
      <c r="D1673">
        <v>8</v>
      </c>
      <c r="E1673" t="s">
        <v>19</v>
      </c>
      <c r="F1673" t="s">
        <v>28</v>
      </c>
      <c r="G1673" t="s">
        <v>132</v>
      </c>
      <c r="H1673" t="s">
        <v>171</v>
      </c>
      <c r="I1673">
        <v>5488.52</v>
      </c>
      <c r="J1673">
        <v>5093.33</v>
      </c>
      <c r="K1673" t="s">
        <v>17</v>
      </c>
      <c r="L1673" t="b">
        <v>0</v>
      </c>
      <c r="N1673" s="2" t="str">
        <f t="shared" si="149"/>
        <v/>
      </c>
      <c r="Q1673" t="str">
        <f t="shared" si="150"/>
        <v/>
      </c>
    </row>
    <row r="1674" spans="1:17" hidden="1">
      <c r="A1674" t="s">
        <v>1779</v>
      </c>
      <c r="B1674" s="1">
        <v>45147</v>
      </c>
      <c r="C1674">
        <v>2023</v>
      </c>
      <c r="D1674">
        <v>8</v>
      </c>
      <c r="E1674" t="s">
        <v>19</v>
      </c>
      <c r="F1674" t="s">
        <v>28</v>
      </c>
      <c r="G1674" t="s">
        <v>54</v>
      </c>
      <c r="H1674" t="s">
        <v>163</v>
      </c>
      <c r="I1674">
        <v>6734.54</v>
      </c>
      <c r="J1674">
        <v>7403.31</v>
      </c>
      <c r="K1674" t="s">
        <v>17</v>
      </c>
      <c r="L1674" t="b">
        <v>0</v>
      </c>
      <c r="N1674" s="2" t="str">
        <f t="shared" si="149"/>
        <v/>
      </c>
      <c r="Q1674" t="str">
        <f t="shared" si="150"/>
        <v/>
      </c>
    </row>
    <row r="1675" spans="1:17" hidden="1">
      <c r="A1675" t="s">
        <v>1780</v>
      </c>
      <c r="B1675" s="1">
        <v>45147</v>
      </c>
      <c r="C1675">
        <v>2023</v>
      </c>
      <c r="D1675">
        <v>8</v>
      </c>
      <c r="E1675" t="s">
        <v>19</v>
      </c>
      <c r="F1675" t="s">
        <v>24</v>
      </c>
      <c r="G1675" t="s">
        <v>54</v>
      </c>
      <c r="H1675" t="s">
        <v>55</v>
      </c>
      <c r="I1675">
        <v>5972.51</v>
      </c>
      <c r="J1675">
        <v>6252.75</v>
      </c>
      <c r="K1675" t="s">
        <v>17</v>
      </c>
      <c r="L1675" t="b">
        <v>0</v>
      </c>
      <c r="N1675" s="2" t="str">
        <f t="shared" si="149"/>
        <v/>
      </c>
      <c r="Q1675" t="str">
        <f t="shared" si="150"/>
        <v/>
      </c>
    </row>
    <row r="1676" spans="1:17" hidden="1">
      <c r="A1676" t="s">
        <v>1781</v>
      </c>
      <c r="B1676" s="1">
        <v>45147</v>
      </c>
      <c r="C1676">
        <v>2023</v>
      </c>
      <c r="D1676">
        <v>8</v>
      </c>
      <c r="E1676" t="s">
        <v>23</v>
      </c>
      <c r="F1676" t="s">
        <v>14</v>
      </c>
      <c r="G1676" t="s">
        <v>59</v>
      </c>
      <c r="H1676" t="s">
        <v>155</v>
      </c>
      <c r="I1676">
        <v>3342.76</v>
      </c>
      <c r="J1676">
        <v>3287.53</v>
      </c>
      <c r="K1676" t="s">
        <v>17</v>
      </c>
      <c r="L1676" t="b">
        <v>0</v>
      </c>
      <c r="N1676" s="2" t="str">
        <f t="shared" si="149"/>
        <v/>
      </c>
      <c r="Q1676" t="str">
        <f t="shared" si="150"/>
        <v/>
      </c>
    </row>
    <row r="1677" spans="1:17" hidden="1">
      <c r="A1677" t="s">
        <v>1782</v>
      </c>
      <c r="B1677" s="1">
        <v>45147</v>
      </c>
      <c r="C1677">
        <v>2023</v>
      </c>
      <c r="D1677">
        <v>8</v>
      </c>
      <c r="E1677" t="s">
        <v>23</v>
      </c>
      <c r="F1677" t="s">
        <v>24</v>
      </c>
      <c r="G1677" t="s">
        <v>141</v>
      </c>
      <c r="H1677" t="s">
        <v>153</v>
      </c>
      <c r="I1677">
        <v>7024.93</v>
      </c>
      <c r="J1677">
        <v>7466.64</v>
      </c>
      <c r="K1677" t="s">
        <v>17</v>
      </c>
      <c r="L1677" t="b">
        <v>0</v>
      </c>
      <c r="N1677" s="2" t="str">
        <f t="shared" si="149"/>
        <v/>
      </c>
      <c r="Q1677" t="str">
        <f t="shared" si="150"/>
        <v/>
      </c>
    </row>
    <row r="1678" spans="1:17" hidden="1">
      <c r="A1678" t="s">
        <v>1783</v>
      </c>
      <c r="B1678" s="1">
        <v>45147</v>
      </c>
      <c r="C1678">
        <v>2023</v>
      </c>
      <c r="D1678">
        <v>8</v>
      </c>
      <c r="E1678" t="s">
        <v>37</v>
      </c>
      <c r="F1678" t="s">
        <v>28</v>
      </c>
      <c r="G1678" t="s">
        <v>41</v>
      </c>
      <c r="H1678" t="s">
        <v>42</v>
      </c>
      <c r="I1678">
        <v>4687.72</v>
      </c>
      <c r="J1678">
        <v>4851.6899999999996</v>
      </c>
      <c r="K1678" t="s">
        <v>17</v>
      </c>
      <c r="L1678" t="b">
        <v>0</v>
      </c>
      <c r="N1678" s="2" t="str">
        <f t="shared" si="149"/>
        <v/>
      </c>
      <c r="Q1678" t="str">
        <f t="shared" si="150"/>
        <v/>
      </c>
    </row>
    <row r="1679" spans="1:17" hidden="1">
      <c r="A1679" t="s">
        <v>1784</v>
      </c>
      <c r="B1679" s="1">
        <v>45148</v>
      </c>
      <c r="C1679">
        <v>2023</v>
      </c>
      <c r="D1679">
        <v>8</v>
      </c>
      <c r="E1679" t="s">
        <v>13</v>
      </c>
      <c r="F1679" t="s">
        <v>28</v>
      </c>
      <c r="G1679" t="s">
        <v>68</v>
      </c>
      <c r="H1679" t="s">
        <v>69</v>
      </c>
      <c r="I1679">
        <v>3867.11</v>
      </c>
      <c r="J1679">
        <v>3673.74</v>
      </c>
      <c r="K1679" t="s">
        <v>17</v>
      </c>
      <c r="L1679" t="b">
        <v>0</v>
      </c>
      <c r="N1679" s="2" t="str">
        <f t="shared" si="149"/>
        <v/>
      </c>
      <c r="Q1679" t="str">
        <f t="shared" si="150"/>
        <v/>
      </c>
    </row>
    <row r="1680" spans="1:17" hidden="1">
      <c r="A1680" t="s">
        <v>1785</v>
      </c>
      <c r="B1680" s="1">
        <v>45148</v>
      </c>
      <c r="C1680">
        <v>2023</v>
      </c>
      <c r="D1680">
        <v>8</v>
      </c>
      <c r="E1680" t="s">
        <v>47</v>
      </c>
      <c r="F1680" t="s">
        <v>14</v>
      </c>
      <c r="G1680" t="s">
        <v>91</v>
      </c>
      <c r="H1680" t="s">
        <v>249</v>
      </c>
      <c r="I1680">
        <v>10939.51</v>
      </c>
      <c r="J1680">
        <v>9203.18</v>
      </c>
      <c r="K1680" t="s">
        <v>17</v>
      </c>
      <c r="L1680" t="b">
        <v>0</v>
      </c>
      <c r="N1680" s="2" t="b">
        <f t="shared" si="149"/>
        <v>1</v>
      </c>
      <c r="O1680" t="str">
        <f t="shared" ref="O1680:O1682" si="151">IF(AND(E1669="HR",K1669="EXPENSE"),I1669&lt;J1669,"")</f>
        <v/>
      </c>
      <c r="Q1680" t="str">
        <f t="shared" si="150"/>
        <v/>
      </c>
    </row>
    <row r="1681" spans="1:17" hidden="1">
      <c r="A1681" t="s">
        <v>1786</v>
      </c>
      <c r="B1681" s="1">
        <v>45148</v>
      </c>
      <c r="C1681">
        <v>2023</v>
      </c>
      <c r="D1681">
        <v>8</v>
      </c>
      <c r="E1681" t="s">
        <v>47</v>
      </c>
      <c r="F1681" t="s">
        <v>14</v>
      </c>
      <c r="G1681" t="s">
        <v>77</v>
      </c>
      <c r="H1681" t="s">
        <v>78</v>
      </c>
      <c r="I1681">
        <v>13331.38</v>
      </c>
      <c r="J1681">
        <v>11492.15</v>
      </c>
      <c r="K1681" t="s">
        <v>17</v>
      </c>
      <c r="L1681" t="b">
        <v>0</v>
      </c>
      <c r="N1681" s="2" t="b">
        <f t="shared" si="149"/>
        <v>1</v>
      </c>
      <c r="O1681" t="str">
        <f t="shared" si="151"/>
        <v/>
      </c>
      <c r="Q1681" t="str">
        <f t="shared" si="150"/>
        <v/>
      </c>
    </row>
    <row r="1682" spans="1:17" hidden="1">
      <c r="A1682" t="s">
        <v>1787</v>
      </c>
      <c r="B1682" s="1">
        <v>45148</v>
      </c>
      <c r="C1682">
        <v>2023</v>
      </c>
      <c r="D1682">
        <v>8</v>
      </c>
      <c r="E1682" t="s">
        <v>47</v>
      </c>
      <c r="F1682" t="s">
        <v>28</v>
      </c>
      <c r="G1682" t="s">
        <v>51</v>
      </c>
      <c r="H1682" t="s">
        <v>189</v>
      </c>
      <c r="I1682">
        <v>16699.3</v>
      </c>
      <c r="J1682">
        <v>14058.1</v>
      </c>
      <c r="K1682" t="s">
        <v>17</v>
      </c>
      <c r="L1682" t="b">
        <v>0</v>
      </c>
      <c r="N1682" s="2" t="b">
        <f t="shared" si="149"/>
        <v>1</v>
      </c>
      <c r="O1682" t="str">
        <f t="shared" si="151"/>
        <v/>
      </c>
      <c r="Q1682" t="str">
        <f t="shared" si="150"/>
        <v/>
      </c>
    </row>
    <row r="1683" spans="1:17" hidden="1">
      <c r="A1683" t="s">
        <v>1788</v>
      </c>
      <c r="B1683" s="1">
        <v>45148</v>
      </c>
      <c r="C1683">
        <v>2023</v>
      </c>
      <c r="D1683">
        <v>8</v>
      </c>
      <c r="E1683" t="s">
        <v>23</v>
      </c>
      <c r="F1683" t="s">
        <v>28</v>
      </c>
      <c r="G1683" t="s">
        <v>59</v>
      </c>
      <c r="H1683" t="s">
        <v>60</v>
      </c>
      <c r="I1683">
        <v>7890.64</v>
      </c>
      <c r="J1683">
        <v>8576.81</v>
      </c>
      <c r="K1683" t="s">
        <v>17</v>
      </c>
      <c r="L1683" t="b">
        <v>0</v>
      </c>
      <c r="N1683" s="2" t="str">
        <f t="shared" si="149"/>
        <v/>
      </c>
      <c r="Q1683" t="str">
        <f t="shared" si="150"/>
        <v/>
      </c>
    </row>
    <row r="1684" spans="1:17" hidden="1">
      <c r="A1684" t="s">
        <v>1789</v>
      </c>
      <c r="B1684" s="1">
        <v>45148</v>
      </c>
      <c r="C1684">
        <v>2023</v>
      </c>
      <c r="D1684">
        <v>8</v>
      </c>
      <c r="E1684" t="s">
        <v>37</v>
      </c>
      <c r="F1684" t="s">
        <v>14</v>
      </c>
      <c r="G1684" t="s">
        <v>98</v>
      </c>
      <c r="H1684" t="s">
        <v>185</v>
      </c>
      <c r="I1684">
        <v>4940.82</v>
      </c>
      <c r="J1684">
        <v>5431.89</v>
      </c>
      <c r="K1684" t="s">
        <v>17</v>
      </c>
      <c r="L1684" t="b">
        <v>0</v>
      </c>
      <c r="N1684" s="2" t="str">
        <f t="shared" si="149"/>
        <v/>
      </c>
      <c r="Q1684" t="str">
        <f t="shared" si="150"/>
        <v/>
      </c>
    </row>
    <row r="1685" spans="1:17" hidden="1">
      <c r="A1685" t="s">
        <v>1790</v>
      </c>
      <c r="B1685" s="1">
        <v>45148</v>
      </c>
      <c r="C1685">
        <v>2023</v>
      </c>
      <c r="D1685">
        <v>8</v>
      </c>
      <c r="E1685" t="s">
        <v>37</v>
      </c>
      <c r="F1685" t="s">
        <v>28</v>
      </c>
      <c r="G1685" t="s">
        <v>41</v>
      </c>
      <c r="H1685" t="s">
        <v>42</v>
      </c>
      <c r="I1685">
        <v>4907.2700000000004</v>
      </c>
      <c r="J1685">
        <v>5183.9399999999996</v>
      </c>
      <c r="K1685" t="s">
        <v>17</v>
      </c>
      <c r="L1685" t="b">
        <v>0</v>
      </c>
      <c r="N1685" s="2" t="str">
        <f t="shared" si="149"/>
        <v/>
      </c>
      <c r="Q1685" t="str">
        <f t="shared" si="150"/>
        <v/>
      </c>
    </row>
    <row r="1686" spans="1:17" hidden="1">
      <c r="A1686" t="s">
        <v>1791</v>
      </c>
      <c r="B1686" s="1">
        <v>45149</v>
      </c>
      <c r="C1686">
        <v>2023</v>
      </c>
      <c r="D1686">
        <v>8</v>
      </c>
      <c r="E1686" t="s">
        <v>13</v>
      </c>
      <c r="F1686" t="s">
        <v>28</v>
      </c>
      <c r="G1686" t="s">
        <v>15</v>
      </c>
      <c r="H1686" t="s">
        <v>16</v>
      </c>
      <c r="I1686">
        <v>3405.03</v>
      </c>
      <c r="J1686">
        <v>3349.85</v>
      </c>
      <c r="K1686" t="s">
        <v>17</v>
      </c>
      <c r="L1686" t="b">
        <v>0</v>
      </c>
      <c r="N1686" s="2" t="str">
        <f t="shared" si="149"/>
        <v/>
      </c>
      <c r="Q1686" t="str">
        <f t="shared" si="150"/>
        <v/>
      </c>
    </row>
    <row r="1687" spans="1:17" hidden="1">
      <c r="A1687" t="s">
        <v>1792</v>
      </c>
      <c r="B1687" s="1">
        <v>45149</v>
      </c>
      <c r="C1687">
        <v>2023</v>
      </c>
      <c r="D1687">
        <v>8</v>
      </c>
      <c r="E1687" t="s">
        <v>47</v>
      </c>
      <c r="F1687" t="s">
        <v>28</v>
      </c>
      <c r="G1687" t="s">
        <v>48</v>
      </c>
      <c r="H1687" t="s">
        <v>189</v>
      </c>
      <c r="I1687">
        <v>9512</v>
      </c>
      <c r="J1687">
        <v>7993.2</v>
      </c>
      <c r="K1687" t="s">
        <v>17</v>
      </c>
      <c r="L1687" t="b">
        <v>0</v>
      </c>
      <c r="N1687" s="2" t="b">
        <f t="shared" si="149"/>
        <v>1</v>
      </c>
      <c r="O1687" t="str">
        <f t="shared" ref="O1687:O1688" si="152">IF(AND(E1676="HR",K1676="EXPENSE"),I1676&lt;J1676,"")</f>
        <v/>
      </c>
      <c r="Q1687" t="str">
        <f t="shared" si="150"/>
        <v/>
      </c>
    </row>
    <row r="1688" spans="1:17" hidden="1">
      <c r="A1688" t="s">
        <v>1793</v>
      </c>
      <c r="B1688" s="1">
        <v>45149</v>
      </c>
      <c r="C1688">
        <v>2023</v>
      </c>
      <c r="D1688">
        <v>8</v>
      </c>
      <c r="E1688" t="s">
        <v>47</v>
      </c>
      <c r="F1688" t="s">
        <v>28</v>
      </c>
      <c r="G1688" t="s">
        <v>77</v>
      </c>
      <c r="H1688" t="s">
        <v>130</v>
      </c>
      <c r="I1688">
        <v>15718.26</v>
      </c>
      <c r="J1688">
        <v>13618.65</v>
      </c>
      <c r="K1688" t="s">
        <v>17</v>
      </c>
      <c r="L1688" t="b">
        <v>0</v>
      </c>
      <c r="N1688" s="2" t="b">
        <f t="shared" si="149"/>
        <v>1</v>
      </c>
      <c r="O1688" t="str">
        <f t="shared" si="152"/>
        <v/>
      </c>
      <c r="Q1688" t="str">
        <f t="shared" si="150"/>
        <v/>
      </c>
    </row>
    <row r="1689" spans="1:17" hidden="1">
      <c r="A1689" t="s">
        <v>1794</v>
      </c>
      <c r="B1689" s="1">
        <v>45149</v>
      </c>
      <c r="C1689">
        <v>2023</v>
      </c>
      <c r="D1689">
        <v>8</v>
      </c>
      <c r="E1689" t="s">
        <v>23</v>
      </c>
      <c r="F1689" t="s">
        <v>14</v>
      </c>
      <c r="G1689" t="s">
        <v>30</v>
      </c>
      <c r="H1689" t="s">
        <v>106</v>
      </c>
      <c r="I1689">
        <v>6150.01</v>
      </c>
      <c r="J1689">
        <v>6648.53</v>
      </c>
      <c r="K1689" t="s">
        <v>17</v>
      </c>
      <c r="L1689" t="b">
        <v>0</v>
      </c>
      <c r="N1689" s="2" t="str">
        <f t="shared" si="149"/>
        <v/>
      </c>
      <c r="Q1689" t="str">
        <f t="shared" si="150"/>
        <v/>
      </c>
    </row>
    <row r="1690" spans="1:17" hidden="1">
      <c r="A1690" t="s">
        <v>1795</v>
      </c>
      <c r="B1690" s="1">
        <v>45149</v>
      </c>
      <c r="C1690">
        <v>2023</v>
      </c>
      <c r="D1690">
        <v>8</v>
      </c>
      <c r="E1690" t="s">
        <v>37</v>
      </c>
      <c r="F1690" t="s">
        <v>24</v>
      </c>
      <c r="G1690" t="s">
        <v>83</v>
      </c>
      <c r="H1690" t="s">
        <v>84</v>
      </c>
      <c r="I1690">
        <v>101989.75999999999</v>
      </c>
      <c r="J1690">
        <v>96890.27</v>
      </c>
      <c r="K1690" t="s">
        <v>85</v>
      </c>
      <c r="L1690" t="b">
        <v>0</v>
      </c>
      <c r="N1690" s="2" t="str">
        <f t="shared" si="149"/>
        <v/>
      </c>
      <c r="Q1690" t="str">
        <f t="shared" si="150"/>
        <v/>
      </c>
    </row>
    <row r="1691" spans="1:17" hidden="1">
      <c r="A1691" t="s">
        <v>1796</v>
      </c>
      <c r="B1691" s="1">
        <v>45150</v>
      </c>
      <c r="C1691">
        <v>2023</v>
      </c>
      <c r="D1691">
        <v>8</v>
      </c>
      <c r="E1691" t="s">
        <v>13</v>
      </c>
      <c r="F1691" t="s">
        <v>24</v>
      </c>
      <c r="G1691" t="s">
        <v>108</v>
      </c>
      <c r="H1691" t="s">
        <v>123</v>
      </c>
      <c r="I1691">
        <v>5102.05</v>
      </c>
      <c r="J1691">
        <v>4829.32</v>
      </c>
      <c r="K1691" t="s">
        <v>17</v>
      </c>
      <c r="L1691" t="b">
        <v>0</v>
      </c>
      <c r="N1691" s="2" t="str">
        <f t="shared" si="149"/>
        <v/>
      </c>
      <c r="Q1691" t="str">
        <f t="shared" si="150"/>
        <v/>
      </c>
    </row>
    <row r="1692" spans="1:17" hidden="1">
      <c r="A1692" t="s">
        <v>1797</v>
      </c>
      <c r="B1692" s="1">
        <v>45150</v>
      </c>
      <c r="C1692">
        <v>2023</v>
      </c>
      <c r="D1692">
        <v>8</v>
      </c>
      <c r="E1692" t="s">
        <v>13</v>
      </c>
      <c r="F1692" t="s">
        <v>24</v>
      </c>
      <c r="G1692" t="s">
        <v>108</v>
      </c>
      <c r="H1692" t="s">
        <v>109</v>
      </c>
      <c r="I1692">
        <v>4411.76</v>
      </c>
      <c r="J1692">
        <v>4445.6400000000003</v>
      </c>
      <c r="K1692" t="s">
        <v>17</v>
      </c>
      <c r="L1692" t="b">
        <v>0</v>
      </c>
      <c r="N1692" s="2" t="str">
        <f t="shared" si="149"/>
        <v/>
      </c>
      <c r="Q1692" t="str">
        <f t="shared" si="150"/>
        <v/>
      </c>
    </row>
    <row r="1693" spans="1:17" hidden="1">
      <c r="A1693" t="s">
        <v>1798</v>
      </c>
      <c r="B1693" s="1">
        <v>45150</v>
      </c>
      <c r="C1693">
        <v>2023</v>
      </c>
      <c r="D1693">
        <v>8</v>
      </c>
      <c r="E1693" t="s">
        <v>47</v>
      </c>
      <c r="F1693" t="s">
        <v>14</v>
      </c>
      <c r="G1693" t="s">
        <v>48</v>
      </c>
      <c r="H1693" t="s">
        <v>49</v>
      </c>
      <c r="I1693">
        <v>7757.68</v>
      </c>
      <c r="J1693">
        <v>6694.13</v>
      </c>
      <c r="K1693" t="s">
        <v>17</v>
      </c>
      <c r="L1693" t="b">
        <v>0</v>
      </c>
      <c r="N1693" s="2" t="b">
        <f t="shared" si="149"/>
        <v>1</v>
      </c>
      <c r="O1693" t="str">
        <f t="shared" ref="O1693:O1694" si="153">IF(AND(E1682="HR",K1682="EXPENSE"),I1682&lt;J1682,"")</f>
        <v/>
      </c>
      <c r="Q1693" t="str">
        <f t="shared" si="150"/>
        <v/>
      </c>
    </row>
    <row r="1694" spans="1:17" hidden="1">
      <c r="A1694" t="s">
        <v>1799</v>
      </c>
      <c r="B1694" s="1">
        <v>45150</v>
      </c>
      <c r="C1694">
        <v>2023</v>
      </c>
      <c r="D1694">
        <v>8</v>
      </c>
      <c r="E1694" t="s">
        <v>47</v>
      </c>
      <c r="F1694" t="s">
        <v>28</v>
      </c>
      <c r="G1694" t="s">
        <v>77</v>
      </c>
      <c r="H1694" t="s">
        <v>130</v>
      </c>
      <c r="I1694">
        <v>18575.490000000002</v>
      </c>
      <c r="J1694">
        <v>15379.41</v>
      </c>
      <c r="K1694" t="s">
        <v>17</v>
      </c>
      <c r="L1694" t="b">
        <v>0</v>
      </c>
      <c r="N1694" s="2" t="b">
        <f t="shared" si="149"/>
        <v>1</v>
      </c>
      <c r="O1694" t="str">
        <f t="shared" si="153"/>
        <v/>
      </c>
      <c r="Q1694" t="str">
        <f t="shared" si="150"/>
        <v/>
      </c>
    </row>
    <row r="1695" spans="1:17" hidden="1">
      <c r="A1695" t="s">
        <v>1800</v>
      </c>
      <c r="B1695" s="1">
        <v>45150</v>
      </c>
      <c r="C1695">
        <v>2023</v>
      </c>
      <c r="D1695">
        <v>8</v>
      </c>
      <c r="E1695" t="s">
        <v>19</v>
      </c>
      <c r="F1695" t="s">
        <v>14</v>
      </c>
      <c r="G1695" t="s">
        <v>80</v>
      </c>
      <c r="H1695" t="s">
        <v>150</v>
      </c>
      <c r="I1695">
        <v>6508.12</v>
      </c>
      <c r="J1695">
        <v>6805.74</v>
      </c>
      <c r="K1695" t="s">
        <v>17</v>
      </c>
      <c r="L1695" t="b">
        <v>0</v>
      </c>
      <c r="N1695" s="2" t="str">
        <f t="shared" si="149"/>
        <v/>
      </c>
      <c r="Q1695" t="str">
        <f t="shared" si="150"/>
        <v/>
      </c>
    </row>
    <row r="1696" spans="1:17" hidden="1">
      <c r="A1696" t="s">
        <v>1801</v>
      </c>
      <c r="B1696" s="1">
        <v>45150</v>
      </c>
      <c r="C1696">
        <v>2023</v>
      </c>
      <c r="D1696">
        <v>8</v>
      </c>
      <c r="E1696" t="s">
        <v>19</v>
      </c>
      <c r="F1696" t="s">
        <v>14</v>
      </c>
      <c r="G1696" t="s">
        <v>54</v>
      </c>
      <c r="H1696" t="s">
        <v>57</v>
      </c>
      <c r="I1696">
        <v>5436.96</v>
      </c>
      <c r="J1696">
        <v>5087.9399999999996</v>
      </c>
      <c r="K1696" t="s">
        <v>17</v>
      </c>
      <c r="L1696" t="b">
        <v>0</v>
      </c>
      <c r="N1696" s="2" t="str">
        <f t="shared" si="149"/>
        <v/>
      </c>
      <c r="Q1696" t="str">
        <f t="shared" si="150"/>
        <v/>
      </c>
    </row>
    <row r="1697" spans="1:17" hidden="1">
      <c r="A1697" t="s">
        <v>1802</v>
      </c>
      <c r="B1697" s="1">
        <v>45150</v>
      </c>
      <c r="C1697">
        <v>2023</v>
      </c>
      <c r="D1697">
        <v>8</v>
      </c>
      <c r="E1697" t="s">
        <v>19</v>
      </c>
      <c r="F1697" t="s">
        <v>14</v>
      </c>
      <c r="G1697" t="s">
        <v>54</v>
      </c>
      <c r="H1697" t="s">
        <v>57</v>
      </c>
      <c r="I1697">
        <v>3915.12</v>
      </c>
      <c r="J1697">
        <v>4289.57</v>
      </c>
      <c r="K1697" t="s">
        <v>17</v>
      </c>
      <c r="L1697" t="b">
        <v>0</v>
      </c>
      <c r="N1697" s="2" t="str">
        <f t="shared" si="149"/>
        <v/>
      </c>
      <c r="Q1697" t="str">
        <f t="shared" si="150"/>
        <v/>
      </c>
    </row>
    <row r="1698" spans="1:17" hidden="1">
      <c r="A1698" t="s">
        <v>1803</v>
      </c>
      <c r="B1698" s="1">
        <v>45150</v>
      </c>
      <c r="C1698">
        <v>2023</v>
      </c>
      <c r="D1698">
        <v>8</v>
      </c>
      <c r="E1698" t="s">
        <v>19</v>
      </c>
      <c r="F1698" t="s">
        <v>28</v>
      </c>
      <c r="G1698" t="s">
        <v>20</v>
      </c>
      <c r="H1698" t="s">
        <v>174</v>
      </c>
      <c r="I1698">
        <v>3485.69</v>
      </c>
      <c r="J1698">
        <v>3283.6</v>
      </c>
      <c r="K1698" t="s">
        <v>17</v>
      </c>
      <c r="L1698" t="b">
        <v>0</v>
      </c>
      <c r="N1698" s="2" t="str">
        <f t="shared" si="149"/>
        <v/>
      </c>
      <c r="Q1698" t="str">
        <f t="shared" si="150"/>
        <v/>
      </c>
    </row>
    <row r="1699" spans="1:17" hidden="1">
      <c r="A1699" t="s">
        <v>1804</v>
      </c>
      <c r="B1699" s="1">
        <v>45150</v>
      </c>
      <c r="C1699">
        <v>2023</v>
      </c>
      <c r="D1699">
        <v>8</v>
      </c>
      <c r="E1699" t="s">
        <v>23</v>
      </c>
      <c r="F1699" t="s">
        <v>14</v>
      </c>
      <c r="G1699" t="s">
        <v>25</v>
      </c>
      <c r="H1699" t="s">
        <v>26</v>
      </c>
      <c r="I1699">
        <v>4012.69</v>
      </c>
      <c r="J1699">
        <v>3666.14</v>
      </c>
      <c r="K1699" t="s">
        <v>17</v>
      </c>
      <c r="L1699" t="b">
        <v>0</v>
      </c>
      <c r="N1699" s="2" t="str">
        <f t="shared" si="149"/>
        <v/>
      </c>
      <c r="Q1699" t="str">
        <f t="shared" si="150"/>
        <v/>
      </c>
    </row>
    <row r="1700" spans="1:17" hidden="1">
      <c r="A1700" t="s">
        <v>1805</v>
      </c>
      <c r="B1700" s="1">
        <v>45150</v>
      </c>
      <c r="C1700">
        <v>2023</v>
      </c>
      <c r="D1700">
        <v>8</v>
      </c>
      <c r="E1700" t="s">
        <v>23</v>
      </c>
      <c r="F1700" t="s">
        <v>28</v>
      </c>
      <c r="G1700" t="s">
        <v>59</v>
      </c>
      <c r="H1700" t="s">
        <v>60</v>
      </c>
      <c r="I1700">
        <v>4940.76</v>
      </c>
      <c r="J1700">
        <v>4944.0600000000004</v>
      </c>
      <c r="K1700" t="s">
        <v>17</v>
      </c>
      <c r="L1700" t="b">
        <v>0</v>
      </c>
      <c r="N1700" s="2" t="str">
        <f t="shared" si="149"/>
        <v/>
      </c>
      <c r="Q1700" t="str">
        <f t="shared" si="150"/>
        <v/>
      </c>
    </row>
    <row r="1701" spans="1:17" hidden="1">
      <c r="A1701" t="s">
        <v>1806</v>
      </c>
      <c r="B1701" s="1">
        <v>45150</v>
      </c>
      <c r="C1701">
        <v>2023</v>
      </c>
      <c r="D1701">
        <v>8</v>
      </c>
      <c r="E1701" t="s">
        <v>23</v>
      </c>
      <c r="F1701" t="s">
        <v>28</v>
      </c>
      <c r="G1701" t="s">
        <v>59</v>
      </c>
      <c r="H1701" t="s">
        <v>60</v>
      </c>
      <c r="I1701">
        <v>4394.5200000000004</v>
      </c>
      <c r="J1701">
        <v>4655.0600000000004</v>
      </c>
      <c r="K1701" t="s">
        <v>17</v>
      </c>
      <c r="L1701" t="b">
        <v>0</v>
      </c>
      <c r="N1701" s="2" t="str">
        <f t="shared" si="149"/>
        <v/>
      </c>
      <c r="Q1701" t="str">
        <f t="shared" si="150"/>
        <v/>
      </c>
    </row>
    <row r="1702" spans="1:17" hidden="1">
      <c r="A1702" t="s">
        <v>1807</v>
      </c>
      <c r="B1702" s="1">
        <v>45150</v>
      </c>
      <c r="C1702">
        <v>2023</v>
      </c>
      <c r="D1702">
        <v>8</v>
      </c>
      <c r="E1702" t="s">
        <v>23</v>
      </c>
      <c r="F1702" t="s">
        <v>28</v>
      </c>
      <c r="G1702" t="s">
        <v>141</v>
      </c>
      <c r="H1702" t="s">
        <v>142</v>
      </c>
      <c r="I1702">
        <v>5354.09</v>
      </c>
      <c r="J1702">
        <v>5261.48</v>
      </c>
      <c r="K1702" t="s">
        <v>17</v>
      </c>
      <c r="L1702" t="b">
        <v>0</v>
      </c>
      <c r="N1702" s="2" t="str">
        <f t="shared" si="149"/>
        <v/>
      </c>
      <c r="Q1702" t="str">
        <f t="shared" si="150"/>
        <v/>
      </c>
    </row>
    <row r="1703" spans="1:17" hidden="1">
      <c r="A1703" t="s">
        <v>1808</v>
      </c>
      <c r="B1703" s="1">
        <v>45150</v>
      </c>
      <c r="C1703">
        <v>2023</v>
      </c>
      <c r="D1703">
        <v>8</v>
      </c>
      <c r="E1703" t="s">
        <v>37</v>
      </c>
      <c r="F1703" t="s">
        <v>14</v>
      </c>
      <c r="G1703" t="s">
        <v>41</v>
      </c>
      <c r="H1703" t="s">
        <v>42</v>
      </c>
      <c r="I1703">
        <v>5716.07</v>
      </c>
      <c r="J1703">
        <v>6210.79</v>
      </c>
      <c r="K1703" t="s">
        <v>17</v>
      </c>
      <c r="L1703" t="b">
        <v>0</v>
      </c>
      <c r="N1703" s="2" t="str">
        <f t="shared" si="149"/>
        <v/>
      </c>
      <c r="Q1703" t="str">
        <f t="shared" si="150"/>
        <v/>
      </c>
    </row>
    <row r="1704" spans="1:17" hidden="1">
      <c r="A1704" t="s">
        <v>1809</v>
      </c>
      <c r="B1704" s="1">
        <v>45150</v>
      </c>
      <c r="C1704">
        <v>2023</v>
      </c>
      <c r="D1704">
        <v>8</v>
      </c>
      <c r="E1704" t="s">
        <v>37</v>
      </c>
      <c r="F1704" t="s">
        <v>28</v>
      </c>
      <c r="G1704" t="s">
        <v>41</v>
      </c>
      <c r="H1704" t="s">
        <v>42</v>
      </c>
      <c r="I1704">
        <v>5343.4</v>
      </c>
      <c r="J1704">
        <v>5133.28</v>
      </c>
      <c r="K1704" t="s">
        <v>17</v>
      </c>
      <c r="L1704" t="b">
        <v>0</v>
      </c>
      <c r="N1704" s="2" t="str">
        <f t="shared" si="149"/>
        <v/>
      </c>
      <c r="Q1704" t="str">
        <f t="shared" si="150"/>
        <v/>
      </c>
    </row>
    <row r="1705" spans="1:17" hidden="1">
      <c r="A1705" t="s">
        <v>1810</v>
      </c>
      <c r="B1705" s="1">
        <v>45150</v>
      </c>
      <c r="C1705">
        <v>2023</v>
      </c>
      <c r="D1705">
        <v>8</v>
      </c>
      <c r="E1705" t="s">
        <v>37</v>
      </c>
      <c r="F1705" t="s">
        <v>24</v>
      </c>
      <c r="G1705" t="s">
        <v>98</v>
      </c>
      <c r="H1705" t="s">
        <v>185</v>
      </c>
      <c r="I1705">
        <v>5224.99</v>
      </c>
      <c r="J1705">
        <v>5599.83</v>
      </c>
      <c r="K1705" t="s">
        <v>17</v>
      </c>
      <c r="L1705" t="b">
        <v>0</v>
      </c>
      <c r="N1705" s="2" t="str">
        <f t="shared" si="149"/>
        <v/>
      </c>
      <c r="Q1705" t="str">
        <f t="shared" si="150"/>
        <v/>
      </c>
    </row>
    <row r="1706" spans="1:17" hidden="1">
      <c r="A1706" t="s">
        <v>1811</v>
      </c>
      <c r="B1706" s="1">
        <v>45151</v>
      </c>
      <c r="C1706">
        <v>2023</v>
      </c>
      <c r="D1706">
        <v>8</v>
      </c>
      <c r="E1706" t="s">
        <v>13</v>
      </c>
      <c r="F1706" t="s">
        <v>28</v>
      </c>
      <c r="G1706" t="s">
        <v>68</v>
      </c>
      <c r="H1706" t="s">
        <v>69</v>
      </c>
      <c r="I1706">
        <v>3729.59</v>
      </c>
      <c r="J1706">
        <v>3460.51</v>
      </c>
      <c r="K1706" t="s">
        <v>17</v>
      </c>
      <c r="L1706" t="b">
        <v>0</v>
      </c>
      <c r="N1706" s="2" t="str">
        <f t="shared" si="149"/>
        <v/>
      </c>
      <c r="Q1706" t="str">
        <f t="shared" si="150"/>
        <v/>
      </c>
    </row>
    <row r="1707" spans="1:17" hidden="1">
      <c r="A1707" t="s">
        <v>1812</v>
      </c>
      <c r="B1707" s="1">
        <v>45151</v>
      </c>
      <c r="C1707">
        <v>2023</v>
      </c>
      <c r="D1707">
        <v>8</v>
      </c>
      <c r="E1707" t="s">
        <v>47</v>
      </c>
      <c r="F1707" t="s">
        <v>14</v>
      </c>
      <c r="G1707" t="s">
        <v>77</v>
      </c>
      <c r="H1707" t="s">
        <v>78</v>
      </c>
      <c r="I1707">
        <v>13371.97</v>
      </c>
      <c r="J1707">
        <v>11178.91</v>
      </c>
      <c r="K1707" t="s">
        <v>17</v>
      </c>
      <c r="L1707" t="b">
        <v>0</v>
      </c>
      <c r="N1707" s="2" t="b">
        <f t="shared" si="149"/>
        <v>1</v>
      </c>
      <c r="O1707" t="str">
        <f t="shared" ref="O1707:O1708" si="154">IF(AND(E1696="HR",K1696="EXPENSE"),I1696&lt;J1696,"")</f>
        <v/>
      </c>
      <c r="Q1707" t="str">
        <f t="shared" si="150"/>
        <v/>
      </c>
    </row>
    <row r="1708" spans="1:17" hidden="1">
      <c r="A1708" t="s">
        <v>1813</v>
      </c>
      <c r="B1708" s="1">
        <v>45151</v>
      </c>
      <c r="C1708">
        <v>2023</v>
      </c>
      <c r="D1708">
        <v>8</v>
      </c>
      <c r="E1708" t="s">
        <v>47</v>
      </c>
      <c r="F1708" t="s">
        <v>14</v>
      </c>
      <c r="G1708" t="s">
        <v>77</v>
      </c>
      <c r="H1708" t="s">
        <v>130</v>
      </c>
      <c r="I1708">
        <v>16718.27</v>
      </c>
      <c r="J1708">
        <v>13804.96</v>
      </c>
      <c r="K1708" t="s">
        <v>17</v>
      </c>
      <c r="L1708" t="b">
        <v>0</v>
      </c>
      <c r="N1708" s="2" t="b">
        <f t="shared" si="149"/>
        <v>1</v>
      </c>
      <c r="O1708" t="str">
        <f t="shared" si="154"/>
        <v/>
      </c>
      <c r="Q1708" t="str">
        <f t="shared" si="150"/>
        <v/>
      </c>
    </row>
    <row r="1709" spans="1:17" hidden="1">
      <c r="A1709" t="s">
        <v>1814</v>
      </c>
      <c r="B1709" s="1">
        <v>45151</v>
      </c>
      <c r="C1709">
        <v>2023</v>
      </c>
      <c r="D1709">
        <v>8</v>
      </c>
      <c r="E1709" t="s">
        <v>23</v>
      </c>
      <c r="F1709" t="s">
        <v>28</v>
      </c>
      <c r="G1709" t="s">
        <v>59</v>
      </c>
      <c r="H1709" t="s">
        <v>155</v>
      </c>
      <c r="I1709">
        <v>5763.9</v>
      </c>
      <c r="J1709">
        <v>6235.62</v>
      </c>
      <c r="K1709" t="s">
        <v>17</v>
      </c>
      <c r="L1709" t="b">
        <v>0</v>
      </c>
      <c r="N1709" s="2" t="str">
        <f t="shared" si="149"/>
        <v/>
      </c>
      <c r="Q1709" t="str">
        <f t="shared" si="150"/>
        <v/>
      </c>
    </row>
    <row r="1710" spans="1:17" hidden="1">
      <c r="A1710" t="s">
        <v>1815</v>
      </c>
      <c r="B1710" s="1">
        <v>45151</v>
      </c>
      <c r="C1710">
        <v>2023</v>
      </c>
      <c r="D1710">
        <v>8</v>
      </c>
      <c r="E1710" t="s">
        <v>23</v>
      </c>
      <c r="F1710" t="s">
        <v>28</v>
      </c>
      <c r="G1710" t="s">
        <v>30</v>
      </c>
      <c r="H1710" t="s">
        <v>33</v>
      </c>
      <c r="I1710">
        <v>5476.61</v>
      </c>
      <c r="J1710">
        <v>4976.16</v>
      </c>
      <c r="K1710" t="s">
        <v>17</v>
      </c>
      <c r="L1710" t="b">
        <v>0</v>
      </c>
      <c r="N1710" s="2" t="str">
        <f t="shared" si="149"/>
        <v/>
      </c>
      <c r="Q1710" t="str">
        <f t="shared" si="150"/>
        <v/>
      </c>
    </row>
    <row r="1711" spans="1:17" hidden="1">
      <c r="A1711" t="s">
        <v>1816</v>
      </c>
      <c r="B1711" s="1">
        <v>45151</v>
      </c>
      <c r="C1711">
        <v>2023</v>
      </c>
      <c r="D1711">
        <v>8</v>
      </c>
      <c r="E1711" t="s">
        <v>37</v>
      </c>
      <c r="F1711" t="s">
        <v>14</v>
      </c>
      <c r="G1711" t="s">
        <v>62</v>
      </c>
      <c r="H1711" t="s">
        <v>63</v>
      </c>
      <c r="I1711">
        <v>3927.85</v>
      </c>
      <c r="J1711">
        <v>3984.51</v>
      </c>
      <c r="K1711" t="s">
        <v>17</v>
      </c>
      <c r="L1711" t="b">
        <v>0</v>
      </c>
      <c r="N1711" s="2" t="str">
        <f t="shared" si="149"/>
        <v/>
      </c>
      <c r="Q1711" t="str">
        <f t="shared" si="150"/>
        <v/>
      </c>
    </row>
    <row r="1712" spans="1:17" hidden="1">
      <c r="A1712" t="s">
        <v>1817</v>
      </c>
      <c r="B1712" s="1">
        <v>45151</v>
      </c>
      <c r="C1712">
        <v>2023</v>
      </c>
      <c r="D1712">
        <v>8</v>
      </c>
      <c r="E1712" t="s">
        <v>37</v>
      </c>
      <c r="F1712" t="s">
        <v>28</v>
      </c>
      <c r="G1712" t="s">
        <v>62</v>
      </c>
      <c r="H1712" t="s">
        <v>66</v>
      </c>
      <c r="I1712">
        <v>4261.03</v>
      </c>
      <c r="J1712">
        <v>4031.86</v>
      </c>
      <c r="K1712" t="s">
        <v>17</v>
      </c>
      <c r="L1712" t="b">
        <v>0</v>
      </c>
      <c r="N1712" s="2" t="str">
        <f t="shared" si="149"/>
        <v/>
      </c>
      <c r="Q1712" t="str">
        <f t="shared" si="150"/>
        <v/>
      </c>
    </row>
    <row r="1713" spans="1:17" hidden="1">
      <c r="A1713" t="s">
        <v>1818</v>
      </c>
      <c r="B1713" s="1">
        <v>45151</v>
      </c>
      <c r="C1713">
        <v>2023</v>
      </c>
      <c r="D1713">
        <v>8</v>
      </c>
      <c r="E1713" t="s">
        <v>37</v>
      </c>
      <c r="F1713" t="s">
        <v>28</v>
      </c>
      <c r="G1713" t="s">
        <v>38</v>
      </c>
      <c r="H1713" t="s">
        <v>227</v>
      </c>
      <c r="I1713">
        <v>5615.39</v>
      </c>
      <c r="J1713">
        <v>5404.92</v>
      </c>
      <c r="K1713" t="s">
        <v>17</v>
      </c>
      <c r="L1713" t="b">
        <v>0</v>
      </c>
      <c r="N1713" s="2" t="str">
        <f t="shared" si="149"/>
        <v/>
      </c>
      <c r="Q1713" t="str">
        <f t="shared" si="150"/>
        <v/>
      </c>
    </row>
    <row r="1714" spans="1:17" hidden="1">
      <c r="A1714" t="s">
        <v>1819</v>
      </c>
      <c r="B1714" s="1">
        <v>45151</v>
      </c>
      <c r="C1714">
        <v>2023</v>
      </c>
      <c r="D1714">
        <v>8</v>
      </c>
      <c r="E1714" t="s">
        <v>37</v>
      </c>
      <c r="F1714" t="s">
        <v>28</v>
      </c>
      <c r="G1714" t="s">
        <v>38</v>
      </c>
      <c r="H1714" t="s">
        <v>227</v>
      </c>
      <c r="I1714">
        <v>5578.26</v>
      </c>
      <c r="J1714">
        <v>6097.76</v>
      </c>
      <c r="K1714" t="s">
        <v>17</v>
      </c>
      <c r="L1714" t="b">
        <v>0</v>
      </c>
      <c r="N1714" s="2" t="str">
        <f t="shared" si="149"/>
        <v/>
      </c>
      <c r="Q1714" t="str">
        <f t="shared" si="150"/>
        <v/>
      </c>
    </row>
    <row r="1715" spans="1:17" hidden="1">
      <c r="A1715" t="s">
        <v>1820</v>
      </c>
      <c r="B1715" s="1">
        <v>45151</v>
      </c>
      <c r="C1715">
        <v>2023</v>
      </c>
      <c r="D1715">
        <v>8</v>
      </c>
      <c r="E1715" t="s">
        <v>37</v>
      </c>
      <c r="F1715" t="s">
        <v>28</v>
      </c>
      <c r="G1715" t="s">
        <v>62</v>
      </c>
      <c r="H1715" t="s">
        <v>63</v>
      </c>
      <c r="I1715">
        <v>2975.48</v>
      </c>
      <c r="J1715">
        <v>2932.31</v>
      </c>
      <c r="K1715" t="s">
        <v>17</v>
      </c>
      <c r="L1715" t="b">
        <v>0</v>
      </c>
      <c r="N1715" s="2" t="str">
        <f t="shared" si="149"/>
        <v/>
      </c>
      <c r="Q1715" t="str">
        <f t="shared" si="150"/>
        <v/>
      </c>
    </row>
    <row r="1716" spans="1:17" hidden="1">
      <c r="A1716" t="s">
        <v>1821</v>
      </c>
      <c r="B1716" s="1">
        <v>45152</v>
      </c>
      <c r="C1716">
        <v>2023</v>
      </c>
      <c r="D1716">
        <v>8</v>
      </c>
      <c r="E1716" t="s">
        <v>13</v>
      </c>
      <c r="F1716" t="s">
        <v>14</v>
      </c>
      <c r="G1716" t="s">
        <v>68</v>
      </c>
      <c r="H1716" t="s">
        <v>69</v>
      </c>
      <c r="I1716">
        <v>3469.66</v>
      </c>
      <c r="J1716">
        <v>3388.74</v>
      </c>
      <c r="K1716" t="s">
        <v>17</v>
      </c>
      <c r="L1716" t="b">
        <v>0</v>
      </c>
      <c r="N1716" s="2" t="str">
        <f t="shared" si="149"/>
        <v/>
      </c>
      <c r="Q1716" t="str">
        <f t="shared" si="150"/>
        <v/>
      </c>
    </row>
    <row r="1717" spans="1:17" hidden="1">
      <c r="A1717" t="s">
        <v>1822</v>
      </c>
      <c r="B1717" s="1">
        <v>45152</v>
      </c>
      <c r="C1717">
        <v>2023</v>
      </c>
      <c r="D1717">
        <v>8</v>
      </c>
      <c r="E1717" t="s">
        <v>13</v>
      </c>
      <c r="F1717" t="s">
        <v>28</v>
      </c>
      <c r="G1717" t="s">
        <v>15</v>
      </c>
      <c r="H1717" t="s">
        <v>16</v>
      </c>
      <c r="I1717">
        <v>2935.56</v>
      </c>
      <c r="J1717">
        <v>2844.02</v>
      </c>
      <c r="K1717" t="s">
        <v>17</v>
      </c>
      <c r="L1717" t="b">
        <v>0</v>
      </c>
      <c r="N1717" s="2" t="str">
        <f t="shared" si="149"/>
        <v/>
      </c>
      <c r="Q1717" t="str">
        <f t="shared" si="150"/>
        <v/>
      </c>
    </row>
    <row r="1718" spans="1:17" hidden="1">
      <c r="A1718" t="s">
        <v>1823</v>
      </c>
      <c r="B1718" s="1">
        <v>45152</v>
      </c>
      <c r="C1718">
        <v>2023</v>
      </c>
      <c r="D1718">
        <v>8</v>
      </c>
      <c r="E1718" t="s">
        <v>47</v>
      </c>
      <c r="F1718" t="s">
        <v>28</v>
      </c>
      <c r="G1718" t="s">
        <v>91</v>
      </c>
      <c r="H1718" t="s">
        <v>128</v>
      </c>
      <c r="I1718">
        <v>15769.11</v>
      </c>
      <c r="J1718">
        <v>13382.03</v>
      </c>
      <c r="K1718" t="s">
        <v>17</v>
      </c>
      <c r="L1718" t="b">
        <v>0</v>
      </c>
      <c r="N1718" s="2" t="b">
        <f t="shared" si="149"/>
        <v>1</v>
      </c>
      <c r="O1718" t="str">
        <f>IF(AND(E1707="HR",K1707="EXPENSE"),I1707&lt;J1707,"")</f>
        <v/>
      </c>
      <c r="Q1718" t="str">
        <f t="shared" si="150"/>
        <v/>
      </c>
    </row>
    <row r="1719" spans="1:17" hidden="1">
      <c r="A1719" t="s">
        <v>1824</v>
      </c>
      <c r="B1719" s="1">
        <v>45152</v>
      </c>
      <c r="C1719">
        <v>2023</v>
      </c>
      <c r="D1719">
        <v>8</v>
      </c>
      <c r="E1719" t="s">
        <v>23</v>
      </c>
      <c r="F1719" t="s">
        <v>14</v>
      </c>
      <c r="G1719" t="s">
        <v>30</v>
      </c>
      <c r="H1719" t="s">
        <v>33</v>
      </c>
      <c r="I1719">
        <v>4097.16</v>
      </c>
      <c r="J1719">
        <v>4468.7</v>
      </c>
      <c r="K1719" t="s">
        <v>17</v>
      </c>
      <c r="L1719" t="b">
        <v>0</v>
      </c>
      <c r="N1719" s="2" t="str">
        <f t="shared" si="149"/>
        <v/>
      </c>
      <c r="Q1719" t="str">
        <f t="shared" si="150"/>
        <v/>
      </c>
    </row>
    <row r="1720" spans="1:17" hidden="1">
      <c r="A1720" t="s">
        <v>1825</v>
      </c>
      <c r="B1720" s="1">
        <v>45152</v>
      </c>
      <c r="C1720">
        <v>2023</v>
      </c>
      <c r="D1720">
        <v>8</v>
      </c>
      <c r="E1720" t="s">
        <v>37</v>
      </c>
      <c r="F1720" t="s">
        <v>28</v>
      </c>
      <c r="G1720" t="s">
        <v>98</v>
      </c>
      <c r="H1720" t="s">
        <v>99</v>
      </c>
      <c r="I1720">
        <v>4363.32</v>
      </c>
      <c r="J1720">
        <v>4119.54</v>
      </c>
      <c r="K1720" t="s">
        <v>17</v>
      </c>
      <c r="L1720" t="b">
        <v>0</v>
      </c>
      <c r="N1720" s="2" t="str">
        <f t="shared" si="149"/>
        <v/>
      </c>
      <c r="Q1720" t="str">
        <f t="shared" si="150"/>
        <v/>
      </c>
    </row>
    <row r="1721" spans="1:17" hidden="1">
      <c r="A1721" t="s">
        <v>1826</v>
      </c>
      <c r="B1721" s="1">
        <v>45153</v>
      </c>
      <c r="C1721">
        <v>2023</v>
      </c>
      <c r="D1721">
        <v>8</v>
      </c>
      <c r="E1721" t="s">
        <v>13</v>
      </c>
      <c r="F1721" t="s">
        <v>14</v>
      </c>
      <c r="G1721" t="s">
        <v>68</v>
      </c>
      <c r="H1721" t="s">
        <v>87</v>
      </c>
      <c r="I1721">
        <v>3999.38</v>
      </c>
      <c r="J1721">
        <v>4136.17</v>
      </c>
      <c r="K1721" t="s">
        <v>17</v>
      </c>
      <c r="L1721" t="b">
        <v>0</v>
      </c>
      <c r="N1721" s="2" t="str">
        <f t="shared" si="149"/>
        <v/>
      </c>
      <c r="Q1721" t="str">
        <f t="shared" si="150"/>
        <v/>
      </c>
    </row>
    <row r="1722" spans="1:17" hidden="1">
      <c r="A1722" t="s">
        <v>1827</v>
      </c>
      <c r="B1722" s="1">
        <v>45153</v>
      </c>
      <c r="C1722">
        <v>2023</v>
      </c>
      <c r="D1722">
        <v>8</v>
      </c>
      <c r="E1722" t="s">
        <v>13</v>
      </c>
      <c r="F1722" t="s">
        <v>28</v>
      </c>
      <c r="G1722" t="s">
        <v>102</v>
      </c>
      <c r="H1722" t="s">
        <v>278</v>
      </c>
      <c r="I1722">
        <v>3072.38</v>
      </c>
      <c r="J1722">
        <v>2931.39</v>
      </c>
      <c r="K1722" t="s">
        <v>17</v>
      </c>
      <c r="L1722" t="b">
        <v>0</v>
      </c>
      <c r="N1722" s="2" t="str">
        <f t="shared" si="149"/>
        <v/>
      </c>
      <c r="Q1722" t="str">
        <f t="shared" si="150"/>
        <v/>
      </c>
    </row>
    <row r="1723" spans="1:17" hidden="1">
      <c r="A1723" t="s">
        <v>1828</v>
      </c>
      <c r="B1723" s="1">
        <v>45153</v>
      </c>
      <c r="C1723">
        <v>2023</v>
      </c>
      <c r="D1723">
        <v>8</v>
      </c>
      <c r="E1723" t="s">
        <v>47</v>
      </c>
      <c r="F1723" t="s">
        <v>28</v>
      </c>
      <c r="G1723" t="s">
        <v>48</v>
      </c>
      <c r="H1723" t="s">
        <v>111</v>
      </c>
      <c r="I1723">
        <v>17367.87</v>
      </c>
      <c r="J1723">
        <v>14760.23</v>
      </c>
      <c r="K1723" t="s">
        <v>17</v>
      </c>
      <c r="L1723" t="b">
        <v>0</v>
      </c>
      <c r="N1723" s="2" t="b">
        <f t="shared" si="149"/>
        <v>1</v>
      </c>
      <c r="O1723" t="str">
        <f t="shared" ref="O1723:O1724" si="155">IF(AND(E1712="HR",K1712="EXPENSE"),I1712&lt;J1712,"")</f>
        <v/>
      </c>
      <c r="Q1723" t="str">
        <f t="shared" si="150"/>
        <v/>
      </c>
    </row>
    <row r="1724" spans="1:17" hidden="1">
      <c r="A1724" t="s">
        <v>1829</v>
      </c>
      <c r="B1724" s="1">
        <v>45153</v>
      </c>
      <c r="C1724">
        <v>2023</v>
      </c>
      <c r="D1724">
        <v>8</v>
      </c>
      <c r="E1724" t="s">
        <v>47</v>
      </c>
      <c r="F1724" t="s">
        <v>24</v>
      </c>
      <c r="G1724" t="s">
        <v>91</v>
      </c>
      <c r="H1724" t="s">
        <v>254</v>
      </c>
      <c r="I1724">
        <v>13414.91</v>
      </c>
      <c r="J1724">
        <v>11073.32</v>
      </c>
      <c r="K1724" t="s">
        <v>17</v>
      </c>
      <c r="L1724" t="b">
        <v>0</v>
      </c>
      <c r="N1724" s="2" t="b">
        <f t="shared" si="149"/>
        <v>1</v>
      </c>
      <c r="O1724" t="str">
        <f t="shared" si="155"/>
        <v/>
      </c>
      <c r="Q1724" t="str">
        <f t="shared" si="150"/>
        <v/>
      </c>
    </row>
    <row r="1725" spans="1:17" hidden="1">
      <c r="A1725" t="s">
        <v>1830</v>
      </c>
      <c r="B1725" s="1">
        <v>45153</v>
      </c>
      <c r="C1725">
        <v>2023</v>
      </c>
      <c r="D1725">
        <v>8</v>
      </c>
      <c r="E1725" t="s">
        <v>19</v>
      </c>
      <c r="F1725" t="s">
        <v>14</v>
      </c>
      <c r="G1725" t="s">
        <v>132</v>
      </c>
      <c r="H1725" t="s">
        <v>138</v>
      </c>
      <c r="I1725">
        <v>4126.43</v>
      </c>
      <c r="J1725">
        <v>3793.82</v>
      </c>
      <c r="K1725" t="s">
        <v>17</v>
      </c>
      <c r="L1725" t="b">
        <v>0</v>
      </c>
      <c r="N1725" s="2" t="str">
        <f t="shared" si="149"/>
        <v/>
      </c>
      <c r="Q1725" t="str">
        <f t="shared" si="150"/>
        <v/>
      </c>
    </row>
    <row r="1726" spans="1:17" hidden="1">
      <c r="A1726" t="s">
        <v>1831</v>
      </c>
      <c r="B1726" s="1">
        <v>45153</v>
      </c>
      <c r="C1726">
        <v>2023</v>
      </c>
      <c r="D1726">
        <v>8</v>
      </c>
      <c r="E1726" t="s">
        <v>23</v>
      </c>
      <c r="F1726" t="s">
        <v>14</v>
      </c>
      <c r="G1726" t="s">
        <v>30</v>
      </c>
      <c r="H1726" t="s">
        <v>31</v>
      </c>
      <c r="I1726">
        <v>3679.59</v>
      </c>
      <c r="J1726">
        <v>3547.42</v>
      </c>
      <c r="K1726" t="s">
        <v>17</v>
      </c>
      <c r="L1726" t="b">
        <v>0</v>
      </c>
      <c r="N1726" s="2" t="str">
        <f t="shared" si="149"/>
        <v/>
      </c>
      <c r="Q1726" t="str">
        <f t="shared" si="150"/>
        <v/>
      </c>
    </row>
    <row r="1727" spans="1:17" hidden="1">
      <c r="A1727" t="s">
        <v>1832</v>
      </c>
      <c r="B1727" s="1">
        <v>45154</v>
      </c>
      <c r="C1727">
        <v>2023</v>
      </c>
      <c r="D1727">
        <v>8</v>
      </c>
      <c r="E1727" t="s">
        <v>13</v>
      </c>
      <c r="F1727" t="s">
        <v>14</v>
      </c>
      <c r="G1727" t="s">
        <v>102</v>
      </c>
      <c r="H1727" t="s">
        <v>278</v>
      </c>
      <c r="I1727">
        <v>2765.35</v>
      </c>
      <c r="J1727">
        <v>2890</v>
      </c>
      <c r="K1727" t="s">
        <v>17</v>
      </c>
      <c r="L1727" t="b">
        <v>0</v>
      </c>
      <c r="N1727" s="2" t="str">
        <f t="shared" si="149"/>
        <v/>
      </c>
      <c r="Q1727" t="str">
        <f t="shared" si="150"/>
        <v/>
      </c>
    </row>
    <row r="1728" spans="1:17" hidden="1">
      <c r="A1728" t="s">
        <v>1833</v>
      </c>
      <c r="B1728" s="1">
        <v>45154</v>
      </c>
      <c r="C1728">
        <v>2023</v>
      </c>
      <c r="D1728">
        <v>8</v>
      </c>
      <c r="E1728" t="s">
        <v>19</v>
      </c>
      <c r="F1728" t="s">
        <v>28</v>
      </c>
      <c r="G1728" t="s">
        <v>132</v>
      </c>
      <c r="H1728" t="s">
        <v>133</v>
      </c>
      <c r="I1728">
        <v>6700.01</v>
      </c>
      <c r="J1728">
        <v>6592.82</v>
      </c>
      <c r="K1728" t="s">
        <v>17</v>
      </c>
      <c r="L1728" t="b">
        <v>0</v>
      </c>
      <c r="N1728" s="2" t="str">
        <f t="shared" si="149"/>
        <v/>
      </c>
      <c r="Q1728" t="str">
        <f t="shared" si="150"/>
        <v/>
      </c>
    </row>
    <row r="1729" spans="1:17" hidden="1">
      <c r="A1729" t="s">
        <v>1834</v>
      </c>
      <c r="B1729" s="1">
        <v>45154</v>
      </c>
      <c r="C1729">
        <v>2023</v>
      </c>
      <c r="D1729">
        <v>8</v>
      </c>
      <c r="E1729" t="s">
        <v>23</v>
      </c>
      <c r="F1729" t="s">
        <v>14</v>
      </c>
      <c r="G1729" t="s">
        <v>59</v>
      </c>
      <c r="H1729" t="s">
        <v>155</v>
      </c>
      <c r="I1729">
        <v>4623.3</v>
      </c>
      <c r="J1729">
        <v>4616.78</v>
      </c>
      <c r="K1729" t="s">
        <v>17</v>
      </c>
      <c r="L1729" t="b">
        <v>0</v>
      </c>
      <c r="N1729" s="2" t="str">
        <f t="shared" si="149"/>
        <v/>
      </c>
      <c r="Q1729" t="str">
        <f t="shared" si="150"/>
        <v/>
      </c>
    </row>
    <row r="1730" spans="1:17" hidden="1">
      <c r="A1730" t="s">
        <v>1835</v>
      </c>
      <c r="B1730" s="1">
        <v>45154</v>
      </c>
      <c r="C1730">
        <v>2023</v>
      </c>
      <c r="D1730">
        <v>8</v>
      </c>
      <c r="E1730" t="s">
        <v>37</v>
      </c>
      <c r="F1730" t="s">
        <v>14</v>
      </c>
      <c r="G1730" t="s">
        <v>62</v>
      </c>
      <c r="H1730" t="s">
        <v>63</v>
      </c>
      <c r="I1730">
        <v>2388.08</v>
      </c>
      <c r="J1730">
        <v>2352.9699999999998</v>
      </c>
      <c r="K1730" t="s">
        <v>17</v>
      </c>
      <c r="L1730" t="b">
        <v>0</v>
      </c>
      <c r="N1730" s="2" t="str">
        <f t="shared" si="149"/>
        <v/>
      </c>
      <c r="Q1730" t="str">
        <f t="shared" si="150"/>
        <v/>
      </c>
    </row>
    <row r="1731" spans="1:17" hidden="1">
      <c r="A1731" t="s">
        <v>1836</v>
      </c>
      <c r="B1731" s="1">
        <v>45155</v>
      </c>
      <c r="C1731">
        <v>2023</v>
      </c>
      <c r="D1731">
        <v>8</v>
      </c>
      <c r="E1731" t="s">
        <v>13</v>
      </c>
      <c r="F1731" t="s">
        <v>24</v>
      </c>
      <c r="G1731" t="s">
        <v>15</v>
      </c>
      <c r="H1731" t="s">
        <v>89</v>
      </c>
      <c r="I1731">
        <v>4234.63</v>
      </c>
      <c r="J1731">
        <v>4201.37</v>
      </c>
      <c r="K1731" t="s">
        <v>17</v>
      </c>
      <c r="L1731" t="b">
        <v>0</v>
      </c>
      <c r="N1731" s="2" t="str">
        <f t="shared" ref="N1731:N1794" si="156">IF(AND(E1731="IT",K1731="EXPENSE"),I1731&gt;J1731,"")</f>
        <v/>
      </c>
      <c r="Q1731" t="str">
        <f t="shared" ref="Q1731:Q1794" si="157">IF(L1731=TRUE,OR(H1731="Apex Solutions Inc",H1731="Global Trade Partners",H1731="NovaTech Services"),"")</f>
        <v/>
      </c>
    </row>
    <row r="1732" spans="1:17" hidden="1">
      <c r="A1732" t="s">
        <v>1837</v>
      </c>
      <c r="B1732" s="1">
        <v>45155</v>
      </c>
      <c r="C1732">
        <v>2023</v>
      </c>
      <c r="D1732">
        <v>8</v>
      </c>
      <c r="E1732" t="s">
        <v>19</v>
      </c>
      <c r="F1732" t="s">
        <v>28</v>
      </c>
      <c r="G1732" t="s">
        <v>80</v>
      </c>
      <c r="H1732" t="s">
        <v>150</v>
      </c>
      <c r="I1732">
        <v>5803.51</v>
      </c>
      <c r="J1732">
        <v>5682.8</v>
      </c>
      <c r="K1732" t="s">
        <v>17</v>
      </c>
      <c r="L1732" t="b">
        <v>0</v>
      </c>
      <c r="N1732" s="2" t="str">
        <f t="shared" si="156"/>
        <v/>
      </c>
      <c r="Q1732" t="str">
        <f t="shared" si="157"/>
        <v/>
      </c>
    </row>
    <row r="1733" spans="1:17" hidden="1">
      <c r="A1733" t="s">
        <v>1838</v>
      </c>
      <c r="B1733" s="1">
        <v>45155</v>
      </c>
      <c r="C1733">
        <v>2023</v>
      </c>
      <c r="D1733">
        <v>8</v>
      </c>
      <c r="E1733" t="s">
        <v>19</v>
      </c>
      <c r="F1733" t="s">
        <v>28</v>
      </c>
      <c r="G1733" t="s">
        <v>80</v>
      </c>
      <c r="H1733" t="s">
        <v>81</v>
      </c>
      <c r="I1733">
        <v>3735.69</v>
      </c>
      <c r="J1733">
        <v>3674.71</v>
      </c>
      <c r="K1733" t="s">
        <v>17</v>
      </c>
      <c r="L1733" t="b">
        <v>0</v>
      </c>
      <c r="N1733" s="2" t="str">
        <f t="shared" si="156"/>
        <v/>
      </c>
      <c r="Q1733" t="str">
        <f t="shared" si="157"/>
        <v/>
      </c>
    </row>
    <row r="1734" spans="1:17" hidden="1">
      <c r="A1734" t="s">
        <v>1839</v>
      </c>
      <c r="B1734" s="1">
        <v>45155</v>
      </c>
      <c r="C1734">
        <v>2023</v>
      </c>
      <c r="D1734">
        <v>8</v>
      </c>
      <c r="E1734" t="s">
        <v>19</v>
      </c>
      <c r="F1734" t="s">
        <v>28</v>
      </c>
      <c r="G1734" t="s">
        <v>20</v>
      </c>
      <c r="H1734" t="s">
        <v>174</v>
      </c>
      <c r="I1734">
        <v>2991.78</v>
      </c>
      <c r="J1734">
        <v>2789.21</v>
      </c>
      <c r="K1734" t="s">
        <v>17</v>
      </c>
      <c r="L1734" t="b">
        <v>0</v>
      </c>
      <c r="N1734" s="2" t="str">
        <f t="shared" si="156"/>
        <v/>
      </c>
      <c r="Q1734" t="str">
        <f t="shared" si="157"/>
        <v/>
      </c>
    </row>
    <row r="1735" spans="1:17" hidden="1">
      <c r="A1735" t="s">
        <v>1840</v>
      </c>
      <c r="B1735" s="1">
        <v>45155</v>
      </c>
      <c r="C1735">
        <v>2023</v>
      </c>
      <c r="D1735">
        <v>8</v>
      </c>
      <c r="E1735" t="s">
        <v>37</v>
      </c>
      <c r="F1735" t="s">
        <v>14</v>
      </c>
      <c r="G1735" t="s">
        <v>62</v>
      </c>
      <c r="H1735" t="s">
        <v>63</v>
      </c>
      <c r="I1735">
        <v>3540.43</v>
      </c>
      <c r="J1735">
        <v>3361.18</v>
      </c>
      <c r="K1735" t="s">
        <v>17</v>
      </c>
      <c r="L1735" t="b">
        <v>0</v>
      </c>
      <c r="N1735" s="2" t="str">
        <f t="shared" si="156"/>
        <v/>
      </c>
      <c r="Q1735" t="str">
        <f t="shared" si="157"/>
        <v/>
      </c>
    </row>
    <row r="1736" spans="1:17" hidden="1">
      <c r="A1736" t="s">
        <v>1841</v>
      </c>
      <c r="B1736" s="1">
        <v>45155</v>
      </c>
      <c r="C1736">
        <v>2023</v>
      </c>
      <c r="D1736">
        <v>8</v>
      </c>
      <c r="E1736" t="s">
        <v>37</v>
      </c>
      <c r="F1736" t="s">
        <v>14</v>
      </c>
      <c r="G1736" t="s">
        <v>62</v>
      </c>
      <c r="H1736" t="s">
        <v>360</v>
      </c>
      <c r="I1736">
        <v>2769.32</v>
      </c>
      <c r="J1736">
        <v>2649.29</v>
      </c>
      <c r="K1736" t="s">
        <v>17</v>
      </c>
      <c r="L1736" t="b">
        <v>0</v>
      </c>
      <c r="N1736" s="2" t="str">
        <f t="shared" si="156"/>
        <v/>
      </c>
      <c r="Q1736" t="str">
        <f t="shared" si="157"/>
        <v/>
      </c>
    </row>
    <row r="1737" spans="1:17" hidden="1">
      <c r="A1737" t="s">
        <v>1842</v>
      </c>
      <c r="B1737" s="1">
        <v>45156</v>
      </c>
      <c r="C1737">
        <v>2023</v>
      </c>
      <c r="D1737">
        <v>8</v>
      </c>
      <c r="E1737" t="s">
        <v>13</v>
      </c>
      <c r="F1737" t="s">
        <v>14</v>
      </c>
      <c r="G1737" t="s">
        <v>108</v>
      </c>
      <c r="H1737" t="s">
        <v>126</v>
      </c>
      <c r="I1737">
        <v>4563.01</v>
      </c>
      <c r="J1737">
        <v>4232.01</v>
      </c>
      <c r="K1737" t="s">
        <v>17</v>
      </c>
      <c r="L1737" t="b">
        <v>0</v>
      </c>
      <c r="N1737" s="2" t="str">
        <f t="shared" si="156"/>
        <v/>
      </c>
      <c r="Q1737" t="str">
        <f t="shared" si="157"/>
        <v/>
      </c>
    </row>
    <row r="1738" spans="1:17" hidden="1">
      <c r="A1738" t="s">
        <v>1843</v>
      </c>
      <c r="B1738" s="1">
        <v>45156</v>
      </c>
      <c r="C1738">
        <v>2023</v>
      </c>
      <c r="D1738">
        <v>8</v>
      </c>
      <c r="E1738" t="s">
        <v>13</v>
      </c>
      <c r="F1738" t="s">
        <v>28</v>
      </c>
      <c r="G1738" t="s">
        <v>68</v>
      </c>
      <c r="H1738" t="s">
        <v>87</v>
      </c>
      <c r="I1738">
        <v>3169</v>
      </c>
      <c r="J1738">
        <v>3131.39</v>
      </c>
      <c r="K1738" t="s">
        <v>17</v>
      </c>
      <c r="L1738" t="b">
        <v>0</v>
      </c>
      <c r="N1738" s="2" t="str">
        <f t="shared" si="156"/>
        <v/>
      </c>
      <c r="Q1738" t="str">
        <f t="shared" si="157"/>
        <v/>
      </c>
    </row>
    <row r="1739" spans="1:17" hidden="1">
      <c r="A1739" t="s">
        <v>1844</v>
      </c>
      <c r="B1739" s="1">
        <v>45156</v>
      </c>
      <c r="C1739">
        <v>2023</v>
      </c>
      <c r="D1739">
        <v>8</v>
      </c>
      <c r="E1739" t="s">
        <v>13</v>
      </c>
      <c r="F1739" t="s">
        <v>28</v>
      </c>
      <c r="G1739" t="s">
        <v>68</v>
      </c>
      <c r="H1739" t="s">
        <v>69</v>
      </c>
      <c r="I1739">
        <v>2569.75</v>
      </c>
      <c r="J1739">
        <v>2716.25</v>
      </c>
      <c r="K1739" t="s">
        <v>17</v>
      </c>
      <c r="L1739" t="b">
        <v>0</v>
      </c>
      <c r="N1739" s="2" t="str">
        <f t="shared" si="156"/>
        <v/>
      </c>
      <c r="Q1739" t="str">
        <f t="shared" si="157"/>
        <v/>
      </c>
    </row>
    <row r="1740" spans="1:17" hidden="1">
      <c r="A1740" t="s">
        <v>1845</v>
      </c>
      <c r="B1740" s="1">
        <v>45156</v>
      </c>
      <c r="C1740">
        <v>2023</v>
      </c>
      <c r="D1740">
        <v>8</v>
      </c>
      <c r="E1740" t="s">
        <v>47</v>
      </c>
      <c r="F1740" t="s">
        <v>14</v>
      </c>
      <c r="G1740" t="s">
        <v>91</v>
      </c>
      <c r="H1740" t="s">
        <v>249</v>
      </c>
      <c r="I1740">
        <v>11830.69</v>
      </c>
      <c r="J1740">
        <v>9835.4699999999993</v>
      </c>
      <c r="K1740" t="s">
        <v>17</v>
      </c>
      <c r="L1740" t="b">
        <v>0</v>
      </c>
      <c r="N1740" s="2" t="b">
        <f t="shared" si="156"/>
        <v>1</v>
      </c>
      <c r="O1740" t="str">
        <f t="shared" ref="O1740:O1741" si="158">IF(AND(E1729="HR",K1729="EXPENSE"),I1729&lt;J1729,"")</f>
        <v/>
      </c>
      <c r="Q1740" t="str">
        <f t="shared" si="157"/>
        <v/>
      </c>
    </row>
    <row r="1741" spans="1:17" hidden="1">
      <c r="A1741" t="s">
        <v>1846</v>
      </c>
      <c r="B1741" s="1">
        <v>45156</v>
      </c>
      <c r="C1741">
        <v>2023</v>
      </c>
      <c r="D1741">
        <v>8</v>
      </c>
      <c r="E1741" t="s">
        <v>47</v>
      </c>
      <c r="F1741" t="s">
        <v>24</v>
      </c>
      <c r="G1741" t="s">
        <v>91</v>
      </c>
      <c r="H1741" t="s">
        <v>254</v>
      </c>
      <c r="I1741">
        <v>13195.47</v>
      </c>
      <c r="J1741">
        <v>11346.36</v>
      </c>
      <c r="K1741" t="s">
        <v>17</v>
      </c>
      <c r="L1741" t="b">
        <v>0</v>
      </c>
      <c r="N1741" s="2" t="b">
        <f t="shared" si="156"/>
        <v>1</v>
      </c>
      <c r="O1741" t="str">
        <f t="shared" si="158"/>
        <v/>
      </c>
      <c r="Q1741" t="str">
        <f t="shared" si="157"/>
        <v/>
      </c>
    </row>
    <row r="1742" spans="1:17" hidden="1">
      <c r="A1742" t="s">
        <v>1847</v>
      </c>
      <c r="B1742" s="1">
        <v>45156</v>
      </c>
      <c r="C1742">
        <v>2023</v>
      </c>
      <c r="D1742">
        <v>8</v>
      </c>
      <c r="E1742" t="s">
        <v>19</v>
      </c>
      <c r="F1742" t="s">
        <v>14</v>
      </c>
      <c r="G1742" t="s">
        <v>20</v>
      </c>
      <c r="H1742" t="s">
        <v>174</v>
      </c>
      <c r="I1742">
        <v>4570.26</v>
      </c>
      <c r="J1742">
        <v>4560.8</v>
      </c>
      <c r="K1742" t="s">
        <v>17</v>
      </c>
      <c r="L1742" t="b">
        <v>0</v>
      </c>
      <c r="N1742" s="2" t="str">
        <f t="shared" si="156"/>
        <v/>
      </c>
      <c r="Q1742" t="str">
        <f t="shared" si="157"/>
        <v/>
      </c>
    </row>
    <row r="1743" spans="1:17" hidden="1">
      <c r="A1743" t="s">
        <v>1848</v>
      </c>
      <c r="B1743" s="1">
        <v>45156</v>
      </c>
      <c r="C1743">
        <v>2023</v>
      </c>
      <c r="D1743">
        <v>8</v>
      </c>
      <c r="E1743" t="s">
        <v>23</v>
      </c>
      <c r="F1743" t="s">
        <v>14</v>
      </c>
      <c r="G1743" t="s">
        <v>59</v>
      </c>
      <c r="H1743" t="s">
        <v>155</v>
      </c>
      <c r="I1743">
        <v>5294.24</v>
      </c>
      <c r="J1743">
        <v>5073.32</v>
      </c>
      <c r="K1743" t="s">
        <v>17</v>
      </c>
      <c r="L1743" t="b">
        <v>0</v>
      </c>
      <c r="N1743" s="2" t="str">
        <f t="shared" si="156"/>
        <v/>
      </c>
      <c r="Q1743" t="str">
        <f t="shared" si="157"/>
        <v/>
      </c>
    </row>
    <row r="1744" spans="1:17" hidden="1">
      <c r="A1744" t="s">
        <v>1849</v>
      </c>
      <c r="B1744" s="1">
        <v>45156</v>
      </c>
      <c r="C1744">
        <v>2023</v>
      </c>
      <c r="D1744">
        <v>8</v>
      </c>
      <c r="E1744" t="s">
        <v>23</v>
      </c>
      <c r="F1744" t="s">
        <v>14</v>
      </c>
      <c r="G1744" t="s">
        <v>59</v>
      </c>
      <c r="H1744" t="s">
        <v>155</v>
      </c>
      <c r="I1744">
        <v>5360.79</v>
      </c>
      <c r="J1744">
        <v>4957.49</v>
      </c>
      <c r="K1744" t="s">
        <v>17</v>
      </c>
      <c r="L1744" t="b">
        <v>0</v>
      </c>
      <c r="N1744" s="2" t="str">
        <f t="shared" si="156"/>
        <v/>
      </c>
      <c r="Q1744" t="str">
        <f t="shared" si="157"/>
        <v/>
      </c>
    </row>
    <row r="1745" spans="1:17" hidden="1">
      <c r="A1745" t="s">
        <v>1850</v>
      </c>
      <c r="B1745" s="1">
        <v>45156</v>
      </c>
      <c r="C1745">
        <v>2023</v>
      </c>
      <c r="D1745">
        <v>8</v>
      </c>
      <c r="E1745" t="s">
        <v>37</v>
      </c>
      <c r="F1745" t="s">
        <v>28</v>
      </c>
      <c r="G1745" t="s">
        <v>98</v>
      </c>
      <c r="H1745" t="s">
        <v>99</v>
      </c>
      <c r="I1745">
        <v>5608.37</v>
      </c>
      <c r="J1745">
        <v>5508.19</v>
      </c>
      <c r="K1745" t="s">
        <v>17</v>
      </c>
      <c r="L1745" t="b">
        <v>0</v>
      </c>
      <c r="N1745" s="2" t="str">
        <f t="shared" si="156"/>
        <v/>
      </c>
      <c r="Q1745" t="str">
        <f t="shared" si="157"/>
        <v/>
      </c>
    </row>
    <row r="1746" spans="1:17" hidden="1">
      <c r="A1746" t="s">
        <v>1851</v>
      </c>
      <c r="B1746" s="1">
        <v>45157</v>
      </c>
      <c r="C1746">
        <v>2023</v>
      </c>
      <c r="D1746">
        <v>8</v>
      </c>
      <c r="E1746" t="s">
        <v>47</v>
      </c>
      <c r="F1746" t="s">
        <v>28</v>
      </c>
      <c r="G1746" t="s">
        <v>51</v>
      </c>
      <c r="H1746" t="s">
        <v>72</v>
      </c>
      <c r="I1746">
        <v>15244.92</v>
      </c>
      <c r="J1746">
        <v>12641.05</v>
      </c>
      <c r="K1746" t="s">
        <v>17</v>
      </c>
      <c r="L1746" t="b">
        <v>0</v>
      </c>
      <c r="N1746" s="2" t="b">
        <f t="shared" si="156"/>
        <v>1</v>
      </c>
      <c r="O1746" t="str">
        <f t="shared" ref="O1746:O1748" si="159">IF(AND(E1735="HR",K1735="EXPENSE"),I1735&lt;J1735,"")</f>
        <v/>
      </c>
      <c r="Q1746" t="str">
        <f t="shared" si="157"/>
        <v/>
      </c>
    </row>
    <row r="1747" spans="1:17" hidden="1">
      <c r="A1747" t="s">
        <v>1852</v>
      </c>
      <c r="B1747" s="1">
        <v>45157</v>
      </c>
      <c r="C1747">
        <v>2023</v>
      </c>
      <c r="D1747">
        <v>8</v>
      </c>
      <c r="E1747" t="s">
        <v>47</v>
      </c>
      <c r="F1747" t="s">
        <v>24</v>
      </c>
      <c r="G1747" t="s">
        <v>91</v>
      </c>
      <c r="H1747" t="s">
        <v>128</v>
      </c>
      <c r="I1747">
        <v>18023.400000000001</v>
      </c>
      <c r="J1747">
        <v>15459.13</v>
      </c>
      <c r="K1747" t="s">
        <v>17</v>
      </c>
      <c r="L1747" t="b">
        <v>0</v>
      </c>
      <c r="N1747" s="2" t="b">
        <f t="shared" si="156"/>
        <v>1</v>
      </c>
      <c r="O1747" t="str">
        <f t="shared" si="159"/>
        <v/>
      </c>
      <c r="Q1747" t="str">
        <f t="shared" si="157"/>
        <v/>
      </c>
    </row>
    <row r="1748" spans="1:17" hidden="1">
      <c r="A1748" t="s">
        <v>1853</v>
      </c>
      <c r="B1748" s="1">
        <v>45157</v>
      </c>
      <c r="C1748">
        <v>2023</v>
      </c>
      <c r="D1748">
        <v>8</v>
      </c>
      <c r="E1748" t="s">
        <v>47</v>
      </c>
      <c r="F1748" t="s">
        <v>24</v>
      </c>
      <c r="G1748" t="s">
        <v>48</v>
      </c>
      <c r="H1748" t="s">
        <v>111</v>
      </c>
      <c r="I1748">
        <v>9665.89</v>
      </c>
      <c r="J1748">
        <v>8075.57</v>
      </c>
      <c r="K1748" t="s">
        <v>17</v>
      </c>
      <c r="L1748" t="b">
        <v>0</v>
      </c>
      <c r="N1748" s="2" t="b">
        <f t="shared" si="156"/>
        <v>1</v>
      </c>
      <c r="O1748" t="b">
        <f t="shared" si="159"/>
        <v>0</v>
      </c>
      <c r="Q1748" t="str">
        <f t="shared" si="157"/>
        <v/>
      </c>
    </row>
    <row r="1749" spans="1:17" hidden="1">
      <c r="A1749" t="s">
        <v>1854</v>
      </c>
      <c r="B1749" s="1">
        <v>45157</v>
      </c>
      <c r="C1749">
        <v>2023</v>
      </c>
      <c r="D1749">
        <v>8</v>
      </c>
      <c r="E1749" t="s">
        <v>19</v>
      </c>
      <c r="F1749" t="s">
        <v>28</v>
      </c>
      <c r="G1749" t="s">
        <v>80</v>
      </c>
      <c r="H1749" t="s">
        <v>217</v>
      </c>
      <c r="I1749">
        <v>2361.75</v>
      </c>
      <c r="J1749">
        <v>2371.0100000000002</v>
      </c>
      <c r="K1749" t="s">
        <v>17</v>
      </c>
      <c r="L1749" t="b">
        <v>0</v>
      </c>
      <c r="N1749" s="2" t="str">
        <f t="shared" si="156"/>
        <v/>
      </c>
      <c r="Q1749" t="str">
        <f t="shared" si="157"/>
        <v/>
      </c>
    </row>
    <row r="1750" spans="1:17" hidden="1">
      <c r="A1750" t="s">
        <v>1855</v>
      </c>
      <c r="B1750" s="1">
        <v>45157</v>
      </c>
      <c r="C1750">
        <v>2023</v>
      </c>
      <c r="D1750">
        <v>8</v>
      </c>
      <c r="E1750" t="s">
        <v>19</v>
      </c>
      <c r="F1750" t="s">
        <v>24</v>
      </c>
      <c r="G1750" t="s">
        <v>80</v>
      </c>
      <c r="H1750" t="s">
        <v>150</v>
      </c>
      <c r="I1750">
        <v>9149.5400000000009</v>
      </c>
      <c r="J1750">
        <v>9579.61</v>
      </c>
      <c r="K1750" t="s">
        <v>17</v>
      </c>
      <c r="L1750" t="b">
        <v>0</v>
      </c>
      <c r="N1750" s="2" t="str">
        <f t="shared" si="156"/>
        <v/>
      </c>
      <c r="Q1750" t="str">
        <f t="shared" si="157"/>
        <v/>
      </c>
    </row>
    <row r="1751" spans="1:17" hidden="1">
      <c r="A1751" t="s">
        <v>1856</v>
      </c>
      <c r="B1751" s="1">
        <v>45157</v>
      </c>
      <c r="C1751">
        <v>2023</v>
      </c>
      <c r="D1751">
        <v>8</v>
      </c>
      <c r="E1751" t="s">
        <v>19</v>
      </c>
      <c r="F1751" t="s">
        <v>24</v>
      </c>
      <c r="G1751" t="s">
        <v>54</v>
      </c>
      <c r="H1751" t="s">
        <v>55</v>
      </c>
      <c r="I1751">
        <v>9198.4</v>
      </c>
      <c r="J1751">
        <v>9223.6200000000008</v>
      </c>
      <c r="K1751" t="s">
        <v>17</v>
      </c>
      <c r="L1751" t="b">
        <v>0</v>
      </c>
      <c r="N1751" s="2" t="str">
        <f t="shared" si="156"/>
        <v/>
      </c>
      <c r="Q1751" t="str">
        <f t="shared" si="157"/>
        <v/>
      </c>
    </row>
    <row r="1752" spans="1:17" hidden="1">
      <c r="A1752" t="s">
        <v>1857</v>
      </c>
      <c r="B1752" s="1">
        <v>45157</v>
      </c>
      <c r="C1752">
        <v>2023</v>
      </c>
      <c r="D1752">
        <v>8</v>
      </c>
      <c r="E1752" t="s">
        <v>23</v>
      </c>
      <c r="F1752" t="s">
        <v>14</v>
      </c>
      <c r="G1752" t="s">
        <v>141</v>
      </c>
      <c r="H1752" t="s">
        <v>142</v>
      </c>
      <c r="I1752">
        <v>3670.26</v>
      </c>
      <c r="J1752">
        <v>3474.69</v>
      </c>
      <c r="K1752" t="s">
        <v>17</v>
      </c>
      <c r="L1752" t="b">
        <v>0</v>
      </c>
      <c r="N1752" s="2" t="str">
        <f t="shared" si="156"/>
        <v/>
      </c>
      <c r="Q1752" t="str">
        <f t="shared" si="157"/>
        <v/>
      </c>
    </row>
    <row r="1753" spans="1:17" hidden="1">
      <c r="A1753" t="s">
        <v>1858</v>
      </c>
      <c r="B1753" s="1">
        <v>45157</v>
      </c>
      <c r="C1753">
        <v>2023</v>
      </c>
      <c r="D1753">
        <v>8</v>
      </c>
      <c r="E1753" t="s">
        <v>23</v>
      </c>
      <c r="F1753" t="s">
        <v>28</v>
      </c>
      <c r="G1753" t="s">
        <v>59</v>
      </c>
      <c r="H1753" t="s">
        <v>155</v>
      </c>
      <c r="I1753">
        <v>7509.08</v>
      </c>
      <c r="J1753">
        <v>7579.73</v>
      </c>
      <c r="K1753" t="s">
        <v>17</v>
      </c>
      <c r="L1753" t="b">
        <v>0</v>
      </c>
      <c r="N1753" s="2" t="str">
        <f t="shared" si="156"/>
        <v/>
      </c>
      <c r="Q1753" t="str">
        <f t="shared" si="157"/>
        <v/>
      </c>
    </row>
    <row r="1754" spans="1:17" hidden="1">
      <c r="A1754" t="s">
        <v>1859</v>
      </c>
      <c r="B1754" s="1">
        <v>45157</v>
      </c>
      <c r="C1754">
        <v>2023</v>
      </c>
      <c r="D1754">
        <v>8</v>
      </c>
      <c r="E1754" t="s">
        <v>37</v>
      </c>
      <c r="F1754" t="s">
        <v>14</v>
      </c>
      <c r="G1754" t="s">
        <v>62</v>
      </c>
      <c r="H1754" t="s">
        <v>66</v>
      </c>
      <c r="I1754">
        <v>5128.12</v>
      </c>
      <c r="J1754">
        <v>4665.79</v>
      </c>
      <c r="K1754" t="s">
        <v>17</v>
      </c>
      <c r="L1754" t="b">
        <v>0</v>
      </c>
      <c r="N1754" s="2" t="str">
        <f t="shared" si="156"/>
        <v/>
      </c>
      <c r="Q1754" t="str">
        <f t="shared" si="157"/>
        <v/>
      </c>
    </row>
    <row r="1755" spans="1:17" hidden="1">
      <c r="A1755" t="s">
        <v>1860</v>
      </c>
      <c r="B1755" s="1">
        <v>45158</v>
      </c>
      <c r="C1755">
        <v>2023</v>
      </c>
      <c r="D1755">
        <v>8</v>
      </c>
      <c r="E1755" t="s">
        <v>13</v>
      </c>
      <c r="F1755" t="s">
        <v>14</v>
      </c>
      <c r="G1755" t="s">
        <v>68</v>
      </c>
      <c r="H1755" t="s">
        <v>69</v>
      </c>
      <c r="I1755">
        <v>4262.1499999999996</v>
      </c>
      <c r="J1755">
        <v>4567.75</v>
      </c>
      <c r="K1755" t="s">
        <v>17</v>
      </c>
      <c r="L1755" t="b">
        <v>0</v>
      </c>
      <c r="N1755" s="2" t="str">
        <f t="shared" si="156"/>
        <v/>
      </c>
      <c r="Q1755" t="str">
        <f t="shared" si="157"/>
        <v/>
      </c>
    </row>
    <row r="1756" spans="1:17" hidden="1">
      <c r="A1756" t="s">
        <v>1861</v>
      </c>
      <c r="B1756" s="1">
        <v>45158</v>
      </c>
      <c r="C1756">
        <v>2023</v>
      </c>
      <c r="D1756">
        <v>8</v>
      </c>
      <c r="E1756" t="s">
        <v>47</v>
      </c>
      <c r="F1756" t="s">
        <v>14</v>
      </c>
      <c r="G1756" t="s">
        <v>48</v>
      </c>
      <c r="H1756" t="s">
        <v>111</v>
      </c>
      <c r="I1756">
        <v>14164.99</v>
      </c>
      <c r="J1756">
        <v>11725.93</v>
      </c>
      <c r="K1756" t="s">
        <v>17</v>
      </c>
      <c r="L1756" t="b">
        <v>0</v>
      </c>
      <c r="N1756" s="2" t="b">
        <f t="shared" si="156"/>
        <v>1</v>
      </c>
      <c r="O1756" t="str">
        <f>IF(AND(E1745="HR",K1745="EXPENSE"),I1745&lt;J1745,"")</f>
        <v/>
      </c>
      <c r="Q1756" t="str">
        <f t="shared" si="157"/>
        <v/>
      </c>
    </row>
    <row r="1757" spans="1:17" hidden="1">
      <c r="A1757" t="s">
        <v>1862</v>
      </c>
      <c r="B1757" s="1">
        <v>45158</v>
      </c>
      <c r="C1757">
        <v>2023</v>
      </c>
      <c r="D1757">
        <v>8</v>
      </c>
      <c r="E1757" t="s">
        <v>23</v>
      </c>
      <c r="F1757" t="s">
        <v>24</v>
      </c>
      <c r="G1757" t="s">
        <v>59</v>
      </c>
      <c r="H1757" t="s">
        <v>60</v>
      </c>
      <c r="I1757">
        <v>5997.44</v>
      </c>
      <c r="J1757">
        <v>6498.4</v>
      </c>
      <c r="K1757" t="s">
        <v>17</v>
      </c>
      <c r="L1757" t="b">
        <v>0</v>
      </c>
      <c r="N1757" s="2" t="str">
        <f t="shared" si="156"/>
        <v/>
      </c>
      <c r="Q1757" t="str">
        <f t="shared" si="157"/>
        <v/>
      </c>
    </row>
    <row r="1758" spans="1:17" hidden="1">
      <c r="A1758" t="s">
        <v>1863</v>
      </c>
      <c r="B1758" s="1">
        <v>45158</v>
      </c>
      <c r="C1758">
        <v>2023</v>
      </c>
      <c r="D1758">
        <v>8</v>
      </c>
      <c r="E1758" t="s">
        <v>37</v>
      </c>
      <c r="F1758" t="s">
        <v>14</v>
      </c>
      <c r="G1758" t="s">
        <v>38</v>
      </c>
      <c r="H1758" t="s">
        <v>118</v>
      </c>
      <c r="I1758">
        <v>6131.03</v>
      </c>
      <c r="J1758">
        <v>6637.5</v>
      </c>
      <c r="K1758" t="s">
        <v>17</v>
      </c>
      <c r="L1758" t="b">
        <v>0</v>
      </c>
      <c r="N1758" s="2" t="str">
        <f t="shared" si="156"/>
        <v/>
      </c>
      <c r="Q1758" t="str">
        <f t="shared" si="157"/>
        <v/>
      </c>
    </row>
    <row r="1759" spans="1:17" hidden="1">
      <c r="A1759" t="s">
        <v>1864</v>
      </c>
      <c r="B1759" s="1">
        <v>45158</v>
      </c>
      <c r="C1759">
        <v>2023</v>
      </c>
      <c r="D1759">
        <v>8</v>
      </c>
      <c r="E1759" t="s">
        <v>37</v>
      </c>
      <c r="F1759" t="s">
        <v>14</v>
      </c>
      <c r="G1759" t="s">
        <v>41</v>
      </c>
      <c r="H1759" t="s">
        <v>42</v>
      </c>
      <c r="I1759">
        <v>4988.12</v>
      </c>
      <c r="J1759">
        <v>5075.8999999999996</v>
      </c>
      <c r="K1759" t="s">
        <v>17</v>
      </c>
      <c r="L1759" t="b">
        <v>0</v>
      </c>
      <c r="N1759" s="2" t="str">
        <f t="shared" si="156"/>
        <v/>
      </c>
      <c r="Q1759" t="str">
        <f t="shared" si="157"/>
        <v/>
      </c>
    </row>
    <row r="1760" spans="1:17" hidden="1">
      <c r="A1760" t="s">
        <v>1865</v>
      </c>
      <c r="B1760" s="1">
        <v>45158</v>
      </c>
      <c r="C1760">
        <v>2023</v>
      </c>
      <c r="D1760">
        <v>8</v>
      </c>
      <c r="E1760" t="s">
        <v>37</v>
      </c>
      <c r="F1760" t="s">
        <v>28</v>
      </c>
      <c r="G1760" t="s">
        <v>41</v>
      </c>
      <c r="H1760" t="s">
        <v>42</v>
      </c>
      <c r="I1760">
        <v>6035.87</v>
      </c>
      <c r="J1760">
        <v>5720.88</v>
      </c>
      <c r="K1760" t="s">
        <v>17</v>
      </c>
      <c r="L1760" t="b">
        <v>0</v>
      </c>
      <c r="N1760" s="2" t="str">
        <f t="shared" si="156"/>
        <v/>
      </c>
      <c r="Q1760" t="str">
        <f t="shared" si="157"/>
        <v/>
      </c>
    </row>
    <row r="1761" spans="1:17" hidden="1">
      <c r="A1761" t="s">
        <v>1866</v>
      </c>
      <c r="B1761" s="1">
        <v>45158</v>
      </c>
      <c r="C1761">
        <v>2023</v>
      </c>
      <c r="D1761">
        <v>8</v>
      </c>
      <c r="E1761" t="s">
        <v>37</v>
      </c>
      <c r="F1761" t="s">
        <v>24</v>
      </c>
      <c r="G1761" t="s">
        <v>38</v>
      </c>
      <c r="H1761" t="s">
        <v>39</v>
      </c>
      <c r="I1761">
        <v>4848.6400000000003</v>
      </c>
      <c r="J1761">
        <v>5245.5</v>
      </c>
      <c r="K1761" t="s">
        <v>17</v>
      </c>
      <c r="L1761" t="b">
        <v>0</v>
      </c>
      <c r="N1761" s="2" t="str">
        <f t="shared" si="156"/>
        <v/>
      </c>
      <c r="Q1761" t="str">
        <f t="shared" si="157"/>
        <v/>
      </c>
    </row>
    <row r="1762" spans="1:17" hidden="1">
      <c r="A1762" t="s">
        <v>1867</v>
      </c>
      <c r="B1762" s="1">
        <v>45158</v>
      </c>
      <c r="C1762">
        <v>2023</v>
      </c>
      <c r="D1762">
        <v>8</v>
      </c>
      <c r="E1762" t="s">
        <v>37</v>
      </c>
      <c r="F1762" t="s">
        <v>24</v>
      </c>
      <c r="G1762" t="s">
        <v>62</v>
      </c>
      <c r="H1762" t="s">
        <v>63</v>
      </c>
      <c r="I1762">
        <v>5114.37</v>
      </c>
      <c r="J1762">
        <v>5430.27</v>
      </c>
      <c r="K1762" t="s">
        <v>17</v>
      </c>
      <c r="L1762" t="b">
        <v>0</v>
      </c>
      <c r="N1762" s="2" t="str">
        <f t="shared" si="156"/>
        <v/>
      </c>
      <c r="Q1762" t="str">
        <f t="shared" si="157"/>
        <v/>
      </c>
    </row>
    <row r="1763" spans="1:17" hidden="1">
      <c r="A1763" t="s">
        <v>1868</v>
      </c>
      <c r="B1763" s="1">
        <v>45158</v>
      </c>
      <c r="C1763">
        <v>2023</v>
      </c>
      <c r="D1763">
        <v>8</v>
      </c>
      <c r="E1763" t="s">
        <v>37</v>
      </c>
      <c r="F1763" t="s">
        <v>28</v>
      </c>
      <c r="G1763" t="s">
        <v>83</v>
      </c>
      <c r="H1763" t="s">
        <v>84</v>
      </c>
      <c r="I1763">
        <v>155630.43</v>
      </c>
      <c r="J1763">
        <v>147848.91</v>
      </c>
      <c r="K1763" t="s">
        <v>85</v>
      </c>
      <c r="L1763" t="b">
        <v>0</v>
      </c>
      <c r="N1763" s="2" t="str">
        <f t="shared" si="156"/>
        <v/>
      </c>
      <c r="Q1763" t="str">
        <f t="shared" si="157"/>
        <v/>
      </c>
    </row>
    <row r="1764" spans="1:17" hidden="1">
      <c r="A1764" t="s">
        <v>1869</v>
      </c>
      <c r="B1764" s="1">
        <v>45159</v>
      </c>
      <c r="C1764">
        <v>2023</v>
      </c>
      <c r="D1764">
        <v>8</v>
      </c>
      <c r="E1764" t="s">
        <v>47</v>
      </c>
      <c r="F1764" t="s">
        <v>28</v>
      </c>
      <c r="G1764" t="s">
        <v>51</v>
      </c>
      <c r="H1764" t="s">
        <v>72</v>
      </c>
      <c r="I1764">
        <v>18740.759999999998</v>
      </c>
      <c r="J1764">
        <v>15895.61</v>
      </c>
      <c r="K1764" t="s">
        <v>17</v>
      </c>
      <c r="L1764" t="b">
        <v>0</v>
      </c>
      <c r="N1764" s="2" t="b">
        <f t="shared" si="156"/>
        <v>1</v>
      </c>
      <c r="O1764" t="str">
        <f t="shared" ref="O1764:O1765" si="160">IF(AND(E1753="HR",K1753="EXPENSE"),I1753&lt;J1753,"")</f>
        <v/>
      </c>
      <c r="Q1764" t="str">
        <f t="shared" si="157"/>
        <v/>
      </c>
    </row>
    <row r="1765" spans="1:17" hidden="1">
      <c r="A1765" t="s">
        <v>1870</v>
      </c>
      <c r="B1765" s="1">
        <v>45159</v>
      </c>
      <c r="C1765">
        <v>2023</v>
      </c>
      <c r="D1765">
        <v>8</v>
      </c>
      <c r="E1765" t="s">
        <v>47</v>
      </c>
      <c r="F1765" t="s">
        <v>24</v>
      </c>
      <c r="G1765" t="s">
        <v>48</v>
      </c>
      <c r="H1765" t="s">
        <v>189</v>
      </c>
      <c r="I1765">
        <v>19796.349999999999</v>
      </c>
      <c r="J1765">
        <v>16276.97</v>
      </c>
      <c r="K1765" t="s">
        <v>17</v>
      </c>
      <c r="L1765" t="b">
        <v>0</v>
      </c>
      <c r="N1765" s="2" t="b">
        <f t="shared" si="156"/>
        <v>1</v>
      </c>
      <c r="O1765" t="str">
        <f t="shared" si="160"/>
        <v/>
      </c>
      <c r="Q1765" t="str">
        <f t="shared" si="157"/>
        <v/>
      </c>
    </row>
    <row r="1766" spans="1:17" hidden="1">
      <c r="A1766" t="s">
        <v>1871</v>
      </c>
      <c r="B1766" s="1">
        <v>45159</v>
      </c>
      <c r="C1766">
        <v>2023</v>
      </c>
      <c r="D1766">
        <v>8</v>
      </c>
      <c r="E1766" t="s">
        <v>19</v>
      </c>
      <c r="F1766" t="s">
        <v>28</v>
      </c>
      <c r="G1766" t="s">
        <v>20</v>
      </c>
      <c r="H1766" t="s">
        <v>21</v>
      </c>
      <c r="I1766">
        <v>4794.54</v>
      </c>
      <c r="J1766">
        <v>4713.82</v>
      </c>
      <c r="K1766" t="s">
        <v>17</v>
      </c>
      <c r="L1766" t="b">
        <v>0</v>
      </c>
      <c r="N1766" s="2" t="str">
        <f t="shared" si="156"/>
        <v/>
      </c>
      <c r="Q1766" t="str">
        <f t="shared" si="157"/>
        <v/>
      </c>
    </row>
    <row r="1767" spans="1:17" hidden="1">
      <c r="A1767" t="s">
        <v>1872</v>
      </c>
      <c r="B1767" s="1">
        <v>45159</v>
      </c>
      <c r="C1767">
        <v>2023</v>
      </c>
      <c r="D1767">
        <v>8</v>
      </c>
      <c r="E1767" t="s">
        <v>19</v>
      </c>
      <c r="F1767" t="s">
        <v>24</v>
      </c>
      <c r="G1767" t="s">
        <v>20</v>
      </c>
      <c r="H1767" t="s">
        <v>174</v>
      </c>
      <c r="I1767">
        <v>3999.12</v>
      </c>
      <c r="J1767">
        <v>3829.71</v>
      </c>
      <c r="K1767" t="s">
        <v>17</v>
      </c>
      <c r="L1767" t="b">
        <v>0</v>
      </c>
      <c r="N1767" s="2" t="str">
        <f t="shared" si="156"/>
        <v/>
      </c>
      <c r="Q1767" t="str">
        <f t="shared" si="157"/>
        <v/>
      </c>
    </row>
    <row r="1768" spans="1:17" hidden="1">
      <c r="A1768" t="s">
        <v>1873</v>
      </c>
      <c r="B1768" s="1">
        <v>45159</v>
      </c>
      <c r="C1768">
        <v>2023</v>
      </c>
      <c r="D1768">
        <v>8</v>
      </c>
      <c r="E1768" t="s">
        <v>23</v>
      </c>
      <c r="F1768" t="s">
        <v>28</v>
      </c>
      <c r="G1768" t="s">
        <v>59</v>
      </c>
      <c r="H1768" t="s">
        <v>60</v>
      </c>
      <c r="I1768">
        <v>6250.49</v>
      </c>
      <c r="J1768">
        <v>5849.33</v>
      </c>
      <c r="K1768" t="s">
        <v>17</v>
      </c>
      <c r="L1768" t="b">
        <v>0</v>
      </c>
      <c r="N1768" s="2" t="str">
        <f t="shared" si="156"/>
        <v/>
      </c>
      <c r="Q1768" t="str">
        <f t="shared" si="157"/>
        <v/>
      </c>
    </row>
    <row r="1769" spans="1:17" hidden="1">
      <c r="A1769" t="s">
        <v>1874</v>
      </c>
      <c r="B1769" s="1">
        <v>45159</v>
      </c>
      <c r="C1769">
        <v>2023</v>
      </c>
      <c r="D1769">
        <v>8</v>
      </c>
      <c r="E1769" t="s">
        <v>23</v>
      </c>
      <c r="F1769" t="s">
        <v>24</v>
      </c>
      <c r="G1769" t="s">
        <v>59</v>
      </c>
      <c r="H1769" t="s">
        <v>60</v>
      </c>
      <c r="I1769">
        <v>6319.19</v>
      </c>
      <c r="J1769">
        <v>6652.23</v>
      </c>
      <c r="K1769" t="s">
        <v>17</v>
      </c>
      <c r="L1769" t="b">
        <v>0</v>
      </c>
      <c r="N1769" s="2" t="str">
        <f t="shared" si="156"/>
        <v/>
      </c>
      <c r="Q1769" t="str">
        <f t="shared" si="157"/>
        <v/>
      </c>
    </row>
    <row r="1770" spans="1:17" hidden="1">
      <c r="A1770" t="s">
        <v>1875</v>
      </c>
      <c r="B1770" s="1">
        <v>45159</v>
      </c>
      <c r="C1770">
        <v>2023</v>
      </c>
      <c r="D1770">
        <v>8</v>
      </c>
      <c r="E1770" t="s">
        <v>23</v>
      </c>
      <c r="F1770" t="s">
        <v>24</v>
      </c>
      <c r="G1770" t="s">
        <v>59</v>
      </c>
      <c r="H1770" t="s">
        <v>60</v>
      </c>
      <c r="I1770">
        <v>5916.64</v>
      </c>
      <c r="J1770">
        <v>6435.02</v>
      </c>
      <c r="K1770" t="s">
        <v>17</v>
      </c>
      <c r="L1770" t="b">
        <v>0</v>
      </c>
      <c r="N1770" s="2" t="str">
        <f t="shared" si="156"/>
        <v/>
      </c>
      <c r="Q1770" t="str">
        <f t="shared" si="157"/>
        <v/>
      </c>
    </row>
    <row r="1771" spans="1:17" hidden="1">
      <c r="A1771" t="s">
        <v>1876</v>
      </c>
      <c r="B1771" s="1">
        <v>45159</v>
      </c>
      <c r="C1771">
        <v>2023</v>
      </c>
      <c r="D1771">
        <v>8</v>
      </c>
      <c r="E1771" t="s">
        <v>37</v>
      </c>
      <c r="F1771" t="s">
        <v>24</v>
      </c>
      <c r="G1771" t="s">
        <v>62</v>
      </c>
      <c r="H1771" t="s">
        <v>63</v>
      </c>
      <c r="I1771">
        <v>3593.96</v>
      </c>
      <c r="J1771">
        <v>3279.44</v>
      </c>
      <c r="K1771" t="s">
        <v>17</v>
      </c>
      <c r="L1771" t="b">
        <v>0</v>
      </c>
      <c r="N1771" s="2" t="str">
        <f t="shared" si="156"/>
        <v/>
      </c>
      <c r="Q1771" t="str">
        <f t="shared" si="157"/>
        <v/>
      </c>
    </row>
    <row r="1772" spans="1:17" hidden="1">
      <c r="A1772" t="s">
        <v>1877</v>
      </c>
      <c r="B1772" s="1">
        <v>45160</v>
      </c>
      <c r="C1772">
        <v>2023</v>
      </c>
      <c r="D1772">
        <v>8</v>
      </c>
      <c r="E1772" t="s">
        <v>13</v>
      </c>
      <c r="F1772" t="s">
        <v>28</v>
      </c>
      <c r="G1772" t="s">
        <v>108</v>
      </c>
      <c r="H1772" t="s">
        <v>123</v>
      </c>
      <c r="I1772">
        <v>3174.52</v>
      </c>
      <c r="J1772">
        <v>3120.64</v>
      </c>
      <c r="K1772" t="s">
        <v>17</v>
      </c>
      <c r="L1772" t="b">
        <v>0</v>
      </c>
      <c r="N1772" s="2" t="str">
        <f t="shared" si="156"/>
        <v/>
      </c>
      <c r="Q1772" t="str">
        <f t="shared" si="157"/>
        <v/>
      </c>
    </row>
    <row r="1773" spans="1:17" hidden="1">
      <c r="A1773" t="s">
        <v>1878</v>
      </c>
      <c r="B1773" s="1">
        <v>45160</v>
      </c>
      <c r="C1773">
        <v>2023</v>
      </c>
      <c r="D1773">
        <v>8</v>
      </c>
      <c r="E1773" t="s">
        <v>47</v>
      </c>
      <c r="F1773" t="s">
        <v>14</v>
      </c>
      <c r="G1773" t="s">
        <v>51</v>
      </c>
      <c r="H1773" t="s">
        <v>52</v>
      </c>
      <c r="I1773">
        <v>16726.3</v>
      </c>
      <c r="J1773">
        <v>14171.3</v>
      </c>
      <c r="K1773" t="s">
        <v>17</v>
      </c>
      <c r="L1773" t="b">
        <v>0</v>
      </c>
      <c r="N1773" s="2" t="b">
        <f t="shared" si="156"/>
        <v>1</v>
      </c>
      <c r="O1773" t="str">
        <f t="shared" ref="O1773:O1775" si="161">IF(AND(E1762="HR",K1762="EXPENSE"),I1762&lt;J1762,"")</f>
        <v/>
      </c>
      <c r="Q1773" t="str">
        <f t="shared" si="157"/>
        <v/>
      </c>
    </row>
    <row r="1774" spans="1:17" hidden="1">
      <c r="A1774" t="s">
        <v>1879</v>
      </c>
      <c r="B1774" s="1">
        <v>45160</v>
      </c>
      <c r="C1774">
        <v>2023</v>
      </c>
      <c r="D1774">
        <v>8</v>
      </c>
      <c r="E1774" t="s">
        <v>47</v>
      </c>
      <c r="F1774" t="s">
        <v>28</v>
      </c>
      <c r="G1774" t="s">
        <v>48</v>
      </c>
      <c r="H1774" t="s">
        <v>191</v>
      </c>
      <c r="I1774">
        <v>15037.14</v>
      </c>
      <c r="J1774">
        <v>12777.72</v>
      </c>
      <c r="K1774" t="s">
        <v>17</v>
      </c>
      <c r="L1774" t="b">
        <v>0</v>
      </c>
      <c r="N1774" s="2" t="b">
        <f t="shared" si="156"/>
        <v>1</v>
      </c>
      <c r="O1774" t="str">
        <f t="shared" si="161"/>
        <v/>
      </c>
      <c r="Q1774" t="str">
        <f t="shared" si="157"/>
        <v/>
      </c>
    </row>
    <row r="1775" spans="1:17" hidden="1">
      <c r="A1775" t="s">
        <v>1880</v>
      </c>
      <c r="B1775" s="1">
        <v>45160</v>
      </c>
      <c r="C1775">
        <v>2023</v>
      </c>
      <c r="D1775">
        <v>8</v>
      </c>
      <c r="E1775" t="s">
        <v>47</v>
      </c>
      <c r="F1775" t="s">
        <v>24</v>
      </c>
      <c r="G1775" t="s">
        <v>91</v>
      </c>
      <c r="H1775" t="s">
        <v>128</v>
      </c>
      <c r="I1775">
        <v>10629.78</v>
      </c>
      <c r="J1775">
        <v>8931.2999999999993</v>
      </c>
      <c r="K1775" t="s">
        <v>17</v>
      </c>
      <c r="L1775" t="b">
        <v>0</v>
      </c>
      <c r="N1775" s="2" t="b">
        <f t="shared" si="156"/>
        <v>1</v>
      </c>
      <c r="O1775" t="str">
        <f t="shared" si="161"/>
        <v/>
      </c>
      <c r="Q1775" t="str">
        <f t="shared" si="157"/>
        <v/>
      </c>
    </row>
    <row r="1776" spans="1:17" hidden="1">
      <c r="A1776" t="s">
        <v>1881</v>
      </c>
      <c r="B1776" s="1">
        <v>45160</v>
      </c>
      <c r="C1776">
        <v>2023</v>
      </c>
      <c r="D1776">
        <v>8</v>
      </c>
      <c r="E1776" t="s">
        <v>19</v>
      </c>
      <c r="F1776" t="s">
        <v>14</v>
      </c>
      <c r="G1776" t="s">
        <v>20</v>
      </c>
      <c r="H1776" t="s">
        <v>174</v>
      </c>
      <c r="I1776">
        <v>3638.29</v>
      </c>
      <c r="J1776">
        <v>3406.09</v>
      </c>
      <c r="K1776" t="s">
        <v>17</v>
      </c>
      <c r="L1776" t="b">
        <v>0</v>
      </c>
      <c r="N1776" s="2" t="str">
        <f t="shared" si="156"/>
        <v/>
      </c>
      <c r="Q1776" t="str">
        <f t="shared" si="157"/>
        <v/>
      </c>
    </row>
    <row r="1777" spans="1:17" hidden="1">
      <c r="A1777" t="s">
        <v>1882</v>
      </c>
      <c r="B1777" s="1">
        <v>45160</v>
      </c>
      <c r="C1777">
        <v>2023</v>
      </c>
      <c r="D1777">
        <v>8</v>
      </c>
      <c r="E1777" t="s">
        <v>19</v>
      </c>
      <c r="F1777" t="s">
        <v>28</v>
      </c>
      <c r="G1777" t="s">
        <v>54</v>
      </c>
      <c r="H1777" t="s">
        <v>57</v>
      </c>
      <c r="I1777">
        <v>6089.03</v>
      </c>
      <c r="J1777">
        <v>6449.79</v>
      </c>
      <c r="K1777" t="s">
        <v>17</v>
      </c>
      <c r="L1777" t="b">
        <v>0</v>
      </c>
      <c r="N1777" s="2" t="str">
        <f t="shared" si="156"/>
        <v/>
      </c>
      <c r="Q1777" t="str">
        <f t="shared" si="157"/>
        <v/>
      </c>
    </row>
    <row r="1778" spans="1:17" hidden="1">
      <c r="A1778" t="s">
        <v>1883</v>
      </c>
      <c r="B1778" s="1">
        <v>45160</v>
      </c>
      <c r="C1778">
        <v>2023</v>
      </c>
      <c r="D1778">
        <v>8</v>
      </c>
      <c r="E1778" t="s">
        <v>19</v>
      </c>
      <c r="F1778" t="s">
        <v>24</v>
      </c>
      <c r="G1778" t="s">
        <v>20</v>
      </c>
      <c r="H1778" t="s">
        <v>136</v>
      </c>
      <c r="I1778">
        <v>7815.66</v>
      </c>
      <c r="J1778">
        <v>7967.2</v>
      </c>
      <c r="K1778" t="s">
        <v>17</v>
      </c>
      <c r="L1778" t="b">
        <v>0</v>
      </c>
      <c r="N1778" s="2" t="str">
        <f t="shared" si="156"/>
        <v/>
      </c>
      <c r="Q1778" t="str">
        <f t="shared" si="157"/>
        <v/>
      </c>
    </row>
    <row r="1779" spans="1:17" hidden="1">
      <c r="A1779" t="s">
        <v>1884</v>
      </c>
      <c r="B1779" s="1">
        <v>45160</v>
      </c>
      <c r="C1779">
        <v>2023</v>
      </c>
      <c r="D1779">
        <v>8</v>
      </c>
      <c r="E1779" t="s">
        <v>23</v>
      </c>
      <c r="F1779" t="s">
        <v>14</v>
      </c>
      <c r="G1779" t="s">
        <v>25</v>
      </c>
      <c r="H1779" t="s">
        <v>95</v>
      </c>
      <c r="I1779">
        <v>6287.35</v>
      </c>
      <c r="J1779">
        <v>5659.37</v>
      </c>
      <c r="K1779" t="s">
        <v>17</v>
      </c>
      <c r="L1779" t="b">
        <v>0</v>
      </c>
      <c r="N1779" s="2" t="str">
        <f t="shared" si="156"/>
        <v/>
      </c>
      <c r="Q1779" t="str">
        <f t="shared" si="157"/>
        <v/>
      </c>
    </row>
    <row r="1780" spans="1:17" hidden="1">
      <c r="A1780" t="s">
        <v>1885</v>
      </c>
      <c r="B1780" s="1">
        <v>45160</v>
      </c>
      <c r="C1780">
        <v>2023</v>
      </c>
      <c r="D1780">
        <v>8</v>
      </c>
      <c r="E1780" t="s">
        <v>37</v>
      </c>
      <c r="F1780" t="s">
        <v>24</v>
      </c>
      <c r="G1780" t="s">
        <v>41</v>
      </c>
      <c r="H1780" t="s">
        <v>42</v>
      </c>
      <c r="I1780">
        <v>6379.63</v>
      </c>
      <c r="J1780">
        <v>6947.45</v>
      </c>
      <c r="K1780" t="s">
        <v>17</v>
      </c>
      <c r="L1780" t="b">
        <v>0</v>
      </c>
      <c r="N1780" s="2" t="str">
        <f t="shared" si="156"/>
        <v/>
      </c>
      <c r="Q1780" t="str">
        <f t="shared" si="157"/>
        <v/>
      </c>
    </row>
    <row r="1781" spans="1:17" hidden="1">
      <c r="A1781" t="s">
        <v>1886</v>
      </c>
      <c r="B1781" s="1">
        <v>45161</v>
      </c>
      <c r="C1781">
        <v>2023</v>
      </c>
      <c r="D1781">
        <v>8</v>
      </c>
      <c r="E1781" t="s">
        <v>13</v>
      </c>
      <c r="F1781" t="s">
        <v>14</v>
      </c>
      <c r="G1781" t="s">
        <v>108</v>
      </c>
      <c r="H1781" t="s">
        <v>109</v>
      </c>
      <c r="I1781">
        <v>4709.01</v>
      </c>
      <c r="J1781">
        <v>4351.08</v>
      </c>
      <c r="K1781" t="s">
        <v>17</v>
      </c>
      <c r="L1781" t="b">
        <v>0</v>
      </c>
      <c r="N1781" s="2" t="str">
        <f t="shared" si="156"/>
        <v/>
      </c>
      <c r="Q1781" t="str">
        <f t="shared" si="157"/>
        <v/>
      </c>
    </row>
    <row r="1782" spans="1:17" hidden="1">
      <c r="A1782" t="s">
        <v>1887</v>
      </c>
      <c r="B1782" s="1">
        <v>45161</v>
      </c>
      <c r="C1782">
        <v>2023</v>
      </c>
      <c r="D1782">
        <v>8</v>
      </c>
      <c r="E1782" t="s">
        <v>13</v>
      </c>
      <c r="F1782" t="s">
        <v>28</v>
      </c>
      <c r="G1782" t="s">
        <v>15</v>
      </c>
      <c r="H1782" t="s">
        <v>45</v>
      </c>
      <c r="I1782">
        <v>2399.41</v>
      </c>
      <c r="J1782">
        <v>2420.65</v>
      </c>
      <c r="K1782" t="s">
        <v>17</v>
      </c>
      <c r="L1782" t="b">
        <v>0</v>
      </c>
      <c r="N1782" s="2" t="str">
        <f t="shared" si="156"/>
        <v/>
      </c>
      <c r="Q1782" t="str">
        <f t="shared" si="157"/>
        <v/>
      </c>
    </row>
    <row r="1783" spans="1:17" hidden="1">
      <c r="A1783" t="s">
        <v>1888</v>
      </c>
      <c r="B1783" s="1">
        <v>45161</v>
      </c>
      <c r="C1783">
        <v>2023</v>
      </c>
      <c r="D1783">
        <v>8</v>
      </c>
      <c r="E1783" t="s">
        <v>19</v>
      </c>
      <c r="F1783" t="s">
        <v>28</v>
      </c>
      <c r="G1783" t="s">
        <v>132</v>
      </c>
      <c r="H1783" t="s">
        <v>138</v>
      </c>
      <c r="I1783">
        <v>5651.11</v>
      </c>
      <c r="J1783">
        <v>6065.25</v>
      </c>
      <c r="K1783" t="s">
        <v>17</v>
      </c>
      <c r="L1783" t="b">
        <v>0</v>
      </c>
      <c r="N1783" s="2" t="str">
        <f t="shared" si="156"/>
        <v/>
      </c>
      <c r="Q1783" t="str">
        <f t="shared" si="157"/>
        <v/>
      </c>
    </row>
    <row r="1784" spans="1:17" hidden="1">
      <c r="A1784" t="s">
        <v>1889</v>
      </c>
      <c r="B1784" s="1">
        <v>45161</v>
      </c>
      <c r="C1784">
        <v>2023</v>
      </c>
      <c r="D1784">
        <v>8</v>
      </c>
      <c r="E1784" t="s">
        <v>23</v>
      </c>
      <c r="F1784" t="s">
        <v>14</v>
      </c>
      <c r="G1784" t="s">
        <v>30</v>
      </c>
      <c r="H1784" t="s">
        <v>31</v>
      </c>
      <c r="I1784">
        <v>4343.26</v>
      </c>
      <c r="J1784">
        <v>4627.7700000000004</v>
      </c>
      <c r="K1784" t="s">
        <v>17</v>
      </c>
      <c r="L1784" t="b">
        <v>0</v>
      </c>
      <c r="N1784" s="2" t="str">
        <f t="shared" si="156"/>
        <v/>
      </c>
      <c r="Q1784" t="str">
        <f t="shared" si="157"/>
        <v/>
      </c>
    </row>
    <row r="1785" spans="1:17" hidden="1">
      <c r="A1785" t="s">
        <v>1890</v>
      </c>
      <c r="B1785" s="1">
        <v>45161</v>
      </c>
      <c r="C1785">
        <v>2023</v>
      </c>
      <c r="D1785">
        <v>8</v>
      </c>
      <c r="E1785" t="s">
        <v>37</v>
      </c>
      <c r="F1785" t="s">
        <v>24</v>
      </c>
      <c r="G1785" t="s">
        <v>41</v>
      </c>
      <c r="H1785" t="s">
        <v>42</v>
      </c>
      <c r="I1785">
        <v>4770.07</v>
      </c>
      <c r="J1785">
        <v>5100.2700000000004</v>
      </c>
      <c r="K1785" t="s">
        <v>17</v>
      </c>
      <c r="L1785" t="b">
        <v>0</v>
      </c>
      <c r="N1785" s="2" t="str">
        <f t="shared" si="156"/>
        <v/>
      </c>
      <c r="Q1785" t="str">
        <f t="shared" si="157"/>
        <v/>
      </c>
    </row>
    <row r="1786" spans="1:17" hidden="1">
      <c r="A1786" t="s">
        <v>1891</v>
      </c>
      <c r="B1786" s="1">
        <v>45162</v>
      </c>
      <c r="C1786">
        <v>2023</v>
      </c>
      <c r="D1786">
        <v>8</v>
      </c>
      <c r="E1786" t="s">
        <v>13</v>
      </c>
      <c r="F1786" t="s">
        <v>28</v>
      </c>
      <c r="G1786" t="s">
        <v>15</v>
      </c>
      <c r="H1786" t="s">
        <v>16</v>
      </c>
      <c r="I1786">
        <v>4331.8100000000004</v>
      </c>
      <c r="J1786">
        <v>4275.72</v>
      </c>
      <c r="K1786" t="s">
        <v>17</v>
      </c>
      <c r="L1786" t="b">
        <v>0</v>
      </c>
      <c r="N1786" s="2" t="str">
        <f t="shared" si="156"/>
        <v/>
      </c>
      <c r="Q1786" t="str">
        <f t="shared" si="157"/>
        <v/>
      </c>
    </row>
    <row r="1787" spans="1:17" hidden="1">
      <c r="A1787" t="s">
        <v>1892</v>
      </c>
      <c r="B1787" s="1">
        <v>45162</v>
      </c>
      <c r="C1787">
        <v>2023</v>
      </c>
      <c r="D1787">
        <v>8</v>
      </c>
      <c r="E1787" t="s">
        <v>13</v>
      </c>
      <c r="F1787" t="s">
        <v>28</v>
      </c>
      <c r="G1787" t="s">
        <v>15</v>
      </c>
      <c r="H1787" t="s">
        <v>89</v>
      </c>
      <c r="I1787">
        <v>2772.77</v>
      </c>
      <c r="J1787">
        <v>2608.75</v>
      </c>
      <c r="K1787" t="s">
        <v>17</v>
      </c>
      <c r="L1787" t="b">
        <v>0</v>
      </c>
      <c r="N1787" s="2" t="str">
        <f t="shared" si="156"/>
        <v/>
      </c>
      <c r="Q1787" t="str">
        <f t="shared" si="157"/>
        <v/>
      </c>
    </row>
    <row r="1788" spans="1:17" hidden="1">
      <c r="A1788" t="s">
        <v>1893</v>
      </c>
      <c r="B1788" s="1">
        <v>45162</v>
      </c>
      <c r="C1788">
        <v>2023</v>
      </c>
      <c r="D1788">
        <v>8</v>
      </c>
      <c r="E1788" t="s">
        <v>47</v>
      </c>
      <c r="F1788" t="s">
        <v>14</v>
      </c>
      <c r="G1788" t="s">
        <v>51</v>
      </c>
      <c r="H1788" t="s">
        <v>189</v>
      </c>
      <c r="I1788">
        <v>17054.88</v>
      </c>
      <c r="J1788">
        <v>14336.54</v>
      </c>
      <c r="K1788" t="s">
        <v>17</v>
      </c>
      <c r="L1788" t="b">
        <v>0</v>
      </c>
      <c r="N1788" s="2" t="b">
        <f t="shared" si="156"/>
        <v>1</v>
      </c>
      <c r="O1788" t="str">
        <f t="shared" ref="O1788:O1790" si="162">IF(AND(E1777="HR",K1777="EXPENSE"),I1777&lt;J1777,"")</f>
        <v/>
      </c>
      <c r="Q1788" t="str">
        <f t="shared" si="157"/>
        <v/>
      </c>
    </row>
    <row r="1789" spans="1:17" hidden="1">
      <c r="A1789" t="s">
        <v>1894</v>
      </c>
      <c r="B1789" s="1">
        <v>45162</v>
      </c>
      <c r="C1789">
        <v>2023</v>
      </c>
      <c r="D1789">
        <v>8</v>
      </c>
      <c r="E1789" t="s">
        <v>47</v>
      </c>
      <c r="F1789" t="s">
        <v>24</v>
      </c>
      <c r="G1789" t="s">
        <v>51</v>
      </c>
      <c r="H1789" t="s">
        <v>72</v>
      </c>
      <c r="I1789">
        <v>14270.99</v>
      </c>
      <c r="J1789">
        <v>12127</v>
      </c>
      <c r="K1789" t="s">
        <v>17</v>
      </c>
      <c r="L1789" t="b">
        <v>0</v>
      </c>
      <c r="N1789" s="2" t="b">
        <f t="shared" si="156"/>
        <v>1</v>
      </c>
      <c r="O1789" t="str">
        <f t="shared" si="162"/>
        <v/>
      </c>
      <c r="Q1789" t="str">
        <f t="shared" si="157"/>
        <v/>
      </c>
    </row>
    <row r="1790" spans="1:17" hidden="1">
      <c r="A1790" t="s">
        <v>1895</v>
      </c>
      <c r="B1790" s="1">
        <v>45162</v>
      </c>
      <c r="C1790">
        <v>2023</v>
      </c>
      <c r="D1790">
        <v>8</v>
      </c>
      <c r="E1790" t="s">
        <v>47</v>
      </c>
      <c r="F1790" t="s">
        <v>24</v>
      </c>
      <c r="G1790" t="s">
        <v>91</v>
      </c>
      <c r="H1790" t="s">
        <v>249</v>
      </c>
      <c r="I1790">
        <v>13879.34</v>
      </c>
      <c r="J1790">
        <v>11409.91</v>
      </c>
      <c r="K1790" t="s">
        <v>17</v>
      </c>
      <c r="L1790" t="b">
        <v>0</v>
      </c>
      <c r="N1790" s="2" t="b">
        <f t="shared" si="156"/>
        <v>1</v>
      </c>
      <c r="O1790" t="str">
        <f t="shared" si="162"/>
        <v/>
      </c>
      <c r="Q1790" t="str">
        <f t="shared" si="157"/>
        <v/>
      </c>
    </row>
    <row r="1791" spans="1:17" hidden="1">
      <c r="A1791" t="s">
        <v>1896</v>
      </c>
      <c r="B1791" s="1">
        <v>45162</v>
      </c>
      <c r="C1791">
        <v>2023</v>
      </c>
      <c r="D1791">
        <v>8</v>
      </c>
      <c r="E1791" t="s">
        <v>19</v>
      </c>
      <c r="F1791" t="s">
        <v>14</v>
      </c>
      <c r="G1791" t="s">
        <v>20</v>
      </c>
      <c r="H1791" t="s">
        <v>136</v>
      </c>
      <c r="I1791">
        <v>4255.71</v>
      </c>
      <c r="J1791">
        <v>4674.91</v>
      </c>
      <c r="K1791" t="s">
        <v>17</v>
      </c>
      <c r="L1791" t="b">
        <v>0</v>
      </c>
      <c r="N1791" s="2" t="str">
        <f t="shared" si="156"/>
        <v/>
      </c>
      <c r="Q1791" t="str">
        <f t="shared" si="157"/>
        <v/>
      </c>
    </row>
    <row r="1792" spans="1:17" hidden="1">
      <c r="A1792" t="s">
        <v>1897</v>
      </c>
      <c r="B1792" s="1">
        <v>45162</v>
      </c>
      <c r="C1792">
        <v>2023</v>
      </c>
      <c r="D1792">
        <v>8</v>
      </c>
      <c r="E1792" t="s">
        <v>19</v>
      </c>
      <c r="F1792" t="s">
        <v>28</v>
      </c>
      <c r="G1792" t="s">
        <v>80</v>
      </c>
      <c r="H1792" t="s">
        <v>217</v>
      </c>
      <c r="I1792">
        <v>4454.3100000000004</v>
      </c>
      <c r="J1792">
        <v>4241.54</v>
      </c>
      <c r="K1792" t="s">
        <v>17</v>
      </c>
      <c r="L1792" t="b">
        <v>0</v>
      </c>
      <c r="N1792" s="2" t="str">
        <f t="shared" si="156"/>
        <v/>
      </c>
      <c r="Q1792" t="str">
        <f t="shared" si="157"/>
        <v/>
      </c>
    </row>
    <row r="1793" spans="1:17" hidden="1">
      <c r="A1793" t="s">
        <v>1898</v>
      </c>
      <c r="B1793" s="1">
        <v>45162</v>
      </c>
      <c r="C1793">
        <v>2023</v>
      </c>
      <c r="D1793">
        <v>8</v>
      </c>
      <c r="E1793" t="s">
        <v>19</v>
      </c>
      <c r="F1793" t="s">
        <v>24</v>
      </c>
      <c r="G1793" t="s">
        <v>132</v>
      </c>
      <c r="H1793" t="s">
        <v>138</v>
      </c>
      <c r="I1793">
        <v>6625.95</v>
      </c>
      <c r="J1793">
        <v>7036.97</v>
      </c>
      <c r="K1793" t="s">
        <v>17</v>
      </c>
      <c r="L1793" t="b">
        <v>0</v>
      </c>
      <c r="N1793" s="2" t="str">
        <f t="shared" si="156"/>
        <v/>
      </c>
      <c r="Q1793" t="str">
        <f t="shared" si="157"/>
        <v/>
      </c>
    </row>
    <row r="1794" spans="1:17" hidden="1">
      <c r="A1794" t="s">
        <v>1899</v>
      </c>
      <c r="B1794" s="1">
        <v>45162</v>
      </c>
      <c r="C1794">
        <v>2023</v>
      </c>
      <c r="D1794">
        <v>8</v>
      </c>
      <c r="E1794" t="s">
        <v>23</v>
      </c>
      <c r="F1794" t="s">
        <v>14</v>
      </c>
      <c r="G1794" t="s">
        <v>141</v>
      </c>
      <c r="H1794" t="s">
        <v>209</v>
      </c>
      <c r="I1794">
        <v>4519.01</v>
      </c>
      <c r="J1794">
        <v>4640.93</v>
      </c>
      <c r="K1794" t="s">
        <v>17</v>
      </c>
      <c r="L1794" t="b">
        <v>0</v>
      </c>
      <c r="N1794" s="2" t="str">
        <f t="shared" si="156"/>
        <v/>
      </c>
      <c r="Q1794" t="str">
        <f t="shared" si="157"/>
        <v/>
      </c>
    </row>
    <row r="1795" spans="1:17" hidden="1">
      <c r="A1795" t="s">
        <v>1900</v>
      </c>
      <c r="B1795" s="1">
        <v>45162</v>
      </c>
      <c r="C1795">
        <v>2023</v>
      </c>
      <c r="D1795">
        <v>8</v>
      </c>
      <c r="E1795" t="s">
        <v>23</v>
      </c>
      <c r="F1795" t="s">
        <v>28</v>
      </c>
      <c r="G1795" t="s">
        <v>25</v>
      </c>
      <c r="H1795" t="s">
        <v>26</v>
      </c>
      <c r="I1795">
        <v>2502.86</v>
      </c>
      <c r="J1795">
        <v>2598.59</v>
      </c>
      <c r="K1795" t="s">
        <v>17</v>
      </c>
      <c r="L1795" t="b">
        <v>0</v>
      </c>
      <c r="N1795" s="2" t="str">
        <f t="shared" ref="N1795:N1858" si="163">IF(AND(E1795="IT",K1795="EXPENSE"),I1795&gt;J1795,"")</f>
        <v/>
      </c>
      <c r="Q1795" t="str">
        <f t="shared" ref="Q1795:Q1858" si="164">IF(L1795=TRUE,OR(H1795="Apex Solutions Inc",H1795="Global Trade Partners",H1795="NovaTech Services"),"")</f>
        <v/>
      </c>
    </row>
    <row r="1796" spans="1:17" hidden="1">
      <c r="A1796" t="s">
        <v>1901</v>
      </c>
      <c r="B1796" s="1">
        <v>45162</v>
      </c>
      <c r="C1796">
        <v>2023</v>
      </c>
      <c r="D1796">
        <v>8</v>
      </c>
      <c r="E1796" t="s">
        <v>23</v>
      </c>
      <c r="F1796" t="s">
        <v>24</v>
      </c>
      <c r="G1796" t="s">
        <v>30</v>
      </c>
      <c r="H1796" t="s">
        <v>31</v>
      </c>
      <c r="I1796">
        <v>7947.2</v>
      </c>
      <c r="J1796">
        <v>7262.21</v>
      </c>
      <c r="K1796" t="s">
        <v>17</v>
      </c>
      <c r="L1796" t="b">
        <v>0</v>
      </c>
      <c r="N1796" s="2" t="str">
        <f t="shared" si="163"/>
        <v/>
      </c>
      <c r="Q1796" t="str">
        <f t="shared" si="164"/>
        <v/>
      </c>
    </row>
    <row r="1797" spans="1:17" hidden="1">
      <c r="A1797" t="s">
        <v>1902</v>
      </c>
      <c r="B1797" s="1">
        <v>45162</v>
      </c>
      <c r="C1797">
        <v>2023</v>
      </c>
      <c r="D1797">
        <v>8</v>
      </c>
      <c r="E1797" t="s">
        <v>37</v>
      </c>
      <c r="F1797" t="s">
        <v>28</v>
      </c>
      <c r="G1797" t="s">
        <v>98</v>
      </c>
      <c r="H1797" t="s">
        <v>185</v>
      </c>
      <c r="I1797">
        <v>5923.14</v>
      </c>
      <c r="J1797">
        <v>5797.04</v>
      </c>
      <c r="K1797" t="s">
        <v>17</v>
      </c>
      <c r="L1797" t="b">
        <v>0</v>
      </c>
      <c r="N1797" s="2" t="str">
        <f t="shared" si="163"/>
        <v/>
      </c>
      <c r="Q1797" t="str">
        <f t="shared" si="164"/>
        <v/>
      </c>
    </row>
    <row r="1798" spans="1:17" hidden="1">
      <c r="A1798" t="s">
        <v>1903</v>
      </c>
      <c r="B1798" s="1">
        <v>45163</v>
      </c>
      <c r="C1798">
        <v>2023</v>
      </c>
      <c r="D1798">
        <v>8</v>
      </c>
      <c r="E1798" t="s">
        <v>13</v>
      </c>
      <c r="F1798" t="s">
        <v>24</v>
      </c>
      <c r="G1798" t="s">
        <v>68</v>
      </c>
      <c r="H1798" t="s">
        <v>69</v>
      </c>
      <c r="I1798">
        <v>4766.17</v>
      </c>
      <c r="J1798">
        <v>4979.72</v>
      </c>
      <c r="K1798" t="s">
        <v>17</v>
      </c>
      <c r="L1798" t="b">
        <v>0</v>
      </c>
      <c r="N1798" s="2" t="str">
        <f t="shared" si="163"/>
        <v/>
      </c>
      <c r="Q1798" t="str">
        <f t="shared" si="164"/>
        <v/>
      </c>
    </row>
    <row r="1799" spans="1:17" hidden="1">
      <c r="A1799" t="s">
        <v>1904</v>
      </c>
      <c r="B1799" s="1">
        <v>45163</v>
      </c>
      <c r="C1799">
        <v>2023</v>
      </c>
      <c r="D1799">
        <v>8</v>
      </c>
      <c r="E1799" t="s">
        <v>13</v>
      </c>
      <c r="F1799" t="s">
        <v>24</v>
      </c>
      <c r="G1799" t="s">
        <v>102</v>
      </c>
      <c r="H1799" t="s">
        <v>278</v>
      </c>
      <c r="I1799">
        <v>4422.79</v>
      </c>
      <c r="J1799">
        <v>3986.68</v>
      </c>
      <c r="K1799" t="s">
        <v>17</v>
      </c>
      <c r="L1799" t="b">
        <v>0</v>
      </c>
      <c r="N1799" s="2" t="str">
        <f t="shared" si="163"/>
        <v/>
      </c>
      <c r="Q1799" t="str">
        <f t="shared" si="164"/>
        <v/>
      </c>
    </row>
    <row r="1800" spans="1:17" hidden="1">
      <c r="A1800" t="s">
        <v>1905</v>
      </c>
      <c r="B1800" s="1">
        <v>45163</v>
      </c>
      <c r="C1800">
        <v>2023</v>
      </c>
      <c r="D1800">
        <v>8</v>
      </c>
      <c r="E1800" t="s">
        <v>47</v>
      </c>
      <c r="F1800" t="s">
        <v>24</v>
      </c>
      <c r="G1800" t="s">
        <v>77</v>
      </c>
      <c r="H1800" t="s">
        <v>130</v>
      </c>
      <c r="I1800">
        <v>14750.17</v>
      </c>
      <c r="J1800">
        <v>12750.17</v>
      </c>
      <c r="K1800" t="s">
        <v>17</v>
      </c>
      <c r="L1800" t="b">
        <v>0</v>
      </c>
      <c r="N1800" s="2" t="b">
        <f t="shared" si="163"/>
        <v>1</v>
      </c>
      <c r="O1800" t="str">
        <f>IF(AND(E1789="HR",K1789="EXPENSE"),I1789&lt;J1789,"")</f>
        <v/>
      </c>
      <c r="Q1800" t="str">
        <f t="shared" si="164"/>
        <v/>
      </c>
    </row>
    <row r="1801" spans="1:17" hidden="1">
      <c r="A1801" t="s">
        <v>1906</v>
      </c>
      <c r="B1801" s="1">
        <v>45163</v>
      </c>
      <c r="C1801">
        <v>2023</v>
      </c>
      <c r="D1801">
        <v>8</v>
      </c>
      <c r="E1801" t="s">
        <v>23</v>
      </c>
      <c r="F1801" t="s">
        <v>28</v>
      </c>
      <c r="G1801" t="s">
        <v>59</v>
      </c>
      <c r="H1801" t="s">
        <v>60</v>
      </c>
      <c r="I1801">
        <v>4615.1499999999996</v>
      </c>
      <c r="J1801">
        <v>4190.38</v>
      </c>
      <c r="K1801" t="s">
        <v>17</v>
      </c>
      <c r="L1801" t="b">
        <v>0</v>
      </c>
      <c r="N1801" s="2" t="str">
        <f t="shared" si="163"/>
        <v/>
      </c>
      <c r="Q1801" t="str">
        <f t="shared" si="164"/>
        <v/>
      </c>
    </row>
    <row r="1802" spans="1:17" hidden="1">
      <c r="A1802" t="s">
        <v>1907</v>
      </c>
      <c r="B1802" s="1">
        <v>45163</v>
      </c>
      <c r="C1802">
        <v>2023</v>
      </c>
      <c r="D1802">
        <v>8</v>
      </c>
      <c r="E1802" t="s">
        <v>37</v>
      </c>
      <c r="F1802" t="s">
        <v>14</v>
      </c>
      <c r="G1802" t="s">
        <v>38</v>
      </c>
      <c r="H1802" t="s">
        <v>118</v>
      </c>
      <c r="I1802">
        <v>5514.07</v>
      </c>
      <c r="J1802">
        <v>5693.85</v>
      </c>
      <c r="K1802" t="s">
        <v>17</v>
      </c>
      <c r="L1802" t="b">
        <v>0</v>
      </c>
      <c r="N1802" s="2" t="str">
        <f t="shared" si="163"/>
        <v/>
      </c>
      <c r="Q1802" t="str">
        <f t="shared" si="164"/>
        <v/>
      </c>
    </row>
    <row r="1803" spans="1:17" hidden="1">
      <c r="A1803" t="s">
        <v>1908</v>
      </c>
      <c r="B1803" s="1">
        <v>45163</v>
      </c>
      <c r="C1803">
        <v>2023</v>
      </c>
      <c r="D1803">
        <v>8</v>
      </c>
      <c r="E1803" t="s">
        <v>37</v>
      </c>
      <c r="F1803" t="s">
        <v>24</v>
      </c>
      <c r="G1803" t="s">
        <v>62</v>
      </c>
      <c r="H1803" t="s">
        <v>121</v>
      </c>
      <c r="I1803">
        <v>4954.3500000000004</v>
      </c>
      <c r="J1803">
        <v>5142.9399999999996</v>
      </c>
      <c r="K1803" t="s">
        <v>17</v>
      </c>
      <c r="L1803" t="b">
        <v>0</v>
      </c>
      <c r="N1803" s="2" t="str">
        <f t="shared" si="163"/>
        <v/>
      </c>
      <c r="Q1803" t="str">
        <f t="shared" si="164"/>
        <v/>
      </c>
    </row>
    <row r="1804" spans="1:17" hidden="1">
      <c r="A1804" t="s">
        <v>1909</v>
      </c>
      <c r="B1804" s="1">
        <v>45164</v>
      </c>
      <c r="C1804">
        <v>2023</v>
      </c>
      <c r="D1804">
        <v>8</v>
      </c>
      <c r="E1804" t="s">
        <v>47</v>
      </c>
      <c r="F1804" t="s">
        <v>14</v>
      </c>
      <c r="G1804" t="s">
        <v>48</v>
      </c>
      <c r="H1804" t="s">
        <v>191</v>
      </c>
      <c r="I1804">
        <v>19393.48</v>
      </c>
      <c r="J1804">
        <v>16698.560000000001</v>
      </c>
      <c r="K1804" t="s">
        <v>17</v>
      </c>
      <c r="L1804" t="b">
        <v>0</v>
      </c>
      <c r="N1804" s="2" t="b">
        <f t="shared" si="163"/>
        <v>1</v>
      </c>
      <c r="O1804" t="str">
        <f t="shared" ref="O1804:O1806" si="165">IF(AND(E1793="HR",K1793="EXPENSE"),I1793&lt;J1793,"")</f>
        <v/>
      </c>
      <c r="Q1804" t="str">
        <f t="shared" si="164"/>
        <v/>
      </c>
    </row>
    <row r="1805" spans="1:17" hidden="1">
      <c r="A1805" t="s">
        <v>1910</v>
      </c>
      <c r="B1805" s="1">
        <v>45164</v>
      </c>
      <c r="C1805">
        <v>2023</v>
      </c>
      <c r="D1805">
        <v>8</v>
      </c>
      <c r="E1805" t="s">
        <v>47</v>
      </c>
      <c r="F1805" t="s">
        <v>28</v>
      </c>
      <c r="G1805" t="s">
        <v>51</v>
      </c>
      <c r="H1805" t="s">
        <v>72</v>
      </c>
      <c r="I1805">
        <v>11859.47</v>
      </c>
      <c r="J1805">
        <v>10043.67</v>
      </c>
      <c r="K1805" t="s">
        <v>17</v>
      </c>
      <c r="L1805" t="b">
        <v>0</v>
      </c>
      <c r="N1805" s="2" t="b">
        <f t="shared" si="163"/>
        <v>1</v>
      </c>
      <c r="O1805" t="str">
        <f t="shared" si="165"/>
        <v/>
      </c>
      <c r="Q1805" t="str">
        <f t="shared" si="164"/>
        <v/>
      </c>
    </row>
    <row r="1806" spans="1:17" hidden="1">
      <c r="A1806" t="s">
        <v>1911</v>
      </c>
      <c r="B1806" s="1">
        <v>45164</v>
      </c>
      <c r="C1806">
        <v>2023</v>
      </c>
      <c r="D1806">
        <v>8</v>
      </c>
      <c r="E1806" t="s">
        <v>47</v>
      </c>
      <c r="F1806" t="s">
        <v>24</v>
      </c>
      <c r="G1806" t="s">
        <v>91</v>
      </c>
      <c r="H1806" t="s">
        <v>128</v>
      </c>
      <c r="I1806">
        <v>12546.27</v>
      </c>
      <c r="J1806">
        <v>10875.94</v>
      </c>
      <c r="K1806" t="s">
        <v>17</v>
      </c>
      <c r="L1806" t="b">
        <v>0</v>
      </c>
      <c r="N1806" s="2" t="b">
        <f t="shared" si="163"/>
        <v>1</v>
      </c>
      <c r="O1806" t="str">
        <f t="shared" si="165"/>
        <v/>
      </c>
      <c r="Q1806" t="str">
        <f t="shared" si="164"/>
        <v/>
      </c>
    </row>
    <row r="1807" spans="1:17" hidden="1">
      <c r="A1807" t="s">
        <v>1912</v>
      </c>
      <c r="B1807" s="1">
        <v>45164</v>
      </c>
      <c r="C1807">
        <v>2023</v>
      </c>
      <c r="D1807">
        <v>8</v>
      </c>
      <c r="E1807" t="s">
        <v>19</v>
      </c>
      <c r="F1807" t="s">
        <v>28</v>
      </c>
      <c r="G1807" t="s">
        <v>132</v>
      </c>
      <c r="H1807" t="s">
        <v>133</v>
      </c>
      <c r="I1807">
        <v>7082.91</v>
      </c>
      <c r="J1807">
        <v>7059.96</v>
      </c>
      <c r="K1807" t="s">
        <v>17</v>
      </c>
      <c r="L1807" t="b">
        <v>0</v>
      </c>
      <c r="N1807" s="2" t="str">
        <f t="shared" si="163"/>
        <v/>
      </c>
      <c r="Q1807" t="str">
        <f t="shared" si="164"/>
        <v/>
      </c>
    </row>
    <row r="1808" spans="1:17" hidden="1">
      <c r="A1808" t="s">
        <v>1913</v>
      </c>
      <c r="B1808" s="1">
        <v>45164</v>
      </c>
      <c r="C1808">
        <v>2023</v>
      </c>
      <c r="D1808">
        <v>8</v>
      </c>
      <c r="E1808" t="s">
        <v>19</v>
      </c>
      <c r="F1808" t="s">
        <v>24</v>
      </c>
      <c r="G1808" t="s">
        <v>80</v>
      </c>
      <c r="H1808" t="s">
        <v>150</v>
      </c>
      <c r="I1808">
        <v>2357.84</v>
      </c>
      <c r="J1808">
        <v>2214.63</v>
      </c>
      <c r="K1808" t="s">
        <v>17</v>
      </c>
      <c r="L1808" t="b">
        <v>0</v>
      </c>
      <c r="N1808" s="2" t="str">
        <f t="shared" si="163"/>
        <v/>
      </c>
      <c r="Q1808" t="str">
        <f t="shared" si="164"/>
        <v/>
      </c>
    </row>
    <row r="1809" spans="1:17" hidden="1">
      <c r="A1809" t="s">
        <v>1914</v>
      </c>
      <c r="B1809" s="1">
        <v>45164</v>
      </c>
      <c r="C1809">
        <v>2023</v>
      </c>
      <c r="D1809">
        <v>8</v>
      </c>
      <c r="E1809" t="s">
        <v>23</v>
      </c>
      <c r="F1809" t="s">
        <v>24</v>
      </c>
      <c r="G1809" t="s">
        <v>141</v>
      </c>
      <c r="H1809" t="s">
        <v>153</v>
      </c>
      <c r="I1809">
        <v>7449.44</v>
      </c>
      <c r="J1809">
        <v>6914.87</v>
      </c>
      <c r="K1809" t="s">
        <v>17</v>
      </c>
      <c r="L1809" t="b">
        <v>0</v>
      </c>
      <c r="N1809" s="2" t="str">
        <f t="shared" si="163"/>
        <v/>
      </c>
      <c r="Q1809" t="str">
        <f t="shared" si="164"/>
        <v/>
      </c>
    </row>
    <row r="1810" spans="1:17" hidden="1">
      <c r="A1810" t="s">
        <v>1915</v>
      </c>
      <c r="B1810" s="1">
        <v>45164</v>
      </c>
      <c r="C1810">
        <v>2023</v>
      </c>
      <c r="D1810">
        <v>8</v>
      </c>
      <c r="E1810" t="s">
        <v>37</v>
      </c>
      <c r="F1810" t="s">
        <v>28</v>
      </c>
      <c r="G1810" t="s">
        <v>98</v>
      </c>
      <c r="H1810" t="s">
        <v>99</v>
      </c>
      <c r="I1810">
        <v>5135.12</v>
      </c>
      <c r="J1810">
        <v>5370.62</v>
      </c>
      <c r="K1810" t="s">
        <v>17</v>
      </c>
      <c r="L1810" t="b">
        <v>0</v>
      </c>
      <c r="N1810" s="2" t="str">
        <f t="shared" si="163"/>
        <v/>
      </c>
      <c r="Q1810" t="str">
        <f t="shared" si="164"/>
        <v/>
      </c>
    </row>
    <row r="1811" spans="1:17" hidden="1">
      <c r="A1811" t="s">
        <v>1916</v>
      </c>
      <c r="B1811" s="1">
        <v>45164</v>
      </c>
      <c r="C1811">
        <v>2023</v>
      </c>
      <c r="D1811">
        <v>8</v>
      </c>
      <c r="E1811" t="s">
        <v>37</v>
      </c>
      <c r="F1811" t="s">
        <v>28</v>
      </c>
      <c r="G1811" t="s">
        <v>41</v>
      </c>
      <c r="H1811" t="s">
        <v>42</v>
      </c>
      <c r="I1811">
        <v>4713.5200000000004</v>
      </c>
      <c r="J1811">
        <v>4536.47</v>
      </c>
      <c r="K1811" t="s">
        <v>17</v>
      </c>
      <c r="L1811" t="b">
        <v>0</v>
      </c>
      <c r="N1811" s="2" t="str">
        <f t="shared" si="163"/>
        <v/>
      </c>
      <c r="Q1811" t="str">
        <f t="shared" si="164"/>
        <v/>
      </c>
    </row>
    <row r="1812" spans="1:17" hidden="1">
      <c r="A1812" t="s">
        <v>1917</v>
      </c>
      <c r="B1812" s="1">
        <v>45165</v>
      </c>
      <c r="C1812">
        <v>2023</v>
      </c>
      <c r="D1812">
        <v>8</v>
      </c>
      <c r="E1812" t="s">
        <v>13</v>
      </c>
      <c r="F1812" t="s">
        <v>14</v>
      </c>
      <c r="G1812" t="s">
        <v>68</v>
      </c>
      <c r="H1812" t="s">
        <v>87</v>
      </c>
      <c r="I1812">
        <v>3107.58</v>
      </c>
      <c r="J1812">
        <v>3001.19</v>
      </c>
      <c r="K1812" t="s">
        <v>17</v>
      </c>
      <c r="L1812" t="b">
        <v>0</v>
      </c>
      <c r="N1812" s="2" t="str">
        <f t="shared" si="163"/>
        <v/>
      </c>
      <c r="Q1812" t="str">
        <f t="shared" si="164"/>
        <v/>
      </c>
    </row>
    <row r="1813" spans="1:17" hidden="1">
      <c r="A1813" t="s">
        <v>1918</v>
      </c>
      <c r="B1813" s="1">
        <v>45165</v>
      </c>
      <c r="C1813">
        <v>2023</v>
      </c>
      <c r="D1813">
        <v>8</v>
      </c>
      <c r="E1813" t="s">
        <v>13</v>
      </c>
      <c r="F1813" t="s">
        <v>14</v>
      </c>
      <c r="G1813" t="s">
        <v>68</v>
      </c>
      <c r="H1813" t="s">
        <v>87</v>
      </c>
      <c r="I1813">
        <v>3977.6</v>
      </c>
      <c r="J1813">
        <v>3663.69</v>
      </c>
      <c r="K1813" t="s">
        <v>17</v>
      </c>
      <c r="L1813" t="b">
        <v>0</v>
      </c>
      <c r="N1813" s="2" t="str">
        <f t="shared" si="163"/>
        <v/>
      </c>
      <c r="Q1813" t="str">
        <f t="shared" si="164"/>
        <v/>
      </c>
    </row>
    <row r="1814" spans="1:17" hidden="1">
      <c r="A1814" t="s">
        <v>1919</v>
      </c>
      <c r="B1814" s="1">
        <v>45165</v>
      </c>
      <c r="C1814">
        <v>2023</v>
      </c>
      <c r="D1814">
        <v>8</v>
      </c>
      <c r="E1814" t="s">
        <v>13</v>
      </c>
      <c r="F1814" t="s">
        <v>28</v>
      </c>
      <c r="G1814" t="s">
        <v>108</v>
      </c>
      <c r="H1814" t="s">
        <v>109</v>
      </c>
      <c r="I1814">
        <v>3012.46</v>
      </c>
      <c r="J1814">
        <v>2794.58</v>
      </c>
      <c r="K1814" t="s">
        <v>17</v>
      </c>
      <c r="L1814" t="b">
        <v>0</v>
      </c>
      <c r="N1814" s="2" t="str">
        <f t="shared" si="163"/>
        <v/>
      </c>
      <c r="Q1814" t="str">
        <f t="shared" si="164"/>
        <v/>
      </c>
    </row>
    <row r="1815" spans="1:17" hidden="1">
      <c r="A1815" t="s">
        <v>1920</v>
      </c>
      <c r="B1815" s="1">
        <v>45165</v>
      </c>
      <c r="C1815">
        <v>2023</v>
      </c>
      <c r="D1815">
        <v>8</v>
      </c>
      <c r="E1815" t="s">
        <v>13</v>
      </c>
      <c r="F1815" t="s">
        <v>28</v>
      </c>
      <c r="G1815" t="s">
        <v>15</v>
      </c>
      <c r="H1815" t="s">
        <v>89</v>
      </c>
      <c r="I1815">
        <v>3309.52</v>
      </c>
      <c r="J1815">
        <v>3058.24</v>
      </c>
      <c r="K1815" t="s">
        <v>17</v>
      </c>
      <c r="L1815" t="b">
        <v>0</v>
      </c>
      <c r="N1815" s="2" t="str">
        <f t="shared" si="163"/>
        <v/>
      </c>
      <c r="Q1815" t="str">
        <f t="shared" si="164"/>
        <v/>
      </c>
    </row>
    <row r="1816" spans="1:17" hidden="1">
      <c r="A1816" t="s">
        <v>1921</v>
      </c>
      <c r="B1816" s="1">
        <v>45165</v>
      </c>
      <c r="C1816">
        <v>2023</v>
      </c>
      <c r="D1816">
        <v>8</v>
      </c>
      <c r="E1816" t="s">
        <v>47</v>
      </c>
      <c r="F1816" t="s">
        <v>28</v>
      </c>
      <c r="G1816" t="s">
        <v>51</v>
      </c>
      <c r="H1816" t="s">
        <v>72</v>
      </c>
      <c r="I1816">
        <v>14867.48</v>
      </c>
      <c r="J1816">
        <v>12321.01</v>
      </c>
      <c r="K1816" t="s">
        <v>17</v>
      </c>
      <c r="L1816" t="b">
        <v>0</v>
      </c>
      <c r="N1816" s="2" t="b">
        <f t="shared" si="163"/>
        <v>1</v>
      </c>
      <c r="O1816" t="str">
        <f t="shared" ref="O1816:O1817" si="166">IF(AND(E1805="HR",K1805="EXPENSE"),I1805&lt;J1805,"")</f>
        <v/>
      </c>
      <c r="Q1816" t="str">
        <f t="shared" si="164"/>
        <v/>
      </c>
    </row>
    <row r="1817" spans="1:17" hidden="1">
      <c r="A1817" t="s">
        <v>1922</v>
      </c>
      <c r="B1817" s="1">
        <v>45165</v>
      </c>
      <c r="C1817">
        <v>2023</v>
      </c>
      <c r="D1817">
        <v>8</v>
      </c>
      <c r="E1817" t="s">
        <v>47</v>
      </c>
      <c r="F1817" t="s">
        <v>24</v>
      </c>
      <c r="G1817" t="s">
        <v>77</v>
      </c>
      <c r="H1817" t="s">
        <v>130</v>
      </c>
      <c r="I1817">
        <v>5104.49</v>
      </c>
      <c r="J1817">
        <v>4399.7700000000004</v>
      </c>
      <c r="K1817" t="s">
        <v>17</v>
      </c>
      <c r="L1817" t="b">
        <v>0</v>
      </c>
      <c r="N1817" s="2" t="b">
        <f t="shared" si="163"/>
        <v>1</v>
      </c>
      <c r="O1817" t="str">
        <f t="shared" si="166"/>
        <v/>
      </c>
      <c r="Q1817" t="str">
        <f t="shared" si="164"/>
        <v/>
      </c>
    </row>
    <row r="1818" spans="1:17" hidden="1">
      <c r="A1818" t="s">
        <v>1923</v>
      </c>
      <c r="B1818" s="1">
        <v>45165</v>
      </c>
      <c r="C1818">
        <v>2023</v>
      </c>
      <c r="D1818">
        <v>8</v>
      </c>
      <c r="E1818" t="s">
        <v>19</v>
      </c>
      <c r="F1818" t="s">
        <v>28</v>
      </c>
      <c r="G1818" t="s">
        <v>80</v>
      </c>
      <c r="H1818" t="s">
        <v>217</v>
      </c>
      <c r="I1818">
        <v>4184.75</v>
      </c>
      <c r="J1818">
        <v>3877.6</v>
      </c>
      <c r="K1818" t="s">
        <v>17</v>
      </c>
      <c r="L1818" t="b">
        <v>0</v>
      </c>
      <c r="N1818" s="2" t="str">
        <f t="shared" si="163"/>
        <v/>
      </c>
      <c r="Q1818" t="str">
        <f t="shared" si="164"/>
        <v/>
      </c>
    </row>
    <row r="1819" spans="1:17" hidden="1">
      <c r="A1819" t="s">
        <v>1924</v>
      </c>
      <c r="B1819" s="1">
        <v>45165</v>
      </c>
      <c r="C1819">
        <v>2023</v>
      </c>
      <c r="D1819">
        <v>8</v>
      </c>
      <c r="E1819" t="s">
        <v>19</v>
      </c>
      <c r="F1819" t="s">
        <v>24</v>
      </c>
      <c r="G1819" t="s">
        <v>20</v>
      </c>
      <c r="H1819" t="s">
        <v>136</v>
      </c>
      <c r="I1819">
        <v>5918.27</v>
      </c>
      <c r="J1819">
        <v>5484.08</v>
      </c>
      <c r="K1819" t="s">
        <v>17</v>
      </c>
      <c r="L1819" t="b">
        <v>0</v>
      </c>
      <c r="N1819" s="2" t="str">
        <f t="shared" si="163"/>
        <v/>
      </c>
      <c r="Q1819" t="str">
        <f t="shared" si="164"/>
        <v/>
      </c>
    </row>
    <row r="1820" spans="1:17" hidden="1">
      <c r="A1820" t="s">
        <v>1925</v>
      </c>
      <c r="B1820" s="1">
        <v>45165</v>
      </c>
      <c r="C1820">
        <v>2023</v>
      </c>
      <c r="D1820">
        <v>8</v>
      </c>
      <c r="E1820" t="s">
        <v>23</v>
      </c>
      <c r="F1820" t="s">
        <v>28</v>
      </c>
      <c r="G1820" t="s">
        <v>25</v>
      </c>
      <c r="H1820" t="s">
        <v>95</v>
      </c>
      <c r="I1820">
        <v>4404.57</v>
      </c>
      <c r="J1820">
        <v>4296.2700000000004</v>
      </c>
      <c r="K1820" t="s">
        <v>17</v>
      </c>
      <c r="L1820" t="b">
        <v>0</v>
      </c>
      <c r="N1820" s="2" t="str">
        <f t="shared" si="163"/>
        <v/>
      </c>
      <c r="Q1820" t="str">
        <f t="shared" si="164"/>
        <v/>
      </c>
    </row>
    <row r="1821" spans="1:17" hidden="1">
      <c r="A1821" t="s">
        <v>1926</v>
      </c>
      <c r="B1821" s="1">
        <v>45165</v>
      </c>
      <c r="C1821">
        <v>2023</v>
      </c>
      <c r="D1821">
        <v>8</v>
      </c>
      <c r="E1821" t="s">
        <v>23</v>
      </c>
      <c r="F1821" t="s">
        <v>28</v>
      </c>
      <c r="G1821" t="s">
        <v>59</v>
      </c>
      <c r="H1821" t="s">
        <v>60</v>
      </c>
      <c r="I1821">
        <v>6988.05</v>
      </c>
      <c r="J1821">
        <v>6512.7</v>
      </c>
      <c r="K1821" t="s">
        <v>17</v>
      </c>
      <c r="L1821" t="b">
        <v>0</v>
      </c>
      <c r="N1821" s="2" t="str">
        <f t="shared" si="163"/>
        <v/>
      </c>
      <c r="Q1821" t="str">
        <f t="shared" si="164"/>
        <v/>
      </c>
    </row>
    <row r="1822" spans="1:17" hidden="1">
      <c r="A1822" t="s">
        <v>1927</v>
      </c>
      <c r="B1822" s="1">
        <v>45165</v>
      </c>
      <c r="C1822">
        <v>2023</v>
      </c>
      <c r="D1822">
        <v>8</v>
      </c>
      <c r="E1822" t="s">
        <v>37</v>
      </c>
      <c r="F1822" t="s">
        <v>28</v>
      </c>
      <c r="G1822" t="s">
        <v>62</v>
      </c>
      <c r="H1822" t="s">
        <v>66</v>
      </c>
      <c r="I1822">
        <v>6199.52</v>
      </c>
      <c r="J1822">
        <v>5867.51</v>
      </c>
      <c r="K1822" t="s">
        <v>17</v>
      </c>
      <c r="L1822" t="b">
        <v>0</v>
      </c>
      <c r="N1822" s="2" t="str">
        <f t="shared" si="163"/>
        <v/>
      </c>
      <c r="Q1822" t="str">
        <f t="shared" si="164"/>
        <v/>
      </c>
    </row>
    <row r="1823" spans="1:17" hidden="1">
      <c r="A1823" t="s">
        <v>1928</v>
      </c>
      <c r="B1823" s="1">
        <v>45166</v>
      </c>
      <c r="C1823">
        <v>2023</v>
      </c>
      <c r="D1823">
        <v>8</v>
      </c>
      <c r="E1823" t="s">
        <v>47</v>
      </c>
      <c r="F1823" t="s">
        <v>24</v>
      </c>
      <c r="G1823" t="s">
        <v>48</v>
      </c>
      <c r="H1823" t="s">
        <v>191</v>
      </c>
      <c r="I1823">
        <v>15628.56</v>
      </c>
      <c r="J1823">
        <v>13349.04</v>
      </c>
      <c r="K1823" t="s">
        <v>17</v>
      </c>
      <c r="L1823" t="b">
        <v>0</v>
      </c>
      <c r="N1823" s="2" t="b">
        <f t="shared" si="163"/>
        <v>1</v>
      </c>
      <c r="O1823" t="b">
        <f t="shared" ref="O1823:O1824" si="167">IF(AND(E1812="HR",K1812="EXPENSE"),I1812&lt;J1812,"")</f>
        <v>0</v>
      </c>
      <c r="Q1823" t="str">
        <f t="shared" si="164"/>
        <v/>
      </c>
    </row>
    <row r="1824" spans="1:17" hidden="1">
      <c r="A1824" t="s">
        <v>1929</v>
      </c>
      <c r="B1824" s="1">
        <v>45166</v>
      </c>
      <c r="C1824">
        <v>2023</v>
      </c>
      <c r="D1824">
        <v>8</v>
      </c>
      <c r="E1824" t="s">
        <v>47</v>
      </c>
      <c r="F1824" t="s">
        <v>24</v>
      </c>
      <c r="G1824" t="s">
        <v>48</v>
      </c>
      <c r="H1824" t="s">
        <v>49</v>
      </c>
      <c r="I1824">
        <v>12258.33</v>
      </c>
      <c r="J1824">
        <v>10609.85</v>
      </c>
      <c r="K1824" t="s">
        <v>17</v>
      </c>
      <c r="L1824" t="b">
        <v>0</v>
      </c>
      <c r="N1824" s="2" t="b">
        <f t="shared" si="163"/>
        <v>1</v>
      </c>
      <c r="O1824" t="b">
        <f t="shared" si="167"/>
        <v>0</v>
      </c>
      <c r="Q1824" t="str">
        <f t="shared" si="164"/>
        <v/>
      </c>
    </row>
    <row r="1825" spans="1:17" hidden="1">
      <c r="A1825" t="s">
        <v>1930</v>
      </c>
      <c r="B1825" s="1">
        <v>45166</v>
      </c>
      <c r="C1825">
        <v>2023</v>
      </c>
      <c r="D1825">
        <v>8</v>
      </c>
      <c r="E1825" t="s">
        <v>19</v>
      </c>
      <c r="F1825" t="s">
        <v>24</v>
      </c>
      <c r="G1825" t="s">
        <v>80</v>
      </c>
      <c r="H1825" t="s">
        <v>113</v>
      </c>
      <c r="I1825">
        <v>6235.42</v>
      </c>
      <c r="J1825">
        <v>6298.44</v>
      </c>
      <c r="K1825" t="s">
        <v>17</v>
      </c>
      <c r="L1825" t="b">
        <v>0</v>
      </c>
      <c r="N1825" s="2" t="str">
        <f t="shared" si="163"/>
        <v/>
      </c>
      <c r="Q1825" t="str">
        <f t="shared" si="164"/>
        <v/>
      </c>
    </row>
    <row r="1826" spans="1:17" hidden="1">
      <c r="A1826" t="s">
        <v>1931</v>
      </c>
      <c r="B1826" s="1">
        <v>45166</v>
      </c>
      <c r="C1826">
        <v>2023</v>
      </c>
      <c r="D1826">
        <v>8</v>
      </c>
      <c r="E1826" t="s">
        <v>23</v>
      </c>
      <c r="F1826" t="s">
        <v>14</v>
      </c>
      <c r="G1826" t="s">
        <v>59</v>
      </c>
      <c r="H1826" t="s">
        <v>60</v>
      </c>
      <c r="I1826">
        <v>4610.0200000000004</v>
      </c>
      <c r="J1826">
        <v>4204.54</v>
      </c>
      <c r="K1826" t="s">
        <v>17</v>
      </c>
      <c r="L1826" t="b">
        <v>0</v>
      </c>
      <c r="N1826" s="2" t="str">
        <f t="shared" si="163"/>
        <v/>
      </c>
      <c r="Q1826" t="str">
        <f t="shared" si="164"/>
        <v/>
      </c>
    </row>
    <row r="1827" spans="1:17" hidden="1">
      <c r="A1827" t="s">
        <v>1932</v>
      </c>
      <c r="B1827" s="1">
        <v>45166</v>
      </c>
      <c r="C1827">
        <v>2023</v>
      </c>
      <c r="D1827">
        <v>8</v>
      </c>
      <c r="E1827" t="s">
        <v>37</v>
      </c>
      <c r="F1827" t="s">
        <v>14</v>
      </c>
      <c r="G1827" t="s">
        <v>41</v>
      </c>
      <c r="H1827" t="s">
        <v>42</v>
      </c>
      <c r="I1827">
        <v>4515.58</v>
      </c>
      <c r="J1827">
        <v>4425.55</v>
      </c>
      <c r="K1827" t="s">
        <v>17</v>
      </c>
      <c r="L1827" t="b">
        <v>0</v>
      </c>
      <c r="N1827" s="2" t="str">
        <f t="shared" si="163"/>
        <v/>
      </c>
      <c r="Q1827" t="str">
        <f t="shared" si="164"/>
        <v/>
      </c>
    </row>
    <row r="1828" spans="1:17" hidden="1">
      <c r="A1828" t="s">
        <v>1933</v>
      </c>
      <c r="B1828" s="1">
        <v>45167</v>
      </c>
      <c r="C1828">
        <v>2023</v>
      </c>
      <c r="D1828">
        <v>8</v>
      </c>
      <c r="E1828" t="s">
        <v>13</v>
      </c>
      <c r="F1828" t="s">
        <v>28</v>
      </c>
      <c r="G1828" t="s">
        <v>68</v>
      </c>
      <c r="H1828" t="s">
        <v>69</v>
      </c>
      <c r="I1828">
        <v>2631.49</v>
      </c>
      <c r="J1828">
        <v>2503.41</v>
      </c>
      <c r="K1828" t="s">
        <v>17</v>
      </c>
      <c r="L1828" t="b">
        <v>0</v>
      </c>
      <c r="N1828" s="2" t="str">
        <f t="shared" si="163"/>
        <v/>
      </c>
      <c r="Q1828" t="str">
        <f t="shared" si="164"/>
        <v/>
      </c>
    </row>
    <row r="1829" spans="1:17" hidden="1">
      <c r="A1829" t="s">
        <v>1934</v>
      </c>
      <c r="B1829" s="1">
        <v>45167</v>
      </c>
      <c r="C1829">
        <v>2023</v>
      </c>
      <c r="D1829">
        <v>8</v>
      </c>
      <c r="E1829" t="s">
        <v>13</v>
      </c>
      <c r="F1829" t="s">
        <v>24</v>
      </c>
      <c r="G1829" t="s">
        <v>68</v>
      </c>
      <c r="H1829" t="s">
        <v>213</v>
      </c>
      <c r="I1829">
        <v>4097.6000000000004</v>
      </c>
      <c r="J1829">
        <v>3967.5</v>
      </c>
      <c r="K1829" t="s">
        <v>17</v>
      </c>
      <c r="L1829" t="b">
        <v>0</v>
      </c>
      <c r="N1829" s="2" t="str">
        <f t="shared" si="163"/>
        <v/>
      </c>
      <c r="Q1829" t="str">
        <f t="shared" si="164"/>
        <v/>
      </c>
    </row>
    <row r="1830" spans="1:17" hidden="1">
      <c r="A1830" t="s">
        <v>1935</v>
      </c>
      <c r="B1830" s="1">
        <v>45167</v>
      </c>
      <c r="C1830">
        <v>2023</v>
      </c>
      <c r="D1830">
        <v>8</v>
      </c>
      <c r="E1830" t="s">
        <v>19</v>
      </c>
      <c r="F1830" t="s">
        <v>14</v>
      </c>
      <c r="G1830" t="s">
        <v>132</v>
      </c>
      <c r="H1830" t="s">
        <v>171</v>
      </c>
      <c r="I1830">
        <v>9136.1</v>
      </c>
      <c r="J1830">
        <v>8981.59</v>
      </c>
      <c r="K1830" t="s">
        <v>17</v>
      </c>
      <c r="L1830" t="b">
        <v>0</v>
      </c>
      <c r="N1830" s="2" t="str">
        <f t="shared" si="163"/>
        <v/>
      </c>
      <c r="Q1830" t="str">
        <f t="shared" si="164"/>
        <v/>
      </c>
    </row>
    <row r="1831" spans="1:17" hidden="1">
      <c r="A1831" t="s">
        <v>1936</v>
      </c>
      <c r="B1831" s="1">
        <v>45167</v>
      </c>
      <c r="C1831">
        <v>2023</v>
      </c>
      <c r="D1831">
        <v>8</v>
      </c>
      <c r="E1831" t="s">
        <v>19</v>
      </c>
      <c r="F1831" t="s">
        <v>14</v>
      </c>
      <c r="G1831" t="s">
        <v>80</v>
      </c>
      <c r="H1831" t="s">
        <v>150</v>
      </c>
      <c r="I1831">
        <v>7136.75</v>
      </c>
      <c r="J1831">
        <v>6873.21</v>
      </c>
      <c r="K1831" t="s">
        <v>17</v>
      </c>
      <c r="L1831" t="b">
        <v>0</v>
      </c>
      <c r="N1831" s="2" t="str">
        <f t="shared" si="163"/>
        <v/>
      </c>
      <c r="Q1831" t="str">
        <f t="shared" si="164"/>
        <v/>
      </c>
    </row>
    <row r="1832" spans="1:17" hidden="1">
      <c r="A1832" t="s">
        <v>1937</v>
      </c>
      <c r="B1832" s="1">
        <v>45167</v>
      </c>
      <c r="C1832">
        <v>2023</v>
      </c>
      <c r="D1832">
        <v>8</v>
      </c>
      <c r="E1832" t="s">
        <v>19</v>
      </c>
      <c r="F1832" t="s">
        <v>24</v>
      </c>
      <c r="G1832" t="s">
        <v>80</v>
      </c>
      <c r="H1832" t="s">
        <v>81</v>
      </c>
      <c r="I1832">
        <v>5763.17</v>
      </c>
      <c r="J1832">
        <v>5387.88</v>
      </c>
      <c r="K1832" t="s">
        <v>17</v>
      </c>
      <c r="L1832" t="b">
        <v>0</v>
      </c>
      <c r="N1832" s="2" t="str">
        <f t="shared" si="163"/>
        <v/>
      </c>
      <c r="Q1832" t="str">
        <f t="shared" si="164"/>
        <v/>
      </c>
    </row>
    <row r="1833" spans="1:17" hidden="1">
      <c r="A1833" t="s">
        <v>1938</v>
      </c>
      <c r="B1833" s="1">
        <v>45167</v>
      </c>
      <c r="C1833">
        <v>2023</v>
      </c>
      <c r="D1833">
        <v>8</v>
      </c>
      <c r="E1833" t="s">
        <v>23</v>
      </c>
      <c r="F1833" t="s">
        <v>28</v>
      </c>
      <c r="G1833" t="s">
        <v>30</v>
      </c>
      <c r="H1833" t="s">
        <v>33</v>
      </c>
      <c r="I1833">
        <v>5978.83</v>
      </c>
      <c r="J1833">
        <v>5396.77</v>
      </c>
      <c r="K1833" t="s">
        <v>17</v>
      </c>
      <c r="L1833" t="b">
        <v>0</v>
      </c>
      <c r="N1833" s="2" t="str">
        <f t="shared" si="163"/>
        <v/>
      </c>
      <c r="Q1833" t="str">
        <f t="shared" si="164"/>
        <v/>
      </c>
    </row>
    <row r="1834" spans="1:17" hidden="1">
      <c r="A1834" t="s">
        <v>1939</v>
      </c>
      <c r="B1834" s="1">
        <v>45167</v>
      </c>
      <c r="C1834">
        <v>2023</v>
      </c>
      <c r="D1834">
        <v>8</v>
      </c>
      <c r="E1834" t="s">
        <v>23</v>
      </c>
      <c r="F1834" t="s">
        <v>24</v>
      </c>
      <c r="G1834" t="s">
        <v>30</v>
      </c>
      <c r="H1834" t="s">
        <v>31</v>
      </c>
      <c r="I1834">
        <v>6994.51</v>
      </c>
      <c r="J1834">
        <v>7425.74</v>
      </c>
      <c r="K1834" t="s">
        <v>17</v>
      </c>
      <c r="L1834" t="b">
        <v>0</v>
      </c>
      <c r="N1834" s="2" t="str">
        <f t="shared" si="163"/>
        <v/>
      </c>
      <c r="Q1834" t="str">
        <f t="shared" si="164"/>
        <v/>
      </c>
    </row>
    <row r="1835" spans="1:17" hidden="1">
      <c r="A1835" t="s">
        <v>1940</v>
      </c>
      <c r="B1835" s="1">
        <v>45167</v>
      </c>
      <c r="C1835">
        <v>2023</v>
      </c>
      <c r="D1835">
        <v>8</v>
      </c>
      <c r="E1835" t="s">
        <v>37</v>
      </c>
      <c r="F1835" t="s">
        <v>14</v>
      </c>
      <c r="G1835" t="s">
        <v>41</v>
      </c>
      <c r="H1835" t="s">
        <v>42</v>
      </c>
      <c r="I1835">
        <v>4632.37</v>
      </c>
      <c r="J1835">
        <v>4328.33</v>
      </c>
      <c r="K1835" t="s">
        <v>17</v>
      </c>
      <c r="L1835" t="b">
        <v>0</v>
      </c>
      <c r="N1835" s="2" t="str">
        <f t="shared" si="163"/>
        <v/>
      </c>
      <c r="Q1835" t="str">
        <f t="shared" si="164"/>
        <v/>
      </c>
    </row>
    <row r="1836" spans="1:17" hidden="1">
      <c r="A1836" t="s">
        <v>1941</v>
      </c>
      <c r="B1836" s="1">
        <v>45168</v>
      </c>
      <c r="C1836">
        <v>2023</v>
      </c>
      <c r="D1836">
        <v>8</v>
      </c>
      <c r="E1836" t="s">
        <v>13</v>
      </c>
      <c r="F1836" t="s">
        <v>14</v>
      </c>
      <c r="G1836" t="s">
        <v>15</v>
      </c>
      <c r="H1836" t="s">
        <v>16</v>
      </c>
      <c r="I1836">
        <v>4004.33</v>
      </c>
      <c r="J1836">
        <v>4146.67</v>
      </c>
      <c r="K1836" t="s">
        <v>17</v>
      </c>
      <c r="L1836" t="b">
        <v>0</v>
      </c>
      <c r="N1836" s="2" t="str">
        <f t="shared" si="163"/>
        <v/>
      </c>
      <c r="Q1836" t="str">
        <f t="shared" si="164"/>
        <v/>
      </c>
    </row>
    <row r="1837" spans="1:17" hidden="1">
      <c r="A1837" t="s">
        <v>1942</v>
      </c>
      <c r="B1837" s="1">
        <v>45168</v>
      </c>
      <c r="C1837">
        <v>2023</v>
      </c>
      <c r="D1837">
        <v>8</v>
      </c>
      <c r="E1837" t="s">
        <v>13</v>
      </c>
      <c r="F1837" t="s">
        <v>24</v>
      </c>
      <c r="G1837" t="s">
        <v>108</v>
      </c>
      <c r="H1837" t="s">
        <v>126</v>
      </c>
      <c r="I1837">
        <v>3961.09</v>
      </c>
      <c r="J1837">
        <v>3970.91</v>
      </c>
      <c r="K1837" t="s">
        <v>17</v>
      </c>
      <c r="L1837" t="b">
        <v>0</v>
      </c>
      <c r="N1837" s="2" t="str">
        <f t="shared" si="163"/>
        <v/>
      </c>
      <c r="Q1837" t="str">
        <f t="shared" si="164"/>
        <v/>
      </c>
    </row>
    <row r="1838" spans="1:17" hidden="1">
      <c r="A1838" t="s">
        <v>1943</v>
      </c>
      <c r="B1838" s="1">
        <v>45168</v>
      </c>
      <c r="C1838">
        <v>2023</v>
      </c>
      <c r="D1838">
        <v>8</v>
      </c>
      <c r="E1838" t="s">
        <v>19</v>
      </c>
      <c r="F1838" t="s">
        <v>14</v>
      </c>
      <c r="G1838" t="s">
        <v>20</v>
      </c>
      <c r="H1838" t="s">
        <v>136</v>
      </c>
      <c r="I1838">
        <v>5387.41</v>
      </c>
      <c r="J1838">
        <v>5636.17</v>
      </c>
      <c r="K1838" t="s">
        <v>17</v>
      </c>
      <c r="L1838" t="b">
        <v>0</v>
      </c>
      <c r="N1838" s="2" t="str">
        <f t="shared" si="163"/>
        <v/>
      </c>
      <c r="Q1838" t="str">
        <f t="shared" si="164"/>
        <v/>
      </c>
    </row>
    <row r="1839" spans="1:17" hidden="1">
      <c r="A1839" t="s">
        <v>1944</v>
      </c>
      <c r="B1839" s="1">
        <v>45168</v>
      </c>
      <c r="C1839">
        <v>2023</v>
      </c>
      <c r="D1839">
        <v>8</v>
      </c>
      <c r="E1839" t="s">
        <v>37</v>
      </c>
      <c r="F1839" t="s">
        <v>24</v>
      </c>
      <c r="G1839" t="s">
        <v>62</v>
      </c>
      <c r="H1839" t="s">
        <v>360</v>
      </c>
      <c r="I1839">
        <v>7703.99</v>
      </c>
      <c r="J1839">
        <v>8315.68</v>
      </c>
      <c r="K1839" t="s">
        <v>17</v>
      </c>
      <c r="L1839" t="b">
        <v>0</v>
      </c>
      <c r="N1839" s="2" t="str">
        <f t="shared" si="163"/>
        <v/>
      </c>
      <c r="Q1839" t="str">
        <f t="shared" si="164"/>
        <v/>
      </c>
    </row>
    <row r="1840" spans="1:17" hidden="1">
      <c r="A1840" t="s">
        <v>1945</v>
      </c>
      <c r="B1840" s="1">
        <v>45169</v>
      </c>
      <c r="C1840">
        <v>2023</v>
      </c>
      <c r="D1840">
        <v>8</v>
      </c>
      <c r="E1840" t="s">
        <v>13</v>
      </c>
      <c r="F1840" t="s">
        <v>14</v>
      </c>
      <c r="G1840" t="s">
        <v>68</v>
      </c>
      <c r="H1840" t="s">
        <v>213</v>
      </c>
      <c r="I1840">
        <v>4747.67</v>
      </c>
      <c r="J1840">
        <v>5170.92</v>
      </c>
      <c r="K1840" t="s">
        <v>17</v>
      </c>
      <c r="L1840" t="b">
        <v>0</v>
      </c>
      <c r="N1840" s="2" t="str">
        <f t="shared" si="163"/>
        <v/>
      </c>
      <c r="Q1840" t="str">
        <f t="shared" si="164"/>
        <v/>
      </c>
    </row>
    <row r="1841" spans="1:17" hidden="1">
      <c r="A1841" t="s">
        <v>1946</v>
      </c>
      <c r="B1841" s="1">
        <v>45169</v>
      </c>
      <c r="C1841">
        <v>2023</v>
      </c>
      <c r="D1841">
        <v>8</v>
      </c>
      <c r="E1841" t="s">
        <v>13</v>
      </c>
      <c r="F1841" t="s">
        <v>14</v>
      </c>
      <c r="G1841" t="s">
        <v>68</v>
      </c>
      <c r="H1841" t="s">
        <v>213</v>
      </c>
      <c r="I1841">
        <v>2413.2199999999998</v>
      </c>
      <c r="J1841">
        <v>2418.59</v>
      </c>
      <c r="K1841" t="s">
        <v>17</v>
      </c>
      <c r="L1841" t="b">
        <v>0</v>
      </c>
      <c r="N1841" s="2" t="str">
        <f t="shared" si="163"/>
        <v/>
      </c>
      <c r="Q1841" t="str">
        <f t="shared" si="164"/>
        <v/>
      </c>
    </row>
    <row r="1842" spans="1:17" hidden="1">
      <c r="A1842" t="s">
        <v>1947</v>
      </c>
      <c r="B1842" s="1">
        <v>45169</v>
      </c>
      <c r="C1842">
        <v>2023</v>
      </c>
      <c r="D1842">
        <v>8</v>
      </c>
      <c r="E1842" t="s">
        <v>13</v>
      </c>
      <c r="F1842" t="s">
        <v>14</v>
      </c>
      <c r="G1842" t="s">
        <v>108</v>
      </c>
      <c r="H1842" t="s">
        <v>109</v>
      </c>
      <c r="I1842">
        <v>3808.01</v>
      </c>
      <c r="J1842">
        <v>3778.23</v>
      </c>
      <c r="K1842" t="s">
        <v>17</v>
      </c>
      <c r="L1842" t="b">
        <v>0</v>
      </c>
      <c r="N1842" s="2" t="str">
        <f t="shared" si="163"/>
        <v/>
      </c>
      <c r="Q1842" t="str">
        <f t="shared" si="164"/>
        <v/>
      </c>
    </row>
    <row r="1843" spans="1:17" hidden="1">
      <c r="A1843" t="s">
        <v>1948</v>
      </c>
      <c r="B1843" s="1">
        <v>45169</v>
      </c>
      <c r="C1843">
        <v>2023</v>
      </c>
      <c r="D1843">
        <v>8</v>
      </c>
      <c r="E1843" t="s">
        <v>13</v>
      </c>
      <c r="F1843" t="s">
        <v>28</v>
      </c>
      <c r="G1843" t="s">
        <v>15</v>
      </c>
      <c r="H1843" t="s">
        <v>16</v>
      </c>
      <c r="I1843">
        <v>3985.26</v>
      </c>
      <c r="J1843">
        <v>3911.76</v>
      </c>
      <c r="K1843" t="s">
        <v>17</v>
      </c>
      <c r="L1843" t="b">
        <v>0</v>
      </c>
      <c r="N1843" s="2" t="str">
        <f t="shared" si="163"/>
        <v/>
      </c>
      <c r="Q1843" t="str">
        <f t="shared" si="164"/>
        <v/>
      </c>
    </row>
    <row r="1844" spans="1:17" hidden="1">
      <c r="A1844" t="s">
        <v>1949</v>
      </c>
      <c r="B1844" s="1">
        <v>45169</v>
      </c>
      <c r="C1844">
        <v>2023</v>
      </c>
      <c r="D1844">
        <v>8</v>
      </c>
      <c r="E1844" t="s">
        <v>13</v>
      </c>
      <c r="F1844" t="s">
        <v>28</v>
      </c>
      <c r="G1844" t="s">
        <v>68</v>
      </c>
      <c r="H1844" t="s">
        <v>69</v>
      </c>
      <c r="I1844">
        <v>3038.85</v>
      </c>
      <c r="J1844">
        <v>3097.23</v>
      </c>
      <c r="K1844" t="s">
        <v>17</v>
      </c>
      <c r="L1844" t="b">
        <v>0</v>
      </c>
      <c r="N1844" s="2" t="str">
        <f t="shared" si="163"/>
        <v/>
      </c>
      <c r="Q1844" t="str">
        <f t="shared" si="164"/>
        <v/>
      </c>
    </row>
    <row r="1845" spans="1:17" hidden="1">
      <c r="A1845" t="s">
        <v>1950</v>
      </c>
      <c r="B1845" s="1">
        <v>45169</v>
      </c>
      <c r="C1845">
        <v>2023</v>
      </c>
      <c r="D1845">
        <v>8</v>
      </c>
      <c r="E1845" t="s">
        <v>13</v>
      </c>
      <c r="F1845" t="s">
        <v>24</v>
      </c>
      <c r="G1845" t="s">
        <v>108</v>
      </c>
      <c r="H1845" t="s">
        <v>109</v>
      </c>
      <c r="I1845">
        <v>4889.66</v>
      </c>
      <c r="J1845">
        <v>4767.24</v>
      </c>
      <c r="K1845" t="s">
        <v>17</v>
      </c>
      <c r="L1845" t="b">
        <v>0</v>
      </c>
      <c r="N1845" s="2" t="str">
        <f t="shared" si="163"/>
        <v/>
      </c>
      <c r="Q1845" t="str">
        <f t="shared" si="164"/>
        <v/>
      </c>
    </row>
    <row r="1846" spans="1:17" hidden="1">
      <c r="A1846" t="s">
        <v>1951</v>
      </c>
      <c r="B1846" s="1">
        <v>45169</v>
      </c>
      <c r="C1846">
        <v>2023</v>
      </c>
      <c r="D1846">
        <v>8</v>
      </c>
      <c r="E1846" t="s">
        <v>13</v>
      </c>
      <c r="F1846" t="s">
        <v>24</v>
      </c>
      <c r="G1846" t="s">
        <v>102</v>
      </c>
      <c r="H1846" t="s">
        <v>145</v>
      </c>
      <c r="I1846">
        <v>4232.95</v>
      </c>
      <c r="J1846">
        <v>4448.47</v>
      </c>
      <c r="K1846" t="s">
        <v>17</v>
      </c>
      <c r="L1846" t="b">
        <v>0</v>
      </c>
      <c r="N1846" s="2" t="str">
        <f t="shared" si="163"/>
        <v/>
      </c>
      <c r="Q1846" t="str">
        <f t="shared" si="164"/>
        <v/>
      </c>
    </row>
    <row r="1847" spans="1:17" hidden="1">
      <c r="A1847" t="s">
        <v>1952</v>
      </c>
      <c r="B1847" s="1">
        <v>45169</v>
      </c>
      <c r="C1847">
        <v>2023</v>
      </c>
      <c r="D1847">
        <v>8</v>
      </c>
      <c r="E1847" t="s">
        <v>47</v>
      </c>
      <c r="F1847" t="s">
        <v>24</v>
      </c>
      <c r="G1847" t="s">
        <v>91</v>
      </c>
      <c r="H1847" t="s">
        <v>92</v>
      </c>
      <c r="I1847">
        <v>15327.68</v>
      </c>
      <c r="J1847">
        <v>13263.75</v>
      </c>
      <c r="K1847" t="s">
        <v>17</v>
      </c>
      <c r="L1847" t="b">
        <v>0</v>
      </c>
      <c r="N1847" s="2" t="b">
        <f t="shared" si="163"/>
        <v>1</v>
      </c>
      <c r="O1847" t="b">
        <f>IF(AND(E1836="HR",K1836="EXPENSE"),I1836&lt;J1836,"")</f>
        <v>1</v>
      </c>
      <c r="Q1847" t="str">
        <f t="shared" si="164"/>
        <v/>
      </c>
    </row>
    <row r="1848" spans="1:17" hidden="1">
      <c r="A1848" t="s">
        <v>1953</v>
      </c>
      <c r="B1848" s="1">
        <v>45169</v>
      </c>
      <c r="C1848">
        <v>2023</v>
      </c>
      <c r="D1848">
        <v>8</v>
      </c>
      <c r="E1848" t="s">
        <v>19</v>
      </c>
      <c r="F1848" t="s">
        <v>24</v>
      </c>
      <c r="G1848" t="s">
        <v>20</v>
      </c>
      <c r="H1848" t="s">
        <v>136</v>
      </c>
      <c r="I1848">
        <v>6434.93</v>
      </c>
      <c r="J1848">
        <v>7003.1</v>
      </c>
      <c r="K1848" t="s">
        <v>17</v>
      </c>
      <c r="L1848" t="b">
        <v>0</v>
      </c>
      <c r="N1848" s="2" t="str">
        <f t="shared" si="163"/>
        <v/>
      </c>
      <c r="Q1848" t="str">
        <f t="shared" si="164"/>
        <v/>
      </c>
    </row>
    <row r="1849" spans="1:17" hidden="1">
      <c r="A1849" t="s">
        <v>1954</v>
      </c>
      <c r="B1849" s="1">
        <v>45170</v>
      </c>
      <c r="C1849">
        <v>2023</v>
      </c>
      <c r="D1849">
        <v>9</v>
      </c>
      <c r="E1849" t="s">
        <v>13</v>
      </c>
      <c r="F1849" t="s">
        <v>24</v>
      </c>
      <c r="G1849" t="s">
        <v>15</v>
      </c>
      <c r="H1849" t="s">
        <v>16</v>
      </c>
      <c r="I1849">
        <v>5495.83</v>
      </c>
      <c r="J1849">
        <v>4953.05</v>
      </c>
      <c r="K1849" t="s">
        <v>17</v>
      </c>
      <c r="L1849" t="b">
        <v>0</v>
      </c>
      <c r="N1849" s="2" t="str">
        <f t="shared" si="163"/>
        <v/>
      </c>
      <c r="Q1849" t="str">
        <f t="shared" si="164"/>
        <v/>
      </c>
    </row>
    <row r="1850" spans="1:17" hidden="1">
      <c r="A1850" t="s">
        <v>1955</v>
      </c>
      <c r="B1850" s="1">
        <v>45170</v>
      </c>
      <c r="C1850">
        <v>2023</v>
      </c>
      <c r="D1850">
        <v>9</v>
      </c>
      <c r="E1850" t="s">
        <v>47</v>
      </c>
      <c r="F1850" t="s">
        <v>28</v>
      </c>
      <c r="G1850" t="s">
        <v>77</v>
      </c>
      <c r="H1850" t="s">
        <v>78</v>
      </c>
      <c r="I1850">
        <v>10244.459999999999</v>
      </c>
      <c r="J1850">
        <v>8715.52</v>
      </c>
      <c r="K1850" t="s">
        <v>17</v>
      </c>
      <c r="L1850" t="b">
        <v>0</v>
      </c>
      <c r="N1850" s="2" t="b">
        <f t="shared" si="163"/>
        <v>1</v>
      </c>
      <c r="O1850" t="str">
        <f t="shared" ref="O1850:O1852" si="168">IF(AND(E1839="HR",K1839="EXPENSE"),I1839&lt;J1839,"")</f>
        <v/>
      </c>
      <c r="Q1850" t="str">
        <f t="shared" si="164"/>
        <v/>
      </c>
    </row>
    <row r="1851" spans="1:17" hidden="1">
      <c r="A1851" t="s">
        <v>1956</v>
      </c>
      <c r="B1851" s="1">
        <v>45170</v>
      </c>
      <c r="C1851">
        <v>2023</v>
      </c>
      <c r="D1851">
        <v>9</v>
      </c>
      <c r="E1851" t="s">
        <v>47</v>
      </c>
      <c r="F1851" t="s">
        <v>24</v>
      </c>
      <c r="G1851" t="s">
        <v>48</v>
      </c>
      <c r="H1851" t="s">
        <v>111</v>
      </c>
      <c r="I1851">
        <v>11664.53</v>
      </c>
      <c r="J1851">
        <v>9787.2199999999993</v>
      </c>
      <c r="K1851" t="s">
        <v>17</v>
      </c>
      <c r="L1851" t="b">
        <v>0</v>
      </c>
      <c r="N1851" s="2" t="b">
        <f t="shared" si="163"/>
        <v>1</v>
      </c>
      <c r="O1851" t="b">
        <f t="shared" si="168"/>
        <v>1</v>
      </c>
      <c r="Q1851" t="str">
        <f t="shared" si="164"/>
        <v/>
      </c>
    </row>
    <row r="1852" spans="1:17" hidden="1">
      <c r="A1852" t="s">
        <v>1957</v>
      </c>
      <c r="B1852" s="1">
        <v>45170</v>
      </c>
      <c r="C1852">
        <v>2023</v>
      </c>
      <c r="D1852">
        <v>9</v>
      </c>
      <c r="E1852" t="s">
        <v>47</v>
      </c>
      <c r="F1852" t="s">
        <v>24</v>
      </c>
      <c r="G1852" t="s">
        <v>77</v>
      </c>
      <c r="H1852" t="s">
        <v>78</v>
      </c>
      <c r="I1852">
        <v>15664.42</v>
      </c>
      <c r="J1852">
        <v>12952.99</v>
      </c>
      <c r="K1852" t="s">
        <v>17</v>
      </c>
      <c r="L1852" t="b">
        <v>0</v>
      </c>
      <c r="N1852" s="2" t="b">
        <f t="shared" si="163"/>
        <v>1</v>
      </c>
      <c r="O1852" t="b">
        <f t="shared" si="168"/>
        <v>1</v>
      </c>
      <c r="Q1852" t="str">
        <f t="shared" si="164"/>
        <v/>
      </c>
    </row>
    <row r="1853" spans="1:17" hidden="1">
      <c r="A1853" t="s">
        <v>1958</v>
      </c>
      <c r="B1853" s="1">
        <v>45170</v>
      </c>
      <c r="C1853">
        <v>2023</v>
      </c>
      <c r="D1853">
        <v>9</v>
      </c>
      <c r="E1853" t="s">
        <v>19</v>
      </c>
      <c r="F1853" t="s">
        <v>28</v>
      </c>
      <c r="G1853" t="s">
        <v>80</v>
      </c>
      <c r="H1853" t="s">
        <v>150</v>
      </c>
      <c r="I1853">
        <v>6025.1</v>
      </c>
      <c r="J1853">
        <v>6027.95</v>
      </c>
      <c r="K1853" t="s">
        <v>17</v>
      </c>
      <c r="L1853" t="b">
        <v>0</v>
      </c>
      <c r="N1853" s="2" t="str">
        <f t="shared" si="163"/>
        <v/>
      </c>
      <c r="Q1853" t="str">
        <f t="shared" si="164"/>
        <v/>
      </c>
    </row>
    <row r="1854" spans="1:17" hidden="1">
      <c r="A1854" t="s">
        <v>1959</v>
      </c>
      <c r="B1854" s="1">
        <v>45170</v>
      </c>
      <c r="C1854">
        <v>2023</v>
      </c>
      <c r="D1854">
        <v>9</v>
      </c>
      <c r="E1854" t="s">
        <v>23</v>
      </c>
      <c r="F1854" t="s">
        <v>24</v>
      </c>
      <c r="G1854" t="s">
        <v>141</v>
      </c>
      <c r="H1854" t="s">
        <v>153</v>
      </c>
      <c r="I1854">
        <v>6967.08</v>
      </c>
      <c r="J1854">
        <v>6359.68</v>
      </c>
      <c r="K1854" t="s">
        <v>17</v>
      </c>
      <c r="L1854" t="b">
        <v>0</v>
      </c>
      <c r="N1854" s="2" t="str">
        <f t="shared" si="163"/>
        <v/>
      </c>
      <c r="Q1854" t="str">
        <f t="shared" si="164"/>
        <v/>
      </c>
    </row>
    <row r="1855" spans="1:17" hidden="1">
      <c r="A1855" t="s">
        <v>1960</v>
      </c>
      <c r="B1855" s="1">
        <v>45170</v>
      </c>
      <c r="C1855">
        <v>2023</v>
      </c>
      <c r="D1855">
        <v>9</v>
      </c>
      <c r="E1855" t="s">
        <v>37</v>
      </c>
      <c r="F1855" t="s">
        <v>24</v>
      </c>
      <c r="G1855" t="s">
        <v>41</v>
      </c>
      <c r="H1855" t="s">
        <v>42</v>
      </c>
      <c r="I1855">
        <v>3067.59</v>
      </c>
      <c r="J1855">
        <v>3230.37</v>
      </c>
      <c r="K1855" t="s">
        <v>17</v>
      </c>
      <c r="L1855" t="b">
        <v>0</v>
      </c>
      <c r="N1855" s="2" t="str">
        <f t="shared" si="163"/>
        <v/>
      </c>
      <c r="Q1855" t="str">
        <f t="shared" si="164"/>
        <v/>
      </c>
    </row>
    <row r="1856" spans="1:17" hidden="1">
      <c r="A1856" t="s">
        <v>1961</v>
      </c>
      <c r="B1856" s="1">
        <v>45171</v>
      </c>
      <c r="C1856">
        <v>2023</v>
      </c>
      <c r="D1856">
        <v>9</v>
      </c>
      <c r="E1856" t="s">
        <v>13</v>
      </c>
      <c r="F1856" t="s">
        <v>14</v>
      </c>
      <c r="G1856" t="s">
        <v>15</v>
      </c>
      <c r="H1856" t="s">
        <v>89</v>
      </c>
      <c r="I1856">
        <v>4432.0600000000004</v>
      </c>
      <c r="J1856">
        <v>4721.45</v>
      </c>
      <c r="K1856" t="s">
        <v>17</v>
      </c>
      <c r="L1856" t="b">
        <v>0</v>
      </c>
      <c r="N1856" s="2" t="str">
        <f t="shared" si="163"/>
        <v/>
      </c>
      <c r="Q1856" t="str">
        <f t="shared" si="164"/>
        <v/>
      </c>
    </row>
    <row r="1857" spans="1:17" hidden="1">
      <c r="A1857" t="s">
        <v>1962</v>
      </c>
      <c r="B1857" s="1">
        <v>45171</v>
      </c>
      <c r="C1857">
        <v>2023</v>
      </c>
      <c r="D1857">
        <v>9</v>
      </c>
      <c r="E1857" t="s">
        <v>47</v>
      </c>
      <c r="F1857" t="s">
        <v>14</v>
      </c>
      <c r="G1857" t="s">
        <v>77</v>
      </c>
      <c r="H1857" t="s">
        <v>78</v>
      </c>
      <c r="I1857">
        <v>16084.22</v>
      </c>
      <c r="J1857">
        <v>13459.65</v>
      </c>
      <c r="K1857" t="s">
        <v>17</v>
      </c>
      <c r="L1857" t="b">
        <v>0</v>
      </c>
      <c r="N1857" s="2" t="b">
        <f t="shared" si="163"/>
        <v>1</v>
      </c>
      <c r="O1857" t="b">
        <f t="shared" ref="O1857:O1858" si="169">IF(AND(E1846="HR",K1846="EXPENSE"),I1846&lt;J1846,"")</f>
        <v>1</v>
      </c>
      <c r="Q1857" t="str">
        <f t="shared" si="164"/>
        <v/>
      </c>
    </row>
    <row r="1858" spans="1:17" hidden="1">
      <c r="A1858" t="s">
        <v>1963</v>
      </c>
      <c r="B1858" s="1">
        <v>45171</v>
      </c>
      <c r="C1858">
        <v>2023</v>
      </c>
      <c r="D1858">
        <v>9</v>
      </c>
      <c r="E1858" t="s">
        <v>47</v>
      </c>
      <c r="F1858" t="s">
        <v>14</v>
      </c>
      <c r="G1858" t="s">
        <v>51</v>
      </c>
      <c r="H1858" t="s">
        <v>189</v>
      </c>
      <c r="I1858">
        <v>13851.07</v>
      </c>
      <c r="J1858">
        <v>11699.82</v>
      </c>
      <c r="K1858" t="s">
        <v>17</v>
      </c>
      <c r="L1858" t="b">
        <v>0</v>
      </c>
      <c r="N1858" s="2" t="b">
        <f t="shared" si="163"/>
        <v>1</v>
      </c>
      <c r="O1858" t="str">
        <f t="shared" si="169"/>
        <v/>
      </c>
      <c r="Q1858" t="str">
        <f t="shared" si="164"/>
        <v/>
      </c>
    </row>
    <row r="1859" spans="1:17" hidden="1">
      <c r="A1859" t="s">
        <v>1964</v>
      </c>
      <c r="B1859" s="1">
        <v>45171</v>
      </c>
      <c r="C1859">
        <v>2023</v>
      </c>
      <c r="D1859">
        <v>9</v>
      </c>
      <c r="E1859" t="s">
        <v>19</v>
      </c>
      <c r="F1859" t="s">
        <v>28</v>
      </c>
      <c r="G1859" t="s">
        <v>132</v>
      </c>
      <c r="H1859" t="s">
        <v>171</v>
      </c>
      <c r="I1859">
        <v>6165.31</v>
      </c>
      <c r="J1859">
        <v>5654.09</v>
      </c>
      <c r="K1859" t="s">
        <v>17</v>
      </c>
      <c r="L1859" t="b">
        <v>0</v>
      </c>
      <c r="N1859" s="2" t="str">
        <f t="shared" ref="N1859:N1922" si="170">IF(AND(E1859="IT",K1859="EXPENSE"),I1859&gt;J1859,"")</f>
        <v/>
      </c>
      <c r="Q1859" t="str">
        <f t="shared" ref="Q1859:Q1922" si="171">IF(L1859=TRUE,OR(H1859="Apex Solutions Inc",H1859="Global Trade Partners",H1859="NovaTech Services"),"")</f>
        <v/>
      </c>
    </row>
    <row r="1860" spans="1:17" hidden="1">
      <c r="A1860" t="s">
        <v>1965</v>
      </c>
      <c r="B1860" s="1">
        <v>45171</v>
      </c>
      <c r="C1860">
        <v>2023</v>
      </c>
      <c r="D1860">
        <v>9</v>
      </c>
      <c r="E1860" t="s">
        <v>37</v>
      </c>
      <c r="F1860" t="s">
        <v>14</v>
      </c>
      <c r="G1860" t="s">
        <v>41</v>
      </c>
      <c r="H1860" t="s">
        <v>42</v>
      </c>
      <c r="I1860">
        <v>7192.02</v>
      </c>
      <c r="J1860">
        <v>6587.48</v>
      </c>
      <c r="K1860" t="s">
        <v>17</v>
      </c>
      <c r="L1860" t="b">
        <v>0</v>
      </c>
      <c r="N1860" s="2" t="str">
        <f t="shared" si="170"/>
        <v/>
      </c>
      <c r="Q1860" t="str">
        <f t="shared" si="171"/>
        <v/>
      </c>
    </row>
    <row r="1861" spans="1:17" hidden="1">
      <c r="A1861" t="s">
        <v>1966</v>
      </c>
      <c r="B1861" s="1">
        <v>45171</v>
      </c>
      <c r="C1861">
        <v>2023</v>
      </c>
      <c r="D1861">
        <v>9</v>
      </c>
      <c r="E1861" t="s">
        <v>37</v>
      </c>
      <c r="F1861" t="s">
        <v>24</v>
      </c>
      <c r="G1861" t="s">
        <v>98</v>
      </c>
      <c r="H1861" t="s">
        <v>185</v>
      </c>
      <c r="I1861">
        <v>3665.91</v>
      </c>
      <c r="J1861">
        <v>3853.75</v>
      </c>
      <c r="K1861" t="s">
        <v>17</v>
      </c>
      <c r="L1861" t="b">
        <v>0</v>
      </c>
      <c r="N1861" s="2" t="str">
        <f t="shared" si="170"/>
        <v/>
      </c>
      <c r="Q1861" t="str">
        <f t="shared" si="171"/>
        <v/>
      </c>
    </row>
    <row r="1862" spans="1:17" hidden="1">
      <c r="A1862" t="s">
        <v>1967</v>
      </c>
      <c r="B1862" s="1">
        <v>45172</v>
      </c>
      <c r="C1862">
        <v>2023</v>
      </c>
      <c r="D1862">
        <v>9</v>
      </c>
      <c r="E1862" t="s">
        <v>13</v>
      </c>
      <c r="F1862" t="s">
        <v>28</v>
      </c>
      <c r="G1862" t="s">
        <v>15</v>
      </c>
      <c r="H1862" t="s">
        <v>89</v>
      </c>
      <c r="I1862">
        <v>3589.71</v>
      </c>
      <c r="J1862">
        <v>3327.25</v>
      </c>
      <c r="K1862" t="s">
        <v>17</v>
      </c>
      <c r="L1862" t="b">
        <v>0</v>
      </c>
      <c r="N1862" s="2" t="str">
        <f t="shared" si="170"/>
        <v/>
      </c>
      <c r="Q1862" t="str">
        <f t="shared" si="171"/>
        <v/>
      </c>
    </row>
    <row r="1863" spans="1:17" hidden="1">
      <c r="A1863" t="s">
        <v>1968</v>
      </c>
      <c r="B1863" s="1">
        <v>45172</v>
      </c>
      <c r="C1863">
        <v>2023</v>
      </c>
      <c r="D1863">
        <v>9</v>
      </c>
      <c r="E1863" t="s">
        <v>19</v>
      </c>
      <c r="F1863" t="s">
        <v>14</v>
      </c>
      <c r="G1863" t="s">
        <v>54</v>
      </c>
      <c r="H1863" t="s">
        <v>57</v>
      </c>
      <c r="I1863">
        <v>5819.45</v>
      </c>
      <c r="J1863">
        <v>5744.26</v>
      </c>
      <c r="K1863" t="s">
        <v>17</v>
      </c>
      <c r="L1863" t="b">
        <v>0</v>
      </c>
      <c r="N1863" s="2" t="str">
        <f t="shared" si="170"/>
        <v/>
      </c>
      <c r="Q1863" t="str">
        <f t="shared" si="171"/>
        <v/>
      </c>
    </row>
    <row r="1864" spans="1:17" hidden="1">
      <c r="A1864" t="s">
        <v>1969</v>
      </c>
      <c r="B1864" s="1">
        <v>45172</v>
      </c>
      <c r="C1864">
        <v>2023</v>
      </c>
      <c r="D1864">
        <v>9</v>
      </c>
      <c r="E1864" t="s">
        <v>23</v>
      </c>
      <c r="F1864" t="s">
        <v>24</v>
      </c>
      <c r="G1864" t="s">
        <v>141</v>
      </c>
      <c r="H1864" t="s">
        <v>142</v>
      </c>
      <c r="I1864">
        <v>7811.88</v>
      </c>
      <c r="J1864">
        <v>8149.32</v>
      </c>
      <c r="K1864" t="s">
        <v>17</v>
      </c>
      <c r="L1864" t="b">
        <v>0</v>
      </c>
      <c r="N1864" s="2" t="str">
        <f t="shared" si="170"/>
        <v/>
      </c>
      <c r="Q1864" t="str">
        <f t="shared" si="171"/>
        <v/>
      </c>
    </row>
    <row r="1865" spans="1:17" hidden="1">
      <c r="A1865" t="s">
        <v>1970</v>
      </c>
      <c r="B1865" s="1">
        <v>45173</v>
      </c>
      <c r="C1865">
        <v>2023</v>
      </c>
      <c r="D1865">
        <v>9</v>
      </c>
      <c r="E1865" t="s">
        <v>19</v>
      </c>
      <c r="F1865" t="s">
        <v>28</v>
      </c>
      <c r="G1865" t="s">
        <v>132</v>
      </c>
      <c r="H1865" t="s">
        <v>171</v>
      </c>
      <c r="I1865">
        <v>7205.41</v>
      </c>
      <c r="J1865">
        <v>7814.48</v>
      </c>
      <c r="K1865" t="s">
        <v>17</v>
      </c>
      <c r="L1865" t="b">
        <v>0</v>
      </c>
      <c r="N1865" s="2" t="str">
        <f t="shared" si="170"/>
        <v/>
      </c>
      <c r="Q1865" t="str">
        <f t="shared" si="171"/>
        <v/>
      </c>
    </row>
    <row r="1866" spans="1:17" hidden="1">
      <c r="A1866" t="s">
        <v>1971</v>
      </c>
      <c r="B1866" s="1">
        <v>45173</v>
      </c>
      <c r="C1866">
        <v>2023</v>
      </c>
      <c r="D1866">
        <v>9</v>
      </c>
      <c r="E1866" t="s">
        <v>37</v>
      </c>
      <c r="F1866" t="s">
        <v>14</v>
      </c>
      <c r="G1866" t="s">
        <v>38</v>
      </c>
      <c r="H1866" t="s">
        <v>39</v>
      </c>
      <c r="I1866">
        <v>6527.18</v>
      </c>
      <c r="J1866">
        <v>6671.25</v>
      </c>
      <c r="K1866" t="s">
        <v>17</v>
      </c>
      <c r="L1866" t="b">
        <v>0</v>
      </c>
      <c r="N1866" s="2" t="str">
        <f t="shared" si="170"/>
        <v/>
      </c>
      <c r="Q1866" t="str">
        <f t="shared" si="171"/>
        <v/>
      </c>
    </row>
    <row r="1867" spans="1:17" hidden="1">
      <c r="A1867" t="s">
        <v>1972</v>
      </c>
      <c r="B1867" s="1">
        <v>45173</v>
      </c>
      <c r="C1867">
        <v>2023</v>
      </c>
      <c r="D1867">
        <v>9</v>
      </c>
      <c r="E1867" t="s">
        <v>37</v>
      </c>
      <c r="F1867" t="s">
        <v>14</v>
      </c>
      <c r="G1867" t="s">
        <v>62</v>
      </c>
      <c r="H1867" t="s">
        <v>63</v>
      </c>
      <c r="I1867">
        <v>3709.64</v>
      </c>
      <c r="J1867">
        <v>3753.57</v>
      </c>
      <c r="K1867" t="s">
        <v>17</v>
      </c>
      <c r="L1867" t="b">
        <v>0</v>
      </c>
      <c r="N1867" s="2" t="str">
        <f t="shared" si="170"/>
        <v/>
      </c>
      <c r="Q1867" t="str">
        <f t="shared" si="171"/>
        <v/>
      </c>
    </row>
    <row r="1868" spans="1:17" hidden="1">
      <c r="A1868" t="s">
        <v>1973</v>
      </c>
      <c r="B1868" s="1">
        <v>45173</v>
      </c>
      <c r="C1868">
        <v>2023</v>
      </c>
      <c r="D1868">
        <v>9</v>
      </c>
      <c r="E1868" t="s">
        <v>37</v>
      </c>
      <c r="F1868" t="s">
        <v>14</v>
      </c>
      <c r="G1868" t="s">
        <v>41</v>
      </c>
      <c r="H1868" t="s">
        <v>42</v>
      </c>
      <c r="I1868">
        <v>4097.6000000000004</v>
      </c>
      <c r="J1868">
        <v>3700.97</v>
      </c>
      <c r="K1868" t="s">
        <v>17</v>
      </c>
      <c r="L1868" t="b">
        <v>0</v>
      </c>
      <c r="N1868" s="2" t="str">
        <f t="shared" si="170"/>
        <v/>
      </c>
      <c r="Q1868" t="str">
        <f t="shared" si="171"/>
        <v/>
      </c>
    </row>
    <row r="1869" spans="1:17" hidden="1">
      <c r="A1869" t="s">
        <v>1974</v>
      </c>
      <c r="B1869" s="1">
        <v>45174</v>
      </c>
      <c r="C1869">
        <v>2023</v>
      </c>
      <c r="D1869">
        <v>9</v>
      </c>
      <c r="E1869" t="s">
        <v>13</v>
      </c>
      <c r="F1869" t="s">
        <v>14</v>
      </c>
      <c r="G1869" t="s">
        <v>68</v>
      </c>
      <c r="H1869" t="s">
        <v>213</v>
      </c>
      <c r="I1869">
        <v>4095.97</v>
      </c>
      <c r="J1869">
        <v>3936.15</v>
      </c>
      <c r="K1869" t="s">
        <v>17</v>
      </c>
      <c r="L1869" t="b">
        <v>0</v>
      </c>
      <c r="N1869" s="2" t="str">
        <f t="shared" si="170"/>
        <v/>
      </c>
      <c r="Q1869" t="str">
        <f t="shared" si="171"/>
        <v/>
      </c>
    </row>
    <row r="1870" spans="1:17" hidden="1">
      <c r="A1870" t="s">
        <v>1975</v>
      </c>
      <c r="B1870" s="1">
        <v>45174</v>
      </c>
      <c r="C1870">
        <v>2023</v>
      </c>
      <c r="D1870">
        <v>9</v>
      </c>
      <c r="E1870" t="s">
        <v>13</v>
      </c>
      <c r="F1870" t="s">
        <v>28</v>
      </c>
      <c r="G1870" t="s">
        <v>102</v>
      </c>
      <c r="H1870" t="s">
        <v>278</v>
      </c>
      <c r="I1870">
        <v>3218.78</v>
      </c>
      <c r="J1870">
        <v>3209.28</v>
      </c>
      <c r="K1870" t="s">
        <v>17</v>
      </c>
      <c r="L1870" t="b">
        <v>0</v>
      </c>
      <c r="N1870" s="2" t="str">
        <f t="shared" si="170"/>
        <v/>
      </c>
      <c r="Q1870" t="str">
        <f t="shared" si="171"/>
        <v/>
      </c>
    </row>
    <row r="1871" spans="1:17" hidden="1">
      <c r="A1871" t="s">
        <v>1976</v>
      </c>
      <c r="B1871" s="1">
        <v>45174</v>
      </c>
      <c r="C1871">
        <v>2023</v>
      </c>
      <c r="D1871">
        <v>9</v>
      </c>
      <c r="E1871" t="s">
        <v>13</v>
      </c>
      <c r="F1871" t="s">
        <v>24</v>
      </c>
      <c r="G1871" t="s">
        <v>102</v>
      </c>
      <c r="H1871" t="s">
        <v>278</v>
      </c>
      <c r="I1871">
        <v>4727.9799999999996</v>
      </c>
      <c r="J1871">
        <v>4519.01</v>
      </c>
      <c r="K1871" t="s">
        <v>17</v>
      </c>
      <c r="L1871" t="b">
        <v>0</v>
      </c>
      <c r="N1871" s="2" t="str">
        <f t="shared" si="170"/>
        <v/>
      </c>
      <c r="Q1871" t="str">
        <f t="shared" si="171"/>
        <v/>
      </c>
    </row>
    <row r="1872" spans="1:17" hidden="1">
      <c r="A1872" t="s">
        <v>1977</v>
      </c>
      <c r="B1872" s="1">
        <v>45174</v>
      </c>
      <c r="C1872">
        <v>2023</v>
      </c>
      <c r="D1872">
        <v>9</v>
      </c>
      <c r="E1872" t="s">
        <v>47</v>
      </c>
      <c r="F1872" t="s">
        <v>14</v>
      </c>
      <c r="G1872" t="s">
        <v>77</v>
      </c>
      <c r="H1872" t="s">
        <v>78</v>
      </c>
      <c r="I1872">
        <v>16988.310000000001</v>
      </c>
      <c r="J1872">
        <v>14700.34</v>
      </c>
      <c r="K1872" t="s">
        <v>17</v>
      </c>
      <c r="L1872" t="b">
        <v>0</v>
      </c>
      <c r="N1872" s="2" t="b">
        <f t="shared" si="170"/>
        <v>1</v>
      </c>
      <c r="O1872" t="str">
        <f t="shared" ref="O1872:O1876" si="172">IF(AND(E1861="HR",K1861="EXPENSE"),I1861&lt;J1861,"")</f>
        <v/>
      </c>
      <c r="Q1872" t="str">
        <f t="shared" si="171"/>
        <v/>
      </c>
    </row>
    <row r="1873" spans="1:17" hidden="1">
      <c r="A1873" t="s">
        <v>1978</v>
      </c>
      <c r="B1873" s="1">
        <v>45174</v>
      </c>
      <c r="C1873">
        <v>2023</v>
      </c>
      <c r="D1873">
        <v>9</v>
      </c>
      <c r="E1873" t="s">
        <v>47</v>
      </c>
      <c r="F1873" t="s">
        <v>14</v>
      </c>
      <c r="G1873" t="s">
        <v>91</v>
      </c>
      <c r="H1873" t="s">
        <v>254</v>
      </c>
      <c r="I1873">
        <v>19630.84</v>
      </c>
      <c r="J1873">
        <v>16513.439999999999</v>
      </c>
      <c r="K1873" t="s">
        <v>17</v>
      </c>
      <c r="L1873" t="b">
        <v>0</v>
      </c>
      <c r="N1873" s="2" t="b">
        <f t="shared" si="170"/>
        <v>1</v>
      </c>
      <c r="O1873" t="b">
        <f t="shared" si="172"/>
        <v>0</v>
      </c>
      <c r="Q1873" t="str">
        <f t="shared" si="171"/>
        <v/>
      </c>
    </row>
    <row r="1874" spans="1:17" hidden="1">
      <c r="A1874" t="s">
        <v>1979</v>
      </c>
      <c r="B1874" s="1">
        <v>45174</v>
      </c>
      <c r="C1874">
        <v>2023</v>
      </c>
      <c r="D1874">
        <v>9</v>
      </c>
      <c r="E1874" t="s">
        <v>47</v>
      </c>
      <c r="F1874" t="s">
        <v>24</v>
      </c>
      <c r="G1874" t="s">
        <v>48</v>
      </c>
      <c r="H1874" t="s">
        <v>189</v>
      </c>
      <c r="I1874">
        <v>11815.89</v>
      </c>
      <c r="J1874">
        <v>10125.32</v>
      </c>
      <c r="K1874" t="s">
        <v>17</v>
      </c>
      <c r="L1874" t="b">
        <v>0</v>
      </c>
      <c r="N1874" s="2" t="b">
        <f t="shared" si="170"/>
        <v>1</v>
      </c>
      <c r="O1874" t="str">
        <f t="shared" si="172"/>
        <v/>
      </c>
      <c r="Q1874" t="str">
        <f t="shared" si="171"/>
        <v/>
      </c>
    </row>
    <row r="1875" spans="1:17" hidden="1">
      <c r="A1875" t="s">
        <v>1980</v>
      </c>
      <c r="B1875" s="1">
        <v>45174</v>
      </c>
      <c r="C1875">
        <v>2023</v>
      </c>
      <c r="D1875">
        <v>9</v>
      </c>
      <c r="E1875" t="s">
        <v>47</v>
      </c>
      <c r="F1875" t="s">
        <v>24</v>
      </c>
      <c r="G1875" t="s">
        <v>91</v>
      </c>
      <c r="H1875" t="s">
        <v>249</v>
      </c>
      <c r="I1875">
        <v>14793.96</v>
      </c>
      <c r="J1875">
        <v>12375.82</v>
      </c>
      <c r="K1875" t="s">
        <v>17</v>
      </c>
      <c r="L1875" t="b">
        <v>0</v>
      </c>
      <c r="N1875" s="2" t="b">
        <f t="shared" si="170"/>
        <v>1</v>
      </c>
      <c r="O1875" t="str">
        <f t="shared" si="172"/>
        <v/>
      </c>
      <c r="Q1875" t="str">
        <f t="shared" si="171"/>
        <v/>
      </c>
    </row>
    <row r="1876" spans="1:17" hidden="1">
      <c r="A1876" t="s">
        <v>1981</v>
      </c>
      <c r="B1876" s="1">
        <v>45174</v>
      </c>
      <c r="C1876">
        <v>2023</v>
      </c>
      <c r="D1876">
        <v>9</v>
      </c>
      <c r="E1876" t="s">
        <v>47</v>
      </c>
      <c r="F1876" t="s">
        <v>24</v>
      </c>
      <c r="G1876" t="s">
        <v>51</v>
      </c>
      <c r="H1876" t="s">
        <v>189</v>
      </c>
      <c r="I1876">
        <v>11438.22</v>
      </c>
      <c r="J1876">
        <v>9536.1200000000008</v>
      </c>
      <c r="K1876" t="s">
        <v>17</v>
      </c>
      <c r="L1876" t="b">
        <v>0</v>
      </c>
      <c r="N1876" s="2" t="b">
        <f t="shared" si="170"/>
        <v>1</v>
      </c>
      <c r="O1876" t="str">
        <f t="shared" si="172"/>
        <v/>
      </c>
      <c r="Q1876" t="str">
        <f t="shared" si="171"/>
        <v/>
      </c>
    </row>
    <row r="1877" spans="1:17" hidden="1">
      <c r="A1877" t="s">
        <v>1982</v>
      </c>
      <c r="B1877" s="1">
        <v>45174</v>
      </c>
      <c r="C1877">
        <v>2023</v>
      </c>
      <c r="D1877">
        <v>9</v>
      </c>
      <c r="E1877" t="s">
        <v>23</v>
      </c>
      <c r="F1877" t="s">
        <v>28</v>
      </c>
      <c r="G1877" t="s">
        <v>30</v>
      </c>
      <c r="H1877" t="s">
        <v>106</v>
      </c>
      <c r="I1877">
        <v>4520.38</v>
      </c>
      <c r="J1877">
        <v>4690.1400000000003</v>
      </c>
      <c r="K1877" t="s">
        <v>17</v>
      </c>
      <c r="L1877" t="b">
        <v>0</v>
      </c>
      <c r="N1877" s="2" t="str">
        <f t="shared" si="170"/>
        <v/>
      </c>
      <c r="Q1877" t="str">
        <f t="shared" si="171"/>
        <v/>
      </c>
    </row>
    <row r="1878" spans="1:17" hidden="1">
      <c r="A1878" t="s">
        <v>1983</v>
      </c>
      <c r="B1878" s="1">
        <v>45174</v>
      </c>
      <c r="C1878">
        <v>2023</v>
      </c>
      <c r="D1878">
        <v>9</v>
      </c>
      <c r="E1878" t="s">
        <v>23</v>
      </c>
      <c r="F1878" t="s">
        <v>24</v>
      </c>
      <c r="G1878" t="s">
        <v>141</v>
      </c>
      <c r="H1878" t="s">
        <v>153</v>
      </c>
      <c r="I1878">
        <v>4893.07</v>
      </c>
      <c r="J1878">
        <v>4706.62</v>
      </c>
      <c r="K1878" t="s">
        <v>17</v>
      </c>
      <c r="L1878" t="b">
        <v>0</v>
      </c>
      <c r="N1878" s="2" t="str">
        <f t="shared" si="170"/>
        <v/>
      </c>
      <c r="Q1878" t="str">
        <f t="shared" si="171"/>
        <v/>
      </c>
    </row>
    <row r="1879" spans="1:17" hidden="1">
      <c r="A1879" t="s">
        <v>1984</v>
      </c>
      <c r="B1879" s="1">
        <v>45174</v>
      </c>
      <c r="C1879">
        <v>2023</v>
      </c>
      <c r="D1879">
        <v>9</v>
      </c>
      <c r="E1879" t="s">
        <v>23</v>
      </c>
      <c r="F1879" t="s">
        <v>24</v>
      </c>
      <c r="G1879" t="s">
        <v>141</v>
      </c>
      <c r="H1879" t="s">
        <v>209</v>
      </c>
      <c r="I1879">
        <v>6311.17</v>
      </c>
      <c r="J1879">
        <v>5954.7</v>
      </c>
      <c r="K1879" t="s">
        <v>17</v>
      </c>
      <c r="L1879" t="b">
        <v>0</v>
      </c>
      <c r="N1879" s="2" t="str">
        <f t="shared" si="170"/>
        <v/>
      </c>
      <c r="Q1879" t="str">
        <f t="shared" si="171"/>
        <v/>
      </c>
    </row>
    <row r="1880" spans="1:17" hidden="1">
      <c r="A1880" t="s">
        <v>1985</v>
      </c>
      <c r="B1880" s="1">
        <v>45174</v>
      </c>
      <c r="C1880">
        <v>2023</v>
      </c>
      <c r="D1880">
        <v>9</v>
      </c>
      <c r="E1880" t="s">
        <v>37</v>
      </c>
      <c r="F1880" t="s">
        <v>24</v>
      </c>
      <c r="G1880" t="s">
        <v>41</v>
      </c>
      <c r="H1880" t="s">
        <v>42</v>
      </c>
      <c r="I1880">
        <v>3204.74</v>
      </c>
      <c r="J1880">
        <v>3136.65</v>
      </c>
      <c r="K1880" t="s">
        <v>17</v>
      </c>
      <c r="L1880" t="b">
        <v>0</v>
      </c>
      <c r="N1880" s="2" t="str">
        <f t="shared" si="170"/>
        <v/>
      </c>
      <c r="Q1880" t="str">
        <f t="shared" si="171"/>
        <v/>
      </c>
    </row>
    <row r="1881" spans="1:17" hidden="1">
      <c r="A1881" t="s">
        <v>1986</v>
      </c>
      <c r="B1881" s="1">
        <v>45175</v>
      </c>
      <c r="C1881">
        <v>2023</v>
      </c>
      <c r="D1881">
        <v>9</v>
      </c>
      <c r="E1881" t="s">
        <v>19</v>
      </c>
      <c r="F1881" t="s">
        <v>14</v>
      </c>
      <c r="G1881" t="s">
        <v>132</v>
      </c>
      <c r="H1881" t="s">
        <v>133</v>
      </c>
      <c r="I1881">
        <v>7267.56</v>
      </c>
      <c r="J1881">
        <v>7252.72</v>
      </c>
      <c r="K1881" t="s">
        <v>17</v>
      </c>
      <c r="L1881" t="b">
        <v>0</v>
      </c>
      <c r="N1881" s="2" t="str">
        <f t="shared" si="170"/>
        <v/>
      </c>
      <c r="Q1881" t="str">
        <f t="shared" si="171"/>
        <v/>
      </c>
    </row>
    <row r="1882" spans="1:17" hidden="1">
      <c r="A1882" t="s">
        <v>1987</v>
      </c>
      <c r="B1882" s="1">
        <v>45175</v>
      </c>
      <c r="C1882">
        <v>2023</v>
      </c>
      <c r="D1882">
        <v>9</v>
      </c>
      <c r="E1882" t="s">
        <v>19</v>
      </c>
      <c r="F1882" t="s">
        <v>28</v>
      </c>
      <c r="G1882" t="s">
        <v>132</v>
      </c>
      <c r="H1882" t="s">
        <v>138</v>
      </c>
      <c r="I1882">
        <v>9393.06</v>
      </c>
      <c r="J1882">
        <v>9502.34</v>
      </c>
      <c r="K1882" t="s">
        <v>17</v>
      </c>
      <c r="L1882" t="b">
        <v>0</v>
      </c>
      <c r="N1882" s="2" t="str">
        <f t="shared" si="170"/>
        <v/>
      </c>
      <c r="Q1882" t="str">
        <f t="shared" si="171"/>
        <v/>
      </c>
    </row>
    <row r="1883" spans="1:17" hidden="1">
      <c r="A1883" t="s">
        <v>1988</v>
      </c>
      <c r="B1883" s="1">
        <v>45175</v>
      </c>
      <c r="C1883">
        <v>2023</v>
      </c>
      <c r="D1883">
        <v>9</v>
      </c>
      <c r="E1883" t="s">
        <v>19</v>
      </c>
      <c r="F1883" t="s">
        <v>28</v>
      </c>
      <c r="G1883" t="s">
        <v>54</v>
      </c>
      <c r="H1883" t="s">
        <v>55</v>
      </c>
      <c r="I1883">
        <v>7278.37</v>
      </c>
      <c r="J1883">
        <v>6568</v>
      </c>
      <c r="K1883" t="s">
        <v>17</v>
      </c>
      <c r="L1883" t="b">
        <v>0</v>
      </c>
      <c r="N1883" s="2" t="str">
        <f t="shared" si="170"/>
        <v/>
      </c>
      <c r="Q1883" t="str">
        <f t="shared" si="171"/>
        <v/>
      </c>
    </row>
    <row r="1884" spans="1:17" hidden="1">
      <c r="A1884" t="s">
        <v>1989</v>
      </c>
      <c r="B1884" s="1">
        <v>45175</v>
      </c>
      <c r="C1884">
        <v>2023</v>
      </c>
      <c r="D1884">
        <v>9</v>
      </c>
      <c r="E1884" t="s">
        <v>23</v>
      </c>
      <c r="F1884" t="s">
        <v>14</v>
      </c>
      <c r="G1884" t="s">
        <v>25</v>
      </c>
      <c r="H1884" t="s">
        <v>26</v>
      </c>
      <c r="I1884">
        <v>9696.44</v>
      </c>
      <c r="J1884">
        <v>9912.36</v>
      </c>
      <c r="K1884" t="s">
        <v>17</v>
      </c>
      <c r="L1884" t="b">
        <v>0</v>
      </c>
      <c r="N1884" s="2" t="str">
        <f t="shared" si="170"/>
        <v/>
      </c>
      <c r="Q1884" t="str">
        <f t="shared" si="171"/>
        <v/>
      </c>
    </row>
    <row r="1885" spans="1:17" hidden="1">
      <c r="A1885" t="s">
        <v>1990</v>
      </c>
      <c r="B1885" s="1">
        <v>45175</v>
      </c>
      <c r="C1885">
        <v>2023</v>
      </c>
      <c r="D1885">
        <v>9</v>
      </c>
      <c r="E1885" t="s">
        <v>23</v>
      </c>
      <c r="F1885" t="s">
        <v>28</v>
      </c>
      <c r="G1885" t="s">
        <v>30</v>
      </c>
      <c r="H1885" t="s">
        <v>106</v>
      </c>
      <c r="I1885">
        <v>5576.52</v>
      </c>
      <c r="J1885">
        <v>5819.68</v>
      </c>
      <c r="K1885" t="s">
        <v>17</v>
      </c>
      <c r="L1885" t="b">
        <v>0</v>
      </c>
      <c r="N1885" s="2" t="str">
        <f t="shared" si="170"/>
        <v/>
      </c>
      <c r="Q1885" t="str">
        <f t="shared" si="171"/>
        <v/>
      </c>
    </row>
    <row r="1886" spans="1:17" hidden="1">
      <c r="A1886" t="s">
        <v>1991</v>
      </c>
      <c r="B1886" s="1">
        <v>45175</v>
      </c>
      <c r="C1886">
        <v>2023</v>
      </c>
      <c r="D1886">
        <v>9</v>
      </c>
      <c r="E1886" t="s">
        <v>37</v>
      </c>
      <c r="F1886" t="s">
        <v>28</v>
      </c>
      <c r="G1886" t="s">
        <v>38</v>
      </c>
      <c r="H1886" t="s">
        <v>227</v>
      </c>
      <c r="I1886">
        <v>4499.45</v>
      </c>
      <c r="J1886">
        <v>4127.53</v>
      </c>
      <c r="K1886" t="s">
        <v>17</v>
      </c>
      <c r="L1886" t="b">
        <v>0</v>
      </c>
      <c r="N1886" s="2" t="str">
        <f t="shared" si="170"/>
        <v/>
      </c>
      <c r="Q1886" t="str">
        <f t="shared" si="171"/>
        <v/>
      </c>
    </row>
    <row r="1887" spans="1:17" hidden="1">
      <c r="A1887" t="s">
        <v>1992</v>
      </c>
      <c r="B1887" s="1">
        <v>45176</v>
      </c>
      <c r="C1887">
        <v>2023</v>
      </c>
      <c r="D1887">
        <v>9</v>
      </c>
      <c r="E1887" t="s">
        <v>47</v>
      </c>
      <c r="F1887" t="s">
        <v>24</v>
      </c>
      <c r="G1887" t="s">
        <v>91</v>
      </c>
      <c r="H1887" t="s">
        <v>254</v>
      </c>
      <c r="I1887">
        <v>11377.56</v>
      </c>
      <c r="J1887">
        <v>9869.94</v>
      </c>
      <c r="K1887" t="s">
        <v>17</v>
      </c>
      <c r="L1887" t="b">
        <v>0</v>
      </c>
      <c r="N1887" s="2" t="b">
        <f t="shared" si="170"/>
        <v>1</v>
      </c>
      <c r="O1887" t="str">
        <f t="shared" ref="O1887:O1889" si="173">IF(AND(E1876="HR",K1876="EXPENSE"),I1876&lt;J1876,"")</f>
        <v/>
      </c>
      <c r="Q1887" t="str">
        <f t="shared" si="171"/>
        <v/>
      </c>
    </row>
    <row r="1888" spans="1:17" hidden="1">
      <c r="A1888" t="s">
        <v>1993</v>
      </c>
      <c r="B1888" s="1">
        <v>45176</v>
      </c>
      <c r="C1888">
        <v>2023</v>
      </c>
      <c r="D1888">
        <v>9</v>
      </c>
      <c r="E1888" t="s">
        <v>47</v>
      </c>
      <c r="F1888" t="s">
        <v>24</v>
      </c>
      <c r="G1888" t="s">
        <v>91</v>
      </c>
      <c r="H1888" t="s">
        <v>254</v>
      </c>
      <c r="I1888">
        <v>15761.49</v>
      </c>
      <c r="J1888">
        <v>13243.29</v>
      </c>
      <c r="K1888" t="s">
        <v>17</v>
      </c>
      <c r="L1888" t="b">
        <v>0</v>
      </c>
      <c r="N1888" s="2" t="b">
        <f t="shared" si="170"/>
        <v>1</v>
      </c>
      <c r="O1888" t="str">
        <f t="shared" si="173"/>
        <v/>
      </c>
      <c r="Q1888" t="str">
        <f t="shared" si="171"/>
        <v/>
      </c>
    </row>
    <row r="1889" spans="1:17" hidden="1">
      <c r="A1889" t="s">
        <v>1994</v>
      </c>
      <c r="B1889" s="1">
        <v>45176</v>
      </c>
      <c r="C1889">
        <v>2023</v>
      </c>
      <c r="D1889">
        <v>9</v>
      </c>
      <c r="E1889" t="s">
        <v>47</v>
      </c>
      <c r="F1889" t="s">
        <v>24</v>
      </c>
      <c r="G1889" t="s">
        <v>48</v>
      </c>
      <c r="H1889" t="s">
        <v>75</v>
      </c>
      <c r="I1889">
        <v>8552.86</v>
      </c>
      <c r="J1889">
        <v>7160.37</v>
      </c>
      <c r="K1889" t="s">
        <v>17</v>
      </c>
      <c r="L1889" t="b">
        <v>0</v>
      </c>
      <c r="N1889" s="2" t="b">
        <f t="shared" si="170"/>
        <v>1</v>
      </c>
      <c r="O1889" t="str">
        <f t="shared" si="173"/>
        <v/>
      </c>
      <c r="Q1889" t="str">
        <f t="shared" si="171"/>
        <v/>
      </c>
    </row>
    <row r="1890" spans="1:17" hidden="1">
      <c r="A1890" t="s">
        <v>1995</v>
      </c>
      <c r="B1890" s="1">
        <v>45176</v>
      </c>
      <c r="C1890">
        <v>2023</v>
      </c>
      <c r="D1890">
        <v>9</v>
      </c>
      <c r="E1890" t="s">
        <v>19</v>
      </c>
      <c r="F1890" t="s">
        <v>14</v>
      </c>
      <c r="G1890" t="s">
        <v>80</v>
      </c>
      <c r="H1890" t="s">
        <v>150</v>
      </c>
      <c r="I1890">
        <v>5501.88</v>
      </c>
      <c r="J1890">
        <v>5236.58</v>
      </c>
      <c r="K1890" t="s">
        <v>17</v>
      </c>
      <c r="L1890" t="b">
        <v>0</v>
      </c>
      <c r="N1890" s="2" t="str">
        <f t="shared" si="170"/>
        <v/>
      </c>
      <c r="Q1890" t="str">
        <f t="shared" si="171"/>
        <v/>
      </c>
    </row>
    <row r="1891" spans="1:17" hidden="1">
      <c r="A1891" t="s">
        <v>1996</v>
      </c>
      <c r="B1891" s="1">
        <v>45176</v>
      </c>
      <c r="C1891">
        <v>2023</v>
      </c>
      <c r="D1891">
        <v>9</v>
      </c>
      <c r="E1891" t="s">
        <v>19</v>
      </c>
      <c r="F1891" t="s">
        <v>14</v>
      </c>
      <c r="G1891" t="s">
        <v>54</v>
      </c>
      <c r="H1891" t="s">
        <v>163</v>
      </c>
      <c r="I1891">
        <v>5946.57</v>
      </c>
      <c r="J1891">
        <v>5870.75</v>
      </c>
      <c r="K1891" t="s">
        <v>17</v>
      </c>
      <c r="L1891" t="b">
        <v>0</v>
      </c>
      <c r="N1891" s="2" t="str">
        <f t="shared" si="170"/>
        <v/>
      </c>
      <c r="Q1891" t="str">
        <f t="shared" si="171"/>
        <v/>
      </c>
    </row>
    <row r="1892" spans="1:17" hidden="1">
      <c r="A1892" t="s">
        <v>1997</v>
      </c>
      <c r="B1892" s="1">
        <v>45176</v>
      </c>
      <c r="C1892">
        <v>2023</v>
      </c>
      <c r="D1892">
        <v>9</v>
      </c>
      <c r="E1892" t="s">
        <v>23</v>
      </c>
      <c r="F1892" t="s">
        <v>14</v>
      </c>
      <c r="G1892" t="s">
        <v>25</v>
      </c>
      <c r="H1892" t="s">
        <v>26</v>
      </c>
      <c r="I1892">
        <v>8641.6</v>
      </c>
      <c r="J1892">
        <v>8072.05</v>
      </c>
      <c r="K1892" t="s">
        <v>17</v>
      </c>
      <c r="L1892" t="b">
        <v>0</v>
      </c>
      <c r="N1892" s="2" t="str">
        <f t="shared" si="170"/>
        <v/>
      </c>
      <c r="Q1892" t="str">
        <f t="shared" si="171"/>
        <v/>
      </c>
    </row>
    <row r="1893" spans="1:17" hidden="1">
      <c r="A1893" t="s">
        <v>1998</v>
      </c>
      <c r="B1893" s="1">
        <v>45176</v>
      </c>
      <c r="C1893">
        <v>2023</v>
      </c>
      <c r="D1893">
        <v>9</v>
      </c>
      <c r="E1893" t="s">
        <v>23</v>
      </c>
      <c r="F1893" t="s">
        <v>14</v>
      </c>
      <c r="G1893" t="s">
        <v>25</v>
      </c>
      <c r="H1893" t="s">
        <v>95</v>
      </c>
      <c r="I1893">
        <v>5359.6</v>
      </c>
      <c r="J1893">
        <v>5103.25</v>
      </c>
      <c r="K1893" t="s">
        <v>17</v>
      </c>
      <c r="L1893" t="b">
        <v>0</v>
      </c>
      <c r="N1893" s="2" t="str">
        <f t="shared" si="170"/>
        <v/>
      </c>
      <c r="Q1893" t="str">
        <f t="shared" si="171"/>
        <v/>
      </c>
    </row>
    <row r="1894" spans="1:17" hidden="1">
      <c r="A1894" t="s">
        <v>1999</v>
      </c>
      <c r="B1894" s="1">
        <v>45176</v>
      </c>
      <c r="C1894">
        <v>2023</v>
      </c>
      <c r="D1894">
        <v>9</v>
      </c>
      <c r="E1894" t="s">
        <v>37</v>
      </c>
      <c r="F1894" t="s">
        <v>14</v>
      </c>
      <c r="G1894" t="s">
        <v>62</v>
      </c>
      <c r="H1894" t="s">
        <v>360</v>
      </c>
      <c r="I1894">
        <v>8234.58</v>
      </c>
      <c r="J1894">
        <v>8659.11</v>
      </c>
      <c r="K1894" t="s">
        <v>17</v>
      </c>
      <c r="L1894" t="b">
        <v>0</v>
      </c>
      <c r="N1894" s="2" t="str">
        <f t="shared" si="170"/>
        <v/>
      </c>
      <c r="Q1894" t="str">
        <f t="shared" si="171"/>
        <v/>
      </c>
    </row>
    <row r="1895" spans="1:17" hidden="1">
      <c r="A1895" t="s">
        <v>2000</v>
      </c>
      <c r="B1895" s="1">
        <v>45176</v>
      </c>
      <c r="C1895">
        <v>2023</v>
      </c>
      <c r="D1895">
        <v>9</v>
      </c>
      <c r="E1895" t="s">
        <v>37</v>
      </c>
      <c r="F1895" t="s">
        <v>28</v>
      </c>
      <c r="G1895" t="s">
        <v>38</v>
      </c>
      <c r="H1895" t="s">
        <v>39</v>
      </c>
      <c r="I1895">
        <v>5655.19</v>
      </c>
      <c r="J1895">
        <v>5297.83</v>
      </c>
      <c r="K1895" t="s">
        <v>17</v>
      </c>
      <c r="L1895" t="b">
        <v>0</v>
      </c>
      <c r="N1895" s="2" t="str">
        <f t="shared" si="170"/>
        <v/>
      </c>
      <c r="Q1895" t="str">
        <f t="shared" si="171"/>
        <v/>
      </c>
    </row>
    <row r="1896" spans="1:17" hidden="1">
      <c r="A1896" t="s">
        <v>2001</v>
      </c>
      <c r="B1896" s="1">
        <v>45176</v>
      </c>
      <c r="C1896">
        <v>2023</v>
      </c>
      <c r="D1896">
        <v>9</v>
      </c>
      <c r="E1896" t="s">
        <v>37</v>
      </c>
      <c r="F1896" t="s">
        <v>28</v>
      </c>
      <c r="G1896" t="s">
        <v>98</v>
      </c>
      <c r="H1896" t="s">
        <v>99</v>
      </c>
      <c r="I1896">
        <v>6198.34</v>
      </c>
      <c r="J1896">
        <v>6342.91</v>
      </c>
      <c r="K1896" t="s">
        <v>17</v>
      </c>
      <c r="L1896" t="b">
        <v>0</v>
      </c>
      <c r="N1896" s="2" t="str">
        <f t="shared" si="170"/>
        <v/>
      </c>
      <c r="Q1896" t="str">
        <f t="shared" si="171"/>
        <v/>
      </c>
    </row>
    <row r="1897" spans="1:17" hidden="1">
      <c r="A1897" t="s">
        <v>2002</v>
      </c>
      <c r="B1897" s="1">
        <v>45177</v>
      </c>
      <c r="C1897">
        <v>2023</v>
      </c>
      <c r="D1897">
        <v>9</v>
      </c>
      <c r="E1897" t="s">
        <v>47</v>
      </c>
      <c r="F1897" t="s">
        <v>14</v>
      </c>
      <c r="G1897" t="s">
        <v>77</v>
      </c>
      <c r="H1897" t="s">
        <v>130</v>
      </c>
      <c r="I1897">
        <v>19783.400000000001</v>
      </c>
      <c r="J1897">
        <v>16515.47</v>
      </c>
      <c r="K1897" t="s">
        <v>17</v>
      </c>
      <c r="L1897" t="b">
        <v>0</v>
      </c>
      <c r="N1897" s="2" t="b">
        <f t="shared" si="170"/>
        <v>1</v>
      </c>
      <c r="O1897" t="str">
        <f t="shared" ref="O1897:O1899" si="174">IF(AND(E1886="HR",K1886="EXPENSE"),I1886&lt;J1886,"")</f>
        <v/>
      </c>
      <c r="Q1897" t="str">
        <f t="shared" si="171"/>
        <v/>
      </c>
    </row>
    <row r="1898" spans="1:17" hidden="1">
      <c r="A1898" t="s">
        <v>2003</v>
      </c>
      <c r="B1898" s="1">
        <v>45177</v>
      </c>
      <c r="C1898">
        <v>2023</v>
      </c>
      <c r="D1898">
        <v>9</v>
      </c>
      <c r="E1898" t="s">
        <v>47</v>
      </c>
      <c r="F1898" t="s">
        <v>28</v>
      </c>
      <c r="G1898" t="s">
        <v>77</v>
      </c>
      <c r="H1898" t="s">
        <v>130</v>
      </c>
      <c r="I1898">
        <v>14423.73</v>
      </c>
      <c r="J1898">
        <v>12388.49</v>
      </c>
      <c r="K1898" t="s">
        <v>17</v>
      </c>
      <c r="L1898" t="b">
        <v>0</v>
      </c>
      <c r="N1898" s="2" t="b">
        <f t="shared" si="170"/>
        <v>1</v>
      </c>
      <c r="O1898" t="str">
        <f t="shared" si="174"/>
        <v/>
      </c>
      <c r="Q1898" t="str">
        <f t="shared" si="171"/>
        <v/>
      </c>
    </row>
    <row r="1899" spans="1:17" hidden="1">
      <c r="A1899" t="s">
        <v>2004</v>
      </c>
      <c r="B1899" s="1">
        <v>45177</v>
      </c>
      <c r="C1899">
        <v>2023</v>
      </c>
      <c r="D1899">
        <v>9</v>
      </c>
      <c r="E1899" t="s">
        <v>47</v>
      </c>
      <c r="F1899" t="s">
        <v>24</v>
      </c>
      <c r="G1899" t="s">
        <v>77</v>
      </c>
      <c r="H1899" t="s">
        <v>130</v>
      </c>
      <c r="I1899">
        <v>8061.54</v>
      </c>
      <c r="J1899">
        <v>6717.62</v>
      </c>
      <c r="K1899" t="s">
        <v>17</v>
      </c>
      <c r="L1899" t="b">
        <v>0</v>
      </c>
      <c r="N1899" s="2" t="b">
        <f t="shared" si="170"/>
        <v>1</v>
      </c>
      <c r="O1899" t="str">
        <f t="shared" si="174"/>
        <v/>
      </c>
      <c r="Q1899" t="str">
        <f t="shared" si="171"/>
        <v/>
      </c>
    </row>
    <row r="1900" spans="1:17" hidden="1">
      <c r="A1900" t="s">
        <v>2005</v>
      </c>
      <c r="B1900" s="1">
        <v>45177</v>
      </c>
      <c r="C1900">
        <v>2023</v>
      </c>
      <c r="D1900">
        <v>9</v>
      </c>
      <c r="E1900" t="s">
        <v>19</v>
      </c>
      <c r="F1900" t="s">
        <v>24</v>
      </c>
      <c r="G1900" t="s">
        <v>132</v>
      </c>
      <c r="H1900" t="s">
        <v>171</v>
      </c>
      <c r="I1900">
        <v>5976.5</v>
      </c>
      <c r="J1900">
        <v>5955.01</v>
      </c>
      <c r="K1900" t="s">
        <v>17</v>
      </c>
      <c r="L1900" t="b">
        <v>0</v>
      </c>
      <c r="N1900" s="2" t="str">
        <f t="shared" si="170"/>
        <v/>
      </c>
      <c r="Q1900" t="str">
        <f t="shared" si="171"/>
        <v/>
      </c>
    </row>
    <row r="1901" spans="1:17" hidden="1">
      <c r="A1901" t="s">
        <v>2006</v>
      </c>
      <c r="B1901" s="1">
        <v>45177</v>
      </c>
      <c r="C1901">
        <v>2023</v>
      </c>
      <c r="D1901">
        <v>9</v>
      </c>
      <c r="E1901" t="s">
        <v>23</v>
      </c>
      <c r="F1901" t="s">
        <v>28</v>
      </c>
      <c r="G1901" t="s">
        <v>25</v>
      </c>
      <c r="H1901" t="s">
        <v>95</v>
      </c>
      <c r="I1901">
        <v>6097.97</v>
      </c>
      <c r="J1901">
        <v>6184.81</v>
      </c>
      <c r="K1901" t="s">
        <v>17</v>
      </c>
      <c r="L1901" t="b">
        <v>0</v>
      </c>
      <c r="N1901" s="2" t="str">
        <f t="shared" si="170"/>
        <v/>
      </c>
      <c r="Q1901" t="str">
        <f t="shared" si="171"/>
        <v/>
      </c>
    </row>
    <row r="1902" spans="1:17" hidden="1">
      <c r="A1902" t="s">
        <v>2007</v>
      </c>
      <c r="B1902" s="1">
        <v>45177</v>
      </c>
      <c r="C1902">
        <v>2023</v>
      </c>
      <c r="D1902">
        <v>9</v>
      </c>
      <c r="E1902" t="s">
        <v>23</v>
      </c>
      <c r="F1902" t="s">
        <v>28</v>
      </c>
      <c r="G1902" t="s">
        <v>141</v>
      </c>
      <c r="H1902" t="s">
        <v>142</v>
      </c>
      <c r="I1902">
        <v>4117.12</v>
      </c>
      <c r="J1902">
        <v>3745.99</v>
      </c>
      <c r="K1902" t="s">
        <v>17</v>
      </c>
      <c r="L1902" t="b">
        <v>0</v>
      </c>
      <c r="N1902" s="2" t="str">
        <f t="shared" si="170"/>
        <v/>
      </c>
      <c r="Q1902" t="str">
        <f t="shared" si="171"/>
        <v/>
      </c>
    </row>
    <row r="1903" spans="1:17" hidden="1">
      <c r="A1903" t="s">
        <v>2008</v>
      </c>
      <c r="B1903" s="1">
        <v>45177</v>
      </c>
      <c r="C1903">
        <v>2023</v>
      </c>
      <c r="D1903">
        <v>9</v>
      </c>
      <c r="E1903" t="s">
        <v>37</v>
      </c>
      <c r="F1903" t="s">
        <v>24</v>
      </c>
      <c r="G1903" t="s">
        <v>83</v>
      </c>
      <c r="H1903" t="s">
        <v>84</v>
      </c>
      <c r="I1903">
        <v>111338.73</v>
      </c>
      <c r="J1903">
        <v>105771.79</v>
      </c>
      <c r="K1903" t="s">
        <v>85</v>
      </c>
      <c r="L1903" t="b">
        <v>0</v>
      </c>
      <c r="N1903" s="2" t="str">
        <f t="shared" si="170"/>
        <v/>
      </c>
      <c r="Q1903" t="str">
        <f t="shared" si="171"/>
        <v/>
      </c>
    </row>
    <row r="1904" spans="1:17" hidden="1">
      <c r="A1904" t="s">
        <v>2009</v>
      </c>
      <c r="B1904" s="1">
        <v>45178</v>
      </c>
      <c r="C1904">
        <v>2023</v>
      </c>
      <c r="D1904">
        <v>9</v>
      </c>
      <c r="E1904" t="s">
        <v>47</v>
      </c>
      <c r="F1904" t="s">
        <v>14</v>
      </c>
      <c r="G1904" t="s">
        <v>48</v>
      </c>
      <c r="H1904" t="s">
        <v>49</v>
      </c>
      <c r="I1904">
        <v>21080.400000000001</v>
      </c>
      <c r="J1904">
        <v>17821.96</v>
      </c>
      <c r="K1904" t="s">
        <v>17</v>
      </c>
      <c r="L1904" t="b">
        <v>0</v>
      </c>
      <c r="N1904" s="2" t="b">
        <f t="shared" si="170"/>
        <v>1</v>
      </c>
      <c r="O1904" t="str">
        <f>IF(AND(E1893="HR",K1893="EXPENSE"),I1893&lt;J1893,"")</f>
        <v/>
      </c>
      <c r="Q1904" t="str">
        <f t="shared" si="171"/>
        <v/>
      </c>
    </row>
    <row r="1905" spans="1:17" hidden="1">
      <c r="A1905" t="s">
        <v>2010</v>
      </c>
      <c r="B1905" s="1">
        <v>45178</v>
      </c>
      <c r="C1905">
        <v>2023</v>
      </c>
      <c r="D1905">
        <v>9</v>
      </c>
      <c r="E1905" t="s">
        <v>19</v>
      </c>
      <c r="F1905" t="s">
        <v>14</v>
      </c>
      <c r="G1905" t="s">
        <v>20</v>
      </c>
      <c r="H1905" t="s">
        <v>174</v>
      </c>
      <c r="I1905">
        <v>6439.27</v>
      </c>
      <c r="J1905">
        <v>7022.82</v>
      </c>
      <c r="K1905" t="s">
        <v>17</v>
      </c>
      <c r="L1905" t="b">
        <v>0</v>
      </c>
      <c r="N1905" s="2" t="str">
        <f t="shared" si="170"/>
        <v/>
      </c>
      <c r="Q1905" t="str">
        <f t="shared" si="171"/>
        <v/>
      </c>
    </row>
    <row r="1906" spans="1:17" hidden="1">
      <c r="A1906" t="s">
        <v>2011</v>
      </c>
      <c r="B1906" s="1">
        <v>45178</v>
      </c>
      <c r="C1906">
        <v>2023</v>
      </c>
      <c r="D1906">
        <v>9</v>
      </c>
      <c r="E1906" t="s">
        <v>23</v>
      </c>
      <c r="F1906" t="s">
        <v>28</v>
      </c>
      <c r="G1906" t="s">
        <v>25</v>
      </c>
      <c r="H1906" t="s">
        <v>35</v>
      </c>
      <c r="I1906">
        <v>3657.31</v>
      </c>
      <c r="J1906">
        <v>3998.62</v>
      </c>
      <c r="K1906" t="s">
        <v>17</v>
      </c>
      <c r="L1906" t="b">
        <v>0</v>
      </c>
      <c r="N1906" s="2" t="str">
        <f t="shared" si="170"/>
        <v/>
      </c>
      <c r="Q1906" t="str">
        <f t="shared" si="171"/>
        <v/>
      </c>
    </row>
    <row r="1907" spans="1:17" hidden="1">
      <c r="A1907" t="s">
        <v>2012</v>
      </c>
      <c r="B1907" s="1">
        <v>45178</v>
      </c>
      <c r="C1907">
        <v>2023</v>
      </c>
      <c r="D1907">
        <v>9</v>
      </c>
      <c r="E1907" t="s">
        <v>37</v>
      </c>
      <c r="F1907" t="s">
        <v>24</v>
      </c>
      <c r="G1907" t="s">
        <v>98</v>
      </c>
      <c r="H1907" t="s">
        <v>185</v>
      </c>
      <c r="I1907">
        <v>6746.41</v>
      </c>
      <c r="J1907">
        <v>6379.85</v>
      </c>
      <c r="K1907" t="s">
        <v>17</v>
      </c>
      <c r="L1907" t="b">
        <v>0</v>
      </c>
      <c r="N1907" s="2" t="str">
        <f t="shared" si="170"/>
        <v/>
      </c>
      <c r="Q1907" t="str">
        <f t="shared" si="171"/>
        <v/>
      </c>
    </row>
    <row r="1908" spans="1:17" hidden="1">
      <c r="A1908" t="s">
        <v>2013</v>
      </c>
      <c r="B1908" s="1">
        <v>45179</v>
      </c>
      <c r="C1908">
        <v>2023</v>
      </c>
      <c r="D1908">
        <v>9</v>
      </c>
      <c r="E1908" t="s">
        <v>13</v>
      </c>
      <c r="F1908" t="s">
        <v>14</v>
      </c>
      <c r="G1908" t="s">
        <v>102</v>
      </c>
      <c r="H1908" t="s">
        <v>103</v>
      </c>
      <c r="I1908">
        <v>3860.84</v>
      </c>
      <c r="J1908">
        <v>4221.21</v>
      </c>
      <c r="K1908" t="s">
        <v>17</v>
      </c>
      <c r="L1908" t="b">
        <v>0</v>
      </c>
      <c r="N1908" s="2" t="str">
        <f t="shared" si="170"/>
        <v/>
      </c>
      <c r="Q1908" t="str">
        <f t="shared" si="171"/>
        <v/>
      </c>
    </row>
    <row r="1909" spans="1:17" hidden="1">
      <c r="A1909" t="s">
        <v>2014</v>
      </c>
      <c r="B1909" s="1">
        <v>45179</v>
      </c>
      <c r="C1909">
        <v>2023</v>
      </c>
      <c r="D1909">
        <v>9</v>
      </c>
      <c r="E1909" t="s">
        <v>47</v>
      </c>
      <c r="F1909" t="s">
        <v>14</v>
      </c>
      <c r="G1909" t="s">
        <v>51</v>
      </c>
      <c r="H1909" t="s">
        <v>72</v>
      </c>
      <c r="I1909">
        <v>16255.55</v>
      </c>
      <c r="J1909">
        <v>13931.06</v>
      </c>
      <c r="K1909" t="s">
        <v>17</v>
      </c>
      <c r="L1909" t="b">
        <v>0</v>
      </c>
      <c r="N1909" s="2" t="b">
        <f t="shared" si="170"/>
        <v>1</v>
      </c>
      <c r="O1909" t="str">
        <f t="shared" ref="O1909:O1914" si="175">IF(AND(E1898="HR",K1898="EXPENSE"),I1898&lt;J1898,"")</f>
        <v/>
      </c>
      <c r="Q1909" t="str">
        <f t="shared" si="171"/>
        <v/>
      </c>
    </row>
    <row r="1910" spans="1:17" hidden="1">
      <c r="A1910" t="s">
        <v>2015</v>
      </c>
      <c r="B1910" s="1">
        <v>45179</v>
      </c>
      <c r="C1910">
        <v>2023</v>
      </c>
      <c r="D1910">
        <v>9</v>
      </c>
      <c r="E1910" t="s">
        <v>47</v>
      </c>
      <c r="F1910" t="s">
        <v>28</v>
      </c>
      <c r="G1910" t="s">
        <v>91</v>
      </c>
      <c r="H1910" t="s">
        <v>128</v>
      </c>
      <c r="I1910">
        <v>13454.78</v>
      </c>
      <c r="J1910">
        <v>11391.35</v>
      </c>
      <c r="K1910" t="s">
        <v>17</v>
      </c>
      <c r="L1910" t="b">
        <v>0</v>
      </c>
      <c r="N1910" s="2" t="b">
        <f t="shared" si="170"/>
        <v>1</v>
      </c>
      <c r="O1910" t="str">
        <f t="shared" si="175"/>
        <v/>
      </c>
      <c r="Q1910" t="str">
        <f t="shared" si="171"/>
        <v/>
      </c>
    </row>
    <row r="1911" spans="1:17" hidden="1">
      <c r="A1911" t="s">
        <v>2016</v>
      </c>
      <c r="B1911" s="1">
        <v>45179</v>
      </c>
      <c r="C1911">
        <v>2023</v>
      </c>
      <c r="D1911">
        <v>9</v>
      </c>
      <c r="E1911" t="s">
        <v>47</v>
      </c>
      <c r="F1911" t="s">
        <v>28</v>
      </c>
      <c r="G1911" t="s">
        <v>51</v>
      </c>
      <c r="H1911" t="s">
        <v>52</v>
      </c>
      <c r="I1911">
        <v>12224.96</v>
      </c>
      <c r="J1911">
        <v>10129.84</v>
      </c>
      <c r="K1911" t="s">
        <v>17</v>
      </c>
      <c r="L1911" t="b">
        <v>0</v>
      </c>
      <c r="N1911" s="2" t="b">
        <f t="shared" si="170"/>
        <v>1</v>
      </c>
      <c r="O1911" t="str">
        <f t="shared" si="175"/>
        <v/>
      </c>
      <c r="Q1911" t="str">
        <f t="shared" si="171"/>
        <v/>
      </c>
    </row>
    <row r="1912" spans="1:17" hidden="1">
      <c r="A1912" t="s">
        <v>2017</v>
      </c>
      <c r="B1912" s="1">
        <v>45179</v>
      </c>
      <c r="C1912">
        <v>2023</v>
      </c>
      <c r="D1912">
        <v>9</v>
      </c>
      <c r="E1912" t="s">
        <v>47</v>
      </c>
      <c r="F1912" t="s">
        <v>28</v>
      </c>
      <c r="G1912" t="s">
        <v>77</v>
      </c>
      <c r="H1912" t="s">
        <v>130</v>
      </c>
      <c r="I1912">
        <v>6676.04</v>
      </c>
      <c r="J1912">
        <v>5490.76</v>
      </c>
      <c r="K1912" t="s">
        <v>17</v>
      </c>
      <c r="L1912" t="b">
        <v>0</v>
      </c>
      <c r="N1912" s="2" t="b">
        <f t="shared" si="170"/>
        <v>1</v>
      </c>
      <c r="O1912" t="str">
        <f t="shared" si="175"/>
        <v/>
      </c>
      <c r="Q1912" t="str">
        <f t="shared" si="171"/>
        <v/>
      </c>
    </row>
    <row r="1913" spans="1:17" hidden="1">
      <c r="A1913" t="s">
        <v>2018</v>
      </c>
      <c r="B1913" s="1">
        <v>45179</v>
      </c>
      <c r="C1913">
        <v>2023</v>
      </c>
      <c r="D1913">
        <v>9</v>
      </c>
      <c r="E1913" t="s">
        <v>47</v>
      </c>
      <c r="F1913" t="s">
        <v>24</v>
      </c>
      <c r="G1913" t="s">
        <v>51</v>
      </c>
      <c r="H1913" t="s">
        <v>189</v>
      </c>
      <c r="I1913">
        <v>10060.08</v>
      </c>
      <c r="J1913">
        <v>8502.8700000000008</v>
      </c>
      <c r="K1913" t="s">
        <v>17</v>
      </c>
      <c r="L1913" t="b">
        <v>0</v>
      </c>
      <c r="N1913" s="2" t="b">
        <f t="shared" si="170"/>
        <v>1</v>
      </c>
      <c r="O1913" t="str">
        <f t="shared" si="175"/>
        <v/>
      </c>
      <c r="Q1913" t="str">
        <f t="shared" si="171"/>
        <v/>
      </c>
    </row>
    <row r="1914" spans="1:17" hidden="1">
      <c r="A1914" t="s">
        <v>2019</v>
      </c>
      <c r="B1914" s="1">
        <v>45179</v>
      </c>
      <c r="C1914">
        <v>2023</v>
      </c>
      <c r="D1914">
        <v>9</v>
      </c>
      <c r="E1914" t="s">
        <v>47</v>
      </c>
      <c r="F1914" t="s">
        <v>24</v>
      </c>
      <c r="G1914" t="s">
        <v>91</v>
      </c>
      <c r="H1914" t="s">
        <v>254</v>
      </c>
      <c r="I1914">
        <v>10435.200000000001</v>
      </c>
      <c r="J1914">
        <v>8899.6200000000008</v>
      </c>
      <c r="K1914" t="s">
        <v>17</v>
      </c>
      <c r="L1914" t="b">
        <v>0</v>
      </c>
      <c r="N1914" s="2" t="b">
        <f t="shared" si="170"/>
        <v>1</v>
      </c>
      <c r="O1914" t="str">
        <f t="shared" si="175"/>
        <v/>
      </c>
      <c r="Q1914" t="str">
        <f t="shared" si="171"/>
        <v/>
      </c>
    </row>
    <row r="1915" spans="1:17" hidden="1">
      <c r="A1915" t="s">
        <v>2020</v>
      </c>
      <c r="B1915" s="1">
        <v>45179</v>
      </c>
      <c r="C1915">
        <v>2023</v>
      </c>
      <c r="D1915">
        <v>9</v>
      </c>
      <c r="E1915" t="s">
        <v>19</v>
      </c>
      <c r="F1915" t="s">
        <v>24</v>
      </c>
      <c r="G1915" t="s">
        <v>20</v>
      </c>
      <c r="H1915" t="s">
        <v>21</v>
      </c>
      <c r="I1915">
        <v>5257.6</v>
      </c>
      <c r="J1915">
        <v>5117.54</v>
      </c>
      <c r="K1915" t="s">
        <v>17</v>
      </c>
      <c r="L1915" t="b">
        <v>0</v>
      </c>
      <c r="N1915" s="2" t="str">
        <f t="shared" si="170"/>
        <v/>
      </c>
      <c r="Q1915" t="str">
        <f t="shared" si="171"/>
        <v/>
      </c>
    </row>
    <row r="1916" spans="1:17" hidden="1">
      <c r="A1916" t="s">
        <v>2021</v>
      </c>
      <c r="B1916" s="1">
        <v>45179</v>
      </c>
      <c r="C1916">
        <v>2023</v>
      </c>
      <c r="D1916">
        <v>9</v>
      </c>
      <c r="E1916" t="s">
        <v>23</v>
      </c>
      <c r="F1916" t="s">
        <v>14</v>
      </c>
      <c r="G1916" t="s">
        <v>25</v>
      </c>
      <c r="H1916" t="s">
        <v>95</v>
      </c>
      <c r="I1916">
        <v>7119.46</v>
      </c>
      <c r="J1916">
        <v>6894.58</v>
      </c>
      <c r="K1916" t="s">
        <v>17</v>
      </c>
      <c r="L1916" t="b">
        <v>0</v>
      </c>
      <c r="N1916" s="2" t="str">
        <f t="shared" si="170"/>
        <v/>
      </c>
      <c r="Q1916" t="str">
        <f t="shared" si="171"/>
        <v/>
      </c>
    </row>
    <row r="1917" spans="1:17" hidden="1">
      <c r="A1917" t="s">
        <v>2022</v>
      </c>
      <c r="B1917" s="1">
        <v>45179</v>
      </c>
      <c r="C1917">
        <v>2023</v>
      </c>
      <c r="D1917">
        <v>9</v>
      </c>
      <c r="E1917" t="s">
        <v>23</v>
      </c>
      <c r="F1917" t="s">
        <v>28</v>
      </c>
      <c r="G1917" t="s">
        <v>141</v>
      </c>
      <c r="H1917" t="s">
        <v>142</v>
      </c>
      <c r="I1917">
        <v>3222.76</v>
      </c>
      <c r="J1917">
        <v>3103.93</v>
      </c>
      <c r="K1917" t="s">
        <v>17</v>
      </c>
      <c r="L1917" t="b">
        <v>0</v>
      </c>
      <c r="N1917" s="2" t="str">
        <f t="shared" si="170"/>
        <v/>
      </c>
      <c r="Q1917" t="str">
        <f t="shared" si="171"/>
        <v/>
      </c>
    </row>
    <row r="1918" spans="1:17" hidden="1">
      <c r="A1918" t="s">
        <v>2023</v>
      </c>
      <c r="B1918" s="1">
        <v>45179</v>
      </c>
      <c r="C1918">
        <v>2023</v>
      </c>
      <c r="D1918">
        <v>9</v>
      </c>
      <c r="E1918" t="s">
        <v>23</v>
      </c>
      <c r="F1918" t="s">
        <v>24</v>
      </c>
      <c r="G1918" t="s">
        <v>141</v>
      </c>
      <c r="H1918" t="s">
        <v>209</v>
      </c>
      <c r="I1918">
        <v>5579.99</v>
      </c>
      <c r="J1918">
        <v>6109.98</v>
      </c>
      <c r="K1918" t="s">
        <v>17</v>
      </c>
      <c r="L1918" t="b">
        <v>0</v>
      </c>
      <c r="N1918" s="2" t="str">
        <f t="shared" si="170"/>
        <v/>
      </c>
      <c r="Q1918" t="str">
        <f t="shared" si="171"/>
        <v/>
      </c>
    </row>
    <row r="1919" spans="1:17" hidden="1">
      <c r="A1919" t="s">
        <v>2024</v>
      </c>
      <c r="B1919" s="1">
        <v>45179</v>
      </c>
      <c r="C1919">
        <v>2023</v>
      </c>
      <c r="D1919">
        <v>9</v>
      </c>
      <c r="E1919" t="s">
        <v>37</v>
      </c>
      <c r="F1919" t="s">
        <v>24</v>
      </c>
      <c r="G1919" t="s">
        <v>38</v>
      </c>
      <c r="H1919" t="s">
        <v>39</v>
      </c>
      <c r="I1919">
        <v>3330.43</v>
      </c>
      <c r="J1919">
        <v>3652.12</v>
      </c>
      <c r="K1919" t="s">
        <v>17</v>
      </c>
      <c r="L1919" t="b">
        <v>0</v>
      </c>
      <c r="N1919" s="2" t="str">
        <f t="shared" si="170"/>
        <v/>
      </c>
      <c r="Q1919" t="str">
        <f t="shared" si="171"/>
        <v/>
      </c>
    </row>
    <row r="1920" spans="1:17" hidden="1">
      <c r="A1920" t="s">
        <v>2025</v>
      </c>
      <c r="B1920" s="1">
        <v>45180</v>
      </c>
      <c r="C1920">
        <v>2023</v>
      </c>
      <c r="D1920">
        <v>9</v>
      </c>
      <c r="E1920" t="s">
        <v>13</v>
      </c>
      <c r="F1920" t="s">
        <v>28</v>
      </c>
      <c r="G1920" t="s">
        <v>68</v>
      </c>
      <c r="H1920" t="s">
        <v>213</v>
      </c>
      <c r="I1920">
        <v>6572.28</v>
      </c>
      <c r="J1920">
        <v>5950.68</v>
      </c>
      <c r="K1920" t="s">
        <v>17</v>
      </c>
      <c r="L1920" t="b">
        <v>0</v>
      </c>
      <c r="N1920" s="2" t="str">
        <f t="shared" si="170"/>
        <v/>
      </c>
      <c r="Q1920" t="str">
        <f t="shared" si="171"/>
        <v/>
      </c>
    </row>
    <row r="1921" spans="1:17" hidden="1">
      <c r="A1921" t="s">
        <v>2026</v>
      </c>
      <c r="B1921" s="1">
        <v>45180</v>
      </c>
      <c r="C1921">
        <v>2023</v>
      </c>
      <c r="D1921">
        <v>9</v>
      </c>
      <c r="E1921" t="s">
        <v>13</v>
      </c>
      <c r="F1921" t="s">
        <v>28</v>
      </c>
      <c r="G1921" t="s">
        <v>68</v>
      </c>
      <c r="H1921" t="s">
        <v>69</v>
      </c>
      <c r="I1921">
        <v>4423</v>
      </c>
      <c r="J1921">
        <v>4325</v>
      </c>
      <c r="K1921" t="s">
        <v>17</v>
      </c>
      <c r="L1921" t="b">
        <v>0</v>
      </c>
      <c r="N1921" s="2" t="str">
        <f t="shared" si="170"/>
        <v/>
      </c>
      <c r="Q1921" t="str">
        <f t="shared" si="171"/>
        <v/>
      </c>
    </row>
    <row r="1922" spans="1:17" hidden="1">
      <c r="A1922" t="s">
        <v>2027</v>
      </c>
      <c r="B1922" s="1">
        <v>45180</v>
      </c>
      <c r="C1922">
        <v>2023</v>
      </c>
      <c r="D1922">
        <v>9</v>
      </c>
      <c r="E1922" t="s">
        <v>13</v>
      </c>
      <c r="F1922" t="s">
        <v>24</v>
      </c>
      <c r="G1922" t="s">
        <v>102</v>
      </c>
      <c r="H1922" t="s">
        <v>103</v>
      </c>
      <c r="I1922">
        <v>5116.72</v>
      </c>
      <c r="J1922">
        <v>5314.13</v>
      </c>
      <c r="K1922" t="s">
        <v>17</v>
      </c>
      <c r="L1922" t="b">
        <v>0</v>
      </c>
      <c r="N1922" s="2" t="str">
        <f t="shared" si="170"/>
        <v/>
      </c>
      <c r="Q1922" t="str">
        <f t="shared" si="171"/>
        <v/>
      </c>
    </row>
    <row r="1923" spans="1:17" hidden="1">
      <c r="A1923" t="s">
        <v>2028</v>
      </c>
      <c r="B1923" s="1">
        <v>45180</v>
      </c>
      <c r="C1923">
        <v>2023</v>
      </c>
      <c r="D1923">
        <v>9</v>
      </c>
      <c r="E1923" t="s">
        <v>23</v>
      </c>
      <c r="F1923" t="s">
        <v>28</v>
      </c>
      <c r="G1923" t="s">
        <v>141</v>
      </c>
      <c r="H1923" t="s">
        <v>209</v>
      </c>
      <c r="I1923">
        <v>2805.62</v>
      </c>
      <c r="J1923">
        <v>2820.26</v>
      </c>
      <c r="K1923" t="s">
        <v>17</v>
      </c>
      <c r="L1923" t="b">
        <v>0</v>
      </c>
      <c r="N1923" s="2" t="str">
        <f t="shared" ref="N1923:N1986" si="176">IF(AND(E1923="IT",K1923="EXPENSE"),I1923&gt;J1923,"")</f>
        <v/>
      </c>
      <c r="Q1923" t="str">
        <f t="shared" ref="Q1923:Q1986" si="177">IF(L1923=TRUE,OR(H1923="Apex Solutions Inc",H1923="Global Trade Partners",H1923="NovaTech Services"),"")</f>
        <v/>
      </c>
    </row>
    <row r="1924" spans="1:17" hidden="1">
      <c r="A1924" t="s">
        <v>2029</v>
      </c>
      <c r="B1924" s="1">
        <v>45180</v>
      </c>
      <c r="C1924">
        <v>2023</v>
      </c>
      <c r="D1924">
        <v>9</v>
      </c>
      <c r="E1924" t="s">
        <v>23</v>
      </c>
      <c r="F1924" t="s">
        <v>24</v>
      </c>
      <c r="G1924" t="s">
        <v>25</v>
      </c>
      <c r="H1924" t="s">
        <v>95</v>
      </c>
      <c r="I1924">
        <v>4723.34</v>
      </c>
      <c r="J1924">
        <v>4824.7299999999996</v>
      </c>
      <c r="K1924" t="s">
        <v>17</v>
      </c>
      <c r="L1924" t="b">
        <v>0</v>
      </c>
      <c r="N1924" s="2" t="str">
        <f t="shared" si="176"/>
        <v/>
      </c>
      <c r="Q1924" t="str">
        <f t="shared" si="177"/>
        <v/>
      </c>
    </row>
    <row r="1925" spans="1:17" hidden="1">
      <c r="A1925" t="s">
        <v>2030</v>
      </c>
      <c r="B1925" s="1">
        <v>45180</v>
      </c>
      <c r="C1925">
        <v>2023</v>
      </c>
      <c r="D1925">
        <v>9</v>
      </c>
      <c r="E1925" t="s">
        <v>37</v>
      </c>
      <c r="F1925" t="s">
        <v>28</v>
      </c>
      <c r="G1925" t="s">
        <v>38</v>
      </c>
      <c r="H1925" t="s">
        <v>227</v>
      </c>
      <c r="I1925">
        <v>4184.42</v>
      </c>
      <c r="J1925">
        <v>4460.2299999999996</v>
      </c>
      <c r="K1925" t="s">
        <v>17</v>
      </c>
      <c r="L1925" t="b">
        <v>0</v>
      </c>
      <c r="N1925" s="2" t="str">
        <f t="shared" si="176"/>
        <v/>
      </c>
      <c r="Q1925" t="str">
        <f t="shared" si="177"/>
        <v/>
      </c>
    </row>
    <row r="1926" spans="1:17" hidden="1">
      <c r="A1926" t="s">
        <v>2031</v>
      </c>
      <c r="B1926" s="1">
        <v>45181</v>
      </c>
      <c r="C1926">
        <v>2023</v>
      </c>
      <c r="D1926">
        <v>9</v>
      </c>
      <c r="E1926" t="s">
        <v>13</v>
      </c>
      <c r="F1926" t="s">
        <v>14</v>
      </c>
      <c r="G1926" t="s">
        <v>108</v>
      </c>
      <c r="H1926" t="s">
        <v>123</v>
      </c>
      <c r="I1926">
        <v>3528.16</v>
      </c>
      <c r="J1926">
        <v>3435.19</v>
      </c>
      <c r="K1926" t="s">
        <v>17</v>
      </c>
      <c r="L1926" t="b">
        <v>0</v>
      </c>
      <c r="N1926" s="2" t="str">
        <f t="shared" si="176"/>
        <v/>
      </c>
      <c r="Q1926" t="str">
        <f t="shared" si="177"/>
        <v/>
      </c>
    </row>
    <row r="1927" spans="1:17" hidden="1">
      <c r="A1927" t="s">
        <v>2032</v>
      </c>
      <c r="B1927" s="1">
        <v>45181</v>
      </c>
      <c r="C1927">
        <v>2023</v>
      </c>
      <c r="D1927">
        <v>9</v>
      </c>
      <c r="E1927" t="s">
        <v>13</v>
      </c>
      <c r="F1927" t="s">
        <v>28</v>
      </c>
      <c r="G1927" t="s">
        <v>102</v>
      </c>
      <c r="H1927" t="s">
        <v>145</v>
      </c>
      <c r="I1927">
        <v>4551.24</v>
      </c>
      <c r="J1927">
        <v>4583.59</v>
      </c>
      <c r="K1927" t="s">
        <v>17</v>
      </c>
      <c r="L1927" t="b">
        <v>0</v>
      </c>
      <c r="N1927" s="2" t="str">
        <f t="shared" si="176"/>
        <v/>
      </c>
      <c r="Q1927" t="str">
        <f t="shared" si="177"/>
        <v/>
      </c>
    </row>
    <row r="1928" spans="1:17" hidden="1">
      <c r="A1928" t="s">
        <v>2033</v>
      </c>
      <c r="B1928" s="1">
        <v>45181</v>
      </c>
      <c r="C1928">
        <v>2023</v>
      </c>
      <c r="D1928">
        <v>9</v>
      </c>
      <c r="E1928" t="s">
        <v>13</v>
      </c>
      <c r="F1928" t="s">
        <v>24</v>
      </c>
      <c r="G1928" t="s">
        <v>68</v>
      </c>
      <c r="H1928" t="s">
        <v>69</v>
      </c>
      <c r="I1928">
        <v>2739.74</v>
      </c>
      <c r="J1928">
        <v>2713.89</v>
      </c>
      <c r="K1928" t="s">
        <v>17</v>
      </c>
      <c r="L1928" t="b">
        <v>0</v>
      </c>
      <c r="N1928" s="2" t="str">
        <f t="shared" si="176"/>
        <v/>
      </c>
      <c r="Q1928" t="str">
        <f t="shared" si="177"/>
        <v/>
      </c>
    </row>
    <row r="1929" spans="1:17" hidden="1">
      <c r="A1929" t="s">
        <v>2034</v>
      </c>
      <c r="B1929" s="1">
        <v>45181</v>
      </c>
      <c r="C1929">
        <v>2023</v>
      </c>
      <c r="D1929">
        <v>9</v>
      </c>
      <c r="E1929" t="s">
        <v>47</v>
      </c>
      <c r="F1929" t="s">
        <v>28</v>
      </c>
      <c r="G1929" t="s">
        <v>48</v>
      </c>
      <c r="H1929" t="s">
        <v>111</v>
      </c>
      <c r="I1929">
        <v>17730.38</v>
      </c>
      <c r="J1929">
        <v>14745.49</v>
      </c>
      <c r="K1929" t="s">
        <v>17</v>
      </c>
      <c r="L1929" t="b">
        <v>0</v>
      </c>
      <c r="N1929" s="2" t="b">
        <f t="shared" si="176"/>
        <v>1</v>
      </c>
      <c r="O1929" t="str">
        <f>IF(AND(E1918="HR",K1918="EXPENSE"),I1918&lt;J1918,"")</f>
        <v/>
      </c>
      <c r="Q1929" t="str">
        <f t="shared" si="177"/>
        <v/>
      </c>
    </row>
    <row r="1930" spans="1:17" hidden="1">
      <c r="A1930" t="s">
        <v>2035</v>
      </c>
      <c r="B1930" s="1">
        <v>45181</v>
      </c>
      <c r="C1930">
        <v>2023</v>
      </c>
      <c r="D1930">
        <v>9</v>
      </c>
      <c r="E1930" t="s">
        <v>19</v>
      </c>
      <c r="F1930" t="s">
        <v>14</v>
      </c>
      <c r="G1930" t="s">
        <v>132</v>
      </c>
      <c r="H1930" t="s">
        <v>138</v>
      </c>
      <c r="I1930">
        <v>4589.1499999999996</v>
      </c>
      <c r="J1930">
        <v>4208.22</v>
      </c>
      <c r="K1930" t="s">
        <v>17</v>
      </c>
      <c r="L1930" t="b">
        <v>0</v>
      </c>
      <c r="N1930" s="2" t="str">
        <f t="shared" si="176"/>
        <v/>
      </c>
      <c r="Q1930" t="str">
        <f t="shared" si="177"/>
        <v/>
      </c>
    </row>
    <row r="1931" spans="1:17" hidden="1">
      <c r="A1931" t="s">
        <v>2036</v>
      </c>
      <c r="B1931" s="1">
        <v>45181</v>
      </c>
      <c r="C1931">
        <v>2023</v>
      </c>
      <c r="D1931">
        <v>9</v>
      </c>
      <c r="E1931" t="s">
        <v>19</v>
      </c>
      <c r="F1931" t="s">
        <v>28</v>
      </c>
      <c r="G1931" t="s">
        <v>80</v>
      </c>
      <c r="H1931" t="s">
        <v>150</v>
      </c>
      <c r="I1931">
        <v>4973.55</v>
      </c>
      <c r="J1931">
        <v>4948.45</v>
      </c>
      <c r="K1931" t="s">
        <v>17</v>
      </c>
      <c r="L1931" t="b">
        <v>0</v>
      </c>
      <c r="N1931" s="2" t="str">
        <f t="shared" si="176"/>
        <v/>
      </c>
      <c r="Q1931" t="str">
        <f t="shared" si="177"/>
        <v/>
      </c>
    </row>
    <row r="1932" spans="1:17" hidden="1">
      <c r="A1932" t="s">
        <v>2037</v>
      </c>
      <c r="B1932" s="1">
        <v>45181</v>
      </c>
      <c r="C1932">
        <v>2023</v>
      </c>
      <c r="D1932">
        <v>9</v>
      </c>
      <c r="E1932" t="s">
        <v>19</v>
      </c>
      <c r="F1932" t="s">
        <v>24</v>
      </c>
      <c r="G1932" t="s">
        <v>20</v>
      </c>
      <c r="H1932" t="s">
        <v>136</v>
      </c>
      <c r="I1932">
        <v>6919.33</v>
      </c>
      <c r="J1932">
        <v>6810.99</v>
      </c>
      <c r="K1932" t="s">
        <v>17</v>
      </c>
      <c r="L1932" t="b">
        <v>0</v>
      </c>
      <c r="N1932" s="2" t="str">
        <f t="shared" si="176"/>
        <v/>
      </c>
      <c r="Q1932" t="str">
        <f t="shared" si="177"/>
        <v/>
      </c>
    </row>
    <row r="1933" spans="1:17" hidden="1">
      <c r="A1933" t="s">
        <v>2038</v>
      </c>
      <c r="B1933" s="1">
        <v>45181</v>
      </c>
      <c r="C1933">
        <v>2023</v>
      </c>
      <c r="D1933">
        <v>9</v>
      </c>
      <c r="E1933" t="s">
        <v>19</v>
      </c>
      <c r="F1933" t="s">
        <v>24</v>
      </c>
      <c r="G1933" t="s">
        <v>132</v>
      </c>
      <c r="H1933" t="s">
        <v>171</v>
      </c>
      <c r="I1933">
        <v>7704.9</v>
      </c>
      <c r="J1933">
        <v>8423.41</v>
      </c>
      <c r="K1933" t="s">
        <v>17</v>
      </c>
      <c r="L1933" t="b">
        <v>0</v>
      </c>
      <c r="N1933" s="2" t="str">
        <f t="shared" si="176"/>
        <v/>
      </c>
      <c r="Q1933" t="str">
        <f t="shared" si="177"/>
        <v/>
      </c>
    </row>
    <row r="1934" spans="1:17" hidden="1">
      <c r="A1934" t="s">
        <v>2039</v>
      </c>
      <c r="B1934" s="1">
        <v>45181</v>
      </c>
      <c r="C1934">
        <v>2023</v>
      </c>
      <c r="D1934">
        <v>9</v>
      </c>
      <c r="E1934" t="s">
        <v>37</v>
      </c>
      <c r="F1934" t="s">
        <v>24</v>
      </c>
      <c r="G1934" t="s">
        <v>98</v>
      </c>
      <c r="H1934" t="s">
        <v>99</v>
      </c>
      <c r="I1934">
        <v>3215.94</v>
      </c>
      <c r="J1934">
        <v>3371.83</v>
      </c>
      <c r="K1934" t="s">
        <v>17</v>
      </c>
      <c r="L1934" t="b">
        <v>0</v>
      </c>
      <c r="N1934" s="2" t="str">
        <f t="shared" si="176"/>
        <v/>
      </c>
      <c r="Q1934" t="str">
        <f t="shared" si="177"/>
        <v/>
      </c>
    </row>
    <row r="1935" spans="1:17" hidden="1">
      <c r="A1935" t="s">
        <v>2040</v>
      </c>
      <c r="B1935" s="1">
        <v>45182</v>
      </c>
      <c r="C1935">
        <v>2023</v>
      </c>
      <c r="D1935">
        <v>9</v>
      </c>
      <c r="E1935" t="s">
        <v>13</v>
      </c>
      <c r="F1935" t="s">
        <v>28</v>
      </c>
      <c r="G1935" t="s">
        <v>108</v>
      </c>
      <c r="H1935" t="s">
        <v>109</v>
      </c>
      <c r="I1935">
        <v>3893.07</v>
      </c>
      <c r="J1935">
        <v>3680.88</v>
      </c>
      <c r="K1935" t="s">
        <v>17</v>
      </c>
      <c r="L1935" t="b">
        <v>0</v>
      </c>
      <c r="N1935" s="2" t="str">
        <f t="shared" si="176"/>
        <v/>
      </c>
      <c r="Q1935" t="str">
        <f t="shared" si="177"/>
        <v/>
      </c>
    </row>
    <row r="1936" spans="1:17" hidden="1">
      <c r="A1936" t="s">
        <v>2041</v>
      </c>
      <c r="B1936" s="1">
        <v>45182</v>
      </c>
      <c r="C1936">
        <v>2023</v>
      </c>
      <c r="D1936">
        <v>9</v>
      </c>
      <c r="E1936" t="s">
        <v>13</v>
      </c>
      <c r="F1936" t="s">
        <v>28</v>
      </c>
      <c r="G1936" t="s">
        <v>68</v>
      </c>
      <c r="H1936" t="s">
        <v>69</v>
      </c>
      <c r="I1936">
        <v>3722.44</v>
      </c>
      <c r="J1936">
        <v>3605.57</v>
      </c>
      <c r="K1936" t="s">
        <v>17</v>
      </c>
      <c r="L1936" t="b">
        <v>0</v>
      </c>
      <c r="N1936" s="2" t="str">
        <f t="shared" si="176"/>
        <v/>
      </c>
      <c r="Q1936" t="str">
        <f t="shared" si="177"/>
        <v/>
      </c>
    </row>
    <row r="1937" spans="1:17" hidden="1">
      <c r="A1937" t="s">
        <v>2042</v>
      </c>
      <c r="B1937" s="1">
        <v>45182</v>
      </c>
      <c r="C1937">
        <v>2023</v>
      </c>
      <c r="D1937">
        <v>9</v>
      </c>
      <c r="E1937" t="s">
        <v>13</v>
      </c>
      <c r="F1937" t="s">
        <v>28</v>
      </c>
      <c r="G1937" t="s">
        <v>15</v>
      </c>
      <c r="H1937" t="s">
        <v>16</v>
      </c>
      <c r="I1937">
        <v>3729.71</v>
      </c>
      <c r="J1937">
        <v>3894.15</v>
      </c>
      <c r="K1937" t="s">
        <v>17</v>
      </c>
      <c r="L1937" t="b">
        <v>0</v>
      </c>
      <c r="N1937" s="2" t="str">
        <f t="shared" si="176"/>
        <v/>
      </c>
      <c r="Q1937" t="str">
        <f t="shared" si="177"/>
        <v/>
      </c>
    </row>
    <row r="1938" spans="1:17" hidden="1">
      <c r="A1938" t="s">
        <v>2043</v>
      </c>
      <c r="B1938" s="1">
        <v>45182</v>
      </c>
      <c r="C1938">
        <v>2023</v>
      </c>
      <c r="D1938">
        <v>9</v>
      </c>
      <c r="E1938" t="s">
        <v>19</v>
      </c>
      <c r="F1938" t="s">
        <v>14</v>
      </c>
      <c r="G1938" t="s">
        <v>20</v>
      </c>
      <c r="H1938" t="s">
        <v>21</v>
      </c>
      <c r="I1938">
        <v>6750.6</v>
      </c>
      <c r="J1938">
        <v>6888.95</v>
      </c>
      <c r="K1938" t="s">
        <v>17</v>
      </c>
      <c r="L1938" t="b">
        <v>0</v>
      </c>
      <c r="N1938" s="2" t="str">
        <f t="shared" si="176"/>
        <v/>
      </c>
      <c r="Q1938" t="str">
        <f t="shared" si="177"/>
        <v/>
      </c>
    </row>
    <row r="1939" spans="1:17" hidden="1">
      <c r="A1939" t="s">
        <v>2044</v>
      </c>
      <c r="B1939" s="1">
        <v>45182</v>
      </c>
      <c r="C1939">
        <v>2023</v>
      </c>
      <c r="D1939">
        <v>9</v>
      </c>
      <c r="E1939" t="s">
        <v>23</v>
      </c>
      <c r="F1939" t="s">
        <v>14</v>
      </c>
      <c r="G1939" t="s">
        <v>25</v>
      </c>
      <c r="H1939" t="s">
        <v>95</v>
      </c>
      <c r="I1939">
        <v>5147.1400000000003</v>
      </c>
      <c r="J1939">
        <v>5437.21</v>
      </c>
      <c r="K1939" t="s">
        <v>17</v>
      </c>
      <c r="L1939" t="b">
        <v>0</v>
      </c>
      <c r="N1939" s="2" t="str">
        <f t="shared" si="176"/>
        <v/>
      </c>
      <c r="Q1939" t="str">
        <f t="shared" si="177"/>
        <v/>
      </c>
    </row>
    <row r="1940" spans="1:17" hidden="1">
      <c r="A1940" t="s">
        <v>2045</v>
      </c>
      <c r="B1940" s="1">
        <v>45182</v>
      </c>
      <c r="C1940">
        <v>2023</v>
      </c>
      <c r="D1940">
        <v>9</v>
      </c>
      <c r="E1940" t="s">
        <v>23</v>
      </c>
      <c r="F1940" t="s">
        <v>14</v>
      </c>
      <c r="G1940" t="s">
        <v>30</v>
      </c>
      <c r="H1940" t="s">
        <v>33</v>
      </c>
      <c r="I1940">
        <v>8771.74</v>
      </c>
      <c r="J1940">
        <v>9315.5499999999993</v>
      </c>
      <c r="K1940" t="s">
        <v>17</v>
      </c>
      <c r="L1940" t="b">
        <v>0</v>
      </c>
      <c r="N1940" s="2" t="str">
        <f t="shared" si="176"/>
        <v/>
      </c>
      <c r="Q1940" t="str">
        <f t="shared" si="177"/>
        <v/>
      </c>
    </row>
    <row r="1941" spans="1:17" hidden="1">
      <c r="A1941" t="s">
        <v>2046</v>
      </c>
      <c r="B1941" s="1">
        <v>45182</v>
      </c>
      <c r="C1941">
        <v>2023</v>
      </c>
      <c r="D1941">
        <v>9</v>
      </c>
      <c r="E1941" t="s">
        <v>23</v>
      </c>
      <c r="F1941" t="s">
        <v>28</v>
      </c>
      <c r="G1941" t="s">
        <v>25</v>
      </c>
      <c r="H1941" t="s">
        <v>35</v>
      </c>
      <c r="I1941">
        <v>6560.38</v>
      </c>
      <c r="J1941">
        <v>5972.12</v>
      </c>
      <c r="K1941" t="s">
        <v>17</v>
      </c>
      <c r="L1941" t="b">
        <v>0</v>
      </c>
      <c r="N1941" s="2" t="str">
        <f t="shared" si="176"/>
        <v/>
      </c>
      <c r="Q1941" t="str">
        <f t="shared" si="177"/>
        <v/>
      </c>
    </row>
    <row r="1942" spans="1:17" hidden="1">
      <c r="A1942" t="s">
        <v>2047</v>
      </c>
      <c r="B1942" s="1">
        <v>45182</v>
      </c>
      <c r="C1942">
        <v>2023</v>
      </c>
      <c r="D1942">
        <v>9</v>
      </c>
      <c r="E1942" t="s">
        <v>37</v>
      </c>
      <c r="F1942" t="s">
        <v>24</v>
      </c>
      <c r="G1942" t="s">
        <v>98</v>
      </c>
      <c r="H1942" t="s">
        <v>185</v>
      </c>
      <c r="I1942">
        <v>4872.13</v>
      </c>
      <c r="J1942">
        <v>5299.1</v>
      </c>
      <c r="K1942" t="s">
        <v>17</v>
      </c>
      <c r="L1942" t="b">
        <v>0</v>
      </c>
      <c r="N1942" s="2" t="str">
        <f t="shared" si="176"/>
        <v/>
      </c>
      <c r="Q1942" t="str">
        <f t="shared" si="177"/>
        <v/>
      </c>
    </row>
    <row r="1943" spans="1:17" hidden="1">
      <c r="A1943" t="s">
        <v>2048</v>
      </c>
      <c r="B1943" s="1">
        <v>45183</v>
      </c>
      <c r="C1943">
        <v>2023</v>
      </c>
      <c r="D1943">
        <v>9</v>
      </c>
      <c r="E1943" t="s">
        <v>13</v>
      </c>
      <c r="F1943" t="s">
        <v>14</v>
      </c>
      <c r="G1943" t="s">
        <v>108</v>
      </c>
      <c r="H1943" t="s">
        <v>126</v>
      </c>
      <c r="I1943">
        <v>3577.98</v>
      </c>
      <c r="J1943">
        <v>3556.09</v>
      </c>
      <c r="K1943" t="s">
        <v>17</v>
      </c>
      <c r="L1943" t="b">
        <v>0</v>
      </c>
      <c r="N1943" s="2" t="str">
        <f t="shared" si="176"/>
        <v/>
      </c>
      <c r="Q1943" t="str">
        <f t="shared" si="177"/>
        <v/>
      </c>
    </row>
    <row r="1944" spans="1:17" hidden="1">
      <c r="A1944" t="s">
        <v>2049</v>
      </c>
      <c r="B1944" s="1">
        <v>45183</v>
      </c>
      <c r="C1944">
        <v>2023</v>
      </c>
      <c r="D1944">
        <v>9</v>
      </c>
      <c r="E1944" t="s">
        <v>47</v>
      </c>
      <c r="F1944" t="s">
        <v>28</v>
      </c>
      <c r="G1944" t="s">
        <v>91</v>
      </c>
      <c r="H1944" t="s">
        <v>92</v>
      </c>
      <c r="I1944">
        <v>13432.66</v>
      </c>
      <c r="J1944">
        <v>11442.28</v>
      </c>
      <c r="K1944" t="s">
        <v>17</v>
      </c>
      <c r="L1944" t="b">
        <v>0</v>
      </c>
      <c r="N1944" s="2" t="b">
        <f t="shared" si="176"/>
        <v>1</v>
      </c>
      <c r="O1944" t="str">
        <f t="shared" ref="O1944:O1945" si="178">IF(AND(E1933="HR",K1933="EXPENSE"),I1933&lt;J1933,"")</f>
        <v/>
      </c>
      <c r="Q1944" t="str">
        <f t="shared" si="177"/>
        <v/>
      </c>
    </row>
    <row r="1945" spans="1:17" hidden="1">
      <c r="A1945" t="s">
        <v>2050</v>
      </c>
      <c r="B1945" s="1">
        <v>45183</v>
      </c>
      <c r="C1945">
        <v>2023</v>
      </c>
      <c r="D1945">
        <v>9</v>
      </c>
      <c r="E1945" t="s">
        <v>47</v>
      </c>
      <c r="F1945" t="s">
        <v>24</v>
      </c>
      <c r="G1945" t="s">
        <v>91</v>
      </c>
      <c r="H1945" t="s">
        <v>249</v>
      </c>
      <c r="I1945">
        <v>12590</v>
      </c>
      <c r="J1945">
        <v>10670.42</v>
      </c>
      <c r="K1945" t="s">
        <v>17</v>
      </c>
      <c r="L1945" t="b">
        <v>0</v>
      </c>
      <c r="N1945" s="2" t="b">
        <f t="shared" si="176"/>
        <v>1</v>
      </c>
      <c r="O1945" t="str">
        <f t="shared" si="178"/>
        <v/>
      </c>
      <c r="Q1945" t="str">
        <f t="shared" si="177"/>
        <v/>
      </c>
    </row>
    <row r="1946" spans="1:17" hidden="1">
      <c r="A1946" t="s">
        <v>2051</v>
      </c>
      <c r="B1946" s="1">
        <v>45183</v>
      </c>
      <c r="C1946">
        <v>2023</v>
      </c>
      <c r="D1946">
        <v>9</v>
      </c>
      <c r="E1946" t="s">
        <v>23</v>
      </c>
      <c r="F1946" t="s">
        <v>24</v>
      </c>
      <c r="G1946" t="s">
        <v>59</v>
      </c>
      <c r="H1946" t="s">
        <v>60</v>
      </c>
      <c r="I1946">
        <v>5541.45</v>
      </c>
      <c r="J1946">
        <v>5648</v>
      </c>
      <c r="K1946" t="s">
        <v>17</v>
      </c>
      <c r="L1946" t="b">
        <v>0</v>
      </c>
      <c r="N1946" s="2" t="str">
        <f t="shared" si="176"/>
        <v/>
      </c>
      <c r="Q1946" t="str">
        <f t="shared" si="177"/>
        <v/>
      </c>
    </row>
    <row r="1947" spans="1:17" hidden="1">
      <c r="A1947" t="s">
        <v>2052</v>
      </c>
      <c r="B1947" s="1">
        <v>45183</v>
      </c>
      <c r="C1947">
        <v>2023</v>
      </c>
      <c r="D1947">
        <v>9</v>
      </c>
      <c r="E1947" t="s">
        <v>37</v>
      </c>
      <c r="F1947" t="s">
        <v>14</v>
      </c>
      <c r="G1947" t="s">
        <v>38</v>
      </c>
      <c r="H1947" t="s">
        <v>118</v>
      </c>
      <c r="I1947">
        <v>3810.45</v>
      </c>
      <c r="J1947">
        <v>3472.25</v>
      </c>
      <c r="K1947" t="s">
        <v>17</v>
      </c>
      <c r="L1947" t="b">
        <v>0</v>
      </c>
      <c r="N1947" s="2" t="str">
        <f t="shared" si="176"/>
        <v/>
      </c>
      <c r="Q1947" t="str">
        <f t="shared" si="177"/>
        <v/>
      </c>
    </row>
    <row r="1948" spans="1:17" hidden="1">
      <c r="A1948" t="s">
        <v>2053</v>
      </c>
      <c r="B1948" s="1">
        <v>45184</v>
      </c>
      <c r="C1948">
        <v>2023</v>
      </c>
      <c r="D1948">
        <v>9</v>
      </c>
      <c r="E1948" t="s">
        <v>13</v>
      </c>
      <c r="F1948" t="s">
        <v>24</v>
      </c>
      <c r="G1948" t="s">
        <v>108</v>
      </c>
      <c r="H1948" t="s">
        <v>123</v>
      </c>
      <c r="I1948">
        <v>4452.91</v>
      </c>
      <c r="J1948">
        <v>4237.0600000000004</v>
      </c>
      <c r="K1948" t="s">
        <v>17</v>
      </c>
      <c r="L1948" t="b">
        <v>0</v>
      </c>
      <c r="N1948" s="2" t="str">
        <f t="shared" si="176"/>
        <v/>
      </c>
      <c r="Q1948" t="str">
        <f t="shared" si="177"/>
        <v/>
      </c>
    </row>
    <row r="1949" spans="1:17" hidden="1">
      <c r="A1949" t="s">
        <v>2054</v>
      </c>
      <c r="B1949" s="1">
        <v>45184</v>
      </c>
      <c r="C1949">
        <v>2023</v>
      </c>
      <c r="D1949">
        <v>9</v>
      </c>
      <c r="E1949" t="s">
        <v>47</v>
      </c>
      <c r="F1949" t="s">
        <v>28</v>
      </c>
      <c r="G1949" t="s">
        <v>51</v>
      </c>
      <c r="H1949" t="s">
        <v>189</v>
      </c>
      <c r="I1949">
        <v>13281.82</v>
      </c>
      <c r="J1949">
        <v>11392.01</v>
      </c>
      <c r="K1949" t="s">
        <v>17</v>
      </c>
      <c r="L1949" t="b">
        <v>0</v>
      </c>
      <c r="N1949" s="2" t="b">
        <f t="shared" si="176"/>
        <v>1</v>
      </c>
      <c r="O1949" t="str">
        <f t="shared" ref="O1949:O1950" si="179">IF(AND(E1938="HR",K1938="EXPENSE"),I1938&lt;J1938,"")</f>
        <v/>
      </c>
      <c r="Q1949" t="str">
        <f t="shared" si="177"/>
        <v/>
      </c>
    </row>
    <row r="1950" spans="1:17" hidden="1">
      <c r="A1950" t="s">
        <v>2055</v>
      </c>
      <c r="B1950" s="1">
        <v>45184</v>
      </c>
      <c r="C1950">
        <v>2023</v>
      </c>
      <c r="D1950">
        <v>9</v>
      </c>
      <c r="E1950" t="s">
        <v>47</v>
      </c>
      <c r="F1950" t="s">
        <v>24</v>
      </c>
      <c r="G1950" t="s">
        <v>77</v>
      </c>
      <c r="H1950" t="s">
        <v>78</v>
      </c>
      <c r="I1950">
        <v>14186.38</v>
      </c>
      <c r="J1950">
        <v>11901.15</v>
      </c>
      <c r="K1950" t="s">
        <v>17</v>
      </c>
      <c r="L1950" t="b">
        <v>0</v>
      </c>
      <c r="N1950" s="2" t="b">
        <f t="shared" si="176"/>
        <v>1</v>
      </c>
      <c r="O1950" t="str">
        <f t="shared" si="179"/>
        <v/>
      </c>
      <c r="Q1950" t="str">
        <f t="shared" si="177"/>
        <v/>
      </c>
    </row>
    <row r="1951" spans="1:17" hidden="1">
      <c r="A1951" t="s">
        <v>2056</v>
      </c>
      <c r="B1951" s="1">
        <v>45184</v>
      </c>
      <c r="C1951">
        <v>2023</v>
      </c>
      <c r="D1951">
        <v>9</v>
      </c>
      <c r="E1951" t="s">
        <v>19</v>
      </c>
      <c r="F1951" t="s">
        <v>14</v>
      </c>
      <c r="G1951" t="s">
        <v>80</v>
      </c>
      <c r="H1951" t="s">
        <v>217</v>
      </c>
      <c r="I1951">
        <v>4471.09</v>
      </c>
      <c r="J1951">
        <v>4524.51</v>
      </c>
      <c r="K1951" t="s">
        <v>17</v>
      </c>
      <c r="L1951" t="b">
        <v>0</v>
      </c>
      <c r="N1951" s="2" t="str">
        <f t="shared" si="176"/>
        <v/>
      </c>
      <c r="Q1951" t="str">
        <f t="shared" si="177"/>
        <v/>
      </c>
    </row>
    <row r="1952" spans="1:17" hidden="1">
      <c r="A1952" t="s">
        <v>2057</v>
      </c>
      <c r="B1952" s="1">
        <v>45184</v>
      </c>
      <c r="C1952">
        <v>2023</v>
      </c>
      <c r="D1952">
        <v>9</v>
      </c>
      <c r="E1952" t="s">
        <v>19</v>
      </c>
      <c r="F1952" t="s">
        <v>14</v>
      </c>
      <c r="G1952" t="s">
        <v>54</v>
      </c>
      <c r="H1952" t="s">
        <v>55</v>
      </c>
      <c r="I1952">
        <v>5379.35</v>
      </c>
      <c r="J1952">
        <v>5478.03</v>
      </c>
      <c r="K1952" t="s">
        <v>17</v>
      </c>
      <c r="L1952" t="b">
        <v>0</v>
      </c>
      <c r="N1952" s="2" t="str">
        <f t="shared" si="176"/>
        <v/>
      </c>
      <c r="Q1952" t="str">
        <f t="shared" si="177"/>
        <v/>
      </c>
    </row>
    <row r="1953" spans="1:17" hidden="1">
      <c r="A1953" t="s">
        <v>2058</v>
      </c>
      <c r="B1953" s="1">
        <v>45184</v>
      </c>
      <c r="C1953">
        <v>2023</v>
      </c>
      <c r="D1953">
        <v>9</v>
      </c>
      <c r="E1953" t="s">
        <v>19</v>
      </c>
      <c r="F1953" t="s">
        <v>24</v>
      </c>
      <c r="G1953" t="s">
        <v>132</v>
      </c>
      <c r="H1953" t="s">
        <v>171</v>
      </c>
      <c r="I1953">
        <v>7196.06</v>
      </c>
      <c r="J1953">
        <v>7307.77</v>
      </c>
      <c r="K1953" t="s">
        <v>17</v>
      </c>
      <c r="L1953" t="b">
        <v>0</v>
      </c>
      <c r="N1953" s="2" t="str">
        <f t="shared" si="176"/>
        <v/>
      </c>
      <c r="Q1953" t="str">
        <f t="shared" si="177"/>
        <v/>
      </c>
    </row>
    <row r="1954" spans="1:17" hidden="1">
      <c r="A1954" t="s">
        <v>2059</v>
      </c>
      <c r="B1954" s="1">
        <v>45184</v>
      </c>
      <c r="C1954">
        <v>2023</v>
      </c>
      <c r="D1954">
        <v>9</v>
      </c>
      <c r="E1954" t="s">
        <v>23</v>
      </c>
      <c r="F1954" t="s">
        <v>14</v>
      </c>
      <c r="G1954" t="s">
        <v>59</v>
      </c>
      <c r="H1954" t="s">
        <v>155</v>
      </c>
      <c r="I1954">
        <v>5541.37</v>
      </c>
      <c r="J1954">
        <v>5413.38</v>
      </c>
      <c r="K1954" t="s">
        <v>17</v>
      </c>
      <c r="L1954" t="b">
        <v>0</v>
      </c>
      <c r="N1954" s="2" t="str">
        <f t="shared" si="176"/>
        <v/>
      </c>
      <c r="Q1954" t="str">
        <f t="shared" si="177"/>
        <v/>
      </c>
    </row>
    <row r="1955" spans="1:17" hidden="1">
      <c r="A1955" t="s">
        <v>2060</v>
      </c>
      <c r="B1955" s="1">
        <v>45184</v>
      </c>
      <c r="C1955">
        <v>2023</v>
      </c>
      <c r="D1955">
        <v>9</v>
      </c>
      <c r="E1955" t="s">
        <v>37</v>
      </c>
      <c r="F1955" t="s">
        <v>24</v>
      </c>
      <c r="G1955" t="s">
        <v>38</v>
      </c>
      <c r="H1955" t="s">
        <v>118</v>
      </c>
      <c r="I1955">
        <v>3406.62</v>
      </c>
      <c r="J1955">
        <v>3543.43</v>
      </c>
      <c r="K1955" t="s">
        <v>17</v>
      </c>
      <c r="L1955" t="b">
        <v>0</v>
      </c>
      <c r="N1955" s="2" t="str">
        <f t="shared" si="176"/>
        <v/>
      </c>
      <c r="Q1955" t="str">
        <f t="shared" si="177"/>
        <v/>
      </c>
    </row>
    <row r="1956" spans="1:17" hidden="1">
      <c r="A1956" t="s">
        <v>2061</v>
      </c>
      <c r="B1956" s="1">
        <v>45185</v>
      </c>
      <c r="C1956">
        <v>2023</v>
      </c>
      <c r="D1956">
        <v>9</v>
      </c>
      <c r="E1956" t="s">
        <v>13</v>
      </c>
      <c r="F1956" t="s">
        <v>28</v>
      </c>
      <c r="G1956" t="s">
        <v>68</v>
      </c>
      <c r="H1956" t="s">
        <v>69</v>
      </c>
      <c r="I1956">
        <v>3810.49</v>
      </c>
      <c r="J1956">
        <v>4023.91</v>
      </c>
      <c r="K1956" t="s">
        <v>17</v>
      </c>
      <c r="L1956" t="b">
        <v>0</v>
      </c>
      <c r="N1956" s="2" t="str">
        <f t="shared" si="176"/>
        <v/>
      </c>
      <c r="Q1956" t="str">
        <f t="shared" si="177"/>
        <v/>
      </c>
    </row>
    <row r="1957" spans="1:17" hidden="1">
      <c r="A1957" t="s">
        <v>2062</v>
      </c>
      <c r="B1957" s="1">
        <v>45185</v>
      </c>
      <c r="C1957">
        <v>2023</v>
      </c>
      <c r="D1957">
        <v>9</v>
      </c>
      <c r="E1957" t="s">
        <v>47</v>
      </c>
      <c r="F1957" t="s">
        <v>28</v>
      </c>
      <c r="G1957" t="s">
        <v>91</v>
      </c>
      <c r="H1957" t="s">
        <v>92</v>
      </c>
      <c r="I1957">
        <v>15113.93</v>
      </c>
      <c r="J1957">
        <v>12940.07</v>
      </c>
      <c r="K1957" t="s">
        <v>17</v>
      </c>
      <c r="L1957" t="b">
        <v>0</v>
      </c>
      <c r="N1957" s="2" t="b">
        <f t="shared" si="176"/>
        <v>1</v>
      </c>
      <c r="O1957" t="str">
        <f>IF(AND(E1946="HR",K1946="EXPENSE"),I1946&lt;J1946,"")</f>
        <v/>
      </c>
      <c r="Q1957" t="str">
        <f t="shared" si="177"/>
        <v/>
      </c>
    </row>
    <row r="1958" spans="1:17" hidden="1">
      <c r="A1958" t="s">
        <v>2063</v>
      </c>
      <c r="B1958" s="1">
        <v>45185</v>
      </c>
      <c r="C1958">
        <v>2023</v>
      </c>
      <c r="D1958">
        <v>9</v>
      </c>
      <c r="E1958" t="s">
        <v>19</v>
      </c>
      <c r="F1958" t="s">
        <v>14</v>
      </c>
      <c r="G1958" t="s">
        <v>54</v>
      </c>
      <c r="H1958" t="s">
        <v>57</v>
      </c>
      <c r="I1958">
        <v>5747.79</v>
      </c>
      <c r="J1958">
        <v>5400.11</v>
      </c>
      <c r="K1958" t="s">
        <v>17</v>
      </c>
      <c r="L1958" t="b">
        <v>0</v>
      </c>
      <c r="N1958" s="2" t="str">
        <f t="shared" si="176"/>
        <v/>
      </c>
      <c r="Q1958" t="str">
        <f t="shared" si="177"/>
        <v/>
      </c>
    </row>
    <row r="1959" spans="1:17" hidden="1">
      <c r="A1959" t="s">
        <v>2064</v>
      </c>
      <c r="B1959" s="1">
        <v>45185</v>
      </c>
      <c r="C1959">
        <v>2023</v>
      </c>
      <c r="D1959">
        <v>9</v>
      </c>
      <c r="E1959" t="s">
        <v>19</v>
      </c>
      <c r="F1959" t="s">
        <v>28</v>
      </c>
      <c r="G1959" t="s">
        <v>54</v>
      </c>
      <c r="H1959" t="s">
        <v>55</v>
      </c>
      <c r="I1959">
        <v>6930.4</v>
      </c>
      <c r="J1959">
        <v>6907.52</v>
      </c>
      <c r="K1959" t="s">
        <v>17</v>
      </c>
      <c r="L1959" t="b">
        <v>0</v>
      </c>
      <c r="N1959" s="2" t="str">
        <f t="shared" si="176"/>
        <v/>
      </c>
      <c r="Q1959" t="str">
        <f t="shared" si="177"/>
        <v/>
      </c>
    </row>
    <row r="1960" spans="1:17" hidden="1">
      <c r="A1960" t="s">
        <v>2065</v>
      </c>
      <c r="B1960" s="1">
        <v>45185</v>
      </c>
      <c r="C1960">
        <v>2023</v>
      </c>
      <c r="D1960">
        <v>9</v>
      </c>
      <c r="E1960" t="s">
        <v>19</v>
      </c>
      <c r="F1960" t="s">
        <v>24</v>
      </c>
      <c r="G1960" t="s">
        <v>132</v>
      </c>
      <c r="H1960" t="s">
        <v>138</v>
      </c>
      <c r="I1960">
        <v>7523.66</v>
      </c>
      <c r="J1960">
        <v>6950.67</v>
      </c>
      <c r="K1960" t="s">
        <v>17</v>
      </c>
      <c r="L1960" t="b">
        <v>0</v>
      </c>
      <c r="N1960" s="2" t="str">
        <f t="shared" si="176"/>
        <v/>
      </c>
      <c r="Q1960" t="str">
        <f t="shared" si="177"/>
        <v/>
      </c>
    </row>
    <row r="1961" spans="1:17" hidden="1">
      <c r="A1961" t="s">
        <v>2066</v>
      </c>
      <c r="B1961" s="1">
        <v>45185</v>
      </c>
      <c r="C1961">
        <v>2023</v>
      </c>
      <c r="D1961">
        <v>9</v>
      </c>
      <c r="E1961" t="s">
        <v>23</v>
      </c>
      <c r="F1961" t="s">
        <v>14</v>
      </c>
      <c r="G1961" t="s">
        <v>25</v>
      </c>
      <c r="H1961" t="s">
        <v>26</v>
      </c>
      <c r="I1961">
        <v>5296.96</v>
      </c>
      <c r="J1961">
        <v>5301.73</v>
      </c>
      <c r="K1961" t="s">
        <v>17</v>
      </c>
      <c r="L1961" t="b">
        <v>0</v>
      </c>
      <c r="N1961" s="2" t="str">
        <f t="shared" si="176"/>
        <v/>
      </c>
      <c r="Q1961" t="str">
        <f t="shared" si="177"/>
        <v/>
      </c>
    </row>
    <row r="1962" spans="1:17" hidden="1">
      <c r="A1962" t="s">
        <v>2067</v>
      </c>
      <c r="B1962" s="1">
        <v>45185</v>
      </c>
      <c r="C1962">
        <v>2023</v>
      </c>
      <c r="D1962">
        <v>9</v>
      </c>
      <c r="E1962" t="s">
        <v>23</v>
      </c>
      <c r="F1962" t="s">
        <v>28</v>
      </c>
      <c r="G1962" t="s">
        <v>59</v>
      </c>
      <c r="H1962" t="s">
        <v>60</v>
      </c>
      <c r="I1962">
        <v>6716.35</v>
      </c>
      <c r="J1962">
        <v>6827.98</v>
      </c>
      <c r="K1962" t="s">
        <v>17</v>
      </c>
      <c r="L1962" t="b">
        <v>0</v>
      </c>
      <c r="N1962" s="2" t="str">
        <f t="shared" si="176"/>
        <v/>
      </c>
      <c r="Q1962" t="str">
        <f t="shared" si="177"/>
        <v/>
      </c>
    </row>
    <row r="1963" spans="1:17" hidden="1">
      <c r="A1963" t="s">
        <v>2068</v>
      </c>
      <c r="B1963" s="1">
        <v>45186</v>
      </c>
      <c r="C1963">
        <v>2023</v>
      </c>
      <c r="D1963">
        <v>9</v>
      </c>
      <c r="E1963" t="s">
        <v>13</v>
      </c>
      <c r="F1963" t="s">
        <v>14</v>
      </c>
      <c r="G1963" t="s">
        <v>15</v>
      </c>
      <c r="H1963" t="s">
        <v>16</v>
      </c>
      <c r="I1963">
        <v>3745.98</v>
      </c>
      <c r="J1963">
        <v>3783.22</v>
      </c>
      <c r="K1963" t="s">
        <v>17</v>
      </c>
      <c r="L1963" t="b">
        <v>0</v>
      </c>
      <c r="N1963" s="2" t="str">
        <f t="shared" si="176"/>
        <v/>
      </c>
      <c r="Q1963" t="str">
        <f t="shared" si="177"/>
        <v/>
      </c>
    </row>
    <row r="1964" spans="1:17" hidden="1">
      <c r="A1964" t="s">
        <v>2069</v>
      </c>
      <c r="B1964" s="1">
        <v>45186</v>
      </c>
      <c r="C1964">
        <v>2023</v>
      </c>
      <c r="D1964">
        <v>9</v>
      </c>
      <c r="E1964" t="s">
        <v>47</v>
      </c>
      <c r="F1964" t="s">
        <v>14</v>
      </c>
      <c r="G1964" t="s">
        <v>48</v>
      </c>
      <c r="H1964" t="s">
        <v>75</v>
      </c>
      <c r="I1964">
        <v>24721.58</v>
      </c>
      <c r="J1964">
        <v>20470.310000000001</v>
      </c>
      <c r="K1964" t="s">
        <v>17</v>
      </c>
      <c r="L1964" t="b">
        <v>0</v>
      </c>
      <c r="N1964" s="2" t="b">
        <f t="shared" si="176"/>
        <v>1</v>
      </c>
      <c r="O1964" t="str">
        <f t="shared" ref="O1964:O1965" si="180">IF(AND(E1953="HR",K1953="EXPENSE"),I1953&lt;J1953,"")</f>
        <v/>
      </c>
      <c r="Q1964" t="str">
        <f t="shared" si="177"/>
        <v/>
      </c>
    </row>
    <row r="1965" spans="1:17" hidden="1">
      <c r="A1965" t="s">
        <v>2070</v>
      </c>
      <c r="B1965" s="1">
        <v>45186</v>
      </c>
      <c r="C1965">
        <v>2023</v>
      </c>
      <c r="D1965">
        <v>9</v>
      </c>
      <c r="E1965" t="s">
        <v>47</v>
      </c>
      <c r="F1965" t="s">
        <v>28</v>
      </c>
      <c r="G1965" t="s">
        <v>48</v>
      </c>
      <c r="H1965" t="s">
        <v>49</v>
      </c>
      <c r="I1965">
        <v>5795.21</v>
      </c>
      <c r="J1965">
        <v>4870.6400000000003</v>
      </c>
      <c r="K1965" t="s">
        <v>17</v>
      </c>
      <c r="L1965" t="b">
        <v>0</v>
      </c>
      <c r="N1965" s="2" t="b">
        <f t="shared" si="176"/>
        <v>1</v>
      </c>
      <c r="O1965" t="str">
        <f t="shared" si="180"/>
        <v/>
      </c>
      <c r="Q1965" t="str">
        <f t="shared" si="177"/>
        <v/>
      </c>
    </row>
    <row r="1966" spans="1:17" hidden="1">
      <c r="A1966" t="s">
        <v>2071</v>
      </c>
      <c r="B1966" s="1">
        <v>45186</v>
      </c>
      <c r="C1966">
        <v>2023</v>
      </c>
      <c r="D1966">
        <v>9</v>
      </c>
      <c r="E1966" t="s">
        <v>19</v>
      </c>
      <c r="F1966" t="s">
        <v>24</v>
      </c>
      <c r="G1966" t="s">
        <v>20</v>
      </c>
      <c r="H1966" t="s">
        <v>174</v>
      </c>
      <c r="I1966">
        <v>5050.93</v>
      </c>
      <c r="J1966">
        <v>4653.55</v>
      </c>
      <c r="K1966" t="s">
        <v>17</v>
      </c>
      <c r="L1966" t="b">
        <v>0</v>
      </c>
      <c r="N1966" s="2" t="str">
        <f t="shared" si="176"/>
        <v/>
      </c>
      <c r="Q1966" t="str">
        <f t="shared" si="177"/>
        <v/>
      </c>
    </row>
    <row r="1967" spans="1:17" hidden="1">
      <c r="A1967" t="s">
        <v>2072</v>
      </c>
      <c r="B1967" s="1">
        <v>45186</v>
      </c>
      <c r="C1967">
        <v>2023</v>
      </c>
      <c r="D1967">
        <v>9</v>
      </c>
      <c r="E1967" t="s">
        <v>23</v>
      </c>
      <c r="F1967" t="s">
        <v>14</v>
      </c>
      <c r="G1967" t="s">
        <v>141</v>
      </c>
      <c r="H1967" t="s">
        <v>153</v>
      </c>
      <c r="I1967">
        <v>3589.84</v>
      </c>
      <c r="J1967">
        <v>3352.31</v>
      </c>
      <c r="K1967" t="s">
        <v>17</v>
      </c>
      <c r="L1967" t="b">
        <v>0</v>
      </c>
      <c r="N1967" s="2" t="str">
        <f t="shared" si="176"/>
        <v/>
      </c>
      <c r="Q1967" t="str">
        <f t="shared" si="177"/>
        <v/>
      </c>
    </row>
    <row r="1968" spans="1:17" hidden="1">
      <c r="A1968" t="s">
        <v>2073</v>
      </c>
      <c r="B1968" s="1">
        <v>45186</v>
      </c>
      <c r="C1968">
        <v>2023</v>
      </c>
      <c r="D1968">
        <v>9</v>
      </c>
      <c r="E1968" t="s">
        <v>23</v>
      </c>
      <c r="F1968" t="s">
        <v>28</v>
      </c>
      <c r="G1968" t="s">
        <v>59</v>
      </c>
      <c r="H1968" t="s">
        <v>155</v>
      </c>
      <c r="I1968">
        <v>4806.49</v>
      </c>
      <c r="J1968">
        <v>5255.16</v>
      </c>
      <c r="K1968" t="s">
        <v>17</v>
      </c>
      <c r="L1968" t="b">
        <v>0</v>
      </c>
      <c r="N1968" s="2" t="str">
        <f t="shared" si="176"/>
        <v/>
      </c>
      <c r="Q1968" t="str">
        <f t="shared" si="177"/>
        <v/>
      </c>
    </row>
    <row r="1969" spans="1:17" hidden="1">
      <c r="A1969" t="s">
        <v>2074</v>
      </c>
      <c r="B1969" s="1">
        <v>45186</v>
      </c>
      <c r="C1969">
        <v>2023</v>
      </c>
      <c r="D1969">
        <v>9</v>
      </c>
      <c r="E1969" t="s">
        <v>37</v>
      </c>
      <c r="F1969" t="s">
        <v>28</v>
      </c>
      <c r="G1969" t="s">
        <v>62</v>
      </c>
      <c r="H1969" t="s">
        <v>121</v>
      </c>
      <c r="I1969">
        <v>5304.17</v>
      </c>
      <c r="J1969">
        <v>5102.29</v>
      </c>
      <c r="K1969" t="s">
        <v>17</v>
      </c>
      <c r="L1969" t="b">
        <v>0</v>
      </c>
      <c r="N1969" s="2" t="str">
        <f t="shared" si="176"/>
        <v/>
      </c>
      <c r="Q1969" t="str">
        <f t="shared" si="177"/>
        <v/>
      </c>
    </row>
    <row r="1970" spans="1:17" hidden="1">
      <c r="A1970" t="s">
        <v>2075</v>
      </c>
      <c r="B1970" s="1">
        <v>45186</v>
      </c>
      <c r="C1970">
        <v>2023</v>
      </c>
      <c r="D1970">
        <v>9</v>
      </c>
      <c r="E1970" t="s">
        <v>37</v>
      </c>
      <c r="F1970" t="s">
        <v>28</v>
      </c>
      <c r="G1970" t="s">
        <v>98</v>
      </c>
      <c r="H1970" t="s">
        <v>99</v>
      </c>
      <c r="I1970">
        <v>4466.55</v>
      </c>
      <c r="J1970">
        <v>4418.1499999999996</v>
      </c>
      <c r="K1970" t="s">
        <v>17</v>
      </c>
      <c r="L1970" t="b">
        <v>0</v>
      </c>
      <c r="N1970" s="2" t="str">
        <f t="shared" si="176"/>
        <v/>
      </c>
      <c r="Q1970" t="str">
        <f t="shared" si="177"/>
        <v/>
      </c>
    </row>
    <row r="1971" spans="1:17" hidden="1">
      <c r="A1971" t="s">
        <v>2076</v>
      </c>
      <c r="B1971" s="1">
        <v>45186</v>
      </c>
      <c r="C1971">
        <v>2023</v>
      </c>
      <c r="D1971">
        <v>9</v>
      </c>
      <c r="E1971" t="s">
        <v>37</v>
      </c>
      <c r="F1971" t="s">
        <v>24</v>
      </c>
      <c r="G1971" t="s">
        <v>38</v>
      </c>
      <c r="H1971" t="s">
        <v>227</v>
      </c>
      <c r="I1971">
        <v>3867.85</v>
      </c>
      <c r="J1971">
        <v>4153.72</v>
      </c>
      <c r="K1971" t="s">
        <v>17</v>
      </c>
      <c r="L1971" t="b">
        <v>0</v>
      </c>
      <c r="N1971" s="2" t="str">
        <f t="shared" si="176"/>
        <v/>
      </c>
      <c r="Q1971" t="str">
        <f t="shared" si="177"/>
        <v/>
      </c>
    </row>
    <row r="1972" spans="1:17" hidden="1">
      <c r="A1972" t="s">
        <v>2077</v>
      </c>
      <c r="B1972" s="1">
        <v>45187</v>
      </c>
      <c r="C1972">
        <v>2023</v>
      </c>
      <c r="D1972">
        <v>9</v>
      </c>
      <c r="E1972" t="s">
        <v>13</v>
      </c>
      <c r="F1972" t="s">
        <v>14</v>
      </c>
      <c r="G1972" t="s">
        <v>108</v>
      </c>
      <c r="H1972" t="s">
        <v>123</v>
      </c>
      <c r="I1972">
        <v>3187.3</v>
      </c>
      <c r="J1972">
        <v>3174.9</v>
      </c>
      <c r="K1972" t="s">
        <v>17</v>
      </c>
      <c r="L1972" t="b">
        <v>0</v>
      </c>
      <c r="N1972" s="2" t="str">
        <f t="shared" si="176"/>
        <v/>
      </c>
      <c r="Q1972" t="str">
        <f t="shared" si="177"/>
        <v/>
      </c>
    </row>
    <row r="1973" spans="1:17" hidden="1">
      <c r="A1973" t="s">
        <v>2078</v>
      </c>
      <c r="B1973" s="1">
        <v>45187</v>
      </c>
      <c r="C1973">
        <v>2023</v>
      </c>
      <c r="D1973">
        <v>9</v>
      </c>
      <c r="E1973" t="s">
        <v>13</v>
      </c>
      <c r="F1973" t="s">
        <v>28</v>
      </c>
      <c r="G1973" t="s">
        <v>15</v>
      </c>
      <c r="H1973" t="s">
        <v>16</v>
      </c>
      <c r="I1973">
        <v>6166.79</v>
      </c>
      <c r="J1973">
        <v>5611.99</v>
      </c>
      <c r="K1973" t="s">
        <v>17</v>
      </c>
      <c r="L1973" t="b">
        <v>0</v>
      </c>
      <c r="N1973" s="2" t="str">
        <f t="shared" si="176"/>
        <v/>
      </c>
      <c r="Q1973" t="str">
        <f t="shared" si="177"/>
        <v/>
      </c>
    </row>
    <row r="1974" spans="1:17" hidden="1">
      <c r="A1974" t="s">
        <v>2079</v>
      </c>
      <c r="B1974" s="1">
        <v>45187</v>
      </c>
      <c r="C1974">
        <v>2023</v>
      </c>
      <c r="D1974">
        <v>9</v>
      </c>
      <c r="E1974" t="s">
        <v>13</v>
      </c>
      <c r="F1974" t="s">
        <v>24</v>
      </c>
      <c r="G1974" t="s">
        <v>15</v>
      </c>
      <c r="H1974" t="s">
        <v>45</v>
      </c>
      <c r="I1974">
        <v>4872.22</v>
      </c>
      <c r="J1974">
        <v>4780.28</v>
      </c>
      <c r="K1974" t="s">
        <v>17</v>
      </c>
      <c r="L1974" t="b">
        <v>0</v>
      </c>
      <c r="N1974" s="2" t="str">
        <f t="shared" si="176"/>
        <v/>
      </c>
      <c r="Q1974" t="str">
        <f t="shared" si="177"/>
        <v/>
      </c>
    </row>
    <row r="1975" spans="1:17" hidden="1">
      <c r="A1975" t="s">
        <v>2080</v>
      </c>
      <c r="B1975" s="1">
        <v>45187</v>
      </c>
      <c r="C1975">
        <v>2023</v>
      </c>
      <c r="D1975">
        <v>9</v>
      </c>
      <c r="E1975" t="s">
        <v>19</v>
      </c>
      <c r="F1975" t="s">
        <v>14</v>
      </c>
      <c r="G1975" t="s">
        <v>80</v>
      </c>
      <c r="H1975" t="s">
        <v>81</v>
      </c>
      <c r="I1975">
        <v>5717.47</v>
      </c>
      <c r="J1975">
        <v>5749.02</v>
      </c>
      <c r="K1975" t="s">
        <v>17</v>
      </c>
      <c r="L1975" t="b">
        <v>0</v>
      </c>
      <c r="N1975" s="2" t="str">
        <f t="shared" si="176"/>
        <v/>
      </c>
      <c r="Q1975" t="str">
        <f t="shared" si="177"/>
        <v/>
      </c>
    </row>
    <row r="1976" spans="1:17" hidden="1">
      <c r="A1976" t="s">
        <v>2081</v>
      </c>
      <c r="B1976" s="1">
        <v>45187</v>
      </c>
      <c r="C1976">
        <v>2023</v>
      </c>
      <c r="D1976">
        <v>9</v>
      </c>
      <c r="E1976" t="s">
        <v>19</v>
      </c>
      <c r="F1976" t="s">
        <v>28</v>
      </c>
      <c r="G1976" t="s">
        <v>20</v>
      </c>
      <c r="H1976" t="s">
        <v>136</v>
      </c>
      <c r="I1976">
        <v>10118.709999999999</v>
      </c>
      <c r="J1976">
        <v>9585.68</v>
      </c>
      <c r="K1976" t="s">
        <v>17</v>
      </c>
      <c r="L1976" t="b">
        <v>0</v>
      </c>
      <c r="N1976" s="2" t="str">
        <f t="shared" si="176"/>
        <v/>
      </c>
      <c r="Q1976" t="str">
        <f t="shared" si="177"/>
        <v/>
      </c>
    </row>
    <row r="1977" spans="1:17" hidden="1">
      <c r="A1977" t="s">
        <v>2082</v>
      </c>
      <c r="B1977" s="1">
        <v>45187</v>
      </c>
      <c r="C1977">
        <v>2023</v>
      </c>
      <c r="D1977">
        <v>9</v>
      </c>
      <c r="E1977" t="s">
        <v>19</v>
      </c>
      <c r="F1977" t="s">
        <v>28</v>
      </c>
      <c r="G1977" t="s">
        <v>20</v>
      </c>
      <c r="H1977" t="s">
        <v>21</v>
      </c>
      <c r="I1977">
        <v>5129.34</v>
      </c>
      <c r="J1977">
        <v>4725.3100000000004</v>
      </c>
      <c r="K1977" t="s">
        <v>17</v>
      </c>
      <c r="L1977" t="b">
        <v>0</v>
      </c>
      <c r="N1977" s="2" t="str">
        <f t="shared" si="176"/>
        <v/>
      </c>
      <c r="Q1977" t="str">
        <f t="shared" si="177"/>
        <v/>
      </c>
    </row>
    <row r="1978" spans="1:17" hidden="1">
      <c r="A1978" t="s">
        <v>2083</v>
      </c>
      <c r="B1978" s="1">
        <v>45187</v>
      </c>
      <c r="C1978">
        <v>2023</v>
      </c>
      <c r="D1978">
        <v>9</v>
      </c>
      <c r="E1978" t="s">
        <v>19</v>
      </c>
      <c r="F1978" t="s">
        <v>24</v>
      </c>
      <c r="G1978" t="s">
        <v>80</v>
      </c>
      <c r="H1978" t="s">
        <v>217</v>
      </c>
      <c r="I1978">
        <v>6076</v>
      </c>
      <c r="J1978">
        <v>5512.71</v>
      </c>
      <c r="K1978" t="s">
        <v>17</v>
      </c>
      <c r="L1978" t="b">
        <v>0</v>
      </c>
      <c r="N1978" s="2" t="str">
        <f t="shared" si="176"/>
        <v/>
      </c>
      <c r="Q1978" t="str">
        <f t="shared" si="177"/>
        <v/>
      </c>
    </row>
    <row r="1979" spans="1:17" hidden="1">
      <c r="A1979" t="s">
        <v>2084</v>
      </c>
      <c r="B1979" s="1">
        <v>45187</v>
      </c>
      <c r="C1979">
        <v>2023</v>
      </c>
      <c r="D1979">
        <v>9</v>
      </c>
      <c r="E1979" t="s">
        <v>23</v>
      </c>
      <c r="F1979" t="s">
        <v>28</v>
      </c>
      <c r="G1979" t="s">
        <v>59</v>
      </c>
      <c r="H1979" t="s">
        <v>60</v>
      </c>
      <c r="I1979">
        <v>3690.76</v>
      </c>
      <c r="J1979">
        <v>3684.13</v>
      </c>
      <c r="K1979" t="s">
        <v>17</v>
      </c>
      <c r="L1979" t="b">
        <v>0</v>
      </c>
      <c r="N1979" s="2" t="str">
        <f t="shared" si="176"/>
        <v/>
      </c>
      <c r="Q1979" t="str">
        <f t="shared" si="177"/>
        <v/>
      </c>
    </row>
    <row r="1980" spans="1:17" hidden="1">
      <c r="A1980" t="s">
        <v>2085</v>
      </c>
      <c r="B1980" s="1">
        <v>45187</v>
      </c>
      <c r="C1980">
        <v>2023</v>
      </c>
      <c r="D1980">
        <v>9</v>
      </c>
      <c r="E1980" t="s">
        <v>37</v>
      </c>
      <c r="F1980" t="s">
        <v>28</v>
      </c>
      <c r="G1980" t="s">
        <v>62</v>
      </c>
      <c r="H1980" t="s">
        <v>121</v>
      </c>
      <c r="I1980">
        <v>5985.21</v>
      </c>
      <c r="J1980">
        <v>6163.19</v>
      </c>
      <c r="K1980" t="s">
        <v>17</v>
      </c>
      <c r="L1980" t="b">
        <v>0</v>
      </c>
      <c r="N1980" s="2" t="str">
        <f t="shared" si="176"/>
        <v/>
      </c>
      <c r="Q1980" t="str">
        <f t="shared" si="177"/>
        <v/>
      </c>
    </row>
    <row r="1981" spans="1:17" hidden="1">
      <c r="A1981" t="s">
        <v>2086</v>
      </c>
      <c r="B1981" s="1">
        <v>45188</v>
      </c>
      <c r="C1981">
        <v>2023</v>
      </c>
      <c r="D1981">
        <v>9</v>
      </c>
      <c r="E1981" t="s">
        <v>19</v>
      </c>
      <c r="F1981" t="s">
        <v>24</v>
      </c>
      <c r="G1981" t="s">
        <v>80</v>
      </c>
      <c r="H1981" t="s">
        <v>150</v>
      </c>
      <c r="I1981">
        <v>9458.98</v>
      </c>
      <c r="J1981">
        <v>9009.5</v>
      </c>
      <c r="K1981" t="s">
        <v>17</v>
      </c>
      <c r="L1981" t="b">
        <v>0</v>
      </c>
      <c r="N1981" s="2" t="str">
        <f t="shared" si="176"/>
        <v/>
      </c>
      <c r="Q1981" t="str">
        <f t="shared" si="177"/>
        <v/>
      </c>
    </row>
    <row r="1982" spans="1:17" hidden="1">
      <c r="A1982" t="s">
        <v>2087</v>
      </c>
      <c r="B1982" s="1">
        <v>45188</v>
      </c>
      <c r="C1982">
        <v>2023</v>
      </c>
      <c r="D1982">
        <v>9</v>
      </c>
      <c r="E1982" t="s">
        <v>23</v>
      </c>
      <c r="F1982" t="s">
        <v>14</v>
      </c>
      <c r="G1982" t="s">
        <v>25</v>
      </c>
      <c r="H1982" t="s">
        <v>26</v>
      </c>
      <c r="I1982">
        <v>6784.13</v>
      </c>
      <c r="J1982">
        <v>7449.36</v>
      </c>
      <c r="K1982" t="s">
        <v>17</v>
      </c>
      <c r="L1982" t="b">
        <v>0</v>
      </c>
      <c r="N1982" s="2" t="str">
        <f t="shared" si="176"/>
        <v/>
      </c>
      <c r="Q1982" t="str">
        <f t="shared" si="177"/>
        <v/>
      </c>
    </row>
    <row r="1983" spans="1:17" hidden="1">
      <c r="A1983" t="s">
        <v>2088</v>
      </c>
      <c r="B1983" s="1">
        <v>45188</v>
      </c>
      <c r="C1983">
        <v>2023</v>
      </c>
      <c r="D1983">
        <v>9</v>
      </c>
      <c r="E1983" t="s">
        <v>37</v>
      </c>
      <c r="F1983" t="s">
        <v>28</v>
      </c>
      <c r="G1983" t="s">
        <v>98</v>
      </c>
      <c r="H1983" t="s">
        <v>185</v>
      </c>
      <c r="I1983">
        <v>4309.21</v>
      </c>
      <c r="J1983">
        <v>4282.1099999999997</v>
      </c>
      <c r="K1983" t="s">
        <v>17</v>
      </c>
      <c r="L1983" t="b">
        <v>0</v>
      </c>
      <c r="N1983" s="2" t="str">
        <f t="shared" si="176"/>
        <v/>
      </c>
      <c r="Q1983" t="str">
        <f t="shared" si="177"/>
        <v/>
      </c>
    </row>
    <row r="1984" spans="1:17" hidden="1">
      <c r="A1984" t="s">
        <v>2089</v>
      </c>
      <c r="B1984" s="1">
        <v>45188</v>
      </c>
      <c r="C1984">
        <v>2023</v>
      </c>
      <c r="D1984">
        <v>9</v>
      </c>
      <c r="E1984" t="s">
        <v>37</v>
      </c>
      <c r="F1984" t="s">
        <v>24</v>
      </c>
      <c r="G1984" t="s">
        <v>38</v>
      </c>
      <c r="H1984" t="s">
        <v>39</v>
      </c>
      <c r="I1984">
        <v>4251.5600000000004</v>
      </c>
      <c r="J1984">
        <v>4229.72</v>
      </c>
      <c r="K1984" t="s">
        <v>17</v>
      </c>
      <c r="L1984" t="b">
        <v>0</v>
      </c>
      <c r="N1984" s="2" t="str">
        <f t="shared" si="176"/>
        <v/>
      </c>
      <c r="Q1984" t="str">
        <f t="shared" si="177"/>
        <v/>
      </c>
    </row>
    <row r="1985" spans="1:17" hidden="1">
      <c r="A1985" t="s">
        <v>2090</v>
      </c>
      <c r="B1985" s="1">
        <v>45189</v>
      </c>
      <c r="C1985">
        <v>2023</v>
      </c>
      <c r="D1985">
        <v>9</v>
      </c>
      <c r="E1985" t="s">
        <v>13</v>
      </c>
      <c r="F1985" t="s">
        <v>28</v>
      </c>
      <c r="G1985" t="s">
        <v>15</v>
      </c>
      <c r="H1985" t="s">
        <v>45</v>
      </c>
      <c r="I1985">
        <v>3207.89</v>
      </c>
      <c r="J1985">
        <v>2901.11</v>
      </c>
      <c r="K1985" t="s">
        <v>17</v>
      </c>
      <c r="L1985" t="b">
        <v>0</v>
      </c>
      <c r="N1985" s="2" t="str">
        <f t="shared" si="176"/>
        <v/>
      </c>
      <c r="Q1985" t="str">
        <f t="shared" si="177"/>
        <v/>
      </c>
    </row>
    <row r="1986" spans="1:17" hidden="1">
      <c r="A1986" t="s">
        <v>2091</v>
      </c>
      <c r="B1986" s="1">
        <v>45189</v>
      </c>
      <c r="C1986">
        <v>2023</v>
      </c>
      <c r="D1986">
        <v>9</v>
      </c>
      <c r="E1986" t="s">
        <v>13</v>
      </c>
      <c r="F1986" t="s">
        <v>24</v>
      </c>
      <c r="G1986" t="s">
        <v>108</v>
      </c>
      <c r="H1986" t="s">
        <v>126</v>
      </c>
      <c r="I1986">
        <v>3300.23</v>
      </c>
      <c r="J1986">
        <v>3593.76</v>
      </c>
      <c r="K1986" t="s">
        <v>17</v>
      </c>
      <c r="L1986" t="b">
        <v>0</v>
      </c>
      <c r="N1986" s="2" t="str">
        <f t="shared" si="176"/>
        <v/>
      </c>
      <c r="Q1986" t="str">
        <f t="shared" si="177"/>
        <v/>
      </c>
    </row>
    <row r="1987" spans="1:17" hidden="1">
      <c r="A1987" t="s">
        <v>2092</v>
      </c>
      <c r="B1987" s="1">
        <v>45189</v>
      </c>
      <c r="C1987">
        <v>2023</v>
      </c>
      <c r="D1987">
        <v>9</v>
      </c>
      <c r="E1987" t="s">
        <v>47</v>
      </c>
      <c r="F1987" t="s">
        <v>28</v>
      </c>
      <c r="G1987" t="s">
        <v>51</v>
      </c>
      <c r="H1987" t="s">
        <v>72</v>
      </c>
      <c r="I1987">
        <v>17770.27</v>
      </c>
      <c r="J1987">
        <v>15270.73</v>
      </c>
      <c r="K1987" t="s">
        <v>17</v>
      </c>
      <c r="L1987" t="b">
        <v>0</v>
      </c>
      <c r="N1987" s="2" t="b">
        <f t="shared" ref="N1987:N2050" si="181">IF(AND(E1987="IT",K1987="EXPENSE"),I1987&gt;J1987,"")</f>
        <v>1</v>
      </c>
      <c r="O1987" t="str">
        <f>IF(AND(E1976="HR",K1976="EXPENSE"),I1976&lt;J1976,"")</f>
        <v/>
      </c>
      <c r="Q1987" t="str">
        <f t="shared" ref="Q1987:Q2050" si="182">IF(L1987=TRUE,OR(H1987="Apex Solutions Inc",H1987="Global Trade Partners",H1987="NovaTech Services"),"")</f>
        <v/>
      </c>
    </row>
    <row r="1988" spans="1:17" hidden="1">
      <c r="A1988" t="s">
        <v>2093</v>
      </c>
      <c r="B1988" s="1">
        <v>45189</v>
      </c>
      <c r="C1988">
        <v>2023</v>
      </c>
      <c r="D1988">
        <v>9</v>
      </c>
      <c r="E1988" t="s">
        <v>23</v>
      </c>
      <c r="F1988" t="s">
        <v>14</v>
      </c>
      <c r="G1988" t="s">
        <v>59</v>
      </c>
      <c r="H1988" t="s">
        <v>60</v>
      </c>
      <c r="I1988">
        <v>10643.86</v>
      </c>
      <c r="J1988">
        <v>10063.26</v>
      </c>
      <c r="K1988" t="s">
        <v>17</v>
      </c>
      <c r="L1988" t="b">
        <v>0</v>
      </c>
      <c r="N1988" s="2" t="str">
        <f t="shared" si="181"/>
        <v/>
      </c>
      <c r="Q1988" t="str">
        <f t="shared" si="182"/>
        <v/>
      </c>
    </row>
    <row r="1989" spans="1:17" hidden="1">
      <c r="A1989" t="s">
        <v>2094</v>
      </c>
      <c r="B1989" s="1">
        <v>45189</v>
      </c>
      <c r="C1989">
        <v>2023</v>
      </c>
      <c r="D1989">
        <v>9</v>
      </c>
      <c r="E1989" t="s">
        <v>23</v>
      </c>
      <c r="F1989" t="s">
        <v>24</v>
      </c>
      <c r="G1989" t="s">
        <v>59</v>
      </c>
      <c r="H1989" t="s">
        <v>155</v>
      </c>
      <c r="I1989">
        <v>5612.43</v>
      </c>
      <c r="J1989">
        <v>5747.4</v>
      </c>
      <c r="K1989" t="s">
        <v>17</v>
      </c>
      <c r="L1989" t="b">
        <v>0</v>
      </c>
      <c r="N1989" s="2" t="str">
        <f t="shared" si="181"/>
        <v/>
      </c>
      <c r="Q1989" t="str">
        <f t="shared" si="182"/>
        <v/>
      </c>
    </row>
    <row r="1990" spans="1:17" hidden="1">
      <c r="A1990" t="s">
        <v>2095</v>
      </c>
      <c r="B1990" s="1">
        <v>45189</v>
      </c>
      <c r="C1990">
        <v>2023</v>
      </c>
      <c r="D1990">
        <v>9</v>
      </c>
      <c r="E1990" t="s">
        <v>37</v>
      </c>
      <c r="F1990" t="s">
        <v>14</v>
      </c>
      <c r="G1990" t="s">
        <v>41</v>
      </c>
      <c r="H1990" t="s">
        <v>42</v>
      </c>
      <c r="I1990">
        <v>4066.63</v>
      </c>
      <c r="J1990">
        <v>4412</v>
      </c>
      <c r="K1990" t="s">
        <v>17</v>
      </c>
      <c r="L1990" t="b">
        <v>0</v>
      </c>
      <c r="N1990" s="2" t="str">
        <f t="shared" si="181"/>
        <v/>
      </c>
      <c r="Q1990" t="str">
        <f t="shared" si="182"/>
        <v/>
      </c>
    </row>
    <row r="1991" spans="1:17" hidden="1">
      <c r="A1991" t="s">
        <v>2096</v>
      </c>
      <c r="B1991" s="1">
        <v>45189</v>
      </c>
      <c r="C1991">
        <v>2023</v>
      </c>
      <c r="D1991">
        <v>9</v>
      </c>
      <c r="E1991" t="s">
        <v>37</v>
      </c>
      <c r="F1991" t="s">
        <v>14</v>
      </c>
      <c r="G1991" t="s">
        <v>38</v>
      </c>
      <c r="H1991" t="s">
        <v>39</v>
      </c>
      <c r="I1991">
        <v>3170.25</v>
      </c>
      <c r="J1991">
        <v>3286.36</v>
      </c>
      <c r="K1991" t="s">
        <v>17</v>
      </c>
      <c r="L1991" t="b">
        <v>0</v>
      </c>
      <c r="N1991" s="2" t="str">
        <f t="shared" si="181"/>
        <v/>
      </c>
      <c r="Q1991" t="str">
        <f t="shared" si="182"/>
        <v/>
      </c>
    </row>
    <row r="1992" spans="1:17" hidden="1">
      <c r="A1992" t="s">
        <v>2097</v>
      </c>
      <c r="B1992" s="1">
        <v>45189</v>
      </c>
      <c r="C1992">
        <v>2023</v>
      </c>
      <c r="D1992">
        <v>9</v>
      </c>
      <c r="E1992" t="s">
        <v>37</v>
      </c>
      <c r="F1992" t="s">
        <v>24</v>
      </c>
      <c r="G1992" t="s">
        <v>41</v>
      </c>
      <c r="H1992" t="s">
        <v>42</v>
      </c>
      <c r="I1992">
        <v>4596</v>
      </c>
      <c r="J1992">
        <v>4470.4399999999996</v>
      </c>
      <c r="K1992" t="s">
        <v>17</v>
      </c>
      <c r="L1992" t="b">
        <v>0</v>
      </c>
      <c r="N1992" s="2" t="str">
        <f t="shared" si="181"/>
        <v/>
      </c>
      <c r="Q1992" t="str">
        <f t="shared" si="182"/>
        <v/>
      </c>
    </row>
    <row r="1993" spans="1:17" hidden="1">
      <c r="A1993" t="s">
        <v>2098</v>
      </c>
      <c r="B1993" s="1">
        <v>45189</v>
      </c>
      <c r="C1993">
        <v>2023</v>
      </c>
      <c r="D1993">
        <v>9</v>
      </c>
      <c r="E1993" t="s">
        <v>37</v>
      </c>
      <c r="F1993" t="s">
        <v>24</v>
      </c>
      <c r="G1993" t="s">
        <v>62</v>
      </c>
      <c r="H1993" t="s">
        <v>121</v>
      </c>
      <c r="I1993">
        <v>5127.9799999999996</v>
      </c>
      <c r="J1993">
        <v>4680.6099999999997</v>
      </c>
      <c r="K1993" t="s">
        <v>17</v>
      </c>
      <c r="L1993" t="b">
        <v>0</v>
      </c>
      <c r="N1993" s="2" t="str">
        <f t="shared" si="181"/>
        <v/>
      </c>
      <c r="Q1993" t="str">
        <f t="shared" si="182"/>
        <v/>
      </c>
    </row>
    <row r="1994" spans="1:17" hidden="1">
      <c r="A1994" t="s">
        <v>2099</v>
      </c>
      <c r="B1994" s="1">
        <v>45190</v>
      </c>
      <c r="C1994">
        <v>2023</v>
      </c>
      <c r="D1994">
        <v>9</v>
      </c>
      <c r="E1994" t="s">
        <v>13</v>
      </c>
      <c r="F1994" t="s">
        <v>14</v>
      </c>
      <c r="G1994" t="s">
        <v>108</v>
      </c>
      <c r="H1994" t="s">
        <v>109</v>
      </c>
      <c r="I1994">
        <v>3905.29</v>
      </c>
      <c r="J1994">
        <v>3842.29</v>
      </c>
      <c r="K1994" t="s">
        <v>17</v>
      </c>
      <c r="L1994" t="b">
        <v>0</v>
      </c>
      <c r="N1994" s="2" t="str">
        <f t="shared" si="181"/>
        <v/>
      </c>
      <c r="Q1994" t="str">
        <f t="shared" si="182"/>
        <v/>
      </c>
    </row>
    <row r="1995" spans="1:17" hidden="1">
      <c r="A1995" t="s">
        <v>2100</v>
      </c>
      <c r="B1995" s="1">
        <v>45190</v>
      </c>
      <c r="C1995">
        <v>2023</v>
      </c>
      <c r="D1995">
        <v>9</v>
      </c>
      <c r="E1995" t="s">
        <v>13</v>
      </c>
      <c r="F1995" t="s">
        <v>28</v>
      </c>
      <c r="G1995" t="s">
        <v>68</v>
      </c>
      <c r="H1995" t="s">
        <v>87</v>
      </c>
      <c r="I1995">
        <v>5393.78</v>
      </c>
      <c r="J1995">
        <v>5892.23</v>
      </c>
      <c r="K1995" t="s">
        <v>17</v>
      </c>
      <c r="L1995" t="b">
        <v>0</v>
      </c>
      <c r="N1995" s="2" t="str">
        <f t="shared" si="181"/>
        <v/>
      </c>
      <c r="Q1995" t="str">
        <f t="shared" si="182"/>
        <v/>
      </c>
    </row>
    <row r="1996" spans="1:17" hidden="1">
      <c r="A1996" t="s">
        <v>2101</v>
      </c>
      <c r="B1996" s="1">
        <v>45190</v>
      </c>
      <c r="C1996">
        <v>2023</v>
      </c>
      <c r="D1996">
        <v>9</v>
      </c>
      <c r="E1996" t="s">
        <v>47</v>
      </c>
      <c r="F1996" t="s">
        <v>14</v>
      </c>
      <c r="G1996" t="s">
        <v>51</v>
      </c>
      <c r="H1996" t="s">
        <v>189</v>
      </c>
      <c r="I1996">
        <v>15087.62</v>
      </c>
      <c r="J1996">
        <v>12449.99</v>
      </c>
      <c r="K1996" t="s">
        <v>17</v>
      </c>
      <c r="L1996" t="b">
        <v>0</v>
      </c>
      <c r="N1996" s="2" t="b">
        <f t="shared" si="181"/>
        <v>1</v>
      </c>
      <c r="O1996" t="b">
        <f t="shared" ref="O1996:O1999" si="183">IF(AND(E1985="HR",K1985="EXPENSE"),I1985&lt;J1985,"")</f>
        <v>0</v>
      </c>
      <c r="Q1996" t="str">
        <f t="shared" si="182"/>
        <v/>
      </c>
    </row>
    <row r="1997" spans="1:17" hidden="1">
      <c r="A1997" t="s">
        <v>2102</v>
      </c>
      <c r="B1997" s="1">
        <v>45190</v>
      </c>
      <c r="C1997">
        <v>2023</v>
      </c>
      <c r="D1997">
        <v>9</v>
      </c>
      <c r="E1997" t="s">
        <v>47</v>
      </c>
      <c r="F1997" t="s">
        <v>28</v>
      </c>
      <c r="G1997" t="s">
        <v>77</v>
      </c>
      <c r="H1997" t="s">
        <v>78</v>
      </c>
      <c r="I1997">
        <v>8125.64</v>
      </c>
      <c r="J1997">
        <v>6762.04</v>
      </c>
      <c r="K1997" t="s">
        <v>17</v>
      </c>
      <c r="L1997" t="b">
        <v>0</v>
      </c>
      <c r="N1997" s="2" t="b">
        <f t="shared" si="181"/>
        <v>1</v>
      </c>
      <c r="O1997" t="b">
        <f t="shared" si="183"/>
        <v>1</v>
      </c>
      <c r="Q1997" t="str">
        <f t="shared" si="182"/>
        <v/>
      </c>
    </row>
    <row r="1998" spans="1:17" hidden="1">
      <c r="A1998" t="s">
        <v>2103</v>
      </c>
      <c r="B1998" s="1">
        <v>45190</v>
      </c>
      <c r="C1998">
        <v>2023</v>
      </c>
      <c r="D1998">
        <v>9</v>
      </c>
      <c r="E1998" t="s">
        <v>47</v>
      </c>
      <c r="F1998" t="s">
        <v>24</v>
      </c>
      <c r="G1998" t="s">
        <v>91</v>
      </c>
      <c r="H1998" t="s">
        <v>92</v>
      </c>
      <c r="I1998">
        <v>12179.73</v>
      </c>
      <c r="J1998">
        <v>10310.700000000001</v>
      </c>
      <c r="K1998" t="s">
        <v>17</v>
      </c>
      <c r="L1998" t="b">
        <v>0</v>
      </c>
      <c r="N1998" s="2" t="b">
        <f t="shared" si="181"/>
        <v>1</v>
      </c>
      <c r="O1998" t="str">
        <f t="shared" si="183"/>
        <v/>
      </c>
      <c r="Q1998" t="str">
        <f t="shared" si="182"/>
        <v/>
      </c>
    </row>
    <row r="1999" spans="1:17" hidden="1">
      <c r="A1999" t="s">
        <v>2104</v>
      </c>
      <c r="B1999" s="1">
        <v>45190</v>
      </c>
      <c r="C1999">
        <v>2023</v>
      </c>
      <c r="D1999">
        <v>9</v>
      </c>
      <c r="E1999" t="s">
        <v>47</v>
      </c>
      <c r="F1999" t="s">
        <v>24</v>
      </c>
      <c r="G1999" t="s">
        <v>91</v>
      </c>
      <c r="H1999" t="s">
        <v>249</v>
      </c>
      <c r="I1999">
        <v>15605.87</v>
      </c>
      <c r="J1999">
        <v>13444.99</v>
      </c>
      <c r="K1999" t="s">
        <v>17</v>
      </c>
      <c r="L1999" t="b">
        <v>0</v>
      </c>
      <c r="N1999" s="2" t="b">
        <f t="shared" si="181"/>
        <v>1</v>
      </c>
      <c r="O1999" t="str">
        <f t="shared" si="183"/>
        <v/>
      </c>
      <c r="Q1999" t="str">
        <f t="shared" si="182"/>
        <v/>
      </c>
    </row>
    <row r="2000" spans="1:17" hidden="1">
      <c r="A2000" t="s">
        <v>2105</v>
      </c>
      <c r="B2000" s="1">
        <v>45190</v>
      </c>
      <c r="C2000">
        <v>2023</v>
      </c>
      <c r="D2000">
        <v>9</v>
      </c>
      <c r="E2000" t="s">
        <v>19</v>
      </c>
      <c r="F2000" t="s">
        <v>14</v>
      </c>
      <c r="G2000" t="s">
        <v>54</v>
      </c>
      <c r="H2000" t="s">
        <v>55</v>
      </c>
      <c r="I2000">
        <v>4274.62</v>
      </c>
      <c r="J2000">
        <v>4083.76</v>
      </c>
      <c r="K2000" t="s">
        <v>17</v>
      </c>
      <c r="L2000" t="b">
        <v>0</v>
      </c>
      <c r="N2000" s="2" t="str">
        <f t="shared" si="181"/>
        <v/>
      </c>
      <c r="Q2000" t="str">
        <f t="shared" si="182"/>
        <v/>
      </c>
    </row>
    <row r="2001" spans="1:17" hidden="1">
      <c r="A2001" t="s">
        <v>2106</v>
      </c>
      <c r="B2001" s="1">
        <v>45190</v>
      </c>
      <c r="C2001">
        <v>2023</v>
      </c>
      <c r="D2001">
        <v>9</v>
      </c>
      <c r="E2001" t="s">
        <v>19</v>
      </c>
      <c r="F2001" t="s">
        <v>28</v>
      </c>
      <c r="G2001" t="s">
        <v>54</v>
      </c>
      <c r="H2001" t="s">
        <v>57</v>
      </c>
      <c r="I2001">
        <v>9032.36</v>
      </c>
      <c r="J2001">
        <v>9885.85</v>
      </c>
      <c r="K2001" t="s">
        <v>17</v>
      </c>
      <c r="L2001" t="b">
        <v>0</v>
      </c>
      <c r="N2001" s="2" t="str">
        <f t="shared" si="181"/>
        <v/>
      </c>
      <c r="Q2001" t="str">
        <f t="shared" si="182"/>
        <v/>
      </c>
    </row>
    <row r="2002" spans="1:17" hidden="1">
      <c r="A2002" t="s">
        <v>2107</v>
      </c>
      <c r="B2002" s="1">
        <v>45190</v>
      </c>
      <c r="C2002">
        <v>2023</v>
      </c>
      <c r="D2002">
        <v>9</v>
      </c>
      <c r="E2002" t="s">
        <v>23</v>
      </c>
      <c r="F2002" t="s">
        <v>28</v>
      </c>
      <c r="G2002" t="s">
        <v>59</v>
      </c>
      <c r="H2002" t="s">
        <v>60</v>
      </c>
      <c r="I2002">
        <v>4996.79</v>
      </c>
      <c r="J2002">
        <v>4891.34</v>
      </c>
      <c r="K2002" t="s">
        <v>17</v>
      </c>
      <c r="L2002" t="b">
        <v>0</v>
      </c>
      <c r="N2002" s="2" t="str">
        <f t="shared" si="181"/>
        <v/>
      </c>
      <c r="Q2002" t="str">
        <f t="shared" si="182"/>
        <v/>
      </c>
    </row>
    <row r="2003" spans="1:17" hidden="1">
      <c r="A2003" t="s">
        <v>2108</v>
      </c>
      <c r="B2003" s="1">
        <v>45190</v>
      </c>
      <c r="C2003">
        <v>2023</v>
      </c>
      <c r="D2003">
        <v>9</v>
      </c>
      <c r="E2003" t="s">
        <v>23</v>
      </c>
      <c r="F2003" t="s">
        <v>28</v>
      </c>
      <c r="G2003" t="s">
        <v>59</v>
      </c>
      <c r="H2003" t="s">
        <v>155</v>
      </c>
      <c r="I2003">
        <v>6038.02</v>
      </c>
      <c r="J2003">
        <v>6591.27</v>
      </c>
      <c r="K2003" t="s">
        <v>17</v>
      </c>
      <c r="L2003" t="b">
        <v>0</v>
      </c>
      <c r="N2003" s="2" t="str">
        <f t="shared" si="181"/>
        <v/>
      </c>
      <c r="Q2003" t="str">
        <f t="shared" si="182"/>
        <v/>
      </c>
    </row>
    <row r="2004" spans="1:17" hidden="1">
      <c r="A2004" t="s">
        <v>2109</v>
      </c>
      <c r="B2004" s="1">
        <v>45191</v>
      </c>
      <c r="C2004">
        <v>2023</v>
      </c>
      <c r="D2004">
        <v>9</v>
      </c>
      <c r="E2004" t="s">
        <v>13</v>
      </c>
      <c r="F2004" t="s">
        <v>28</v>
      </c>
      <c r="G2004" t="s">
        <v>108</v>
      </c>
      <c r="H2004" t="s">
        <v>126</v>
      </c>
      <c r="I2004">
        <v>3453.23</v>
      </c>
      <c r="J2004">
        <v>3115.17</v>
      </c>
      <c r="K2004" t="s">
        <v>17</v>
      </c>
      <c r="L2004" t="b">
        <v>0</v>
      </c>
      <c r="N2004" s="2" t="str">
        <f t="shared" si="181"/>
        <v/>
      </c>
      <c r="Q2004" t="str">
        <f t="shared" si="182"/>
        <v/>
      </c>
    </row>
    <row r="2005" spans="1:17" hidden="1">
      <c r="A2005" t="s">
        <v>2110</v>
      </c>
      <c r="B2005" s="1">
        <v>45191</v>
      </c>
      <c r="C2005">
        <v>2023</v>
      </c>
      <c r="D2005">
        <v>9</v>
      </c>
      <c r="E2005" t="s">
        <v>13</v>
      </c>
      <c r="F2005" t="s">
        <v>24</v>
      </c>
      <c r="G2005" t="s">
        <v>15</v>
      </c>
      <c r="H2005" t="s">
        <v>89</v>
      </c>
      <c r="I2005">
        <v>4538.5600000000004</v>
      </c>
      <c r="J2005">
        <v>4224.96</v>
      </c>
      <c r="K2005" t="s">
        <v>17</v>
      </c>
      <c r="L2005" t="b">
        <v>0</v>
      </c>
      <c r="N2005" s="2" t="str">
        <f t="shared" si="181"/>
        <v/>
      </c>
      <c r="Q2005" t="str">
        <f t="shared" si="182"/>
        <v/>
      </c>
    </row>
    <row r="2006" spans="1:17" hidden="1">
      <c r="A2006" t="s">
        <v>2111</v>
      </c>
      <c r="B2006" s="1">
        <v>45191</v>
      </c>
      <c r="C2006">
        <v>2023</v>
      </c>
      <c r="D2006">
        <v>9</v>
      </c>
      <c r="E2006" t="s">
        <v>19</v>
      </c>
      <c r="F2006" t="s">
        <v>14</v>
      </c>
      <c r="G2006" t="s">
        <v>54</v>
      </c>
      <c r="H2006" t="s">
        <v>163</v>
      </c>
      <c r="I2006">
        <v>5441.48</v>
      </c>
      <c r="J2006">
        <v>5106.3100000000004</v>
      </c>
      <c r="K2006" t="s">
        <v>17</v>
      </c>
      <c r="L2006" t="b">
        <v>0</v>
      </c>
      <c r="N2006" s="2" t="str">
        <f t="shared" si="181"/>
        <v/>
      </c>
      <c r="Q2006" t="str">
        <f t="shared" si="182"/>
        <v/>
      </c>
    </row>
    <row r="2007" spans="1:17" hidden="1">
      <c r="A2007" t="s">
        <v>2112</v>
      </c>
      <c r="B2007" s="1">
        <v>45191</v>
      </c>
      <c r="C2007">
        <v>2023</v>
      </c>
      <c r="D2007">
        <v>9</v>
      </c>
      <c r="E2007" t="s">
        <v>19</v>
      </c>
      <c r="F2007" t="s">
        <v>28</v>
      </c>
      <c r="G2007" t="s">
        <v>80</v>
      </c>
      <c r="H2007" t="s">
        <v>81</v>
      </c>
      <c r="I2007">
        <v>5965.52</v>
      </c>
      <c r="J2007">
        <v>6028.53</v>
      </c>
      <c r="K2007" t="s">
        <v>17</v>
      </c>
      <c r="L2007" t="b">
        <v>0</v>
      </c>
      <c r="N2007" s="2" t="str">
        <f t="shared" si="181"/>
        <v/>
      </c>
      <c r="Q2007" t="str">
        <f t="shared" si="182"/>
        <v/>
      </c>
    </row>
    <row r="2008" spans="1:17" hidden="1">
      <c r="A2008" t="s">
        <v>2113</v>
      </c>
      <c r="B2008" s="1">
        <v>45191</v>
      </c>
      <c r="C2008">
        <v>2023</v>
      </c>
      <c r="D2008">
        <v>9</v>
      </c>
      <c r="E2008" t="s">
        <v>23</v>
      </c>
      <c r="F2008" t="s">
        <v>28</v>
      </c>
      <c r="G2008" t="s">
        <v>25</v>
      </c>
      <c r="H2008" t="s">
        <v>26</v>
      </c>
      <c r="I2008">
        <v>4306.9399999999996</v>
      </c>
      <c r="J2008">
        <v>4270.68</v>
      </c>
      <c r="K2008" t="s">
        <v>17</v>
      </c>
      <c r="L2008" t="b">
        <v>0</v>
      </c>
      <c r="N2008" s="2" t="str">
        <f t="shared" si="181"/>
        <v/>
      </c>
      <c r="Q2008" t="str">
        <f t="shared" si="182"/>
        <v/>
      </c>
    </row>
    <row r="2009" spans="1:17" hidden="1">
      <c r="A2009" t="s">
        <v>2114</v>
      </c>
      <c r="B2009" s="1">
        <v>45191</v>
      </c>
      <c r="C2009">
        <v>2023</v>
      </c>
      <c r="D2009">
        <v>9</v>
      </c>
      <c r="E2009" t="s">
        <v>37</v>
      </c>
      <c r="F2009" t="s">
        <v>14</v>
      </c>
      <c r="G2009" t="s">
        <v>62</v>
      </c>
      <c r="H2009" t="s">
        <v>360</v>
      </c>
      <c r="I2009">
        <v>5403.52</v>
      </c>
      <c r="J2009">
        <v>5904.62</v>
      </c>
      <c r="K2009" t="s">
        <v>17</v>
      </c>
      <c r="L2009" t="b">
        <v>0</v>
      </c>
      <c r="N2009" s="2" t="str">
        <f t="shared" si="181"/>
        <v/>
      </c>
      <c r="Q2009" t="str">
        <f t="shared" si="182"/>
        <v/>
      </c>
    </row>
    <row r="2010" spans="1:17" hidden="1">
      <c r="A2010" t="s">
        <v>2115</v>
      </c>
      <c r="B2010" s="1">
        <v>45191</v>
      </c>
      <c r="C2010">
        <v>2023</v>
      </c>
      <c r="D2010">
        <v>9</v>
      </c>
      <c r="E2010" t="s">
        <v>37</v>
      </c>
      <c r="F2010" t="s">
        <v>28</v>
      </c>
      <c r="G2010" t="s">
        <v>62</v>
      </c>
      <c r="H2010" t="s">
        <v>121</v>
      </c>
      <c r="I2010">
        <v>4091.87</v>
      </c>
      <c r="J2010">
        <v>4312.0600000000004</v>
      </c>
      <c r="K2010" t="s">
        <v>17</v>
      </c>
      <c r="L2010" t="b">
        <v>0</v>
      </c>
      <c r="N2010" s="2" t="str">
        <f t="shared" si="181"/>
        <v/>
      </c>
      <c r="Q2010" t="str">
        <f t="shared" si="182"/>
        <v/>
      </c>
    </row>
    <row r="2011" spans="1:17" hidden="1">
      <c r="A2011" t="s">
        <v>2116</v>
      </c>
      <c r="B2011" s="1">
        <v>45192</v>
      </c>
      <c r="C2011">
        <v>2023</v>
      </c>
      <c r="D2011">
        <v>9</v>
      </c>
      <c r="E2011" t="s">
        <v>47</v>
      </c>
      <c r="F2011" t="s">
        <v>24</v>
      </c>
      <c r="G2011" t="s">
        <v>91</v>
      </c>
      <c r="H2011" t="s">
        <v>128</v>
      </c>
      <c r="I2011">
        <v>11499.76</v>
      </c>
      <c r="J2011">
        <v>9946.43</v>
      </c>
      <c r="K2011" t="s">
        <v>17</v>
      </c>
      <c r="L2011" t="b">
        <v>0</v>
      </c>
      <c r="N2011" s="2" t="b">
        <f t="shared" si="181"/>
        <v>1</v>
      </c>
      <c r="O2011" t="str">
        <f>IF(AND(E2000="HR",K2000="EXPENSE"),I2000&lt;J2000,"")</f>
        <v/>
      </c>
      <c r="Q2011" t="str">
        <f t="shared" si="182"/>
        <v/>
      </c>
    </row>
    <row r="2012" spans="1:17" hidden="1">
      <c r="A2012" t="s">
        <v>2117</v>
      </c>
      <c r="B2012" s="1">
        <v>45192</v>
      </c>
      <c r="C2012">
        <v>2023</v>
      </c>
      <c r="D2012">
        <v>9</v>
      </c>
      <c r="E2012" t="s">
        <v>19</v>
      </c>
      <c r="F2012" t="s">
        <v>28</v>
      </c>
      <c r="G2012" t="s">
        <v>20</v>
      </c>
      <c r="H2012" t="s">
        <v>174</v>
      </c>
      <c r="I2012">
        <v>5201.1499999999996</v>
      </c>
      <c r="J2012">
        <v>5206.26</v>
      </c>
      <c r="K2012" t="s">
        <v>17</v>
      </c>
      <c r="L2012" t="b">
        <v>0</v>
      </c>
      <c r="N2012" s="2" t="str">
        <f t="shared" si="181"/>
        <v/>
      </c>
      <c r="Q2012" t="str">
        <f t="shared" si="182"/>
        <v/>
      </c>
    </row>
    <row r="2013" spans="1:17" hidden="1">
      <c r="A2013" t="s">
        <v>2118</v>
      </c>
      <c r="B2013" s="1">
        <v>45192</v>
      </c>
      <c r="C2013">
        <v>2023</v>
      </c>
      <c r="D2013">
        <v>9</v>
      </c>
      <c r="E2013" t="s">
        <v>23</v>
      </c>
      <c r="F2013" t="s">
        <v>14</v>
      </c>
      <c r="G2013" t="s">
        <v>141</v>
      </c>
      <c r="H2013" t="s">
        <v>153</v>
      </c>
      <c r="I2013">
        <v>6472.18</v>
      </c>
      <c r="J2013">
        <v>6528.86</v>
      </c>
      <c r="K2013" t="s">
        <v>17</v>
      </c>
      <c r="L2013" t="b">
        <v>0</v>
      </c>
      <c r="N2013" s="2" t="str">
        <f t="shared" si="181"/>
        <v/>
      </c>
      <c r="Q2013" t="str">
        <f t="shared" si="182"/>
        <v/>
      </c>
    </row>
    <row r="2014" spans="1:17" hidden="1">
      <c r="A2014" t="s">
        <v>2119</v>
      </c>
      <c r="B2014" s="1">
        <v>45193</v>
      </c>
      <c r="C2014">
        <v>2023</v>
      </c>
      <c r="D2014">
        <v>9</v>
      </c>
      <c r="E2014" t="s">
        <v>13</v>
      </c>
      <c r="F2014" t="s">
        <v>14</v>
      </c>
      <c r="G2014" t="s">
        <v>68</v>
      </c>
      <c r="H2014" t="s">
        <v>69</v>
      </c>
      <c r="I2014">
        <v>2637.4</v>
      </c>
      <c r="J2014">
        <v>2590.31</v>
      </c>
      <c r="K2014" t="s">
        <v>17</v>
      </c>
      <c r="L2014" t="b">
        <v>0</v>
      </c>
      <c r="N2014" s="2" t="str">
        <f t="shared" si="181"/>
        <v/>
      </c>
      <c r="Q2014" t="str">
        <f t="shared" si="182"/>
        <v/>
      </c>
    </row>
    <row r="2015" spans="1:17" hidden="1">
      <c r="A2015" t="s">
        <v>2120</v>
      </c>
      <c r="B2015" s="1">
        <v>45193</v>
      </c>
      <c r="C2015">
        <v>2023</v>
      </c>
      <c r="D2015">
        <v>9</v>
      </c>
      <c r="E2015" t="s">
        <v>13</v>
      </c>
      <c r="F2015" t="s">
        <v>14</v>
      </c>
      <c r="G2015" t="s">
        <v>108</v>
      </c>
      <c r="H2015" t="s">
        <v>126</v>
      </c>
      <c r="I2015">
        <v>3941.86</v>
      </c>
      <c r="J2015">
        <v>4006.56</v>
      </c>
      <c r="K2015" t="s">
        <v>17</v>
      </c>
      <c r="L2015" t="b">
        <v>0</v>
      </c>
      <c r="N2015" s="2" t="str">
        <f t="shared" si="181"/>
        <v/>
      </c>
      <c r="Q2015" t="str">
        <f t="shared" si="182"/>
        <v/>
      </c>
    </row>
    <row r="2016" spans="1:17" hidden="1">
      <c r="A2016" t="s">
        <v>2121</v>
      </c>
      <c r="B2016" s="1">
        <v>45193</v>
      </c>
      <c r="C2016">
        <v>2023</v>
      </c>
      <c r="D2016">
        <v>9</v>
      </c>
      <c r="E2016" t="s">
        <v>13</v>
      </c>
      <c r="F2016" t="s">
        <v>24</v>
      </c>
      <c r="G2016" t="s">
        <v>108</v>
      </c>
      <c r="H2016" t="s">
        <v>126</v>
      </c>
      <c r="I2016">
        <v>3471.13</v>
      </c>
      <c r="J2016">
        <v>3334.52</v>
      </c>
      <c r="K2016" t="s">
        <v>17</v>
      </c>
      <c r="L2016" t="b">
        <v>0</v>
      </c>
      <c r="N2016" s="2" t="str">
        <f t="shared" si="181"/>
        <v/>
      </c>
      <c r="Q2016" t="str">
        <f t="shared" si="182"/>
        <v/>
      </c>
    </row>
    <row r="2017" spans="1:17" hidden="1">
      <c r="A2017" t="s">
        <v>2122</v>
      </c>
      <c r="B2017" s="1">
        <v>45193</v>
      </c>
      <c r="C2017">
        <v>2023</v>
      </c>
      <c r="D2017">
        <v>9</v>
      </c>
      <c r="E2017" t="s">
        <v>47</v>
      </c>
      <c r="F2017" t="s">
        <v>28</v>
      </c>
      <c r="G2017" t="s">
        <v>77</v>
      </c>
      <c r="H2017" t="s">
        <v>78</v>
      </c>
      <c r="I2017">
        <v>9244.6200000000008</v>
      </c>
      <c r="J2017">
        <v>7876.35</v>
      </c>
      <c r="K2017" t="s">
        <v>17</v>
      </c>
      <c r="L2017" t="b">
        <v>0</v>
      </c>
      <c r="N2017" s="2" t="b">
        <f t="shared" si="181"/>
        <v>1</v>
      </c>
      <c r="O2017" t="str">
        <f t="shared" ref="O2017:O2018" si="184">IF(AND(E2006="HR",K2006="EXPENSE"),I2006&lt;J2006,"")</f>
        <v/>
      </c>
      <c r="Q2017" t="str">
        <f t="shared" si="182"/>
        <v/>
      </c>
    </row>
    <row r="2018" spans="1:17" hidden="1">
      <c r="A2018" t="s">
        <v>2123</v>
      </c>
      <c r="B2018" s="1">
        <v>45193</v>
      </c>
      <c r="C2018">
        <v>2023</v>
      </c>
      <c r="D2018">
        <v>9</v>
      </c>
      <c r="E2018" t="s">
        <v>47</v>
      </c>
      <c r="F2018" t="s">
        <v>28</v>
      </c>
      <c r="G2018" t="s">
        <v>51</v>
      </c>
      <c r="H2018" t="s">
        <v>72</v>
      </c>
      <c r="I2018">
        <v>10110.16</v>
      </c>
      <c r="J2018">
        <v>8408.2999999999993</v>
      </c>
      <c r="K2018" t="s">
        <v>17</v>
      </c>
      <c r="L2018" t="b">
        <v>0</v>
      </c>
      <c r="N2018" s="2" t="b">
        <f t="shared" si="181"/>
        <v>1</v>
      </c>
      <c r="O2018" t="str">
        <f t="shared" si="184"/>
        <v/>
      </c>
      <c r="Q2018" t="str">
        <f t="shared" si="182"/>
        <v/>
      </c>
    </row>
    <row r="2019" spans="1:17" hidden="1">
      <c r="A2019" t="s">
        <v>2124</v>
      </c>
      <c r="B2019" s="1">
        <v>45193</v>
      </c>
      <c r="C2019">
        <v>2023</v>
      </c>
      <c r="D2019">
        <v>9</v>
      </c>
      <c r="E2019" t="s">
        <v>19</v>
      </c>
      <c r="F2019" t="s">
        <v>14</v>
      </c>
      <c r="G2019" t="s">
        <v>80</v>
      </c>
      <c r="H2019" t="s">
        <v>150</v>
      </c>
      <c r="I2019">
        <v>5735.14</v>
      </c>
      <c r="J2019">
        <v>5869.57</v>
      </c>
      <c r="K2019" t="s">
        <v>17</v>
      </c>
      <c r="L2019" t="b">
        <v>0</v>
      </c>
      <c r="N2019" s="2" t="str">
        <f t="shared" si="181"/>
        <v/>
      </c>
      <c r="Q2019" t="str">
        <f t="shared" si="182"/>
        <v/>
      </c>
    </row>
    <row r="2020" spans="1:17" hidden="1">
      <c r="A2020" t="s">
        <v>2125</v>
      </c>
      <c r="B2020" s="1">
        <v>45193</v>
      </c>
      <c r="C2020">
        <v>2023</v>
      </c>
      <c r="D2020">
        <v>9</v>
      </c>
      <c r="E2020" t="s">
        <v>19</v>
      </c>
      <c r="F2020" t="s">
        <v>28</v>
      </c>
      <c r="G2020" t="s">
        <v>132</v>
      </c>
      <c r="H2020" t="s">
        <v>133</v>
      </c>
      <c r="I2020">
        <v>6132.67</v>
      </c>
      <c r="J2020">
        <v>6546.59</v>
      </c>
      <c r="K2020" t="s">
        <v>17</v>
      </c>
      <c r="L2020" t="b">
        <v>0</v>
      </c>
      <c r="N2020" s="2" t="str">
        <f t="shared" si="181"/>
        <v/>
      </c>
      <c r="Q2020" t="str">
        <f t="shared" si="182"/>
        <v/>
      </c>
    </row>
    <row r="2021" spans="1:17" hidden="1">
      <c r="A2021" t="s">
        <v>2126</v>
      </c>
      <c r="B2021" s="1">
        <v>45193</v>
      </c>
      <c r="C2021">
        <v>2023</v>
      </c>
      <c r="D2021">
        <v>9</v>
      </c>
      <c r="E2021" t="s">
        <v>19</v>
      </c>
      <c r="F2021" t="s">
        <v>28</v>
      </c>
      <c r="G2021" t="s">
        <v>80</v>
      </c>
      <c r="H2021" t="s">
        <v>217</v>
      </c>
      <c r="I2021">
        <v>5367.66</v>
      </c>
      <c r="J2021">
        <v>5656.17</v>
      </c>
      <c r="K2021" t="s">
        <v>17</v>
      </c>
      <c r="L2021" t="b">
        <v>0</v>
      </c>
      <c r="N2021" s="2" t="str">
        <f t="shared" si="181"/>
        <v/>
      </c>
      <c r="Q2021" t="str">
        <f t="shared" si="182"/>
        <v/>
      </c>
    </row>
    <row r="2022" spans="1:17" hidden="1">
      <c r="A2022" t="s">
        <v>2127</v>
      </c>
      <c r="B2022" s="1">
        <v>45193</v>
      </c>
      <c r="C2022">
        <v>2023</v>
      </c>
      <c r="D2022">
        <v>9</v>
      </c>
      <c r="E2022" t="s">
        <v>23</v>
      </c>
      <c r="F2022" t="s">
        <v>24</v>
      </c>
      <c r="G2022" t="s">
        <v>59</v>
      </c>
      <c r="H2022" t="s">
        <v>60</v>
      </c>
      <c r="I2022">
        <v>5191.07</v>
      </c>
      <c r="J2022">
        <v>5545.75</v>
      </c>
      <c r="K2022" t="s">
        <v>17</v>
      </c>
      <c r="L2022" t="b">
        <v>0</v>
      </c>
      <c r="N2022" s="2" t="str">
        <f t="shared" si="181"/>
        <v/>
      </c>
      <c r="Q2022" t="str">
        <f t="shared" si="182"/>
        <v/>
      </c>
    </row>
    <row r="2023" spans="1:17" hidden="1">
      <c r="A2023" t="s">
        <v>2128</v>
      </c>
      <c r="B2023" s="1">
        <v>45193</v>
      </c>
      <c r="C2023">
        <v>2023</v>
      </c>
      <c r="D2023">
        <v>9</v>
      </c>
      <c r="E2023" t="s">
        <v>37</v>
      </c>
      <c r="F2023" t="s">
        <v>28</v>
      </c>
      <c r="G2023" t="s">
        <v>62</v>
      </c>
      <c r="H2023" t="s">
        <v>66</v>
      </c>
      <c r="I2023">
        <v>4231.74</v>
      </c>
      <c r="J2023">
        <v>3999.66</v>
      </c>
      <c r="K2023" t="s">
        <v>17</v>
      </c>
      <c r="L2023" t="b">
        <v>0</v>
      </c>
      <c r="N2023" s="2" t="str">
        <f t="shared" si="181"/>
        <v/>
      </c>
      <c r="Q2023" t="str">
        <f t="shared" si="182"/>
        <v/>
      </c>
    </row>
    <row r="2024" spans="1:17" hidden="1">
      <c r="A2024" t="s">
        <v>2129</v>
      </c>
      <c r="B2024" s="1">
        <v>45193</v>
      </c>
      <c r="C2024">
        <v>2023</v>
      </c>
      <c r="D2024">
        <v>9</v>
      </c>
      <c r="E2024" t="s">
        <v>37</v>
      </c>
      <c r="F2024" t="s">
        <v>28</v>
      </c>
      <c r="G2024" t="s">
        <v>98</v>
      </c>
      <c r="H2024" t="s">
        <v>99</v>
      </c>
      <c r="I2024">
        <v>4140.57</v>
      </c>
      <c r="J2024">
        <v>3849.04</v>
      </c>
      <c r="K2024" t="s">
        <v>17</v>
      </c>
      <c r="L2024" t="b">
        <v>0</v>
      </c>
      <c r="N2024" s="2" t="str">
        <f t="shared" si="181"/>
        <v/>
      </c>
      <c r="Q2024" t="str">
        <f t="shared" si="182"/>
        <v/>
      </c>
    </row>
    <row r="2025" spans="1:17" hidden="1">
      <c r="A2025" t="s">
        <v>2130</v>
      </c>
      <c r="B2025" s="1">
        <v>45193</v>
      </c>
      <c r="C2025">
        <v>2023</v>
      </c>
      <c r="D2025">
        <v>9</v>
      </c>
      <c r="E2025" t="s">
        <v>37</v>
      </c>
      <c r="F2025" t="s">
        <v>24</v>
      </c>
      <c r="G2025" t="s">
        <v>41</v>
      </c>
      <c r="H2025" t="s">
        <v>42</v>
      </c>
      <c r="I2025">
        <v>4058.21</v>
      </c>
      <c r="J2025">
        <v>3788.76</v>
      </c>
      <c r="K2025" t="s">
        <v>17</v>
      </c>
      <c r="L2025" t="b">
        <v>0</v>
      </c>
      <c r="N2025" s="2" t="str">
        <f t="shared" si="181"/>
        <v/>
      </c>
      <c r="Q2025" t="str">
        <f t="shared" si="182"/>
        <v/>
      </c>
    </row>
    <row r="2026" spans="1:17" hidden="1">
      <c r="A2026" t="s">
        <v>2131</v>
      </c>
      <c r="B2026" s="1">
        <v>45194</v>
      </c>
      <c r="C2026">
        <v>2023</v>
      </c>
      <c r="D2026">
        <v>9</v>
      </c>
      <c r="E2026" t="s">
        <v>13</v>
      </c>
      <c r="F2026" t="s">
        <v>14</v>
      </c>
      <c r="G2026" t="s">
        <v>102</v>
      </c>
      <c r="H2026" t="s">
        <v>103</v>
      </c>
      <c r="I2026">
        <v>3410.06</v>
      </c>
      <c r="J2026">
        <v>3520.09</v>
      </c>
      <c r="K2026" t="s">
        <v>17</v>
      </c>
      <c r="L2026" t="b">
        <v>0</v>
      </c>
      <c r="N2026" s="2" t="str">
        <f t="shared" si="181"/>
        <v/>
      </c>
      <c r="Q2026" t="str">
        <f t="shared" si="182"/>
        <v/>
      </c>
    </row>
    <row r="2027" spans="1:17" hidden="1">
      <c r="A2027" t="s">
        <v>2132</v>
      </c>
      <c r="B2027" s="1">
        <v>45194</v>
      </c>
      <c r="C2027">
        <v>2023</v>
      </c>
      <c r="D2027">
        <v>9</v>
      </c>
      <c r="E2027" t="s">
        <v>13</v>
      </c>
      <c r="F2027" t="s">
        <v>14</v>
      </c>
      <c r="G2027" t="s">
        <v>108</v>
      </c>
      <c r="H2027" t="s">
        <v>109</v>
      </c>
      <c r="I2027">
        <v>3935.62</v>
      </c>
      <c r="J2027">
        <v>3916.03</v>
      </c>
      <c r="K2027" t="s">
        <v>17</v>
      </c>
      <c r="L2027" t="b">
        <v>0</v>
      </c>
      <c r="N2027" s="2" t="str">
        <f t="shared" si="181"/>
        <v/>
      </c>
      <c r="Q2027" t="str">
        <f t="shared" si="182"/>
        <v/>
      </c>
    </row>
    <row r="2028" spans="1:17" hidden="1">
      <c r="A2028" t="s">
        <v>2133</v>
      </c>
      <c r="B2028" s="1">
        <v>45194</v>
      </c>
      <c r="C2028">
        <v>2023</v>
      </c>
      <c r="D2028">
        <v>9</v>
      </c>
      <c r="E2028" t="s">
        <v>13</v>
      </c>
      <c r="F2028" t="s">
        <v>14</v>
      </c>
      <c r="G2028" t="s">
        <v>102</v>
      </c>
      <c r="H2028" t="s">
        <v>145</v>
      </c>
      <c r="I2028">
        <v>3413.31</v>
      </c>
      <c r="J2028">
        <v>3109.26</v>
      </c>
      <c r="K2028" t="s">
        <v>17</v>
      </c>
      <c r="L2028" t="b">
        <v>0</v>
      </c>
      <c r="N2028" s="2" t="str">
        <f t="shared" si="181"/>
        <v/>
      </c>
      <c r="Q2028" t="str">
        <f t="shared" si="182"/>
        <v/>
      </c>
    </row>
    <row r="2029" spans="1:17" hidden="1">
      <c r="A2029" t="s">
        <v>2134</v>
      </c>
      <c r="B2029" s="1">
        <v>45194</v>
      </c>
      <c r="C2029">
        <v>2023</v>
      </c>
      <c r="D2029">
        <v>9</v>
      </c>
      <c r="E2029" t="s">
        <v>13</v>
      </c>
      <c r="F2029" t="s">
        <v>24</v>
      </c>
      <c r="G2029" t="s">
        <v>68</v>
      </c>
      <c r="H2029" t="s">
        <v>69</v>
      </c>
      <c r="I2029">
        <v>3785.2</v>
      </c>
      <c r="J2029">
        <v>3793.12</v>
      </c>
      <c r="K2029" t="s">
        <v>17</v>
      </c>
      <c r="L2029" t="b">
        <v>0</v>
      </c>
      <c r="N2029" s="2" t="str">
        <f t="shared" si="181"/>
        <v/>
      </c>
      <c r="Q2029" t="str">
        <f t="shared" si="182"/>
        <v/>
      </c>
    </row>
    <row r="2030" spans="1:17" hidden="1">
      <c r="A2030" t="s">
        <v>2135</v>
      </c>
      <c r="B2030" s="1">
        <v>45194</v>
      </c>
      <c r="C2030">
        <v>2023</v>
      </c>
      <c r="D2030">
        <v>9</v>
      </c>
      <c r="E2030" t="s">
        <v>47</v>
      </c>
      <c r="F2030" t="s">
        <v>24</v>
      </c>
      <c r="G2030" t="s">
        <v>51</v>
      </c>
      <c r="H2030" t="s">
        <v>72</v>
      </c>
      <c r="I2030">
        <v>15548.69</v>
      </c>
      <c r="J2030">
        <v>12962.54</v>
      </c>
      <c r="K2030" t="s">
        <v>17</v>
      </c>
      <c r="L2030" t="b">
        <v>0</v>
      </c>
      <c r="N2030" s="2" t="b">
        <f t="shared" si="181"/>
        <v>1</v>
      </c>
      <c r="O2030" t="str">
        <f>IF(AND(E2019="HR",K2019="EXPENSE"),I2019&lt;J2019,"")</f>
        <v/>
      </c>
      <c r="Q2030" t="str">
        <f t="shared" si="182"/>
        <v/>
      </c>
    </row>
    <row r="2031" spans="1:17" hidden="1">
      <c r="A2031" t="s">
        <v>2136</v>
      </c>
      <c r="B2031" s="1">
        <v>45194</v>
      </c>
      <c r="C2031">
        <v>2023</v>
      </c>
      <c r="D2031">
        <v>9</v>
      </c>
      <c r="E2031" t="s">
        <v>19</v>
      </c>
      <c r="F2031" t="s">
        <v>14</v>
      </c>
      <c r="G2031" t="s">
        <v>54</v>
      </c>
      <c r="H2031" t="s">
        <v>55</v>
      </c>
      <c r="I2031">
        <v>4347.8</v>
      </c>
      <c r="J2031">
        <v>4403.82</v>
      </c>
      <c r="K2031" t="s">
        <v>17</v>
      </c>
      <c r="L2031" t="b">
        <v>0</v>
      </c>
      <c r="N2031" s="2" t="str">
        <f t="shared" si="181"/>
        <v/>
      </c>
      <c r="Q2031" t="str">
        <f t="shared" si="182"/>
        <v/>
      </c>
    </row>
    <row r="2032" spans="1:17" hidden="1">
      <c r="A2032" t="s">
        <v>2137</v>
      </c>
      <c r="B2032" s="1">
        <v>45194</v>
      </c>
      <c r="C2032">
        <v>2023</v>
      </c>
      <c r="D2032">
        <v>9</v>
      </c>
      <c r="E2032" t="s">
        <v>19</v>
      </c>
      <c r="F2032" t="s">
        <v>14</v>
      </c>
      <c r="G2032" t="s">
        <v>20</v>
      </c>
      <c r="H2032" t="s">
        <v>21</v>
      </c>
      <c r="I2032">
        <v>3760.19</v>
      </c>
      <c r="J2032">
        <v>3669.75</v>
      </c>
      <c r="K2032" t="s">
        <v>17</v>
      </c>
      <c r="L2032" t="b">
        <v>0</v>
      </c>
      <c r="N2032" s="2" t="str">
        <f t="shared" si="181"/>
        <v/>
      </c>
      <c r="Q2032" t="str">
        <f t="shared" si="182"/>
        <v/>
      </c>
    </row>
    <row r="2033" spans="1:17" hidden="1">
      <c r="A2033" t="s">
        <v>2138</v>
      </c>
      <c r="B2033" s="1">
        <v>45194</v>
      </c>
      <c r="C2033">
        <v>2023</v>
      </c>
      <c r="D2033">
        <v>9</v>
      </c>
      <c r="E2033" t="s">
        <v>19</v>
      </c>
      <c r="F2033" t="s">
        <v>24</v>
      </c>
      <c r="G2033" t="s">
        <v>80</v>
      </c>
      <c r="H2033" t="s">
        <v>81</v>
      </c>
      <c r="I2033">
        <v>6710.98</v>
      </c>
      <c r="J2033">
        <v>7341.91</v>
      </c>
      <c r="K2033" t="s">
        <v>17</v>
      </c>
      <c r="L2033" t="b">
        <v>0</v>
      </c>
      <c r="N2033" s="2" t="str">
        <f t="shared" si="181"/>
        <v/>
      </c>
      <c r="Q2033" t="str">
        <f t="shared" si="182"/>
        <v/>
      </c>
    </row>
    <row r="2034" spans="1:17" hidden="1">
      <c r="A2034" t="s">
        <v>2139</v>
      </c>
      <c r="B2034" s="1">
        <v>45194</v>
      </c>
      <c r="C2034">
        <v>2023</v>
      </c>
      <c r="D2034">
        <v>9</v>
      </c>
      <c r="E2034" t="s">
        <v>23</v>
      </c>
      <c r="F2034" t="s">
        <v>24</v>
      </c>
      <c r="G2034" t="s">
        <v>59</v>
      </c>
      <c r="H2034" t="s">
        <v>155</v>
      </c>
      <c r="I2034">
        <v>7655.33</v>
      </c>
      <c r="J2034">
        <v>6936.27</v>
      </c>
      <c r="K2034" t="s">
        <v>17</v>
      </c>
      <c r="L2034" t="b">
        <v>0</v>
      </c>
      <c r="N2034" s="2" t="str">
        <f t="shared" si="181"/>
        <v/>
      </c>
      <c r="Q2034" t="str">
        <f t="shared" si="182"/>
        <v/>
      </c>
    </row>
    <row r="2035" spans="1:17" hidden="1">
      <c r="A2035" t="s">
        <v>2140</v>
      </c>
      <c r="B2035" s="1">
        <v>45194</v>
      </c>
      <c r="C2035">
        <v>2023</v>
      </c>
      <c r="D2035">
        <v>9</v>
      </c>
      <c r="E2035" t="s">
        <v>23</v>
      </c>
      <c r="F2035" t="s">
        <v>24</v>
      </c>
      <c r="G2035" t="s">
        <v>141</v>
      </c>
      <c r="H2035" t="s">
        <v>209</v>
      </c>
      <c r="I2035">
        <v>8508.33</v>
      </c>
      <c r="J2035">
        <v>7885.14</v>
      </c>
      <c r="K2035" t="s">
        <v>17</v>
      </c>
      <c r="L2035" t="b">
        <v>0</v>
      </c>
      <c r="N2035" s="2" t="str">
        <f t="shared" si="181"/>
        <v/>
      </c>
      <c r="Q2035" t="str">
        <f t="shared" si="182"/>
        <v/>
      </c>
    </row>
    <row r="2036" spans="1:17" hidden="1">
      <c r="A2036" t="s">
        <v>2141</v>
      </c>
      <c r="B2036" s="1">
        <v>45194</v>
      </c>
      <c r="C2036">
        <v>2023</v>
      </c>
      <c r="D2036">
        <v>9</v>
      </c>
      <c r="E2036" t="s">
        <v>37</v>
      </c>
      <c r="F2036" t="s">
        <v>28</v>
      </c>
      <c r="G2036" t="s">
        <v>38</v>
      </c>
      <c r="H2036" t="s">
        <v>118</v>
      </c>
      <c r="I2036">
        <v>5250.36</v>
      </c>
      <c r="J2036">
        <v>4865.71</v>
      </c>
      <c r="K2036" t="s">
        <v>17</v>
      </c>
      <c r="L2036" t="b">
        <v>0</v>
      </c>
      <c r="N2036" s="2" t="str">
        <f t="shared" si="181"/>
        <v/>
      </c>
      <c r="Q2036" t="str">
        <f t="shared" si="182"/>
        <v/>
      </c>
    </row>
    <row r="2037" spans="1:17" hidden="1">
      <c r="A2037" t="s">
        <v>2142</v>
      </c>
      <c r="B2037" s="1">
        <v>45194</v>
      </c>
      <c r="C2037">
        <v>2023</v>
      </c>
      <c r="D2037">
        <v>9</v>
      </c>
      <c r="E2037" t="s">
        <v>37</v>
      </c>
      <c r="F2037" t="s">
        <v>24</v>
      </c>
      <c r="G2037" t="s">
        <v>38</v>
      </c>
      <c r="H2037" t="s">
        <v>39</v>
      </c>
      <c r="I2037">
        <v>5748.7</v>
      </c>
      <c r="J2037">
        <v>5673.43</v>
      </c>
      <c r="K2037" t="s">
        <v>17</v>
      </c>
      <c r="L2037" t="b">
        <v>0</v>
      </c>
      <c r="N2037" s="2" t="str">
        <f t="shared" si="181"/>
        <v/>
      </c>
      <c r="Q2037" t="str">
        <f t="shared" si="182"/>
        <v/>
      </c>
    </row>
    <row r="2038" spans="1:17" hidden="1">
      <c r="A2038" t="s">
        <v>2143</v>
      </c>
      <c r="B2038" s="1">
        <v>45194</v>
      </c>
      <c r="C2038">
        <v>2023</v>
      </c>
      <c r="D2038">
        <v>9</v>
      </c>
      <c r="E2038" t="s">
        <v>37</v>
      </c>
      <c r="F2038" t="s">
        <v>14</v>
      </c>
      <c r="G2038" t="s">
        <v>83</v>
      </c>
      <c r="H2038" t="s">
        <v>84</v>
      </c>
      <c r="I2038">
        <v>255048.04</v>
      </c>
      <c r="J2038">
        <v>242295.64</v>
      </c>
      <c r="K2038" t="s">
        <v>85</v>
      </c>
      <c r="L2038" t="b">
        <v>0</v>
      </c>
      <c r="N2038" s="2" t="str">
        <f t="shared" si="181"/>
        <v/>
      </c>
      <c r="Q2038" t="str">
        <f t="shared" si="182"/>
        <v/>
      </c>
    </row>
    <row r="2039" spans="1:17" hidden="1">
      <c r="A2039" t="s">
        <v>2144</v>
      </c>
      <c r="B2039" s="1">
        <v>45195</v>
      </c>
      <c r="C2039">
        <v>2023</v>
      </c>
      <c r="D2039">
        <v>9</v>
      </c>
      <c r="E2039" t="s">
        <v>13</v>
      </c>
      <c r="F2039" t="s">
        <v>24</v>
      </c>
      <c r="G2039" t="s">
        <v>68</v>
      </c>
      <c r="H2039" t="s">
        <v>87</v>
      </c>
      <c r="I2039">
        <v>2441.5</v>
      </c>
      <c r="J2039">
        <v>2660.44</v>
      </c>
      <c r="K2039" t="s">
        <v>17</v>
      </c>
      <c r="L2039" t="b">
        <v>0</v>
      </c>
      <c r="N2039" s="2" t="str">
        <f t="shared" si="181"/>
        <v/>
      </c>
      <c r="Q2039" t="str">
        <f t="shared" si="182"/>
        <v/>
      </c>
    </row>
    <row r="2040" spans="1:17" hidden="1">
      <c r="A2040" t="s">
        <v>2145</v>
      </c>
      <c r="B2040" s="1">
        <v>45195</v>
      </c>
      <c r="C2040">
        <v>2023</v>
      </c>
      <c r="D2040">
        <v>9</v>
      </c>
      <c r="E2040" t="s">
        <v>47</v>
      </c>
      <c r="F2040" t="s">
        <v>28</v>
      </c>
      <c r="G2040" t="s">
        <v>48</v>
      </c>
      <c r="H2040" t="s">
        <v>75</v>
      </c>
      <c r="I2040">
        <v>17222.900000000001</v>
      </c>
      <c r="J2040">
        <v>14243.78</v>
      </c>
      <c r="K2040" t="s">
        <v>17</v>
      </c>
      <c r="L2040" t="b">
        <v>0</v>
      </c>
      <c r="N2040" s="2" t="b">
        <f t="shared" si="181"/>
        <v>1</v>
      </c>
      <c r="O2040" t="b">
        <f t="shared" ref="O2040:O2041" si="185">IF(AND(E2029="HR",K2029="EXPENSE"),I2029&lt;J2029,"")</f>
        <v>1</v>
      </c>
      <c r="Q2040" t="str">
        <f t="shared" si="182"/>
        <v/>
      </c>
    </row>
    <row r="2041" spans="1:17" hidden="1">
      <c r="A2041" t="s">
        <v>2146</v>
      </c>
      <c r="B2041" s="1">
        <v>45195</v>
      </c>
      <c r="C2041">
        <v>2023</v>
      </c>
      <c r="D2041">
        <v>9</v>
      </c>
      <c r="E2041" t="s">
        <v>47</v>
      </c>
      <c r="F2041" t="s">
        <v>28</v>
      </c>
      <c r="G2041" t="s">
        <v>91</v>
      </c>
      <c r="H2041" t="s">
        <v>128</v>
      </c>
      <c r="I2041">
        <v>14684.28</v>
      </c>
      <c r="J2041">
        <v>12729.22</v>
      </c>
      <c r="K2041" t="s">
        <v>17</v>
      </c>
      <c r="L2041" t="b">
        <v>0</v>
      </c>
      <c r="N2041" s="2" t="b">
        <f t="shared" si="181"/>
        <v>1</v>
      </c>
      <c r="O2041" t="str">
        <f t="shared" si="185"/>
        <v/>
      </c>
      <c r="Q2041" t="str">
        <f t="shared" si="182"/>
        <v/>
      </c>
    </row>
    <row r="2042" spans="1:17" hidden="1">
      <c r="A2042" t="s">
        <v>2147</v>
      </c>
      <c r="B2042" s="1">
        <v>45195</v>
      </c>
      <c r="C2042">
        <v>2023</v>
      </c>
      <c r="D2042">
        <v>9</v>
      </c>
      <c r="E2042" t="s">
        <v>19</v>
      </c>
      <c r="F2042" t="s">
        <v>28</v>
      </c>
      <c r="G2042" t="s">
        <v>54</v>
      </c>
      <c r="H2042" t="s">
        <v>163</v>
      </c>
      <c r="I2042">
        <v>8206.7800000000007</v>
      </c>
      <c r="J2042">
        <v>7446.36</v>
      </c>
      <c r="K2042" t="s">
        <v>17</v>
      </c>
      <c r="L2042" t="b">
        <v>0</v>
      </c>
      <c r="N2042" s="2" t="str">
        <f t="shared" si="181"/>
        <v/>
      </c>
      <c r="Q2042" t="str">
        <f t="shared" si="182"/>
        <v/>
      </c>
    </row>
    <row r="2043" spans="1:17" hidden="1">
      <c r="A2043" t="s">
        <v>2148</v>
      </c>
      <c r="B2043" s="1">
        <v>45195</v>
      </c>
      <c r="C2043">
        <v>2023</v>
      </c>
      <c r="D2043">
        <v>9</v>
      </c>
      <c r="E2043" t="s">
        <v>37</v>
      </c>
      <c r="F2043" t="s">
        <v>14</v>
      </c>
      <c r="G2043" t="s">
        <v>62</v>
      </c>
      <c r="H2043" t="s">
        <v>360</v>
      </c>
      <c r="I2043">
        <v>4685.83</v>
      </c>
      <c r="J2043">
        <v>5041.8</v>
      </c>
      <c r="K2043" t="s">
        <v>17</v>
      </c>
      <c r="L2043" t="b">
        <v>0</v>
      </c>
      <c r="N2043" s="2" t="str">
        <f t="shared" si="181"/>
        <v/>
      </c>
      <c r="Q2043" t="str">
        <f t="shared" si="182"/>
        <v/>
      </c>
    </row>
    <row r="2044" spans="1:17" hidden="1">
      <c r="A2044" t="s">
        <v>2149</v>
      </c>
      <c r="B2044" s="1">
        <v>45195</v>
      </c>
      <c r="C2044">
        <v>2023</v>
      </c>
      <c r="D2044">
        <v>9</v>
      </c>
      <c r="E2044" t="s">
        <v>37</v>
      </c>
      <c r="F2044" t="s">
        <v>28</v>
      </c>
      <c r="G2044" t="s">
        <v>41</v>
      </c>
      <c r="H2044" t="s">
        <v>42</v>
      </c>
      <c r="I2044">
        <v>4687.83</v>
      </c>
      <c r="J2044">
        <v>4342.13</v>
      </c>
      <c r="K2044" t="s">
        <v>17</v>
      </c>
      <c r="L2044" t="b">
        <v>0</v>
      </c>
      <c r="N2044" s="2" t="str">
        <f t="shared" si="181"/>
        <v/>
      </c>
      <c r="Q2044" t="str">
        <f t="shared" si="182"/>
        <v/>
      </c>
    </row>
    <row r="2045" spans="1:17" hidden="1">
      <c r="A2045" t="s">
        <v>2150</v>
      </c>
      <c r="B2045" s="1">
        <v>45195</v>
      </c>
      <c r="C2045">
        <v>2023</v>
      </c>
      <c r="D2045">
        <v>9</v>
      </c>
      <c r="E2045" t="s">
        <v>37</v>
      </c>
      <c r="F2045" t="s">
        <v>28</v>
      </c>
      <c r="G2045" t="s">
        <v>62</v>
      </c>
      <c r="H2045" t="s">
        <v>63</v>
      </c>
      <c r="I2045">
        <v>4010.62</v>
      </c>
      <c r="J2045">
        <v>3637.18</v>
      </c>
      <c r="K2045" t="s">
        <v>17</v>
      </c>
      <c r="L2045" t="b">
        <v>0</v>
      </c>
      <c r="N2045" s="2" t="str">
        <f t="shared" si="181"/>
        <v/>
      </c>
      <c r="Q2045" t="str">
        <f t="shared" si="182"/>
        <v/>
      </c>
    </row>
    <row r="2046" spans="1:17" hidden="1">
      <c r="A2046" t="s">
        <v>2151</v>
      </c>
      <c r="B2046" s="1">
        <v>45195</v>
      </c>
      <c r="C2046">
        <v>2023</v>
      </c>
      <c r="D2046">
        <v>9</v>
      </c>
      <c r="E2046" t="s">
        <v>37</v>
      </c>
      <c r="F2046" t="s">
        <v>24</v>
      </c>
      <c r="G2046" t="s">
        <v>62</v>
      </c>
      <c r="H2046" t="s">
        <v>121</v>
      </c>
      <c r="I2046">
        <v>3134.24</v>
      </c>
      <c r="J2046">
        <v>2856.8</v>
      </c>
      <c r="K2046" t="s">
        <v>17</v>
      </c>
      <c r="L2046" t="b">
        <v>0</v>
      </c>
      <c r="N2046" s="2" t="str">
        <f t="shared" si="181"/>
        <v/>
      </c>
      <c r="Q2046" t="str">
        <f t="shared" si="182"/>
        <v/>
      </c>
    </row>
    <row r="2047" spans="1:17" hidden="1">
      <c r="A2047" t="s">
        <v>2152</v>
      </c>
      <c r="B2047" s="1">
        <v>45195</v>
      </c>
      <c r="C2047">
        <v>2023</v>
      </c>
      <c r="D2047">
        <v>9</v>
      </c>
      <c r="E2047" t="s">
        <v>37</v>
      </c>
      <c r="F2047" t="s">
        <v>28</v>
      </c>
      <c r="G2047" t="s">
        <v>83</v>
      </c>
      <c r="H2047" t="s">
        <v>84</v>
      </c>
      <c r="I2047">
        <v>145742.14000000001</v>
      </c>
      <c r="J2047">
        <v>138455.03</v>
      </c>
      <c r="K2047" t="s">
        <v>85</v>
      </c>
      <c r="L2047" t="b">
        <v>0</v>
      </c>
      <c r="N2047" s="2" t="str">
        <f t="shared" si="181"/>
        <v/>
      </c>
      <c r="Q2047" t="str">
        <f t="shared" si="182"/>
        <v/>
      </c>
    </row>
    <row r="2048" spans="1:17" hidden="1">
      <c r="A2048" t="s">
        <v>2153</v>
      </c>
      <c r="B2048" s="1">
        <v>45196</v>
      </c>
      <c r="C2048">
        <v>2023</v>
      </c>
      <c r="D2048">
        <v>9</v>
      </c>
      <c r="E2048" t="s">
        <v>13</v>
      </c>
      <c r="F2048" t="s">
        <v>14</v>
      </c>
      <c r="G2048" t="s">
        <v>15</v>
      </c>
      <c r="H2048" t="s">
        <v>16</v>
      </c>
      <c r="I2048">
        <v>2094.31</v>
      </c>
      <c r="J2048">
        <v>2255.29</v>
      </c>
      <c r="K2048" t="s">
        <v>17</v>
      </c>
      <c r="L2048" t="b">
        <v>0</v>
      </c>
      <c r="N2048" s="2" t="str">
        <f t="shared" si="181"/>
        <v/>
      </c>
      <c r="Q2048" t="str">
        <f t="shared" si="182"/>
        <v/>
      </c>
    </row>
    <row r="2049" spans="1:17" hidden="1">
      <c r="A2049" t="s">
        <v>2154</v>
      </c>
      <c r="B2049" s="1">
        <v>45196</v>
      </c>
      <c r="C2049">
        <v>2023</v>
      </c>
      <c r="D2049">
        <v>9</v>
      </c>
      <c r="E2049" t="s">
        <v>47</v>
      </c>
      <c r="F2049" t="s">
        <v>14</v>
      </c>
      <c r="G2049" t="s">
        <v>51</v>
      </c>
      <c r="H2049" t="s">
        <v>72</v>
      </c>
      <c r="I2049">
        <v>15384.57</v>
      </c>
      <c r="J2049">
        <v>12675.15</v>
      </c>
      <c r="K2049" t="s">
        <v>17</v>
      </c>
      <c r="L2049" t="b">
        <v>0</v>
      </c>
      <c r="N2049" s="2" t="b">
        <f t="shared" si="181"/>
        <v>1</v>
      </c>
      <c r="O2049" t="str">
        <f>IF(AND(E2038="HR",K2038="EXPENSE"),I2038&lt;J2038,"")</f>
        <v/>
      </c>
      <c r="Q2049" t="str">
        <f t="shared" si="182"/>
        <v/>
      </c>
    </row>
    <row r="2050" spans="1:17" hidden="1">
      <c r="A2050" t="s">
        <v>2155</v>
      </c>
      <c r="B2050" s="1">
        <v>45196</v>
      </c>
      <c r="C2050">
        <v>2023</v>
      </c>
      <c r="D2050">
        <v>9</v>
      </c>
      <c r="E2050" t="s">
        <v>19</v>
      </c>
      <c r="F2050" t="s">
        <v>14</v>
      </c>
      <c r="G2050" t="s">
        <v>132</v>
      </c>
      <c r="H2050" t="s">
        <v>133</v>
      </c>
      <c r="I2050">
        <v>4793.45</v>
      </c>
      <c r="J2050">
        <v>4824.58</v>
      </c>
      <c r="K2050" t="s">
        <v>17</v>
      </c>
      <c r="L2050" t="b">
        <v>0</v>
      </c>
      <c r="N2050" s="2" t="str">
        <f t="shared" si="181"/>
        <v/>
      </c>
      <c r="Q2050" t="str">
        <f t="shared" si="182"/>
        <v/>
      </c>
    </row>
    <row r="2051" spans="1:17" hidden="1">
      <c r="A2051" t="s">
        <v>2156</v>
      </c>
      <c r="B2051" s="1">
        <v>45196</v>
      </c>
      <c r="C2051">
        <v>2023</v>
      </c>
      <c r="D2051">
        <v>9</v>
      </c>
      <c r="E2051" t="s">
        <v>37</v>
      </c>
      <c r="F2051" t="s">
        <v>14</v>
      </c>
      <c r="G2051" t="s">
        <v>62</v>
      </c>
      <c r="H2051" t="s">
        <v>66</v>
      </c>
      <c r="I2051">
        <v>5316.42</v>
      </c>
      <c r="J2051">
        <v>5365.77</v>
      </c>
      <c r="K2051" t="s">
        <v>17</v>
      </c>
      <c r="L2051" t="b">
        <v>0</v>
      </c>
      <c r="N2051" s="2" t="str">
        <f t="shared" ref="N2051:N2114" si="186">IF(AND(E2051="IT",K2051="EXPENSE"),I2051&gt;J2051,"")</f>
        <v/>
      </c>
      <c r="Q2051" t="str">
        <f t="shared" ref="Q2051:Q2114" si="187">IF(L2051=TRUE,OR(H2051="Apex Solutions Inc",H2051="Global Trade Partners",H2051="NovaTech Services"),"")</f>
        <v/>
      </c>
    </row>
    <row r="2052" spans="1:17" hidden="1">
      <c r="A2052" t="s">
        <v>2157</v>
      </c>
      <c r="B2052" s="1">
        <v>45196</v>
      </c>
      <c r="C2052">
        <v>2023</v>
      </c>
      <c r="D2052">
        <v>9</v>
      </c>
      <c r="E2052" t="s">
        <v>37</v>
      </c>
      <c r="F2052" t="s">
        <v>28</v>
      </c>
      <c r="G2052" t="s">
        <v>62</v>
      </c>
      <c r="H2052" t="s">
        <v>66</v>
      </c>
      <c r="I2052">
        <v>5254.08</v>
      </c>
      <c r="J2052">
        <v>5044.93</v>
      </c>
      <c r="K2052" t="s">
        <v>17</v>
      </c>
      <c r="L2052" t="b">
        <v>0</v>
      </c>
      <c r="N2052" s="2" t="str">
        <f t="shared" si="186"/>
        <v/>
      </c>
      <c r="Q2052" t="str">
        <f t="shared" si="187"/>
        <v/>
      </c>
    </row>
    <row r="2053" spans="1:17" hidden="1">
      <c r="A2053" t="s">
        <v>2158</v>
      </c>
      <c r="B2053" s="1">
        <v>45197</v>
      </c>
      <c r="C2053">
        <v>2023</v>
      </c>
      <c r="D2053">
        <v>9</v>
      </c>
      <c r="E2053" t="s">
        <v>47</v>
      </c>
      <c r="F2053" t="s">
        <v>14</v>
      </c>
      <c r="G2053" t="s">
        <v>91</v>
      </c>
      <c r="H2053" t="s">
        <v>92</v>
      </c>
      <c r="I2053">
        <v>16528.330000000002</v>
      </c>
      <c r="J2053">
        <v>14232.38</v>
      </c>
      <c r="K2053" t="s">
        <v>17</v>
      </c>
      <c r="L2053" t="b">
        <v>0</v>
      </c>
      <c r="N2053" s="2" t="b">
        <f t="shared" si="186"/>
        <v>1</v>
      </c>
      <c r="O2053" t="str">
        <f t="shared" ref="O2053:O2054" si="188">IF(AND(E2042="HR",K2042="EXPENSE"),I2042&lt;J2042,"")</f>
        <v/>
      </c>
      <c r="Q2053" t="str">
        <f t="shared" si="187"/>
        <v/>
      </c>
    </row>
    <row r="2054" spans="1:17" hidden="1">
      <c r="A2054" t="s">
        <v>2159</v>
      </c>
      <c r="B2054" s="1">
        <v>45197</v>
      </c>
      <c r="C2054">
        <v>2023</v>
      </c>
      <c r="D2054">
        <v>9</v>
      </c>
      <c r="E2054" t="s">
        <v>47</v>
      </c>
      <c r="F2054" t="s">
        <v>14</v>
      </c>
      <c r="G2054" t="s">
        <v>77</v>
      </c>
      <c r="H2054" t="s">
        <v>130</v>
      </c>
      <c r="I2054">
        <v>14937.95</v>
      </c>
      <c r="J2054">
        <v>12828.82</v>
      </c>
      <c r="K2054" t="s">
        <v>17</v>
      </c>
      <c r="L2054" t="b">
        <v>0</v>
      </c>
      <c r="N2054" s="2" t="b">
        <f t="shared" si="186"/>
        <v>1</v>
      </c>
      <c r="O2054" t="str">
        <f t="shared" si="188"/>
        <v/>
      </c>
      <c r="Q2054" t="str">
        <f t="shared" si="187"/>
        <v/>
      </c>
    </row>
    <row r="2055" spans="1:17" hidden="1">
      <c r="A2055" t="s">
        <v>2160</v>
      </c>
      <c r="B2055" s="1">
        <v>45197</v>
      </c>
      <c r="C2055">
        <v>2023</v>
      </c>
      <c r="D2055">
        <v>9</v>
      </c>
      <c r="E2055" t="s">
        <v>19</v>
      </c>
      <c r="F2055" t="s">
        <v>24</v>
      </c>
      <c r="G2055" t="s">
        <v>54</v>
      </c>
      <c r="H2055" t="s">
        <v>163</v>
      </c>
      <c r="I2055">
        <v>9164.02</v>
      </c>
      <c r="J2055">
        <v>8770.34</v>
      </c>
      <c r="K2055" t="s">
        <v>17</v>
      </c>
      <c r="L2055" t="b">
        <v>0</v>
      </c>
      <c r="N2055" s="2" t="str">
        <f t="shared" si="186"/>
        <v/>
      </c>
      <c r="Q2055" t="str">
        <f t="shared" si="187"/>
        <v/>
      </c>
    </row>
    <row r="2056" spans="1:17" hidden="1">
      <c r="A2056" t="s">
        <v>2161</v>
      </c>
      <c r="B2056" s="1">
        <v>45197</v>
      </c>
      <c r="C2056">
        <v>2023</v>
      </c>
      <c r="D2056">
        <v>9</v>
      </c>
      <c r="E2056" t="s">
        <v>23</v>
      </c>
      <c r="F2056" t="s">
        <v>14</v>
      </c>
      <c r="G2056" t="s">
        <v>59</v>
      </c>
      <c r="H2056" t="s">
        <v>60</v>
      </c>
      <c r="I2056">
        <v>3416</v>
      </c>
      <c r="J2056">
        <v>3405.19</v>
      </c>
      <c r="K2056" t="s">
        <v>17</v>
      </c>
      <c r="L2056" t="b">
        <v>0</v>
      </c>
      <c r="N2056" s="2" t="str">
        <f t="shared" si="186"/>
        <v/>
      </c>
      <c r="Q2056" t="str">
        <f t="shared" si="187"/>
        <v/>
      </c>
    </row>
    <row r="2057" spans="1:17" hidden="1">
      <c r="A2057" t="s">
        <v>2162</v>
      </c>
      <c r="B2057" s="1">
        <v>45197</v>
      </c>
      <c r="C2057">
        <v>2023</v>
      </c>
      <c r="D2057">
        <v>9</v>
      </c>
      <c r="E2057" t="s">
        <v>37</v>
      </c>
      <c r="F2057" t="s">
        <v>14</v>
      </c>
      <c r="G2057" t="s">
        <v>98</v>
      </c>
      <c r="H2057" t="s">
        <v>185</v>
      </c>
      <c r="I2057">
        <v>4325.38</v>
      </c>
      <c r="J2057">
        <v>4629.93</v>
      </c>
      <c r="K2057" t="s">
        <v>17</v>
      </c>
      <c r="L2057" t="b">
        <v>0</v>
      </c>
      <c r="N2057" s="2" t="str">
        <f t="shared" si="186"/>
        <v/>
      </c>
      <c r="Q2057" t="str">
        <f t="shared" si="187"/>
        <v/>
      </c>
    </row>
    <row r="2058" spans="1:17" hidden="1">
      <c r="A2058" t="s">
        <v>2163</v>
      </c>
      <c r="B2058" s="1">
        <v>45197</v>
      </c>
      <c r="C2058">
        <v>2023</v>
      </c>
      <c r="D2058">
        <v>9</v>
      </c>
      <c r="E2058" t="s">
        <v>37</v>
      </c>
      <c r="F2058" t="s">
        <v>24</v>
      </c>
      <c r="G2058" t="s">
        <v>98</v>
      </c>
      <c r="H2058" t="s">
        <v>185</v>
      </c>
      <c r="I2058">
        <v>3210.28</v>
      </c>
      <c r="J2058">
        <v>3301.95</v>
      </c>
      <c r="K2058" t="s">
        <v>17</v>
      </c>
      <c r="L2058" t="b">
        <v>0</v>
      </c>
      <c r="N2058" s="2" t="str">
        <f t="shared" si="186"/>
        <v/>
      </c>
      <c r="Q2058" t="str">
        <f t="shared" si="187"/>
        <v/>
      </c>
    </row>
    <row r="2059" spans="1:17" hidden="1">
      <c r="A2059" t="s">
        <v>2164</v>
      </c>
      <c r="B2059" s="1">
        <v>45198</v>
      </c>
      <c r="C2059">
        <v>2023</v>
      </c>
      <c r="D2059">
        <v>9</v>
      </c>
      <c r="E2059" t="s">
        <v>47</v>
      </c>
      <c r="F2059" t="s">
        <v>28</v>
      </c>
      <c r="G2059" t="s">
        <v>51</v>
      </c>
      <c r="H2059" t="s">
        <v>52</v>
      </c>
      <c r="I2059">
        <v>9509.4500000000007</v>
      </c>
      <c r="J2059">
        <v>7961.48</v>
      </c>
      <c r="K2059" t="s">
        <v>17</v>
      </c>
      <c r="L2059" t="b">
        <v>0</v>
      </c>
      <c r="N2059" s="2" t="b">
        <f t="shared" si="186"/>
        <v>1</v>
      </c>
      <c r="O2059" t="b">
        <f>IF(AND(E2048="HR",K2048="EXPENSE"),I2048&lt;J2048,"")</f>
        <v>1</v>
      </c>
      <c r="Q2059" t="str">
        <f t="shared" si="187"/>
        <v/>
      </c>
    </row>
    <row r="2060" spans="1:17" hidden="1">
      <c r="A2060" t="s">
        <v>2165</v>
      </c>
      <c r="B2060" s="1">
        <v>45198</v>
      </c>
      <c r="C2060">
        <v>2023</v>
      </c>
      <c r="D2060">
        <v>9</v>
      </c>
      <c r="E2060" t="s">
        <v>19</v>
      </c>
      <c r="F2060" t="s">
        <v>24</v>
      </c>
      <c r="G2060" t="s">
        <v>80</v>
      </c>
      <c r="H2060" t="s">
        <v>150</v>
      </c>
      <c r="I2060">
        <v>7820.2</v>
      </c>
      <c r="J2060">
        <v>8134.37</v>
      </c>
      <c r="K2060" t="s">
        <v>17</v>
      </c>
      <c r="L2060" t="b">
        <v>0</v>
      </c>
      <c r="N2060" s="2" t="str">
        <f t="shared" si="186"/>
        <v/>
      </c>
      <c r="Q2060" t="str">
        <f t="shared" si="187"/>
        <v/>
      </c>
    </row>
    <row r="2061" spans="1:17" hidden="1">
      <c r="A2061" t="s">
        <v>2166</v>
      </c>
      <c r="B2061" s="1">
        <v>45198</v>
      </c>
      <c r="C2061">
        <v>2023</v>
      </c>
      <c r="D2061">
        <v>9</v>
      </c>
      <c r="E2061" t="s">
        <v>23</v>
      </c>
      <c r="F2061" t="s">
        <v>28</v>
      </c>
      <c r="G2061" t="s">
        <v>59</v>
      </c>
      <c r="H2061" t="s">
        <v>60</v>
      </c>
      <c r="I2061">
        <v>4315.93</v>
      </c>
      <c r="J2061">
        <v>4657.3599999999997</v>
      </c>
      <c r="K2061" t="s">
        <v>17</v>
      </c>
      <c r="L2061" t="b">
        <v>0</v>
      </c>
      <c r="N2061" s="2" t="str">
        <f t="shared" si="186"/>
        <v/>
      </c>
      <c r="Q2061" t="str">
        <f t="shared" si="187"/>
        <v/>
      </c>
    </row>
    <row r="2062" spans="1:17" hidden="1">
      <c r="A2062" t="s">
        <v>2167</v>
      </c>
      <c r="B2062" s="1">
        <v>45198</v>
      </c>
      <c r="C2062">
        <v>2023</v>
      </c>
      <c r="D2062">
        <v>9</v>
      </c>
      <c r="E2062" t="s">
        <v>37</v>
      </c>
      <c r="F2062" t="s">
        <v>28</v>
      </c>
      <c r="G2062" t="s">
        <v>41</v>
      </c>
      <c r="H2062" t="s">
        <v>42</v>
      </c>
      <c r="I2062">
        <v>4012.91</v>
      </c>
      <c r="J2062">
        <v>3953.12</v>
      </c>
      <c r="K2062" t="s">
        <v>17</v>
      </c>
      <c r="L2062" t="b">
        <v>0</v>
      </c>
      <c r="N2062" s="2" t="str">
        <f t="shared" si="186"/>
        <v/>
      </c>
      <c r="Q2062" t="str">
        <f t="shared" si="187"/>
        <v/>
      </c>
    </row>
    <row r="2063" spans="1:17" hidden="1">
      <c r="A2063" t="s">
        <v>2168</v>
      </c>
      <c r="B2063" s="1">
        <v>45198</v>
      </c>
      <c r="C2063">
        <v>2023</v>
      </c>
      <c r="D2063">
        <v>9</v>
      </c>
      <c r="E2063" t="s">
        <v>37</v>
      </c>
      <c r="F2063" t="s">
        <v>28</v>
      </c>
      <c r="G2063" t="s">
        <v>41</v>
      </c>
      <c r="H2063" t="s">
        <v>42</v>
      </c>
      <c r="I2063">
        <v>4483.84</v>
      </c>
      <c r="J2063">
        <v>4518.25</v>
      </c>
      <c r="K2063" t="s">
        <v>17</v>
      </c>
      <c r="L2063" t="b">
        <v>0</v>
      </c>
      <c r="N2063" s="2" t="str">
        <f t="shared" si="186"/>
        <v/>
      </c>
      <c r="Q2063" t="str">
        <f t="shared" si="187"/>
        <v/>
      </c>
    </row>
    <row r="2064" spans="1:17" hidden="1">
      <c r="A2064" t="s">
        <v>2169</v>
      </c>
      <c r="B2064" s="1">
        <v>45198</v>
      </c>
      <c r="C2064">
        <v>2023</v>
      </c>
      <c r="D2064">
        <v>9</v>
      </c>
      <c r="E2064" t="s">
        <v>37</v>
      </c>
      <c r="F2064" t="s">
        <v>24</v>
      </c>
      <c r="G2064" t="s">
        <v>62</v>
      </c>
      <c r="H2064" t="s">
        <v>63</v>
      </c>
      <c r="I2064">
        <v>5306.47</v>
      </c>
      <c r="J2064">
        <v>5186.78</v>
      </c>
      <c r="K2064" t="s">
        <v>17</v>
      </c>
      <c r="L2064" t="b">
        <v>0</v>
      </c>
      <c r="N2064" s="2" t="str">
        <f t="shared" si="186"/>
        <v/>
      </c>
      <c r="Q2064" t="str">
        <f t="shared" si="187"/>
        <v/>
      </c>
    </row>
    <row r="2065" spans="1:17" hidden="1">
      <c r="A2065" t="s">
        <v>2170</v>
      </c>
      <c r="B2065" s="1">
        <v>45199</v>
      </c>
      <c r="C2065">
        <v>2023</v>
      </c>
      <c r="D2065">
        <v>9</v>
      </c>
      <c r="E2065" t="s">
        <v>13</v>
      </c>
      <c r="F2065" t="s">
        <v>14</v>
      </c>
      <c r="G2065" t="s">
        <v>102</v>
      </c>
      <c r="H2065" t="s">
        <v>145</v>
      </c>
      <c r="I2065">
        <v>3549.98</v>
      </c>
      <c r="J2065">
        <v>3841.03</v>
      </c>
      <c r="K2065" t="s">
        <v>17</v>
      </c>
      <c r="L2065" t="b">
        <v>0</v>
      </c>
      <c r="N2065" s="2" t="str">
        <f t="shared" si="186"/>
        <v/>
      </c>
      <c r="Q2065" t="str">
        <f t="shared" si="187"/>
        <v/>
      </c>
    </row>
    <row r="2066" spans="1:17" hidden="1">
      <c r="A2066" t="s">
        <v>2171</v>
      </c>
      <c r="B2066" s="1">
        <v>45199</v>
      </c>
      <c r="C2066">
        <v>2023</v>
      </c>
      <c r="D2066">
        <v>9</v>
      </c>
      <c r="E2066" t="s">
        <v>13</v>
      </c>
      <c r="F2066" t="s">
        <v>24</v>
      </c>
      <c r="G2066" t="s">
        <v>102</v>
      </c>
      <c r="H2066" t="s">
        <v>103</v>
      </c>
      <c r="I2066">
        <v>3259.69</v>
      </c>
      <c r="J2066">
        <v>3584.87</v>
      </c>
      <c r="K2066" t="s">
        <v>17</v>
      </c>
      <c r="L2066" t="b">
        <v>0</v>
      </c>
      <c r="N2066" s="2" t="str">
        <f t="shared" si="186"/>
        <v/>
      </c>
      <c r="Q2066" t="str">
        <f t="shared" si="187"/>
        <v/>
      </c>
    </row>
    <row r="2067" spans="1:17" hidden="1">
      <c r="A2067" t="s">
        <v>2172</v>
      </c>
      <c r="B2067" s="1">
        <v>45199</v>
      </c>
      <c r="C2067">
        <v>2023</v>
      </c>
      <c r="D2067">
        <v>9</v>
      </c>
      <c r="E2067" t="s">
        <v>19</v>
      </c>
      <c r="F2067" t="s">
        <v>14</v>
      </c>
      <c r="G2067" t="s">
        <v>54</v>
      </c>
      <c r="H2067" t="s">
        <v>163</v>
      </c>
      <c r="I2067">
        <v>2562.4</v>
      </c>
      <c r="J2067">
        <v>2572.3000000000002</v>
      </c>
      <c r="K2067" t="s">
        <v>17</v>
      </c>
      <c r="L2067" t="b">
        <v>0</v>
      </c>
      <c r="N2067" s="2" t="str">
        <f t="shared" si="186"/>
        <v/>
      </c>
      <c r="Q2067" t="str">
        <f t="shared" si="187"/>
        <v/>
      </c>
    </row>
    <row r="2068" spans="1:17" hidden="1">
      <c r="A2068" t="s">
        <v>2173</v>
      </c>
      <c r="B2068" s="1">
        <v>45199</v>
      </c>
      <c r="C2068">
        <v>2023</v>
      </c>
      <c r="D2068">
        <v>9</v>
      </c>
      <c r="E2068" t="s">
        <v>19</v>
      </c>
      <c r="F2068" t="s">
        <v>24</v>
      </c>
      <c r="G2068" t="s">
        <v>132</v>
      </c>
      <c r="H2068" t="s">
        <v>171</v>
      </c>
      <c r="I2068">
        <v>6299.12</v>
      </c>
      <c r="J2068">
        <v>6388.46</v>
      </c>
      <c r="K2068" t="s">
        <v>17</v>
      </c>
      <c r="L2068" t="b">
        <v>0</v>
      </c>
      <c r="N2068" s="2" t="str">
        <f t="shared" si="186"/>
        <v/>
      </c>
      <c r="Q2068" t="str">
        <f t="shared" si="187"/>
        <v/>
      </c>
    </row>
    <row r="2069" spans="1:17" hidden="1">
      <c r="A2069" t="s">
        <v>2174</v>
      </c>
      <c r="B2069" s="1">
        <v>45199</v>
      </c>
      <c r="C2069">
        <v>2023</v>
      </c>
      <c r="D2069">
        <v>9</v>
      </c>
      <c r="E2069" t="s">
        <v>23</v>
      </c>
      <c r="F2069" t="s">
        <v>28</v>
      </c>
      <c r="G2069" t="s">
        <v>30</v>
      </c>
      <c r="H2069" t="s">
        <v>106</v>
      </c>
      <c r="I2069">
        <v>1455.01</v>
      </c>
      <c r="J2069">
        <v>1590.9</v>
      </c>
      <c r="K2069" t="s">
        <v>17</v>
      </c>
      <c r="L2069" t="b">
        <v>0</v>
      </c>
      <c r="N2069" s="2" t="str">
        <f t="shared" si="186"/>
        <v/>
      </c>
      <c r="Q2069" t="str">
        <f t="shared" si="187"/>
        <v/>
      </c>
    </row>
    <row r="2070" spans="1:17" hidden="1">
      <c r="A2070" t="s">
        <v>2175</v>
      </c>
      <c r="B2070" s="1">
        <v>45199</v>
      </c>
      <c r="C2070">
        <v>2023</v>
      </c>
      <c r="D2070">
        <v>9</v>
      </c>
      <c r="E2070" t="s">
        <v>23</v>
      </c>
      <c r="F2070" t="s">
        <v>24</v>
      </c>
      <c r="G2070" t="s">
        <v>141</v>
      </c>
      <c r="H2070" t="s">
        <v>142</v>
      </c>
      <c r="I2070">
        <v>4379.26</v>
      </c>
      <c r="J2070">
        <v>4446.3</v>
      </c>
      <c r="K2070" t="s">
        <v>17</v>
      </c>
      <c r="L2070" t="b">
        <v>0</v>
      </c>
      <c r="N2070" s="2" t="str">
        <f t="shared" si="186"/>
        <v/>
      </c>
      <c r="Q2070" t="str">
        <f t="shared" si="187"/>
        <v/>
      </c>
    </row>
    <row r="2071" spans="1:17" hidden="1">
      <c r="A2071" t="s">
        <v>2176</v>
      </c>
      <c r="B2071" s="1">
        <v>45199</v>
      </c>
      <c r="C2071">
        <v>2023</v>
      </c>
      <c r="D2071">
        <v>9</v>
      </c>
      <c r="E2071" t="s">
        <v>23</v>
      </c>
      <c r="F2071" t="s">
        <v>24</v>
      </c>
      <c r="G2071" t="s">
        <v>141</v>
      </c>
      <c r="H2071" t="s">
        <v>153</v>
      </c>
      <c r="I2071">
        <v>3067.06</v>
      </c>
      <c r="J2071">
        <v>3363.54</v>
      </c>
      <c r="K2071" t="s">
        <v>17</v>
      </c>
      <c r="L2071" t="b">
        <v>0</v>
      </c>
      <c r="N2071" s="2" t="str">
        <f t="shared" si="186"/>
        <v/>
      </c>
      <c r="Q2071" t="str">
        <f t="shared" si="187"/>
        <v/>
      </c>
    </row>
    <row r="2072" spans="1:17" hidden="1">
      <c r="A2072" t="s">
        <v>2177</v>
      </c>
      <c r="B2072" s="1">
        <v>45199</v>
      </c>
      <c r="C2072">
        <v>2023</v>
      </c>
      <c r="D2072">
        <v>9</v>
      </c>
      <c r="E2072" t="s">
        <v>37</v>
      </c>
      <c r="F2072" t="s">
        <v>14</v>
      </c>
      <c r="G2072" t="s">
        <v>62</v>
      </c>
      <c r="H2072" t="s">
        <v>66</v>
      </c>
      <c r="I2072">
        <v>5523.42</v>
      </c>
      <c r="J2072">
        <v>5110.3999999999996</v>
      </c>
      <c r="K2072" t="s">
        <v>17</v>
      </c>
      <c r="L2072" t="b">
        <v>0</v>
      </c>
      <c r="N2072" s="2" t="str">
        <f t="shared" si="186"/>
        <v/>
      </c>
      <c r="Q2072" t="str">
        <f t="shared" si="187"/>
        <v/>
      </c>
    </row>
    <row r="2073" spans="1:17" hidden="1">
      <c r="A2073" t="s">
        <v>2178</v>
      </c>
      <c r="B2073" s="1">
        <v>45199</v>
      </c>
      <c r="C2073">
        <v>2023</v>
      </c>
      <c r="D2073">
        <v>9</v>
      </c>
      <c r="E2073" t="s">
        <v>37</v>
      </c>
      <c r="F2073" t="s">
        <v>14</v>
      </c>
      <c r="G2073" t="s">
        <v>98</v>
      </c>
      <c r="H2073" t="s">
        <v>99</v>
      </c>
      <c r="I2073">
        <v>6307.75</v>
      </c>
      <c r="J2073">
        <v>6410.84</v>
      </c>
      <c r="K2073" t="s">
        <v>17</v>
      </c>
      <c r="L2073" t="b">
        <v>0</v>
      </c>
      <c r="N2073" s="2" t="str">
        <f t="shared" si="186"/>
        <v/>
      </c>
      <c r="Q2073" t="str">
        <f t="shared" si="187"/>
        <v/>
      </c>
    </row>
    <row r="2074" spans="1:17" hidden="1">
      <c r="A2074" t="s">
        <v>2179</v>
      </c>
      <c r="B2074" s="1">
        <v>45200</v>
      </c>
      <c r="C2074">
        <v>2023</v>
      </c>
      <c r="D2074">
        <v>10</v>
      </c>
      <c r="E2074" t="s">
        <v>47</v>
      </c>
      <c r="F2074" t="s">
        <v>14</v>
      </c>
      <c r="G2074" t="s">
        <v>51</v>
      </c>
      <c r="H2074" t="s">
        <v>72</v>
      </c>
      <c r="I2074">
        <v>11844.05</v>
      </c>
      <c r="J2074">
        <v>10221</v>
      </c>
      <c r="K2074" t="s">
        <v>17</v>
      </c>
      <c r="L2074" t="b">
        <v>0</v>
      </c>
      <c r="N2074" s="2" t="b">
        <f t="shared" si="186"/>
        <v>1</v>
      </c>
      <c r="O2074" t="str">
        <f>IF(AND(E2063="HR",K2063="EXPENSE"),I2063&lt;J2063,"")</f>
        <v/>
      </c>
      <c r="Q2074" t="str">
        <f t="shared" si="187"/>
        <v/>
      </c>
    </row>
    <row r="2075" spans="1:17" hidden="1">
      <c r="A2075" t="s">
        <v>2180</v>
      </c>
      <c r="B2075" s="1">
        <v>45200</v>
      </c>
      <c r="C2075">
        <v>2023</v>
      </c>
      <c r="D2075">
        <v>10</v>
      </c>
      <c r="E2075" t="s">
        <v>19</v>
      </c>
      <c r="F2075" t="s">
        <v>14</v>
      </c>
      <c r="G2075" t="s">
        <v>20</v>
      </c>
      <c r="H2075" t="s">
        <v>174</v>
      </c>
      <c r="I2075">
        <v>7342.11</v>
      </c>
      <c r="J2075">
        <v>7001.64</v>
      </c>
      <c r="K2075" t="s">
        <v>17</v>
      </c>
      <c r="L2075" t="b">
        <v>0</v>
      </c>
      <c r="N2075" s="2" t="str">
        <f t="shared" si="186"/>
        <v/>
      </c>
      <c r="Q2075" t="str">
        <f t="shared" si="187"/>
        <v/>
      </c>
    </row>
    <row r="2076" spans="1:17" hidden="1">
      <c r="A2076" t="s">
        <v>2181</v>
      </c>
      <c r="B2076" s="1">
        <v>45200</v>
      </c>
      <c r="C2076">
        <v>2023</v>
      </c>
      <c r="D2076">
        <v>10</v>
      </c>
      <c r="E2076" t="s">
        <v>19</v>
      </c>
      <c r="F2076" t="s">
        <v>24</v>
      </c>
      <c r="G2076" t="s">
        <v>132</v>
      </c>
      <c r="H2076" t="s">
        <v>138</v>
      </c>
      <c r="I2076">
        <v>7060.53</v>
      </c>
      <c r="J2076">
        <v>6798.1</v>
      </c>
      <c r="K2076" t="s">
        <v>17</v>
      </c>
      <c r="L2076" t="b">
        <v>0</v>
      </c>
      <c r="N2076" s="2" t="str">
        <f t="shared" si="186"/>
        <v/>
      </c>
      <c r="Q2076" t="str">
        <f t="shared" si="187"/>
        <v/>
      </c>
    </row>
    <row r="2077" spans="1:17" hidden="1">
      <c r="A2077" t="s">
        <v>2182</v>
      </c>
      <c r="B2077" s="1">
        <v>45200</v>
      </c>
      <c r="C2077">
        <v>2023</v>
      </c>
      <c r="D2077">
        <v>10</v>
      </c>
      <c r="E2077" t="s">
        <v>23</v>
      </c>
      <c r="F2077" t="s">
        <v>24</v>
      </c>
      <c r="G2077" t="s">
        <v>59</v>
      </c>
      <c r="H2077" t="s">
        <v>60</v>
      </c>
      <c r="I2077">
        <v>7280.71</v>
      </c>
      <c r="J2077">
        <v>7289.65</v>
      </c>
      <c r="K2077" t="s">
        <v>17</v>
      </c>
      <c r="L2077" t="b">
        <v>0</v>
      </c>
      <c r="N2077" s="2" t="str">
        <f t="shared" si="186"/>
        <v/>
      </c>
      <c r="Q2077" t="str">
        <f t="shared" si="187"/>
        <v/>
      </c>
    </row>
    <row r="2078" spans="1:17" hidden="1">
      <c r="A2078" t="s">
        <v>2183</v>
      </c>
      <c r="B2078" s="1">
        <v>45200</v>
      </c>
      <c r="C2078">
        <v>2023</v>
      </c>
      <c r="D2078">
        <v>10</v>
      </c>
      <c r="E2078" t="s">
        <v>37</v>
      </c>
      <c r="F2078" t="s">
        <v>24</v>
      </c>
      <c r="G2078" t="s">
        <v>62</v>
      </c>
      <c r="H2078" t="s">
        <v>63</v>
      </c>
      <c r="I2078">
        <v>4704.08</v>
      </c>
      <c r="J2078">
        <v>5153.26</v>
      </c>
      <c r="K2078" t="s">
        <v>17</v>
      </c>
      <c r="L2078" t="b">
        <v>0</v>
      </c>
      <c r="N2078" s="2" t="str">
        <f t="shared" si="186"/>
        <v/>
      </c>
      <c r="Q2078" t="str">
        <f t="shared" si="187"/>
        <v/>
      </c>
    </row>
    <row r="2079" spans="1:17" hidden="1">
      <c r="A2079" t="s">
        <v>2184</v>
      </c>
      <c r="B2079" s="1">
        <v>45201</v>
      </c>
      <c r="C2079">
        <v>2023</v>
      </c>
      <c r="D2079">
        <v>10</v>
      </c>
      <c r="E2079" t="s">
        <v>47</v>
      </c>
      <c r="F2079" t="s">
        <v>28</v>
      </c>
      <c r="G2079" t="s">
        <v>77</v>
      </c>
      <c r="H2079" t="s">
        <v>78</v>
      </c>
      <c r="I2079">
        <v>10043.16</v>
      </c>
      <c r="J2079">
        <v>8493.31</v>
      </c>
      <c r="K2079" t="s">
        <v>17</v>
      </c>
      <c r="L2079" t="b">
        <v>0</v>
      </c>
      <c r="N2079" s="2" t="b">
        <f t="shared" si="186"/>
        <v>1</v>
      </c>
      <c r="O2079" t="str">
        <f>IF(AND(E2068="HR",K2068="EXPENSE"),I2068&lt;J2068,"")</f>
        <v/>
      </c>
      <c r="Q2079" t="str">
        <f t="shared" si="187"/>
        <v/>
      </c>
    </row>
    <row r="2080" spans="1:17" hidden="1">
      <c r="A2080" t="s">
        <v>2185</v>
      </c>
      <c r="B2080" s="1">
        <v>45201</v>
      </c>
      <c r="C2080">
        <v>2023</v>
      </c>
      <c r="D2080">
        <v>10</v>
      </c>
      <c r="E2080" t="s">
        <v>19</v>
      </c>
      <c r="F2080" t="s">
        <v>28</v>
      </c>
      <c r="G2080" t="s">
        <v>20</v>
      </c>
      <c r="H2080" t="s">
        <v>136</v>
      </c>
      <c r="I2080">
        <v>3751.95</v>
      </c>
      <c r="J2080">
        <v>3474.2</v>
      </c>
      <c r="K2080" t="s">
        <v>17</v>
      </c>
      <c r="L2080" t="b">
        <v>0</v>
      </c>
      <c r="N2080" s="2" t="str">
        <f t="shared" si="186"/>
        <v/>
      </c>
      <c r="Q2080" t="str">
        <f t="shared" si="187"/>
        <v/>
      </c>
    </row>
    <row r="2081" spans="1:17" hidden="1">
      <c r="A2081" t="s">
        <v>2186</v>
      </c>
      <c r="B2081" s="1">
        <v>45201</v>
      </c>
      <c r="C2081">
        <v>2023</v>
      </c>
      <c r="D2081">
        <v>10</v>
      </c>
      <c r="E2081" t="s">
        <v>23</v>
      </c>
      <c r="F2081" t="s">
        <v>28</v>
      </c>
      <c r="G2081" t="s">
        <v>59</v>
      </c>
      <c r="H2081" t="s">
        <v>155</v>
      </c>
      <c r="I2081">
        <v>6078.84</v>
      </c>
      <c r="J2081">
        <v>5662.08</v>
      </c>
      <c r="K2081" t="s">
        <v>17</v>
      </c>
      <c r="L2081" t="b">
        <v>0</v>
      </c>
      <c r="N2081" s="2" t="str">
        <f t="shared" si="186"/>
        <v/>
      </c>
      <c r="Q2081" t="str">
        <f t="shared" si="187"/>
        <v/>
      </c>
    </row>
    <row r="2082" spans="1:17" hidden="1">
      <c r="A2082" t="s">
        <v>2187</v>
      </c>
      <c r="B2082" s="1">
        <v>45201</v>
      </c>
      <c r="C2082">
        <v>2023</v>
      </c>
      <c r="D2082">
        <v>10</v>
      </c>
      <c r="E2082" t="s">
        <v>23</v>
      </c>
      <c r="F2082" t="s">
        <v>24</v>
      </c>
      <c r="G2082" t="s">
        <v>59</v>
      </c>
      <c r="H2082" t="s">
        <v>60</v>
      </c>
      <c r="I2082">
        <v>5061.41</v>
      </c>
      <c r="J2082">
        <v>5202.32</v>
      </c>
      <c r="K2082" t="s">
        <v>17</v>
      </c>
      <c r="L2082" t="b">
        <v>0</v>
      </c>
      <c r="N2082" s="2" t="str">
        <f t="shared" si="186"/>
        <v/>
      </c>
      <c r="Q2082" t="str">
        <f t="shared" si="187"/>
        <v/>
      </c>
    </row>
    <row r="2083" spans="1:17" hidden="1">
      <c r="A2083" t="s">
        <v>2188</v>
      </c>
      <c r="B2083" s="1">
        <v>45201</v>
      </c>
      <c r="C2083">
        <v>2023</v>
      </c>
      <c r="D2083">
        <v>10</v>
      </c>
      <c r="E2083" t="s">
        <v>37</v>
      </c>
      <c r="F2083" t="s">
        <v>14</v>
      </c>
      <c r="G2083" t="s">
        <v>38</v>
      </c>
      <c r="H2083" t="s">
        <v>227</v>
      </c>
      <c r="I2083">
        <v>3873.85</v>
      </c>
      <c r="J2083">
        <v>3994.58</v>
      </c>
      <c r="K2083" t="s">
        <v>17</v>
      </c>
      <c r="L2083" t="b">
        <v>0</v>
      </c>
      <c r="N2083" s="2" t="str">
        <f t="shared" si="186"/>
        <v/>
      </c>
      <c r="Q2083" t="str">
        <f t="shared" si="187"/>
        <v/>
      </c>
    </row>
    <row r="2084" spans="1:17" hidden="1">
      <c r="A2084" t="s">
        <v>2189</v>
      </c>
      <c r="B2084" s="1">
        <v>45202</v>
      </c>
      <c r="C2084">
        <v>2023</v>
      </c>
      <c r="D2084">
        <v>10</v>
      </c>
      <c r="E2084" t="s">
        <v>13</v>
      </c>
      <c r="F2084" t="s">
        <v>14</v>
      </c>
      <c r="G2084" t="s">
        <v>102</v>
      </c>
      <c r="H2084" t="s">
        <v>103</v>
      </c>
      <c r="I2084">
        <v>4374.8999999999996</v>
      </c>
      <c r="J2084">
        <v>4458.38</v>
      </c>
      <c r="K2084" t="s">
        <v>17</v>
      </c>
      <c r="L2084" t="b">
        <v>0</v>
      </c>
      <c r="N2084" s="2" t="str">
        <f t="shared" si="186"/>
        <v/>
      </c>
      <c r="Q2084" t="str">
        <f t="shared" si="187"/>
        <v/>
      </c>
    </row>
    <row r="2085" spans="1:17" hidden="1">
      <c r="A2085" t="s">
        <v>2190</v>
      </c>
      <c r="B2085" s="1">
        <v>45202</v>
      </c>
      <c r="C2085">
        <v>2023</v>
      </c>
      <c r="D2085">
        <v>10</v>
      </c>
      <c r="E2085" t="s">
        <v>13</v>
      </c>
      <c r="F2085" t="s">
        <v>28</v>
      </c>
      <c r="G2085" t="s">
        <v>102</v>
      </c>
      <c r="H2085" t="s">
        <v>145</v>
      </c>
      <c r="I2085">
        <v>4569.26</v>
      </c>
      <c r="J2085">
        <v>4348.3900000000003</v>
      </c>
      <c r="K2085" t="s">
        <v>17</v>
      </c>
      <c r="L2085" t="b">
        <v>0</v>
      </c>
      <c r="N2085" s="2" t="str">
        <f t="shared" si="186"/>
        <v/>
      </c>
      <c r="Q2085" t="str">
        <f t="shared" si="187"/>
        <v/>
      </c>
    </row>
    <row r="2086" spans="1:17" hidden="1">
      <c r="A2086" t="s">
        <v>2191</v>
      </c>
      <c r="B2086" s="1">
        <v>45202</v>
      </c>
      <c r="C2086">
        <v>2023</v>
      </c>
      <c r="D2086">
        <v>10</v>
      </c>
      <c r="E2086" t="s">
        <v>13</v>
      </c>
      <c r="F2086" t="s">
        <v>28</v>
      </c>
      <c r="G2086" t="s">
        <v>68</v>
      </c>
      <c r="H2086" t="s">
        <v>213</v>
      </c>
      <c r="I2086">
        <v>4188.3</v>
      </c>
      <c r="J2086">
        <v>4224.2700000000004</v>
      </c>
      <c r="K2086" t="s">
        <v>17</v>
      </c>
      <c r="L2086" t="b">
        <v>0</v>
      </c>
      <c r="N2086" s="2" t="str">
        <f t="shared" si="186"/>
        <v/>
      </c>
      <c r="Q2086" t="str">
        <f t="shared" si="187"/>
        <v/>
      </c>
    </row>
    <row r="2087" spans="1:17" hidden="1">
      <c r="A2087" t="s">
        <v>2192</v>
      </c>
      <c r="B2087" s="1">
        <v>45202</v>
      </c>
      <c r="C2087">
        <v>2023</v>
      </c>
      <c r="D2087">
        <v>10</v>
      </c>
      <c r="E2087" t="s">
        <v>47</v>
      </c>
      <c r="F2087" t="s">
        <v>14</v>
      </c>
      <c r="G2087" t="s">
        <v>51</v>
      </c>
      <c r="H2087" t="s">
        <v>189</v>
      </c>
      <c r="I2087">
        <v>16218.83</v>
      </c>
      <c r="J2087">
        <v>13847.02</v>
      </c>
      <c r="K2087" t="s">
        <v>17</v>
      </c>
      <c r="L2087" t="b">
        <v>0</v>
      </c>
      <c r="N2087" s="2" t="b">
        <f t="shared" si="186"/>
        <v>1</v>
      </c>
      <c r="O2087" t="str">
        <f t="shared" ref="O2087:O2088" si="189">IF(AND(E2076="HR",K2076="EXPENSE"),I2076&lt;J2076,"")</f>
        <v/>
      </c>
      <c r="Q2087" t="str">
        <f t="shared" si="187"/>
        <v/>
      </c>
    </row>
    <row r="2088" spans="1:17" hidden="1">
      <c r="A2088" t="s">
        <v>2193</v>
      </c>
      <c r="B2088" s="1">
        <v>45202</v>
      </c>
      <c r="C2088">
        <v>2023</v>
      </c>
      <c r="D2088">
        <v>10</v>
      </c>
      <c r="E2088" t="s">
        <v>47</v>
      </c>
      <c r="F2088" t="s">
        <v>24</v>
      </c>
      <c r="G2088" t="s">
        <v>51</v>
      </c>
      <c r="H2088" t="s">
        <v>52</v>
      </c>
      <c r="I2088">
        <v>12952.01</v>
      </c>
      <c r="J2088">
        <v>10859.16</v>
      </c>
      <c r="K2088" t="s">
        <v>17</v>
      </c>
      <c r="L2088" t="b">
        <v>0</v>
      </c>
      <c r="N2088" s="2" t="b">
        <f t="shared" si="186"/>
        <v>1</v>
      </c>
      <c r="O2088" t="str">
        <f t="shared" si="189"/>
        <v/>
      </c>
      <c r="Q2088" t="str">
        <f t="shared" si="187"/>
        <v/>
      </c>
    </row>
    <row r="2089" spans="1:17" hidden="1">
      <c r="A2089" t="s">
        <v>2194</v>
      </c>
      <c r="B2089" s="1">
        <v>45202</v>
      </c>
      <c r="C2089">
        <v>2023</v>
      </c>
      <c r="D2089">
        <v>10</v>
      </c>
      <c r="E2089" t="s">
        <v>19</v>
      </c>
      <c r="F2089" t="s">
        <v>28</v>
      </c>
      <c r="G2089" t="s">
        <v>132</v>
      </c>
      <c r="H2089" t="s">
        <v>138</v>
      </c>
      <c r="I2089">
        <v>6950.37</v>
      </c>
      <c r="J2089">
        <v>6709.53</v>
      </c>
      <c r="K2089" t="s">
        <v>17</v>
      </c>
      <c r="L2089" t="b">
        <v>0</v>
      </c>
      <c r="N2089" s="2" t="str">
        <f t="shared" si="186"/>
        <v/>
      </c>
      <c r="Q2089" t="str">
        <f t="shared" si="187"/>
        <v/>
      </c>
    </row>
    <row r="2090" spans="1:17" hidden="1">
      <c r="A2090" t="s">
        <v>2195</v>
      </c>
      <c r="B2090" s="1">
        <v>45202</v>
      </c>
      <c r="C2090">
        <v>2023</v>
      </c>
      <c r="D2090">
        <v>10</v>
      </c>
      <c r="E2090" t="s">
        <v>37</v>
      </c>
      <c r="F2090" t="s">
        <v>14</v>
      </c>
      <c r="G2090" t="s">
        <v>38</v>
      </c>
      <c r="H2090" t="s">
        <v>118</v>
      </c>
      <c r="I2090">
        <v>3379.86</v>
      </c>
      <c r="J2090">
        <v>3139.12</v>
      </c>
      <c r="K2090" t="s">
        <v>17</v>
      </c>
      <c r="L2090" t="b">
        <v>0</v>
      </c>
      <c r="N2090" s="2" t="str">
        <f t="shared" si="186"/>
        <v/>
      </c>
      <c r="Q2090" t="str">
        <f t="shared" si="187"/>
        <v/>
      </c>
    </row>
    <row r="2091" spans="1:17" hidden="1">
      <c r="A2091" t="s">
        <v>2196</v>
      </c>
      <c r="B2091" s="1">
        <v>45202</v>
      </c>
      <c r="C2091">
        <v>2023</v>
      </c>
      <c r="D2091">
        <v>10</v>
      </c>
      <c r="E2091" t="s">
        <v>37</v>
      </c>
      <c r="F2091" t="s">
        <v>14</v>
      </c>
      <c r="G2091" t="s">
        <v>38</v>
      </c>
      <c r="H2091" t="s">
        <v>118</v>
      </c>
      <c r="I2091">
        <v>5596.69</v>
      </c>
      <c r="J2091">
        <v>5638.41</v>
      </c>
      <c r="K2091" t="s">
        <v>17</v>
      </c>
      <c r="L2091" t="b">
        <v>0</v>
      </c>
      <c r="N2091" s="2" t="str">
        <f t="shared" si="186"/>
        <v/>
      </c>
      <c r="Q2091" t="str">
        <f t="shared" si="187"/>
        <v/>
      </c>
    </row>
    <row r="2092" spans="1:17" hidden="1">
      <c r="A2092" t="s">
        <v>2197</v>
      </c>
      <c r="B2092" s="1">
        <v>45202</v>
      </c>
      <c r="C2092">
        <v>2023</v>
      </c>
      <c r="D2092">
        <v>10</v>
      </c>
      <c r="E2092" t="s">
        <v>37</v>
      </c>
      <c r="F2092" t="s">
        <v>24</v>
      </c>
      <c r="G2092" t="s">
        <v>41</v>
      </c>
      <c r="H2092" t="s">
        <v>42</v>
      </c>
      <c r="I2092">
        <v>4336.8999999999996</v>
      </c>
      <c r="J2092">
        <v>4610.95</v>
      </c>
      <c r="K2092" t="s">
        <v>17</v>
      </c>
      <c r="L2092" t="b">
        <v>0</v>
      </c>
      <c r="N2092" s="2" t="str">
        <f t="shared" si="186"/>
        <v/>
      </c>
      <c r="Q2092" t="str">
        <f t="shared" si="187"/>
        <v/>
      </c>
    </row>
    <row r="2093" spans="1:17" hidden="1">
      <c r="A2093" t="s">
        <v>2198</v>
      </c>
      <c r="B2093" s="1">
        <v>45203</v>
      </c>
      <c r="C2093">
        <v>2023</v>
      </c>
      <c r="D2093">
        <v>10</v>
      </c>
      <c r="E2093" t="s">
        <v>13</v>
      </c>
      <c r="F2093" t="s">
        <v>14</v>
      </c>
      <c r="G2093" t="s">
        <v>15</v>
      </c>
      <c r="H2093" t="s">
        <v>45</v>
      </c>
      <c r="I2093">
        <v>5561.8</v>
      </c>
      <c r="J2093">
        <v>5015.21</v>
      </c>
      <c r="K2093" t="s">
        <v>17</v>
      </c>
      <c r="L2093" t="b">
        <v>0</v>
      </c>
      <c r="N2093" s="2" t="str">
        <f t="shared" si="186"/>
        <v/>
      </c>
      <c r="Q2093" t="str">
        <f t="shared" si="187"/>
        <v/>
      </c>
    </row>
    <row r="2094" spans="1:17" hidden="1">
      <c r="A2094" t="s">
        <v>2199</v>
      </c>
      <c r="B2094" s="1">
        <v>45203</v>
      </c>
      <c r="C2094">
        <v>2023</v>
      </c>
      <c r="D2094">
        <v>10</v>
      </c>
      <c r="E2094" t="s">
        <v>47</v>
      </c>
      <c r="F2094" t="s">
        <v>28</v>
      </c>
      <c r="G2094" t="s">
        <v>48</v>
      </c>
      <c r="H2094" t="s">
        <v>111</v>
      </c>
      <c r="I2094">
        <v>17641.48</v>
      </c>
      <c r="J2094">
        <v>15292.79</v>
      </c>
      <c r="K2094" t="s">
        <v>17</v>
      </c>
      <c r="L2094" t="b">
        <v>0</v>
      </c>
      <c r="N2094" s="2" t="b">
        <f t="shared" si="186"/>
        <v>1</v>
      </c>
      <c r="O2094" t="str">
        <f t="shared" ref="O2094:O2095" si="190">IF(AND(E2083="HR",K2083="EXPENSE"),I2083&lt;J2083,"")</f>
        <v/>
      </c>
      <c r="Q2094" t="str">
        <f t="shared" si="187"/>
        <v/>
      </c>
    </row>
    <row r="2095" spans="1:17" hidden="1">
      <c r="A2095" t="s">
        <v>2200</v>
      </c>
      <c r="B2095" s="1">
        <v>45203</v>
      </c>
      <c r="C2095">
        <v>2023</v>
      </c>
      <c r="D2095">
        <v>10</v>
      </c>
      <c r="E2095" t="s">
        <v>47</v>
      </c>
      <c r="F2095" t="s">
        <v>24</v>
      </c>
      <c r="G2095" t="s">
        <v>48</v>
      </c>
      <c r="H2095" t="s">
        <v>49</v>
      </c>
      <c r="I2095">
        <v>13082.53</v>
      </c>
      <c r="J2095">
        <v>10724.82</v>
      </c>
      <c r="K2095" t="s">
        <v>17</v>
      </c>
      <c r="L2095" t="b">
        <v>0</v>
      </c>
      <c r="N2095" s="2" t="b">
        <f t="shared" si="186"/>
        <v>1</v>
      </c>
      <c r="O2095" t="b">
        <f t="shared" si="190"/>
        <v>1</v>
      </c>
      <c r="Q2095" t="str">
        <f t="shared" si="187"/>
        <v/>
      </c>
    </row>
    <row r="2096" spans="1:17" hidden="1">
      <c r="A2096" t="s">
        <v>2201</v>
      </c>
      <c r="B2096" s="1">
        <v>45203</v>
      </c>
      <c r="C2096">
        <v>2023</v>
      </c>
      <c r="D2096">
        <v>10</v>
      </c>
      <c r="E2096" t="s">
        <v>19</v>
      </c>
      <c r="F2096" t="s">
        <v>28</v>
      </c>
      <c r="G2096" t="s">
        <v>54</v>
      </c>
      <c r="H2096" t="s">
        <v>55</v>
      </c>
      <c r="I2096">
        <v>5912.09</v>
      </c>
      <c r="J2096">
        <v>5541.51</v>
      </c>
      <c r="K2096" t="s">
        <v>17</v>
      </c>
      <c r="L2096" t="b">
        <v>0</v>
      </c>
      <c r="N2096" s="2" t="str">
        <f t="shared" si="186"/>
        <v/>
      </c>
      <c r="Q2096" t="str">
        <f t="shared" si="187"/>
        <v/>
      </c>
    </row>
    <row r="2097" spans="1:17" hidden="1">
      <c r="A2097" t="s">
        <v>2202</v>
      </c>
      <c r="B2097" s="1">
        <v>45203</v>
      </c>
      <c r="C2097">
        <v>2023</v>
      </c>
      <c r="D2097">
        <v>10</v>
      </c>
      <c r="E2097" t="s">
        <v>19</v>
      </c>
      <c r="F2097" t="s">
        <v>28</v>
      </c>
      <c r="G2097" t="s">
        <v>80</v>
      </c>
      <c r="H2097" t="s">
        <v>150</v>
      </c>
      <c r="I2097">
        <v>6846.07</v>
      </c>
      <c r="J2097">
        <v>7176.98</v>
      </c>
      <c r="K2097" t="s">
        <v>17</v>
      </c>
      <c r="L2097" t="b">
        <v>0</v>
      </c>
      <c r="N2097" s="2" t="str">
        <f t="shared" si="186"/>
        <v/>
      </c>
      <c r="Q2097" t="str">
        <f t="shared" si="187"/>
        <v/>
      </c>
    </row>
    <row r="2098" spans="1:17">
      <c r="A2098" t="s">
        <v>2203</v>
      </c>
      <c r="B2098" s="1">
        <v>45203</v>
      </c>
      <c r="C2098">
        <v>2023</v>
      </c>
      <c r="D2098">
        <v>10</v>
      </c>
      <c r="E2098" t="s">
        <v>19</v>
      </c>
      <c r="F2098" t="s">
        <v>24</v>
      </c>
      <c r="G2098" t="s">
        <v>132</v>
      </c>
      <c r="H2098" t="s">
        <v>322</v>
      </c>
      <c r="I2098">
        <v>31607.79</v>
      </c>
      <c r="J2098">
        <v>8106.21</v>
      </c>
      <c r="K2098" t="s">
        <v>17</v>
      </c>
      <c r="L2098" t="b">
        <v>1</v>
      </c>
      <c r="N2098" s="2" t="str">
        <f t="shared" si="186"/>
        <v/>
      </c>
      <c r="Q2098" t="b">
        <f t="shared" si="187"/>
        <v>1</v>
      </c>
    </row>
    <row r="2099" spans="1:17" hidden="1">
      <c r="A2099" t="s">
        <v>2204</v>
      </c>
      <c r="B2099" s="1">
        <v>45203</v>
      </c>
      <c r="C2099">
        <v>2023</v>
      </c>
      <c r="D2099">
        <v>10</v>
      </c>
      <c r="E2099" t="s">
        <v>37</v>
      </c>
      <c r="F2099" t="s">
        <v>28</v>
      </c>
      <c r="G2099" t="s">
        <v>38</v>
      </c>
      <c r="H2099" t="s">
        <v>39</v>
      </c>
      <c r="I2099">
        <v>4625.2700000000004</v>
      </c>
      <c r="J2099">
        <v>4986.9399999999996</v>
      </c>
      <c r="K2099" t="s">
        <v>17</v>
      </c>
      <c r="L2099" t="b">
        <v>0</v>
      </c>
      <c r="N2099" s="2" t="str">
        <f t="shared" si="186"/>
        <v/>
      </c>
      <c r="Q2099" t="str">
        <f t="shared" si="187"/>
        <v/>
      </c>
    </row>
    <row r="2100" spans="1:17" hidden="1">
      <c r="A2100" t="s">
        <v>2205</v>
      </c>
      <c r="B2100" s="1">
        <v>45203</v>
      </c>
      <c r="C2100">
        <v>2023</v>
      </c>
      <c r="D2100">
        <v>10</v>
      </c>
      <c r="E2100" t="s">
        <v>37</v>
      </c>
      <c r="F2100" t="s">
        <v>28</v>
      </c>
      <c r="G2100" t="s">
        <v>41</v>
      </c>
      <c r="H2100" t="s">
        <v>42</v>
      </c>
      <c r="I2100">
        <v>5372.24</v>
      </c>
      <c r="J2100">
        <v>4907.3100000000004</v>
      </c>
      <c r="K2100" t="s">
        <v>17</v>
      </c>
      <c r="L2100" t="b">
        <v>0</v>
      </c>
      <c r="N2100" s="2" t="str">
        <f t="shared" si="186"/>
        <v/>
      </c>
      <c r="Q2100" t="str">
        <f t="shared" si="187"/>
        <v/>
      </c>
    </row>
    <row r="2101" spans="1:17" hidden="1">
      <c r="A2101" t="s">
        <v>2206</v>
      </c>
      <c r="B2101" s="1">
        <v>45203</v>
      </c>
      <c r="C2101">
        <v>2023</v>
      </c>
      <c r="D2101">
        <v>10</v>
      </c>
      <c r="E2101" t="s">
        <v>37</v>
      </c>
      <c r="F2101" t="s">
        <v>24</v>
      </c>
      <c r="G2101" t="s">
        <v>98</v>
      </c>
      <c r="H2101" t="s">
        <v>99</v>
      </c>
      <c r="I2101">
        <v>3433.37</v>
      </c>
      <c r="J2101">
        <v>3499.32</v>
      </c>
      <c r="K2101" t="s">
        <v>17</v>
      </c>
      <c r="L2101" t="b">
        <v>0</v>
      </c>
      <c r="N2101" s="2" t="str">
        <f t="shared" si="186"/>
        <v/>
      </c>
      <c r="Q2101" t="str">
        <f t="shared" si="187"/>
        <v/>
      </c>
    </row>
    <row r="2102" spans="1:17" hidden="1">
      <c r="A2102" t="s">
        <v>2207</v>
      </c>
      <c r="B2102" s="1">
        <v>45203</v>
      </c>
      <c r="C2102">
        <v>2023</v>
      </c>
      <c r="D2102">
        <v>10</v>
      </c>
      <c r="E2102" t="s">
        <v>37</v>
      </c>
      <c r="F2102" t="s">
        <v>24</v>
      </c>
      <c r="G2102" t="s">
        <v>41</v>
      </c>
      <c r="H2102" t="s">
        <v>42</v>
      </c>
      <c r="I2102">
        <v>3988.58</v>
      </c>
      <c r="J2102">
        <v>3806.48</v>
      </c>
      <c r="K2102" t="s">
        <v>17</v>
      </c>
      <c r="L2102" t="b">
        <v>0</v>
      </c>
      <c r="N2102" s="2" t="str">
        <f t="shared" si="186"/>
        <v/>
      </c>
      <c r="Q2102" t="str">
        <f t="shared" si="187"/>
        <v/>
      </c>
    </row>
    <row r="2103" spans="1:17" hidden="1">
      <c r="A2103" t="s">
        <v>2208</v>
      </c>
      <c r="B2103" s="1">
        <v>45204</v>
      </c>
      <c r="C2103">
        <v>2023</v>
      </c>
      <c r="D2103">
        <v>10</v>
      </c>
      <c r="E2103" t="s">
        <v>19</v>
      </c>
      <c r="F2103" t="s">
        <v>14</v>
      </c>
      <c r="G2103" t="s">
        <v>132</v>
      </c>
      <c r="H2103" t="s">
        <v>138</v>
      </c>
      <c r="I2103">
        <v>6538.56</v>
      </c>
      <c r="J2103">
        <v>6988.05</v>
      </c>
      <c r="K2103" t="s">
        <v>17</v>
      </c>
      <c r="L2103" t="b">
        <v>0</v>
      </c>
      <c r="N2103" s="2" t="str">
        <f t="shared" si="186"/>
        <v/>
      </c>
      <c r="Q2103" t="str">
        <f t="shared" si="187"/>
        <v/>
      </c>
    </row>
    <row r="2104" spans="1:17" hidden="1">
      <c r="A2104" t="s">
        <v>2209</v>
      </c>
      <c r="B2104" s="1">
        <v>45204</v>
      </c>
      <c r="C2104">
        <v>2023</v>
      </c>
      <c r="D2104">
        <v>10</v>
      </c>
      <c r="E2104" t="s">
        <v>23</v>
      </c>
      <c r="F2104" t="s">
        <v>14</v>
      </c>
      <c r="G2104" t="s">
        <v>141</v>
      </c>
      <c r="H2104" t="s">
        <v>142</v>
      </c>
      <c r="I2104">
        <v>8206.9500000000007</v>
      </c>
      <c r="J2104">
        <v>8180.49</v>
      </c>
      <c r="K2104" t="s">
        <v>17</v>
      </c>
      <c r="L2104" t="b">
        <v>0</v>
      </c>
      <c r="N2104" s="2" t="str">
        <f t="shared" si="186"/>
        <v/>
      </c>
      <c r="Q2104" t="str">
        <f t="shared" si="187"/>
        <v/>
      </c>
    </row>
    <row r="2105" spans="1:17" hidden="1">
      <c r="A2105" t="s">
        <v>2210</v>
      </c>
      <c r="B2105" s="1">
        <v>45204</v>
      </c>
      <c r="C2105">
        <v>2023</v>
      </c>
      <c r="D2105">
        <v>10</v>
      </c>
      <c r="E2105" t="s">
        <v>23</v>
      </c>
      <c r="F2105" t="s">
        <v>14</v>
      </c>
      <c r="G2105" t="s">
        <v>59</v>
      </c>
      <c r="H2105" t="s">
        <v>60</v>
      </c>
      <c r="I2105">
        <v>5148.04</v>
      </c>
      <c r="J2105">
        <v>5462.19</v>
      </c>
      <c r="K2105" t="s">
        <v>17</v>
      </c>
      <c r="L2105" t="b">
        <v>0</v>
      </c>
      <c r="N2105" s="2" t="str">
        <f t="shared" si="186"/>
        <v/>
      </c>
      <c r="Q2105" t="str">
        <f t="shared" si="187"/>
        <v/>
      </c>
    </row>
    <row r="2106" spans="1:17" hidden="1">
      <c r="A2106" t="s">
        <v>2211</v>
      </c>
      <c r="B2106" s="1">
        <v>45204</v>
      </c>
      <c r="C2106">
        <v>2023</v>
      </c>
      <c r="D2106">
        <v>10</v>
      </c>
      <c r="E2106" t="s">
        <v>23</v>
      </c>
      <c r="F2106" t="s">
        <v>14</v>
      </c>
      <c r="G2106" t="s">
        <v>59</v>
      </c>
      <c r="H2106" t="s">
        <v>155</v>
      </c>
      <c r="I2106">
        <v>6970.8</v>
      </c>
      <c r="J2106">
        <v>7458.95</v>
      </c>
      <c r="K2106" t="s">
        <v>17</v>
      </c>
      <c r="L2106" t="b">
        <v>0</v>
      </c>
      <c r="N2106" s="2" t="str">
        <f t="shared" si="186"/>
        <v/>
      </c>
      <c r="Q2106" t="str">
        <f t="shared" si="187"/>
        <v/>
      </c>
    </row>
    <row r="2107" spans="1:17" hidden="1">
      <c r="A2107" t="s">
        <v>2212</v>
      </c>
      <c r="B2107" s="1">
        <v>45204</v>
      </c>
      <c r="C2107">
        <v>2023</v>
      </c>
      <c r="D2107">
        <v>10</v>
      </c>
      <c r="E2107" t="s">
        <v>23</v>
      </c>
      <c r="F2107" t="s">
        <v>14</v>
      </c>
      <c r="G2107" t="s">
        <v>141</v>
      </c>
      <c r="H2107" t="s">
        <v>209</v>
      </c>
      <c r="I2107">
        <v>7868.96</v>
      </c>
      <c r="J2107">
        <v>7108.77</v>
      </c>
      <c r="K2107" t="s">
        <v>17</v>
      </c>
      <c r="L2107" t="b">
        <v>0</v>
      </c>
      <c r="N2107" s="2" t="str">
        <f t="shared" si="186"/>
        <v/>
      </c>
      <c r="Q2107" t="str">
        <f t="shared" si="187"/>
        <v/>
      </c>
    </row>
    <row r="2108" spans="1:17" hidden="1">
      <c r="A2108" t="s">
        <v>2213</v>
      </c>
      <c r="B2108" s="1">
        <v>45204</v>
      </c>
      <c r="C2108">
        <v>2023</v>
      </c>
      <c r="D2108">
        <v>10</v>
      </c>
      <c r="E2108" t="s">
        <v>37</v>
      </c>
      <c r="F2108" t="s">
        <v>24</v>
      </c>
      <c r="G2108" t="s">
        <v>62</v>
      </c>
      <c r="H2108" t="s">
        <v>121</v>
      </c>
      <c r="I2108">
        <v>5109.57</v>
      </c>
      <c r="J2108">
        <v>4838.79</v>
      </c>
      <c r="K2108" t="s">
        <v>17</v>
      </c>
      <c r="L2108" t="b">
        <v>0</v>
      </c>
      <c r="N2108" s="2" t="str">
        <f t="shared" si="186"/>
        <v/>
      </c>
      <c r="Q2108" t="str">
        <f t="shared" si="187"/>
        <v/>
      </c>
    </row>
    <row r="2109" spans="1:17" hidden="1">
      <c r="A2109" t="s">
        <v>2214</v>
      </c>
      <c r="B2109" s="1">
        <v>45205</v>
      </c>
      <c r="C2109">
        <v>2023</v>
      </c>
      <c r="D2109">
        <v>10</v>
      </c>
      <c r="E2109" t="s">
        <v>13</v>
      </c>
      <c r="F2109" t="s">
        <v>28</v>
      </c>
      <c r="G2109" t="s">
        <v>15</v>
      </c>
      <c r="H2109" t="s">
        <v>45</v>
      </c>
      <c r="I2109">
        <v>4239.41</v>
      </c>
      <c r="J2109">
        <v>4016.18</v>
      </c>
      <c r="K2109" t="s">
        <v>17</v>
      </c>
      <c r="L2109" t="b">
        <v>0</v>
      </c>
      <c r="N2109" s="2" t="str">
        <f t="shared" si="186"/>
        <v/>
      </c>
      <c r="Q2109" t="str">
        <f t="shared" si="187"/>
        <v/>
      </c>
    </row>
    <row r="2110" spans="1:17" hidden="1">
      <c r="A2110" t="s">
        <v>2215</v>
      </c>
      <c r="B2110" s="1">
        <v>45205</v>
      </c>
      <c r="C2110">
        <v>2023</v>
      </c>
      <c r="D2110">
        <v>10</v>
      </c>
      <c r="E2110" t="s">
        <v>13</v>
      </c>
      <c r="F2110" t="s">
        <v>28</v>
      </c>
      <c r="G2110" t="s">
        <v>108</v>
      </c>
      <c r="H2110" t="s">
        <v>123</v>
      </c>
      <c r="I2110">
        <v>3444.11</v>
      </c>
      <c r="J2110">
        <v>3466.88</v>
      </c>
      <c r="K2110" t="s">
        <v>17</v>
      </c>
      <c r="L2110" t="b">
        <v>0</v>
      </c>
      <c r="N2110" s="2" t="str">
        <f t="shared" si="186"/>
        <v/>
      </c>
      <c r="Q2110" t="str">
        <f t="shared" si="187"/>
        <v/>
      </c>
    </row>
    <row r="2111" spans="1:17" hidden="1">
      <c r="A2111" t="s">
        <v>2216</v>
      </c>
      <c r="B2111" s="1">
        <v>45205</v>
      </c>
      <c r="C2111">
        <v>2023</v>
      </c>
      <c r="D2111">
        <v>10</v>
      </c>
      <c r="E2111" t="s">
        <v>47</v>
      </c>
      <c r="F2111" t="s">
        <v>24</v>
      </c>
      <c r="G2111" t="s">
        <v>77</v>
      </c>
      <c r="H2111" t="s">
        <v>147</v>
      </c>
      <c r="I2111">
        <v>12405.05</v>
      </c>
      <c r="J2111">
        <v>10754.72</v>
      </c>
      <c r="K2111" t="s">
        <v>17</v>
      </c>
      <c r="L2111" t="b">
        <v>0</v>
      </c>
      <c r="N2111" s="2" t="b">
        <f t="shared" si="186"/>
        <v>1</v>
      </c>
      <c r="O2111" t="str">
        <f>IF(AND(E2100="HR",K2100="EXPENSE"),I2100&lt;J2100,"")</f>
        <v/>
      </c>
      <c r="Q2111" t="str">
        <f t="shared" si="187"/>
        <v/>
      </c>
    </row>
    <row r="2112" spans="1:17" hidden="1">
      <c r="A2112" t="s">
        <v>2217</v>
      </c>
      <c r="B2112" s="1">
        <v>45205</v>
      </c>
      <c r="C2112">
        <v>2023</v>
      </c>
      <c r="D2112">
        <v>10</v>
      </c>
      <c r="E2112" t="s">
        <v>19</v>
      </c>
      <c r="F2112" t="s">
        <v>14</v>
      </c>
      <c r="G2112" t="s">
        <v>20</v>
      </c>
      <c r="H2112" t="s">
        <v>174</v>
      </c>
      <c r="I2112">
        <v>6286.96</v>
      </c>
      <c r="J2112">
        <v>5900.31</v>
      </c>
      <c r="K2112" t="s">
        <v>17</v>
      </c>
      <c r="L2112" t="b">
        <v>0</v>
      </c>
      <c r="N2112" s="2" t="str">
        <f t="shared" si="186"/>
        <v/>
      </c>
      <c r="Q2112" t="str">
        <f t="shared" si="187"/>
        <v/>
      </c>
    </row>
    <row r="2113" spans="1:17" hidden="1">
      <c r="A2113" t="s">
        <v>2218</v>
      </c>
      <c r="B2113" s="1">
        <v>45205</v>
      </c>
      <c r="C2113">
        <v>2023</v>
      </c>
      <c r="D2113">
        <v>10</v>
      </c>
      <c r="E2113" t="s">
        <v>19</v>
      </c>
      <c r="F2113" t="s">
        <v>28</v>
      </c>
      <c r="G2113" t="s">
        <v>80</v>
      </c>
      <c r="H2113" t="s">
        <v>150</v>
      </c>
      <c r="I2113">
        <v>7252.6</v>
      </c>
      <c r="J2113">
        <v>6800.38</v>
      </c>
      <c r="K2113" t="s">
        <v>17</v>
      </c>
      <c r="L2113" t="b">
        <v>0</v>
      </c>
      <c r="N2113" s="2" t="str">
        <f t="shared" si="186"/>
        <v/>
      </c>
      <c r="Q2113" t="str">
        <f t="shared" si="187"/>
        <v/>
      </c>
    </row>
    <row r="2114" spans="1:17" hidden="1">
      <c r="A2114" t="s">
        <v>2219</v>
      </c>
      <c r="B2114" s="1">
        <v>45205</v>
      </c>
      <c r="C2114">
        <v>2023</v>
      </c>
      <c r="D2114">
        <v>10</v>
      </c>
      <c r="E2114" t="s">
        <v>23</v>
      </c>
      <c r="F2114" t="s">
        <v>14</v>
      </c>
      <c r="G2114" t="s">
        <v>30</v>
      </c>
      <c r="H2114" t="s">
        <v>106</v>
      </c>
      <c r="I2114">
        <v>6241.12</v>
      </c>
      <c r="J2114">
        <v>6643.87</v>
      </c>
      <c r="K2114" t="s">
        <v>17</v>
      </c>
      <c r="L2114" t="b">
        <v>0</v>
      </c>
      <c r="N2114" s="2" t="str">
        <f t="shared" si="186"/>
        <v/>
      </c>
      <c r="Q2114" t="str">
        <f t="shared" si="187"/>
        <v/>
      </c>
    </row>
    <row r="2115" spans="1:17" hidden="1">
      <c r="A2115" t="s">
        <v>2220</v>
      </c>
      <c r="B2115" s="1">
        <v>45205</v>
      </c>
      <c r="C2115">
        <v>2023</v>
      </c>
      <c r="D2115">
        <v>10</v>
      </c>
      <c r="E2115" t="s">
        <v>23</v>
      </c>
      <c r="F2115" t="s">
        <v>24</v>
      </c>
      <c r="G2115" t="s">
        <v>59</v>
      </c>
      <c r="H2115" t="s">
        <v>60</v>
      </c>
      <c r="I2115">
        <v>5259.74</v>
      </c>
      <c r="J2115">
        <v>5389.28</v>
      </c>
      <c r="K2115" t="s">
        <v>17</v>
      </c>
      <c r="L2115" t="b">
        <v>0</v>
      </c>
      <c r="N2115" s="2" t="str">
        <f t="shared" ref="N2115:N2178" si="191">IF(AND(E2115="IT",K2115="EXPENSE"),I2115&gt;J2115,"")</f>
        <v/>
      </c>
      <c r="Q2115" t="str">
        <f t="shared" ref="Q2115:Q2178" si="192">IF(L2115=TRUE,OR(H2115="Apex Solutions Inc",H2115="Global Trade Partners",H2115="NovaTech Services"),"")</f>
        <v/>
      </c>
    </row>
    <row r="2116" spans="1:17" hidden="1">
      <c r="A2116" t="s">
        <v>2221</v>
      </c>
      <c r="B2116" s="1">
        <v>45205</v>
      </c>
      <c r="C2116">
        <v>2023</v>
      </c>
      <c r="D2116">
        <v>10</v>
      </c>
      <c r="E2116" t="s">
        <v>23</v>
      </c>
      <c r="F2116" t="s">
        <v>24</v>
      </c>
      <c r="G2116" t="s">
        <v>30</v>
      </c>
      <c r="H2116" t="s">
        <v>106</v>
      </c>
      <c r="I2116">
        <v>7167.17</v>
      </c>
      <c r="J2116">
        <v>6788.29</v>
      </c>
      <c r="K2116" t="s">
        <v>17</v>
      </c>
      <c r="L2116" t="b">
        <v>0</v>
      </c>
      <c r="N2116" s="2" t="str">
        <f t="shared" si="191"/>
        <v/>
      </c>
      <c r="Q2116" t="str">
        <f t="shared" si="192"/>
        <v/>
      </c>
    </row>
    <row r="2117" spans="1:17" hidden="1">
      <c r="A2117" t="s">
        <v>2222</v>
      </c>
      <c r="B2117" s="1">
        <v>45205</v>
      </c>
      <c r="C2117">
        <v>2023</v>
      </c>
      <c r="D2117">
        <v>10</v>
      </c>
      <c r="E2117" t="s">
        <v>23</v>
      </c>
      <c r="F2117" t="s">
        <v>24</v>
      </c>
      <c r="G2117" t="s">
        <v>25</v>
      </c>
      <c r="H2117" t="s">
        <v>35</v>
      </c>
      <c r="I2117">
        <v>7051.34</v>
      </c>
      <c r="J2117">
        <v>7101.67</v>
      </c>
      <c r="K2117" t="s">
        <v>17</v>
      </c>
      <c r="L2117" t="b">
        <v>0</v>
      </c>
      <c r="N2117" s="2" t="str">
        <f t="shared" si="191"/>
        <v/>
      </c>
      <c r="Q2117" t="str">
        <f t="shared" si="192"/>
        <v/>
      </c>
    </row>
    <row r="2118" spans="1:17" hidden="1">
      <c r="A2118" t="s">
        <v>2223</v>
      </c>
      <c r="B2118" s="1">
        <v>45205</v>
      </c>
      <c r="C2118">
        <v>2023</v>
      </c>
      <c r="D2118">
        <v>10</v>
      </c>
      <c r="E2118" t="s">
        <v>37</v>
      </c>
      <c r="F2118" t="s">
        <v>14</v>
      </c>
      <c r="G2118" t="s">
        <v>98</v>
      </c>
      <c r="H2118" t="s">
        <v>99</v>
      </c>
      <c r="I2118">
        <v>4795.97</v>
      </c>
      <c r="J2118">
        <v>4505.51</v>
      </c>
      <c r="K2118" t="s">
        <v>17</v>
      </c>
      <c r="L2118" t="b">
        <v>0</v>
      </c>
      <c r="N2118" s="2" t="str">
        <f t="shared" si="191"/>
        <v/>
      </c>
      <c r="Q2118" t="str">
        <f t="shared" si="192"/>
        <v/>
      </c>
    </row>
    <row r="2119" spans="1:17" hidden="1">
      <c r="A2119" t="s">
        <v>2224</v>
      </c>
      <c r="B2119" s="1">
        <v>45205</v>
      </c>
      <c r="C2119">
        <v>2023</v>
      </c>
      <c r="D2119">
        <v>10</v>
      </c>
      <c r="E2119" t="s">
        <v>37</v>
      </c>
      <c r="F2119" t="s">
        <v>24</v>
      </c>
      <c r="G2119" t="s">
        <v>41</v>
      </c>
      <c r="H2119" t="s">
        <v>42</v>
      </c>
      <c r="I2119">
        <v>3809.35</v>
      </c>
      <c r="J2119">
        <v>3689.14</v>
      </c>
      <c r="K2119" t="s">
        <v>17</v>
      </c>
      <c r="L2119" t="b">
        <v>0</v>
      </c>
      <c r="N2119" s="2" t="str">
        <f t="shared" si="191"/>
        <v/>
      </c>
      <c r="Q2119" t="str">
        <f t="shared" si="192"/>
        <v/>
      </c>
    </row>
    <row r="2120" spans="1:17" hidden="1">
      <c r="A2120" t="s">
        <v>2225</v>
      </c>
      <c r="B2120" s="1">
        <v>45206</v>
      </c>
      <c r="C2120">
        <v>2023</v>
      </c>
      <c r="D2120">
        <v>10</v>
      </c>
      <c r="E2120" t="s">
        <v>13</v>
      </c>
      <c r="F2120" t="s">
        <v>24</v>
      </c>
      <c r="G2120" t="s">
        <v>108</v>
      </c>
      <c r="H2120" t="s">
        <v>126</v>
      </c>
      <c r="I2120">
        <v>2885.73</v>
      </c>
      <c r="J2120">
        <v>3131.93</v>
      </c>
      <c r="K2120" t="s">
        <v>17</v>
      </c>
      <c r="L2120" t="b">
        <v>0</v>
      </c>
      <c r="N2120" s="2" t="str">
        <f t="shared" si="191"/>
        <v/>
      </c>
      <c r="Q2120" t="str">
        <f t="shared" si="192"/>
        <v/>
      </c>
    </row>
    <row r="2121" spans="1:17" hidden="1">
      <c r="A2121" t="s">
        <v>2226</v>
      </c>
      <c r="B2121" s="1">
        <v>45206</v>
      </c>
      <c r="C2121">
        <v>2023</v>
      </c>
      <c r="D2121">
        <v>10</v>
      </c>
      <c r="E2121" t="s">
        <v>13</v>
      </c>
      <c r="F2121" t="s">
        <v>24</v>
      </c>
      <c r="G2121" t="s">
        <v>102</v>
      </c>
      <c r="H2121" t="s">
        <v>103</v>
      </c>
      <c r="I2121">
        <v>2515.3200000000002</v>
      </c>
      <c r="J2121">
        <v>2602.56</v>
      </c>
      <c r="K2121" t="s">
        <v>17</v>
      </c>
      <c r="L2121" t="b">
        <v>0</v>
      </c>
      <c r="N2121" s="2" t="str">
        <f t="shared" si="191"/>
        <v/>
      </c>
      <c r="Q2121" t="str">
        <f t="shared" si="192"/>
        <v/>
      </c>
    </row>
    <row r="2122" spans="1:17" hidden="1">
      <c r="A2122" t="s">
        <v>2227</v>
      </c>
      <c r="B2122" s="1">
        <v>45206</v>
      </c>
      <c r="C2122">
        <v>2023</v>
      </c>
      <c r="D2122">
        <v>10</v>
      </c>
      <c r="E2122" t="s">
        <v>47</v>
      </c>
      <c r="F2122" t="s">
        <v>14</v>
      </c>
      <c r="G2122" t="s">
        <v>51</v>
      </c>
      <c r="H2122" t="s">
        <v>189</v>
      </c>
      <c r="I2122">
        <v>14739.93</v>
      </c>
      <c r="J2122">
        <v>12180.93</v>
      </c>
      <c r="K2122" t="s">
        <v>17</v>
      </c>
      <c r="L2122" t="b">
        <v>0</v>
      </c>
      <c r="N2122" s="2" t="b">
        <f t="shared" si="191"/>
        <v>1</v>
      </c>
      <c r="O2122" t="str">
        <f>IF(AND(E2111="HR",K2111="EXPENSE"),I2111&lt;J2111,"")</f>
        <v/>
      </c>
      <c r="Q2122" t="str">
        <f t="shared" si="192"/>
        <v/>
      </c>
    </row>
    <row r="2123" spans="1:17" hidden="1">
      <c r="A2123" t="s">
        <v>2228</v>
      </c>
      <c r="B2123" s="1">
        <v>45206</v>
      </c>
      <c r="C2123">
        <v>2023</v>
      </c>
      <c r="D2123">
        <v>10</v>
      </c>
      <c r="E2123" t="s">
        <v>19</v>
      </c>
      <c r="F2123" t="s">
        <v>14</v>
      </c>
      <c r="G2123" t="s">
        <v>80</v>
      </c>
      <c r="H2123" t="s">
        <v>150</v>
      </c>
      <c r="I2123">
        <v>3099.85</v>
      </c>
      <c r="J2123">
        <v>2837.59</v>
      </c>
      <c r="K2123" t="s">
        <v>17</v>
      </c>
      <c r="L2123" t="b">
        <v>0</v>
      </c>
      <c r="N2123" s="2" t="str">
        <f t="shared" si="191"/>
        <v/>
      </c>
      <c r="Q2123" t="str">
        <f t="shared" si="192"/>
        <v/>
      </c>
    </row>
    <row r="2124" spans="1:17" hidden="1">
      <c r="A2124" t="s">
        <v>2229</v>
      </c>
      <c r="B2124" s="1">
        <v>45206</v>
      </c>
      <c r="C2124">
        <v>2023</v>
      </c>
      <c r="D2124">
        <v>10</v>
      </c>
      <c r="E2124" t="s">
        <v>19</v>
      </c>
      <c r="F2124" t="s">
        <v>24</v>
      </c>
      <c r="G2124" t="s">
        <v>54</v>
      </c>
      <c r="H2124" t="s">
        <v>55</v>
      </c>
      <c r="I2124">
        <v>4164.88</v>
      </c>
      <c r="J2124">
        <v>3991.82</v>
      </c>
      <c r="K2124" t="s">
        <v>17</v>
      </c>
      <c r="L2124" t="b">
        <v>0</v>
      </c>
      <c r="N2124" s="2" t="str">
        <f t="shared" si="191"/>
        <v/>
      </c>
      <c r="Q2124" t="str">
        <f t="shared" si="192"/>
        <v/>
      </c>
    </row>
    <row r="2125" spans="1:17" hidden="1">
      <c r="A2125" t="s">
        <v>2230</v>
      </c>
      <c r="B2125" s="1">
        <v>45206</v>
      </c>
      <c r="C2125">
        <v>2023</v>
      </c>
      <c r="D2125">
        <v>10</v>
      </c>
      <c r="E2125" t="s">
        <v>23</v>
      </c>
      <c r="F2125" t="s">
        <v>14</v>
      </c>
      <c r="G2125" t="s">
        <v>30</v>
      </c>
      <c r="H2125" t="s">
        <v>106</v>
      </c>
      <c r="I2125">
        <v>6948.72</v>
      </c>
      <c r="J2125">
        <v>7570.15</v>
      </c>
      <c r="K2125" t="s">
        <v>17</v>
      </c>
      <c r="L2125" t="b">
        <v>0</v>
      </c>
      <c r="N2125" s="2" t="str">
        <f t="shared" si="191"/>
        <v/>
      </c>
      <c r="Q2125" t="str">
        <f t="shared" si="192"/>
        <v/>
      </c>
    </row>
    <row r="2126" spans="1:17" hidden="1">
      <c r="A2126" t="s">
        <v>2231</v>
      </c>
      <c r="B2126" s="1">
        <v>45206</v>
      </c>
      <c r="C2126">
        <v>2023</v>
      </c>
      <c r="D2126">
        <v>10</v>
      </c>
      <c r="E2126" t="s">
        <v>37</v>
      </c>
      <c r="F2126" t="s">
        <v>14</v>
      </c>
      <c r="G2126" t="s">
        <v>41</v>
      </c>
      <c r="H2126" t="s">
        <v>42</v>
      </c>
      <c r="I2126">
        <v>5673.85</v>
      </c>
      <c r="J2126">
        <v>5408.43</v>
      </c>
      <c r="K2126" t="s">
        <v>17</v>
      </c>
      <c r="L2126" t="b">
        <v>0</v>
      </c>
      <c r="N2126" s="2" t="str">
        <f t="shared" si="191"/>
        <v/>
      </c>
      <c r="Q2126" t="str">
        <f t="shared" si="192"/>
        <v/>
      </c>
    </row>
    <row r="2127" spans="1:17" hidden="1">
      <c r="A2127" t="s">
        <v>2232</v>
      </c>
      <c r="B2127" s="1">
        <v>45206</v>
      </c>
      <c r="C2127">
        <v>2023</v>
      </c>
      <c r="D2127">
        <v>10</v>
      </c>
      <c r="E2127" t="s">
        <v>37</v>
      </c>
      <c r="F2127" t="s">
        <v>28</v>
      </c>
      <c r="G2127" t="s">
        <v>62</v>
      </c>
      <c r="H2127" t="s">
        <v>63</v>
      </c>
      <c r="I2127">
        <v>5585.44</v>
      </c>
      <c r="J2127">
        <v>5507.4</v>
      </c>
      <c r="K2127" t="s">
        <v>17</v>
      </c>
      <c r="L2127" t="b">
        <v>0</v>
      </c>
      <c r="N2127" s="2" t="str">
        <f t="shared" si="191"/>
        <v/>
      </c>
      <c r="Q2127" t="str">
        <f t="shared" si="192"/>
        <v/>
      </c>
    </row>
    <row r="2128" spans="1:17" hidden="1">
      <c r="A2128" t="s">
        <v>2233</v>
      </c>
      <c r="B2128" s="1">
        <v>45206</v>
      </c>
      <c r="C2128">
        <v>2023</v>
      </c>
      <c r="D2128">
        <v>10</v>
      </c>
      <c r="E2128" t="s">
        <v>37</v>
      </c>
      <c r="F2128" t="s">
        <v>28</v>
      </c>
      <c r="G2128" t="s">
        <v>98</v>
      </c>
      <c r="H2128" t="s">
        <v>99</v>
      </c>
      <c r="I2128">
        <v>5710.34</v>
      </c>
      <c r="J2128">
        <v>5171.42</v>
      </c>
      <c r="K2128" t="s">
        <v>17</v>
      </c>
      <c r="L2128" t="b">
        <v>0</v>
      </c>
      <c r="N2128" s="2" t="str">
        <f t="shared" si="191"/>
        <v/>
      </c>
      <c r="Q2128" t="str">
        <f t="shared" si="192"/>
        <v/>
      </c>
    </row>
    <row r="2129" spans="1:17" hidden="1">
      <c r="A2129" t="s">
        <v>2234</v>
      </c>
      <c r="B2129" s="1">
        <v>45206</v>
      </c>
      <c r="C2129">
        <v>2023</v>
      </c>
      <c r="D2129">
        <v>10</v>
      </c>
      <c r="E2129" t="s">
        <v>37</v>
      </c>
      <c r="F2129" t="s">
        <v>24</v>
      </c>
      <c r="G2129" t="s">
        <v>62</v>
      </c>
      <c r="H2129" t="s">
        <v>66</v>
      </c>
      <c r="I2129">
        <v>6702</v>
      </c>
      <c r="J2129">
        <v>6175.83</v>
      </c>
      <c r="K2129" t="s">
        <v>17</v>
      </c>
      <c r="L2129" t="b">
        <v>0</v>
      </c>
      <c r="N2129" s="2" t="str">
        <f t="shared" si="191"/>
        <v/>
      </c>
      <c r="Q2129" t="str">
        <f t="shared" si="192"/>
        <v/>
      </c>
    </row>
    <row r="2130" spans="1:17" hidden="1">
      <c r="A2130" t="s">
        <v>2235</v>
      </c>
      <c r="B2130" s="1">
        <v>45207</v>
      </c>
      <c r="C2130">
        <v>2023</v>
      </c>
      <c r="D2130">
        <v>10</v>
      </c>
      <c r="E2130" t="s">
        <v>13</v>
      </c>
      <c r="F2130" t="s">
        <v>14</v>
      </c>
      <c r="G2130" t="s">
        <v>102</v>
      </c>
      <c r="H2130" t="s">
        <v>145</v>
      </c>
      <c r="I2130">
        <v>4210.88</v>
      </c>
      <c r="J2130">
        <v>4165.3100000000004</v>
      </c>
      <c r="K2130" t="s">
        <v>17</v>
      </c>
      <c r="L2130" t="b">
        <v>0</v>
      </c>
      <c r="N2130" s="2" t="str">
        <f t="shared" si="191"/>
        <v/>
      </c>
      <c r="Q2130" t="str">
        <f t="shared" si="192"/>
        <v/>
      </c>
    </row>
    <row r="2131" spans="1:17">
      <c r="A2131" t="s">
        <v>2236</v>
      </c>
      <c r="B2131" s="1">
        <v>45207</v>
      </c>
      <c r="C2131">
        <v>2023</v>
      </c>
      <c r="D2131">
        <v>10</v>
      </c>
      <c r="E2131" t="s">
        <v>19</v>
      </c>
      <c r="F2131" t="s">
        <v>24</v>
      </c>
      <c r="G2131" t="s">
        <v>20</v>
      </c>
      <c r="H2131" t="s">
        <v>207</v>
      </c>
      <c r="I2131">
        <v>21245.17</v>
      </c>
      <c r="J2131">
        <v>5400.5</v>
      </c>
      <c r="K2131" t="s">
        <v>17</v>
      </c>
      <c r="L2131" t="b">
        <v>1</v>
      </c>
      <c r="N2131" s="2" t="str">
        <f t="shared" si="191"/>
        <v/>
      </c>
      <c r="Q2131" t="b">
        <f t="shared" si="192"/>
        <v>1</v>
      </c>
    </row>
    <row r="2132" spans="1:17" hidden="1">
      <c r="A2132" t="s">
        <v>2237</v>
      </c>
      <c r="B2132" s="1">
        <v>45207</v>
      </c>
      <c r="C2132">
        <v>2023</v>
      </c>
      <c r="D2132">
        <v>10</v>
      </c>
      <c r="E2132" t="s">
        <v>37</v>
      </c>
      <c r="F2132" t="s">
        <v>24</v>
      </c>
      <c r="G2132" t="s">
        <v>38</v>
      </c>
      <c r="H2132" t="s">
        <v>227</v>
      </c>
      <c r="I2132">
        <v>5686.49</v>
      </c>
      <c r="J2132">
        <v>6215.84</v>
      </c>
      <c r="K2132" t="s">
        <v>17</v>
      </c>
      <c r="L2132" t="b">
        <v>0</v>
      </c>
      <c r="N2132" s="2" t="str">
        <f t="shared" si="191"/>
        <v/>
      </c>
      <c r="Q2132" t="str">
        <f t="shared" si="192"/>
        <v/>
      </c>
    </row>
    <row r="2133" spans="1:17" hidden="1">
      <c r="A2133" t="s">
        <v>2238</v>
      </c>
      <c r="B2133" s="1">
        <v>45208</v>
      </c>
      <c r="C2133">
        <v>2023</v>
      </c>
      <c r="D2133">
        <v>10</v>
      </c>
      <c r="E2133" t="s">
        <v>23</v>
      </c>
      <c r="F2133" t="s">
        <v>24</v>
      </c>
      <c r="G2133" t="s">
        <v>25</v>
      </c>
      <c r="H2133" t="s">
        <v>26</v>
      </c>
      <c r="I2133">
        <v>6450.21</v>
      </c>
      <c r="J2133">
        <v>6012.7</v>
      </c>
      <c r="K2133" t="s">
        <v>17</v>
      </c>
      <c r="L2133" t="b">
        <v>0</v>
      </c>
      <c r="N2133" s="2" t="str">
        <f t="shared" si="191"/>
        <v/>
      </c>
      <c r="Q2133" t="str">
        <f t="shared" si="192"/>
        <v/>
      </c>
    </row>
    <row r="2134" spans="1:17" hidden="1">
      <c r="A2134" t="s">
        <v>2239</v>
      </c>
      <c r="B2134" s="1">
        <v>45208</v>
      </c>
      <c r="C2134">
        <v>2023</v>
      </c>
      <c r="D2134">
        <v>10</v>
      </c>
      <c r="E2134" t="s">
        <v>23</v>
      </c>
      <c r="F2134" t="s">
        <v>24</v>
      </c>
      <c r="G2134" t="s">
        <v>141</v>
      </c>
      <c r="H2134" t="s">
        <v>153</v>
      </c>
      <c r="I2134">
        <v>7633.93</v>
      </c>
      <c r="J2134">
        <v>7032.07</v>
      </c>
      <c r="K2134" t="s">
        <v>17</v>
      </c>
      <c r="L2134" t="b">
        <v>0</v>
      </c>
      <c r="N2134" s="2" t="str">
        <f t="shared" si="191"/>
        <v/>
      </c>
      <c r="Q2134" t="str">
        <f t="shared" si="192"/>
        <v/>
      </c>
    </row>
    <row r="2135" spans="1:17" hidden="1">
      <c r="A2135" t="s">
        <v>2240</v>
      </c>
      <c r="B2135" s="1">
        <v>45208</v>
      </c>
      <c r="C2135">
        <v>2023</v>
      </c>
      <c r="D2135">
        <v>10</v>
      </c>
      <c r="E2135" t="s">
        <v>37</v>
      </c>
      <c r="F2135" t="s">
        <v>28</v>
      </c>
      <c r="G2135" t="s">
        <v>98</v>
      </c>
      <c r="H2135" t="s">
        <v>99</v>
      </c>
      <c r="I2135">
        <v>3555.29</v>
      </c>
      <c r="J2135">
        <v>3466.63</v>
      </c>
      <c r="K2135" t="s">
        <v>17</v>
      </c>
      <c r="L2135" t="b">
        <v>0</v>
      </c>
      <c r="N2135" s="2" t="str">
        <f t="shared" si="191"/>
        <v/>
      </c>
      <c r="Q2135" t="str">
        <f t="shared" si="192"/>
        <v/>
      </c>
    </row>
    <row r="2136" spans="1:17" hidden="1">
      <c r="A2136" t="s">
        <v>2241</v>
      </c>
      <c r="B2136" s="1">
        <v>45209</v>
      </c>
      <c r="C2136">
        <v>2023</v>
      </c>
      <c r="D2136">
        <v>10</v>
      </c>
      <c r="E2136" t="s">
        <v>13</v>
      </c>
      <c r="F2136" t="s">
        <v>14</v>
      </c>
      <c r="G2136" t="s">
        <v>108</v>
      </c>
      <c r="H2136" t="s">
        <v>123</v>
      </c>
      <c r="I2136">
        <v>4932.79</v>
      </c>
      <c r="J2136">
        <v>5012.4799999999996</v>
      </c>
      <c r="K2136" t="s">
        <v>17</v>
      </c>
      <c r="L2136" t="b">
        <v>0</v>
      </c>
      <c r="N2136" s="2" t="str">
        <f t="shared" si="191"/>
        <v/>
      </c>
      <c r="Q2136" t="str">
        <f t="shared" si="192"/>
        <v/>
      </c>
    </row>
    <row r="2137" spans="1:17" hidden="1">
      <c r="A2137" t="s">
        <v>2242</v>
      </c>
      <c r="B2137" s="1">
        <v>45209</v>
      </c>
      <c r="C2137">
        <v>2023</v>
      </c>
      <c r="D2137">
        <v>10</v>
      </c>
      <c r="E2137" t="s">
        <v>47</v>
      </c>
      <c r="F2137" t="s">
        <v>28</v>
      </c>
      <c r="G2137" t="s">
        <v>48</v>
      </c>
      <c r="H2137" t="s">
        <v>189</v>
      </c>
      <c r="I2137">
        <v>14224.92</v>
      </c>
      <c r="J2137">
        <v>11817.24</v>
      </c>
      <c r="K2137" t="s">
        <v>17</v>
      </c>
      <c r="L2137" t="b">
        <v>0</v>
      </c>
      <c r="N2137" s="2" t="b">
        <f t="shared" si="191"/>
        <v>1</v>
      </c>
      <c r="O2137" t="str">
        <f t="shared" ref="O2137:O2138" si="193">IF(AND(E2126="HR",K2126="EXPENSE"),I2126&lt;J2126,"")</f>
        <v/>
      </c>
      <c r="Q2137" t="str">
        <f t="shared" si="192"/>
        <v/>
      </c>
    </row>
    <row r="2138" spans="1:17" hidden="1">
      <c r="A2138" t="s">
        <v>2243</v>
      </c>
      <c r="B2138" s="1">
        <v>45209</v>
      </c>
      <c r="C2138">
        <v>2023</v>
      </c>
      <c r="D2138">
        <v>10</v>
      </c>
      <c r="E2138" t="s">
        <v>47</v>
      </c>
      <c r="F2138" t="s">
        <v>28</v>
      </c>
      <c r="G2138" t="s">
        <v>51</v>
      </c>
      <c r="H2138" t="s">
        <v>52</v>
      </c>
      <c r="I2138">
        <v>10377.31</v>
      </c>
      <c r="J2138">
        <v>8979.23</v>
      </c>
      <c r="K2138" t="s">
        <v>17</v>
      </c>
      <c r="L2138" t="b">
        <v>0</v>
      </c>
      <c r="N2138" s="2" t="b">
        <f t="shared" si="191"/>
        <v>1</v>
      </c>
      <c r="O2138" t="str">
        <f t="shared" si="193"/>
        <v/>
      </c>
      <c r="Q2138" t="str">
        <f t="shared" si="192"/>
        <v/>
      </c>
    </row>
    <row r="2139" spans="1:17" hidden="1">
      <c r="A2139" t="s">
        <v>2244</v>
      </c>
      <c r="B2139" s="1">
        <v>45209</v>
      </c>
      <c r="C2139">
        <v>2023</v>
      </c>
      <c r="D2139">
        <v>10</v>
      </c>
      <c r="E2139" t="s">
        <v>19</v>
      </c>
      <c r="F2139" t="s">
        <v>14</v>
      </c>
      <c r="G2139" t="s">
        <v>54</v>
      </c>
      <c r="H2139" t="s">
        <v>57</v>
      </c>
      <c r="I2139">
        <v>5954.36</v>
      </c>
      <c r="J2139">
        <v>5437.59</v>
      </c>
      <c r="K2139" t="s">
        <v>17</v>
      </c>
      <c r="L2139" t="b">
        <v>0</v>
      </c>
      <c r="N2139" s="2" t="str">
        <f t="shared" si="191"/>
        <v/>
      </c>
      <c r="Q2139" t="str">
        <f t="shared" si="192"/>
        <v/>
      </c>
    </row>
    <row r="2140" spans="1:17" hidden="1">
      <c r="A2140" t="s">
        <v>2245</v>
      </c>
      <c r="B2140" s="1">
        <v>45209</v>
      </c>
      <c r="C2140">
        <v>2023</v>
      </c>
      <c r="D2140">
        <v>10</v>
      </c>
      <c r="E2140" t="s">
        <v>19</v>
      </c>
      <c r="F2140" t="s">
        <v>28</v>
      </c>
      <c r="G2140" t="s">
        <v>80</v>
      </c>
      <c r="H2140" t="s">
        <v>81</v>
      </c>
      <c r="I2140">
        <v>6151.32</v>
      </c>
      <c r="J2140">
        <v>6440.71</v>
      </c>
      <c r="K2140" t="s">
        <v>17</v>
      </c>
      <c r="L2140" t="b">
        <v>0</v>
      </c>
      <c r="N2140" s="2" t="str">
        <f t="shared" si="191"/>
        <v/>
      </c>
      <c r="Q2140" t="str">
        <f t="shared" si="192"/>
        <v/>
      </c>
    </row>
    <row r="2141" spans="1:17" hidden="1">
      <c r="A2141" t="s">
        <v>2246</v>
      </c>
      <c r="B2141" s="1">
        <v>45209</v>
      </c>
      <c r="C2141">
        <v>2023</v>
      </c>
      <c r="D2141">
        <v>10</v>
      </c>
      <c r="E2141" t="s">
        <v>19</v>
      </c>
      <c r="F2141" t="s">
        <v>24</v>
      </c>
      <c r="G2141" t="s">
        <v>20</v>
      </c>
      <c r="H2141" t="s">
        <v>136</v>
      </c>
      <c r="I2141">
        <v>6524.45</v>
      </c>
      <c r="J2141">
        <v>6175.89</v>
      </c>
      <c r="K2141" t="s">
        <v>17</v>
      </c>
      <c r="L2141" t="b">
        <v>0</v>
      </c>
      <c r="N2141" s="2" t="str">
        <f t="shared" si="191"/>
        <v/>
      </c>
      <c r="Q2141" t="str">
        <f t="shared" si="192"/>
        <v/>
      </c>
    </row>
    <row r="2142" spans="1:17" hidden="1">
      <c r="A2142" t="s">
        <v>2247</v>
      </c>
      <c r="B2142" s="1">
        <v>45209</v>
      </c>
      <c r="C2142">
        <v>2023</v>
      </c>
      <c r="D2142">
        <v>10</v>
      </c>
      <c r="E2142" t="s">
        <v>19</v>
      </c>
      <c r="F2142" t="s">
        <v>24</v>
      </c>
      <c r="G2142" t="s">
        <v>132</v>
      </c>
      <c r="H2142" t="s">
        <v>138</v>
      </c>
      <c r="I2142">
        <v>4516.1099999999997</v>
      </c>
      <c r="J2142">
        <v>4206.09</v>
      </c>
      <c r="K2142" t="s">
        <v>17</v>
      </c>
      <c r="L2142" t="b">
        <v>0</v>
      </c>
      <c r="N2142" s="2" t="str">
        <f t="shared" si="191"/>
        <v/>
      </c>
      <c r="Q2142" t="str">
        <f t="shared" si="192"/>
        <v/>
      </c>
    </row>
    <row r="2143" spans="1:17" hidden="1">
      <c r="A2143" t="s">
        <v>2248</v>
      </c>
      <c r="B2143" s="1">
        <v>45209</v>
      </c>
      <c r="C2143">
        <v>2023</v>
      </c>
      <c r="D2143">
        <v>10</v>
      </c>
      <c r="E2143" t="s">
        <v>23</v>
      </c>
      <c r="F2143" t="s">
        <v>24</v>
      </c>
      <c r="G2143" t="s">
        <v>25</v>
      </c>
      <c r="H2143" t="s">
        <v>35</v>
      </c>
      <c r="I2143">
        <v>7091.34</v>
      </c>
      <c r="J2143">
        <v>6562.05</v>
      </c>
      <c r="K2143" t="s">
        <v>17</v>
      </c>
      <c r="L2143" t="b">
        <v>0</v>
      </c>
      <c r="N2143" s="2" t="str">
        <f t="shared" si="191"/>
        <v/>
      </c>
      <c r="Q2143" t="str">
        <f t="shared" si="192"/>
        <v/>
      </c>
    </row>
    <row r="2144" spans="1:17" hidden="1">
      <c r="A2144" t="s">
        <v>2249</v>
      </c>
      <c r="B2144" s="1">
        <v>45209</v>
      </c>
      <c r="C2144">
        <v>2023</v>
      </c>
      <c r="D2144">
        <v>10</v>
      </c>
      <c r="E2144" t="s">
        <v>37</v>
      </c>
      <c r="F2144" t="s">
        <v>28</v>
      </c>
      <c r="G2144" t="s">
        <v>62</v>
      </c>
      <c r="H2144" t="s">
        <v>66</v>
      </c>
      <c r="I2144">
        <v>3987.11</v>
      </c>
      <c r="J2144">
        <v>4334.92</v>
      </c>
      <c r="K2144" t="s">
        <v>17</v>
      </c>
      <c r="L2144" t="b">
        <v>0</v>
      </c>
      <c r="N2144" s="2" t="str">
        <f t="shared" si="191"/>
        <v/>
      </c>
      <c r="Q2144" t="str">
        <f t="shared" si="192"/>
        <v/>
      </c>
    </row>
    <row r="2145" spans="1:17" hidden="1">
      <c r="A2145" t="s">
        <v>2250</v>
      </c>
      <c r="B2145" s="1">
        <v>45209</v>
      </c>
      <c r="C2145">
        <v>2023</v>
      </c>
      <c r="D2145">
        <v>10</v>
      </c>
      <c r="E2145" t="s">
        <v>37</v>
      </c>
      <c r="F2145" t="s">
        <v>24</v>
      </c>
      <c r="G2145" t="s">
        <v>98</v>
      </c>
      <c r="H2145" t="s">
        <v>185</v>
      </c>
      <c r="I2145">
        <v>3247.05</v>
      </c>
      <c r="J2145">
        <v>3517.08</v>
      </c>
      <c r="K2145" t="s">
        <v>17</v>
      </c>
      <c r="L2145" t="b">
        <v>0</v>
      </c>
      <c r="N2145" s="2" t="str">
        <f t="shared" si="191"/>
        <v/>
      </c>
      <c r="Q2145" t="str">
        <f t="shared" si="192"/>
        <v/>
      </c>
    </row>
    <row r="2146" spans="1:17" hidden="1">
      <c r="A2146" t="s">
        <v>2251</v>
      </c>
      <c r="B2146" s="1">
        <v>45209</v>
      </c>
      <c r="C2146">
        <v>2023</v>
      </c>
      <c r="D2146">
        <v>10</v>
      </c>
      <c r="E2146" t="s">
        <v>37</v>
      </c>
      <c r="F2146" t="s">
        <v>24</v>
      </c>
      <c r="G2146" t="s">
        <v>41</v>
      </c>
      <c r="H2146" t="s">
        <v>42</v>
      </c>
      <c r="I2146">
        <v>4427.8900000000003</v>
      </c>
      <c r="J2146">
        <v>4854.1899999999996</v>
      </c>
      <c r="K2146" t="s">
        <v>17</v>
      </c>
      <c r="L2146" t="b">
        <v>0</v>
      </c>
      <c r="N2146" s="2" t="str">
        <f t="shared" si="191"/>
        <v/>
      </c>
      <c r="Q2146" t="str">
        <f t="shared" si="192"/>
        <v/>
      </c>
    </row>
    <row r="2147" spans="1:17" hidden="1">
      <c r="A2147" t="s">
        <v>2252</v>
      </c>
      <c r="B2147" s="1">
        <v>45210</v>
      </c>
      <c r="C2147">
        <v>2023</v>
      </c>
      <c r="D2147">
        <v>10</v>
      </c>
      <c r="E2147" t="s">
        <v>47</v>
      </c>
      <c r="F2147" t="s">
        <v>14</v>
      </c>
      <c r="G2147" t="s">
        <v>77</v>
      </c>
      <c r="H2147" t="s">
        <v>78</v>
      </c>
      <c r="I2147">
        <v>20330.689999999999</v>
      </c>
      <c r="J2147">
        <v>16676.59</v>
      </c>
      <c r="K2147" t="s">
        <v>17</v>
      </c>
      <c r="L2147" t="b">
        <v>0</v>
      </c>
      <c r="N2147" s="2" t="b">
        <f t="shared" si="191"/>
        <v>1</v>
      </c>
      <c r="O2147" t="b">
        <f t="shared" ref="O2147:O2148" si="194">IF(AND(E2136="HR",K2136="EXPENSE"),I2136&lt;J2136,"")</f>
        <v>1</v>
      </c>
      <c r="Q2147" t="str">
        <f t="shared" si="192"/>
        <v/>
      </c>
    </row>
    <row r="2148" spans="1:17" hidden="1">
      <c r="A2148" t="s">
        <v>2253</v>
      </c>
      <c r="B2148" s="1">
        <v>45210</v>
      </c>
      <c r="C2148">
        <v>2023</v>
      </c>
      <c r="D2148">
        <v>10</v>
      </c>
      <c r="E2148" t="s">
        <v>47</v>
      </c>
      <c r="F2148" t="s">
        <v>28</v>
      </c>
      <c r="G2148" t="s">
        <v>77</v>
      </c>
      <c r="H2148" t="s">
        <v>78</v>
      </c>
      <c r="I2148">
        <v>6918.58</v>
      </c>
      <c r="J2148">
        <v>5896.36</v>
      </c>
      <c r="K2148" t="s">
        <v>17</v>
      </c>
      <c r="L2148" t="b">
        <v>0</v>
      </c>
      <c r="N2148" s="2" t="b">
        <f t="shared" si="191"/>
        <v>1</v>
      </c>
      <c r="O2148" t="str">
        <f t="shared" si="194"/>
        <v/>
      </c>
      <c r="Q2148" t="str">
        <f t="shared" si="192"/>
        <v/>
      </c>
    </row>
    <row r="2149" spans="1:17" hidden="1">
      <c r="A2149" t="s">
        <v>2254</v>
      </c>
      <c r="B2149" s="1">
        <v>45210</v>
      </c>
      <c r="C2149">
        <v>2023</v>
      </c>
      <c r="D2149">
        <v>10</v>
      </c>
      <c r="E2149" t="s">
        <v>19</v>
      </c>
      <c r="F2149" t="s">
        <v>24</v>
      </c>
      <c r="G2149" t="s">
        <v>80</v>
      </c>
      <c r="H2149" t="s">
        <v>81</v>
      </c>
      <c r="I2149">
        <v>3570.28</v>
      </c>
      <c r="J2149">
        <v>3364.43</v>
      </c>
      <c r="K2149" t="s">
        <v>17</v>
      </c>
      <c r="L2149" t="b">
        <v>0</v>
      </c>
      <c r="N2149" s="2" t="str">
        <f t="shared" si="191"/>
        <v/>
      </c>
      <c r="Q2149" t="str">
        <f t="shared" si="192"/>
        <v/>
      </c>
    </row>
    <row r="2150" spans="1:17" hidden="1">
      <c r="A2150" t="s">
        <v>2255</v>
      </c>
      <c r="B2150" s="1">
        <v>45210</v>
      </c>
      <c r="C2150">
        <v>2023</v>
      </c>
      <c r="D2150">
        <v>10</v>
      </c>
      <c r="E2150" t="s">
        <v>23</v>
      </c>
      <c r="F2150" t="s">
        <v>14</v>
      </c>
      <c r="G2150" t="s">
        <v>30</v>
      </c>
      <c r="H2150" t="s">
        <v>106</v>
      </c>
      <c r="I2150">
        <v>5359.35</v>
      </c>
      <c r="J2150">
        <v>5218.6499999999996</v>
      </c>
      <c r="K2150" t="s">
        <v>17</v>
      </c>
      <c r="L2150" t="b">
        <v>0</v>
      </c>
      <c r="N2150" s="2" t="str">
        <f t="shared" si="191"/>
        <v/>
      </c>
      <c r="Q2150" t="str">
        <f t="shared" si="192"/>
        <v/>
      </c>
    </row>
    <row r="2151" spans="1:17" hidden="1">
      <c r="A2151" t="s">
        <v>2256</v>
      </c>
      <c r="B2151" s="1">
        <v>45210</v>
      </c>
      <c r="C2151">
        <v>2023</v>
      </c>
      <c r="D2151">
        <v>10</v>
      </c>
      <c r="E2151" t="s">
        <v>37</v>
      </c>
      <c r="F2151" t="s">
        <v>28</v>
      </c>
      <c r="G2151" t="s">
        <v>98</v>
      </c>
      <c r="H2151" t="s">
        <v>185</v>
      </c>
      <c r="I2151">
        <v>5557.57</v>
      </c>
      <c r="J2151">
        <v>5120.78</v>
      </c>
      <c r="K2151" t="s">
        <v>17</v>
      </c>
      <c r="L2151" t="b">
        <v>0</v>
      </c>
      <c r="N2151" s="2" t="str">
        <f t="shared" si="191"/>
        <v/>
      </c>
      <c r="Q2151" t="str">
        <f t="shared" si="192"/>
        <v/>
      </c>
    </row>
    <row r="2152" spans="1:17" hidden="1">
      <c r="A2152" t="s">
        <v>2257</v>
      </c>
      <c r="B2152" s="1">
        <v>45210</v>
      </c>
      <c r="C2152">
        <v>2023</v>
      </c>
      <c r="D2152">
        <v>10</v>
      </c>
      <c r="E2152" t="s">
        <v>37</v>
      </c>
      <c r="F2152" t="s">
        <v>28</v>
      </c>
      <c r="G2152" t="s">
        <v>62</v>
      </c>
      <c r="H2152" t="s">
        <v>66</v>
      </c>
      <c r="I2152">
        <v>5121.34</v>
      </c>
      <c r="J2152">
        <v>4868.18</v>
      </c>
      <c r="K2152" t="s">
        <v>17</v>
      </c>
      <c r="L2152" t="b">
        <v>0</v>
      </c>
      <c r="N2152" s="2" t="str">
        <f t="shared" si="191"/>
        <v/>
      </c>
      <c r="Q2152" t="str">
        <f t="shared" si="192"/>
        <v/>
      </c>
    </row>
    <row r="2153" spans="1:17" hidden="1">
      <c r="A2153" t="s">
        <v>2258</v>
      </c>
      <c r="B2153" s="1">
        <v>45210</v>
      </c>
      <c r="C2153">
        <v>2023</v>
      </c>
      <c r="D2153">
        <v>10</v>
      </c>
      <c r="E2153" t="s">
        <v>37</v>
      </c>
      <c r="F2153" t="s">
        <v>24</v>
      </c>
      <c r="G2153" t="s">
        <v>38</v>
      </c>
      <c r="H2153" t="s">
        <v>227</v>
      </c>
      <c r="I2153">
        <v>5615.46</v>
      </c>
      <c r="J2153">
        <v>6176.28</v>
      </c>
      <c r="K2153" t="s">
        <v>17</v>
      </c>
      <c r="L2153" t="b">
        <v>0</v>
      </c>
      <c r="N2153" s="2" t="str">
        <f t="shared" si="191"/>
        <v/>
      </c>
      <c r="Q2153" t="str">
        <f t="shared" si="192"/>
        <v/>
      </c>
    </row>
    <row r="2154" spans="1:17" hidden="1">
      <c r="A2154" t="s">
        <v>2259</v>
      </c>
      <c r="B2154" s="1">
        <v>45211</v>
      </c>
      <c r="C2154">
        <v>2023</v>
      </c>
      <c r="D2154">
        <v>10</v>
      </c>
      <c r="E2154" t="s">
        <v>13</v>
      </c>
      <c r="F2154" t="s">
        <v>14</v>
      </c>
      <c r="G2154" t="s">
        <v>102</v>
      </c>
      <c r="H2154" t="s">
        <v>103</v>
      </c>
      <c r="I2154">
        <v>3947.8</v>
      </c>
      <c r="J2154">
        <v>4050.45</v>
      </c>
      <c r="K2154" t="s">
        <v>17</v>
      </c>
      <c r="L2154" t="b">
        <v>0</v>
      </c>
      <c r="N2154" s="2" t="str">
        <f t="shared" si="191"/>
        <v/>
      </c>
      <c r="Q2154" t="str">
        <f t="shared" si="192"/>
        <v/>
      </c>
    </row>
    <row r="2155" spans="1:17" hidden="1">
      <c r="A2155" t="s">
        <v>2260</v>
      </c>
      <c r="B2155" s="1">
        <v>45211</v>
      </c>
      <c r="C2155">
        <v>2023</v>
      </c>
      <c r="D2155">
        <v>10</v>
      </c>
      <c r="E2155" t="s">
        <v>13</v>
      </c>
      <c r="F2155" t="s">
        <v>24</v>
      </c>
      <c r="G2155" t="s">
        <v>68</v>
      </c>
      <c r="H2155" t="s">
        <v>69</v>
      </c>
      <c r="I2155">
        <v>3028.95</v>
      </c>
      <c r="J2155">
        <v>2932.98</v>
      </c>
      <c r="K2155" t="s">
        <v>17</v>
      </c>
      <c r="L2155" t="b">
        <v>0</v>
      </c>
      <c r="N2155" s="2" t="str">
        <f t="shared" si="191"/>
        <v/>
      </c>
      <c r="Q2155" t="str">
        <f t="shared" si="192"/>
        <v/>
      </c>
    </row>
    <row r="2156" spans="1:17" hidden="1">
      <c r="A2156" t="s">
        <v>2261</v>
      </c>
      <c r="B2156" s="1">
        <v>45211</v>
      </c>
      <c r="C2156">
        <v>2023</v>
      </c>
      <c r="D2156">
        <v>10</v>
      </c>
      <c r="E2156" t="s">
        <v>47</v>
      </c>
      <c r="F2156" t="s">
        <v>24</v>
      </c>
      <c r="G2156" t="s">
        <v>77</v>
      </c>
      <c r="H2156" t="s">
        <v>78</v>
      </c>
      <c r="I2156">
        <v>12105.45</v>
      </c>
      <c r="J2156">
        <v>10510.71</v>
      </c>
      <c r="K2156" t="s">
        <v>17</v>
      </c>
      <c r="L2156" t="b">
        <v>0</v>
      </c>
      <c r="N2156" s="2" t="b">
        <f t="shared" si="191"/>
        <v>1</v>
      </c>
      <c r="O2156" t="str">
        <f>IF(AND(E2145="HR",K2145="EXPENSE"),I2145&lt;J2145,"")</f>
        <v/>
      </c>
      <c r="Q2156" t="str">
        <f t="shared" si="192"/>
        <v/>
      </c>
    </row>
    <row r="2157" spans="1:17" hidden="1">
      <c r="A2157" t="s">
        <v>2262</v>
      </c>
      <c r="B2157" s="1">
        <v>45211</v>
      </c>
      <c r="C2157">
        <v>2023</v>
      </c>
      <c r="D2157">
        <v>10</v>
      </c>
      <c r="E2157" t="s">
        <v>19</v>
      </c>
      <c r="F2157" t="s">
        <v>28</v>
      </c>
      <c r="G2157" t="s">
        <v>132</v>
      </c>
      <c r="H2157" t="s">
        <v>133</v>
      </c>
      <c r="I2157">
        <v>5658.74</v>
      </c>
      <c r="J2157">
        <v>5488.54</v>
      </c>
      <c r="K2157" t="s">
        <v>17</v>
      </c>
      <c r="L2157" t="b">
        <v>0</v>
      </c>
      <c r="N2157" s="2" t="str">
        <f t="shared" si="191"/>
        <v/>
      </c>
      <c r="Q2157" t="str">
        <f t="shared" si="192"/>
        <v/>
      </c>
    </row>
    <row r="2158" spans="1:17" hidden="1">
      <c r="A2158" t="s">
        <v>2263</v>
      </c>
      <c r="B2158" s="1">
        <v>45211</v>
      </c>
      <c r="C2158">
        <v>2023</v>
      </c>
      <c r="D2158">
        <v>10</v>
      </c>
      <c r="E2158" t="s">
        <v>23</v>
      </c>
      <c r="F2158" t="s">
        <v>28</v>
      </c>
      <c r="G2158" t="s">
        <v>30</v>
      </c>
      <c r="H2158" t="s">
        <v>31</v>
      </c>
      <c r="I2158">
        <v>5236.62</v>
      </c>
      <c r="J2158">
        <v>5235.54</v>
      </c>
      <c r="K2158" t="s">
        <v>17</v>
      </c>
      <c r="L2158" t="b">
        <v>0</v>
      </c>
      <c r="N2158" s="2" t="str">
        <f t="shared" si="191"/>
        <v/>
      </c>
      <c r="Q2158" t="str">
        <f t="shared" si="192"/>
        <v/>
      </c>
    </row>
    <row r="2159" spans="1:17" hidden="1">
      <c r="A2159" t="s">
        <v>2264</v>
      </c>
      <c r="B2159" s="1">
        <v>45211</v>
      </c>
      <c r="C2159">
        <v>2023</v>
      </c>
      <c r="D2159">
        <v>10</v>
      </c>
      <c r="E2159" t="s">
        <v>23</v>
      </c>
      <c r="F2159" t="s">
        <v>28</v>
      </c>
      <c r="G2159" t="s">
        <v>30</v>
      </c>
      <c r="H2159" t="s">
        <v>106</v>
      </c>
      <c r="I2159">
        <v>7023.61</v>
      </c>
      <c r="J2159">
        <v>7673.06</v>
      </c>
      <c r="K2159" t="s">
        <v>17</v>
      </c>
      <c r="L2159" t="b">
        <v>0</v>
      </c>
      <c r="N2159" s="2" t="str">
        <f t="shared" si="191"/>
        <v/>
      </c>
      <c r="Q2159" t="str">
        <f t="shared" si="192"/>
        <v/>
      </c>
    </row>
    <row r="2160" spans="1:17" hidden="1">
      <c r="A2160" t="s">
        <v>2265</v>
      </c>
      <c r="B2160" s="1">
        <v>45211</v>
      </c>
      <c r="C2160">
        <v>2023</v>
      </c>
      <c r="D2160">
        <v>10</v>
      </c>
      <c r="E2160" t="s">
        <v>23</v>
      </c>
      <c r="F2160" t="s">
        <v>24</v>
      </c>
      <c r="G2160" t="s">
        <v>59</v>
      </c>
      <c r="H2160" t="s">
        <v>60</v>
      </c>
      <c r="I2160">
        <v>5453.83</v>
      </c>
      <c r="J2160">
        <v>5049.05</v>
      </c>
      <c r="K2160" t="s">
        <v>17</v>
      </c>
      <c r="L2160" t="b">
        <v>0</v>
      </c>
      <c r="N2160" s="2" t="str">
        <f t="shared" si="191"/>
        <v/>
      </c>
      <c r="Q2160" t="str">
        <f t="shared" si="192"/>
        <v/>
      </c>
    </row>
    <row r="2161" spans="1:17" hidden="1">
      <c r="A2161" t="s">
        <v>2266</v>
      </c>
      <c r="B2161" s="1">
        <v>45211</v>
      </c>
      <c r="C2161">
        <v>2023</v>
      </c>
      <c r="D2161">
        <v>10</v>
      </c>
      <c r="E2161" t="s">
        <v>37</v>
      </c>
      <c r="F2161" t="s">
        <v>14</v>
      </c>
      <c r="G2161" t="s">
        <v>41</v>
      </c>
      <c r="H2161" t="s">
        <v>42</v>
      </c>
      <c r="I2161">
        <v>5713.38</v>
      </c>
      <c r="J2161">
        <v>5860.48</v>
      </c>
      <c r="K2161" t="s">
        <v>17</v>
      </c>
      <c r="L2161" t="b">
        <v>0</v>
      </c>
      <c r="N2161" s="2" t="str">
        <f t="shared" si="191"/>
        <v/>
      </c>
      <c r="Q2161" t="str">
        <f t="shared" si="192"/>
        <v/>
      </c>
    </row>
    <row r="2162" spans="1:17" hidden="1">
      <c r="A2162" t="s">
        <v>2267</v>
      </c>
      <c r="B2162" s="1">
        <v>45212</v>
      </c>
      <c r="C2162">
        <v>2023</v>
      </c>
      <c r="D2162">
        <v>10</v>
      </c>
      <c r="E2162" t="s">
        <v>13</v>
      </c>
      <c r="F2162" t="s">
        <v>14</v>
      </c>
      <c r="G2162" t="s">
        <v>68</v>
      </c>
      <c r="H2162" t="s">
        <v>213</v>
      </c>
      <c r="I2162">
        <v>3698.95</v>
      </c>
      <c r="J2162">
        <v>3381.35</v>
      </c>
      <c r="K2162" t="s">
        <v>17</v>
      </c>
      <c r="L2162" t="b">
        <v>0</v>
      </c>
      <c r="N2162" s="2" t="str">
        <f t="shared" si="191"/>
        <v/>
      </c>
      <c r="Q2162" t="str">
        <f t="shared" si="192"/>
        <v/>
      </c>
    </row>
    <row r="2163" spans="1:17" hidden="1">
      <c r="A2163" t="s">
        <v>2268</v>
      </c>
      <c r="B2163" s="1">
        <v>45212</v>
      </c>
      <c r="C2163">
        <v>2023</v>
      </c>
      <c r="D2163">
        <v>10</v>
      </c>
      <c r="E2163" t="s">
        <v>19</v>
      </c>
      <c r="F2163" t="s">
        <v>24</v>
      </c>
      <c r="G2163" t="s">
        <v>132</v>
      </c>
      <c r="H2163" t="s">
        <v>133</v>
      </c>
      <c r="I2163">
        <v>2716.89</v>
      </c>
      <c r="J2163">
        <v>2979.93</v>
      </c>
      <c r="K2163" t="s">
        <v>17</v>
      </c>
      <c r="L2163" t="b">
        <v>0</v>
      </c>
      <c r="N2163" s="2" t="str">
        <f t="shared" si="191"/>
        <v/>
      </c>
      <c r="Q2163" t="str">
        <f t="shared" si="192"/>
        <v/>
      </c>
    </row>
    <row r="2164" spans="1:17" hidden="1">
      <c r="A2164" t="s">
        <v>2269</v>
      </c>
      <c r="B2164" s="1">
        <v>45212</v>
      </c>
      <c r="C2164">
        <v>2023</v>
      </c>
      <c r="D2164">
        <v>10</v>
      </c>
      <c r="E2164" t="s">
        <v>23</v>
      </c>
      <c r="F2164" t="s">
        <v>14</v>
      </c>
      <c r="G2164" t="s">
        <v>30</v>
      </c>
      <c r="H2164" t="s">
        <v>31</v>
      </c>
      <c r="I2164">
        <v>7082.73</v>
      </c>
      <c r="J2164">
        <v>6941.58</v>
      </c>
      <c r="K2164" t="s">
        <v>17</v>
      </c>
      <c r="L2164" t="b">
        <v>0</v>
      </c>
      <c r="N2164" s="2" t="str">
        <f t="shared" si="191"/>
        <v/>
      </c>
      <c r="Q2164" t="str">
        <f t="shared" si="192"/>
        <v/>
      </c>
    </row>
    <row r="2165" spans="1:17" hidden="1">
      <c r="A2165" t="s">
        <v>2270</v>
      </c>
      <c r="B2165" s="1">
        <v>45212</v>
      </c>
      <c r="C2165">
        <v>2023</v>
      </c>
      <c r="D2165">
        <v>10</v>
      </c>
      <c r="E2165" t="s">
        <v>23</v>
      </c>
      <c r="F2165" t="s">
        <v>14</v>
      </c>
      <c r="G2165" t="s">
        <v>141</v>
      </c>
      <c r="H2165" t="s">
        <v>153</v>
      </c>
      <c r="I2165">
        <v>5336.61</v>
      </c>
      <c r="J2165">
        <v>5760.9</v>
      </c>
      <c r="K2165" t="s">
        <v>17</v>
      </c>
      <c r="L2165" t="b">
        <v>0</v>
      </c>
      <c r="N2165" s="2" t="str">
        <f t="shared" si="191"/>
        <v/>
      </c>
      <c r="Q2165" t="str">
        <f t="shared" si="192"/>
        <v/>
      </c>
    </row>
    <row r="2166" spans="1:17" hidden="1">
      <c r="A2166" t="s">
        <v>2271</v>
      </c>
      <c r="B2166" s="1">
        <v>45212</v>
      </c>
      <c r="C2166">
        <v>2023</v>
      </c>
      <c r="D2166">
        <v>10</v>
      </c>
      <c r="E2166" t="s">
        <v>37</v>
      </c>
      <c r="F2166" t="s">
        <v>14</v>
      </c>
      <c r="G2166" t="s">
        <v>62</v>
      </c>
      <c r="H2166" t="s">
        <v>121</v>
      </c>
      <c r="I2166">
        <v>3404.99</v>
      </c>
      <c r="J2166">
        <v>3160.77</v>
      </c>
      <c r="K2166" t="s">
        <v>17</v>
      </c>
      <c r="L2166" t="b">
        <v>0</v>
      </c>
      <c r="N2166" s="2" t="str">
        <f t="shared" si="191"/>
        <v/>
      </c>
      <c r="Q2166" t="str">
        <f t="shared" si="192"/>
        <v/>
      </c>
    </row>
    <row r="2167" spans="1:17" hidden="1">
      <c r="A2167" t="s">
        <v>2272</v>
      </c>
      <c r="B2167" s="1">
        <v>45212</v>
      </c>
      <c r="C2167">
        <v>2023</v>
      </c>
      <c r="D2167">
        <v>10</v>
      </c>
      <c r="E2167" t="s">
        <v>37</v>
      </c>
      <c r="F2167" t="s">
        <v>28</v>
      </c>
      <c r="G2167" t="s">
        <v>62</v>
      </c>
      <c r="H2167" t="s">
        <v>360</v>
      </c>
      <c r="I2167">
        <v>2553.41</v>
      </c>
      <c r="J2167">
        <v>2687.28</v>
      </c>
      <c r="K2167" t="s">
        <v>17</v>
      </c>
      <c r="L2167" t="b">
        <v>0</v>
      </c>
      <c r="N2167" s="2" t="str">
        <f t="shared" si="191"/>
        <v/>
      </c>
      <c r="Q2167" t="str">
        <f t="shared" si="192"/>
        <v/>
      </c>
    </row>
    <row r="2168" spans="1:17" hidden="1">
      <c r="A2168" t="s">
        <v>2273</v>
      </c>
      <c r="B2168" s="1">
        <v>45212</v>
      </c>
      <c r="C2168">
        <v>2023</v>
      </c>
      <c r="D2168">
        <v>10</v>
      </c>
      <c r="E2168" t="s">
        <v>37</v>
      </c>
      <c r="F2168" t="s">
        <v>14</v>
      </c>
      <c r="G2168" t="s">
        <v>83</v>
      </c>
      <c r="H2168" t="s">
        <v>84</v>
      </c>
      <c r="I2168">
        <v>393603.73</v>
      </c>
      <c r="J2168">
        <v>373923.55</v>
      </c>
      <c r="K2168" t="s">
        <v>85</v>
      </c>
      <c r="L2168" t="b">
        <v>0</v>
      </c>
      <c r="N2168" s="2" t="str">
        <f t="shared" si="191"/>
        <v/>
      </c>
      <c r="Q2168" t="str">
        <f t="shared" si="192"/>
        <v/>
      </c>
    </row>
    <row r="2169" spans="1:17" hidden="1">
      <c r="A2169" t="s">
        <v>2274</v>
      </c>
      <c r="B2169" s="1">
        <v>45213</v>
      </c>
      <c r="C2169">
        <v>2023</v>
      </c>
      <c r="D2169">
        <v>10</v>
      </c>
      <c r="E2169" t="s">
        <v>47</v>
      </c>
      <c r="F2169" t="s">
        <v>14</v>
      </c>
      <c r="G2169" t="s">
        <v>51</v>
      </c>
      <c r="H2169" t="s">
        <v>189</v>
      </c>
      <c r="I2169">
        <v>14891.64</v>
      </c>
      <c r="J2169">
        <v>12707.28</v>
      </c>
      <c r="K2169" t="s">
        <v>17</v>
      </c>
      <c r="L2169" t="b">
        <v>0</v>
      </c>
      <c r="N2169" s="2" t="b">
        <f t="shared" si="191"/>
        <v>1</v>
      </c>
      <c r="O2169" t="str">
        <f t="shared" ref="O2169:O2171" si="195">IF(AND(E2158="HR",K2158="EXPENSE"),I2158&lt;J2158,"")</f>
        <v/>
      </c>
      <c r="Q2169" t="str">
        <f t="shared" si="192"/>
        <v/>
      </c>
    </row>
    <row r="2170" spans="1:17" hidden="1">
      <c r="A2170" t="s">
        <v>2275</v>
      </c>
      <c r="B2170" s="1">
        <v>45213</v>
      </c>
      <c r="C2170">
        <v>2023</v>
      </c>
      <c r="D2170">
        <v>10</v>
      </c>
      <c r="E2170" t="s">
        <v>47</v>
      </c>
      <c r="F2170" t="s">
        <v>28</v>
      </c>
      <c r="G2170" t="s">
        <v>77</v>
      </c>
      <c r="H2170" t="s">
        <v>147</v>
      </c>
      <c r="I2170">
        <v>13958.39</v>
      </c>
      <c r="J2170">
        <v>11497.31</v>
      </c>
      <c r="K2170" t="s">
        <v>17</v>
      </c>
      <c r="L2170" t="b">
        <v>0</v>
      </c>
      <c r="N2170" s="2" t="b">
        <f t="shared" si="191"/>
        <v>1</v>
      </c>
      <c r="O2170" t="str">
        <f t="shared" si="195"/>
        <v/>
      </c>
      <c r="Q2170" t="str">
        <f t="shared" si="192"/>
        <v/>
      </c>
    </row>
    <row r="2171" spans="1:17" hidden="1">
      <c r="A2171" t="s">
        <v>2276</v>
      </c>
      <c r="B2171" s="1">
        <v>45213</v>
      </c>
      <c r="C2171">
        <v>2023</v>
      </c>
      <c r="D2171">
        <v>10</v>
      </c>
      <c r="E2171" t="s">
        <v>47</v>
      </c>
      <c r="F2171" t="s">
        <v>28</v>
      </c>
      <c r="G2171" t="s">
        <v>51</v>
      </c>
      <c r="H2171" t="s">
        <v>52</v>
      </c>
      <c r="I2171">
        <v>18288.740000000002</v>
      </c>
      <c r="J2171">
        <v>15140.02</v>
      </c>
      <c r="K2171" t="s">
        <v>17</v>
      </c>
      <c r="L2171" t="b">
        <v>0</v>
      </c>
      <c r="N2171" s="2" t="b">
        <f t="shared" si="191"/>
        <v>1</v>
      </c>
      <c r="O2171" t="str">
        <f t="shared" si="195"/>
        <v/>
      </c>
      <c r="Q2171" t="str">
        <f t="shared" si="192"/>
        <v/>
      </c>
    </row>
    <row r="2172" spans="1:17" hidden="1">
      <c r="A2172" t="s">
        <v>2277</v>
      </c>
      <c r="B2172" s="1">
        <v>45213</v>
      </c>
      <c r="C2172">
        <v>2023</v>
      </c>
      <c r="D2172">
        <v>10</v>
      </c>
      <c r="E2172" t="s">
        <v>19</v>
      </c>
      <c r="F2172" t="s">
        <v>14</v>
      </c>
      <c r="G2172" t="s">
        <v>80</v>
      </c>
      <c r="H2172" t="s">
        <v>113</v>
      </c>
      <c r="I2172">
        <v>2472.14</v>
      </c>
      <c r="J2172">
        <v>2556.5700000000002</v>
      </c>
      <c r="K2172" t="s">
        <v>17</v>
      </c>
      <c r="L2172" t="b">
        <v>0</v>
      </c>
      <c r="N2172" s="2" t="str">
        <f t="shared" si="191"/>
        <v/>
      </c>
      <c r="Q2172" t="str">
        <f t="shared" si="192"/>
        <v/>
      </c>
    </row>
    <row r="2173" spans="1:17" hidden="1">
      <c r="A2173" t="s">
        <v>2278</v>
      </c>
      <c r="B2173" s="1">
        <v>45213</v>
      </c>
      <c r="C2173">
        <v>2023</v>
      </c>
      <c r="D2173">
        <v>10</v>
      </c>
      <c r="E2173" t="s">
        <v>19</v>
      </c>
      <c r="F2173" t="s">
        <v>24</v>
      </c>
      <c r="G2173" t="s">
        <v>20</v>
      </c>
      <c r="H2173" t="s">
        <v>136</v>
      </c>
      <c r="I2173">
        <v>5887.14</v>
      </c>
      <c r="J2173">
        <v>6375.58</v>
      </c>
      <c r="K2173" t="s">
        <v>17</v>
      </c>
      <c r="L2173" t="b">
        <v>0</v>
      </c>
      <c r="N2173" s="2" t="str">
        <f t="shared" si="191"/>
        <v/>
      </c>
      <c r="Q2173" t="str">
        <f t="shared" si="192"/>
        <v/>
      </c>
    </row>
    <row r="2174" spans="1:17" hidden="1">
      <c r="A2174" t="s">
        <v>2279</v>
      </c>
      <c r="B2174" s="1">
        <v>45213</v>
      </c>
      <c r="C2174">
        <v>2023</v>
      </c>
      <c r="D2174">
        <v>10</v>
      </c>
      <c r="E2174" t="s">
        <v>23</v>
      </c>
      <c r="F2174" t="s">
        <v>14</v>
      </c>
      <c r="G2174" t="s">
        <v>25</v>
      </c>
      <c r="H2174" t="s">
        <v>95</v>
      </c>
      <c r="I2174">
        <v>6263.16</v>
      </c>
      <c r="J2174">
        <v>6023.8</v>
      </c>
      <c r="K2174" t="s">
        <v>17</v>
      </c>
      <c r="L2174" t="b">
        <v>0</v>
      </c>
      <c r="N2174" s="2" t="str">
        <f t="shared" si="191"/>
        <v/>
      </c>
      <c r="Q2174" t="str">
        <f t="shared" si="192"/>
        <v/>
      </c>
    </row>
    <row r="2175" spans="1:17" hidden="1">
      <c r="A2175" t="s">
        <v>2280</v>
      </c>
      <c r="B2175" s="1">
        <v>45213</v>
      </c>
      <c r="C2175">
        <v>2023</v>
      </c>
      <c r="D2175">
        <v>10</v>
      </c>
      <c r="E2175" t="s">
        <v>23</v>
      </c>
      <c r="F2175" t="s">
        <v>14</v>
      </c>
      <c r="G2175" t="s">
        <v>30</v>
      </c>
      <c r="H2175" t="s">
        <v>106</v>
      </c>
      <c r="I2175">
        <v>9696.64</v>
      </c>
      <c r="J2175">
        <v>9978.1299999999992</v>
      </c>
      <c r="K2175" t="s">
        <v>17</v>
      </c>
      <c r="L2175" t="b">
        <v>0</v>
      </c>
      <c r="N2175" s="2" t="str">
        <f t="shared" si="191"/>
        <v/>
      </c>
      <c r="Q2175" t="str">
        <f t="shared" si="192"/>
        <v/>
      </c>
    </row>
    <row r="2176" spans="1:17" hidden="1">
      <c r="A2176" t="s">
        <v>2281</v>
      </c>
      <c r="B2176" s="1">
        <v>45213</v>
      </c>
      <c r="C2176">
        <v>2023</v>
      </c>
      <c r="D2176">
        <v>10</v>
      </c>
      <c r="E2176" t="s">
        <v>23</v>
      </c>
      <c r="F2176" t="s">
        <v>28</v>
      </c>
      <c r="G2176" t="s">
        <v>141</v>
      </c>
      <c r="H2176" t="s">
        <v>209</v>
      </c>
      <c r="I2176">
        <v>5965.02</v>
      </c>
      <c r="J2176">
        <v>5968.86</v>
      </c>
      <c r="K2176" t="s">
        <v>17</v>
      </c>
      <c r="L2176" t="b">
        <v>0</v>
      </c>
      <c r="N2176" s="2" t="str">
        <f t="shared" si="191"/>
        <v/>
      </c>
      <c r="Q2176" t="str">
        <f t="shared" si="192"/>
        <v/>
      </c>
    </row>
    <row r="2177" spans="1:17" hidden="1">
      <c r="A2177" t="s">
        <v>2282</v>
      </c>
      <c r="B2177" s="1">
        <v>45214</v>
      </c>
      <c r="C2177">
        <v>2023</v>
      </c>
      <c r="D2177">
        <v>10</v>
      </c>
      <c r="E2177" t="s">
        <v>13</v>
      </c>
      <c r="F2177" t="s">
        <v>14</v>
      </c>
      <c r="G2177" t="s">
        <v>108</v>
      </c>
      <c r="H2177" t="s">
        <v>109</v>
      </c>
      <c r="I2177">
        <v>3497.53</v>
      </c>
      <c r="J2177">
        <v>3187.39</v>
      </c>
      <c r="K2177" t="s">
        <v>17</v>
      </c>
      <c r="L2177" t="b">
        <v>0</v>
      </c>
      <c r="N2177" s="2" t="str">
        <f t="shared" si="191"/>
        <v/>
      </c>
      <c r="Q2177" t="str">
        <f t="shared" si="192"/>
        <v/>
      </c>
    </row>
    <row r="2178" spans="1:17" hidden="1">
      <c r="A2178" t="s">
        <v>2283</v>
      </c>
      <c r="B2178" s="1">
        <v>45214</v>
      </c>
      <c r="C2178">
        <v>2023</v>
      </c>
      <c r="D2178">
        <v>10</v>
      </c>
      <c r="E2178" t="s">
        <v>13</v>
      </c>
      <c r="F2178" t="s">
        <v>14</v>
      </c>
      <c r="G2178" t="s">
        <v>68</v>
      </c>
      <c r="H2178" t="s">
        <v>213</v>
      </c>
      <c r="I2178">
        <v>4203.6499999999996</v>
      </c>
      <c r="J2178">
        <v>4146.54</v>
      </c>
      <c r="K2178" t="s">
        <v>17</v>
      </c>
      <c r="L2178" t="b">
        <v>0</v>
      </c>
      <c r="N2178" s="2" t="str">
        <f t="shared" si="191"/>
        <v/>
      </c>
      <c r="Q2178" t="str">
        <f t="shared" si="192"/>
        <v/>
      </c>
    </row>
    <row r="2179" spans="1:17" hidden="1">
      <c r="A2179" t="s">
        <v>2284</v>
      </c>
      <c r="B2179" s="1">
        <v>45214</v>
      </c>
      <c r="C2179">
        <v>2023</v>
      </c>
      <c r="D2179">
        <v>10</v>
      </c>
      <c r="E2179" t="s">
        <v>47</v>
      </c>
      <c r="F2179" t="s">
        <v>28</v>
      </c>
      <c r="G2179" t="s">
        <v>91</v>
      </c>
      <c r="H2179" t="s">
        <v>92</v>
      </c>
      <c r="I2179">
        <v>9488.44</v>
      </c>
      <c r="J2179">
        <v>8026.87</v>
      </c>
      <c r="K2179" t="s">
        <v>17</v>
      </c>
      <c r="L2179" t="b">
        <v>0</v>
      </c>
      <c r="N2179" s="2" t="b">
        <f t="shared" ref="N2179:N2242" si="196">IF(AND(E2179="IT",K2179="EXPENSE"),I2179&gt;J2179,"")</f>
        <v>1</v>
      </c>
      <c r="O2179" t="str">
        <f>IF(AND(E2168="HR",K2168="EXPENSE"),I2168&lt;J2168,"")</f>
        <v/>
      </c>
      <c r="Q2179" t="str">
        <f t="shared" ref="Q2179:Q2242" si="197">IF(L2179=TRUE,OR(H2179="Apex Solutions Inc",H2179="Global Trade Partners",H2179="NovaTech Services"),"")</f>
        <v/>
      </c>
    </row>
    <row r="2180" spans="1:17" hidden="1">
      <c r="A2180" t="s">
        <v>2285</v>
      </c>
      <c r="B2180" s="1">
        <v>45214</v>
      </c>
      <c r="C2180">
        <v>2023</v>
      </c>
      <c r="D2180">
        <v>10</v>
      </c>
      <c r="E2180" t="s">
        <v>19</v>
      </c>
      <c r="F2180" t="s">
        <v>14</v>
      </c>
      <c r="G2180" t="s">
        <v>132</v>
      </c>
      <c r="H2180" t="s">
        <v>138</v>
      </c>
      <c r="I2180">
        <v>6909.67</v>
      </c>
      <c r="J2180">
        <v>6654.94</v>
      </c>
      <c r="K2180" t="s">
        <v>17</v>
      </c>
      <c r="L2180" t="b">
        <v>0</v>
      </c>
      <c r="N2180" s="2" t="str">
        <f t="shared" si="196"/>
        <v/>
      </c>
      <c r="Q2180" t="str">
        <f t="shared" si="197"/>
        <v/>
      </c>
    </row>
    <row r="2181" spans="1:17" hidden="1">
      <c r="A2181" t="s">
        <v>2286</v>
      </c>
      <c r="B2181" s="1">
        <v>45214</v>
      </c>
      <c r="C2181">
        <v>2023</v>
      </c>
      <c r="D2181">
        <v>10</v>
      </c>
      <c r="E2181" t="s">
        <v>19</v>
      </c>
      <c r="F2181" t="s">
        <v>24</v>
      </c>
      <c r="G2181" t="s">
        <v>54</v>
      </c>
      <c r="H2181" t="s">
        <v>55</v>
      </c>
      <c r="I2181">
        <v>4164.38</v>
      </c>
      <c r="J2181">
        <v>4341.13</v>
      </c>
      <c r="K2181" t="s">
        <v>17</v>
      </c>
      <c r="L2181" t="b">
        <v>0</v>
      </c>
      <c r="N2181" s="2" t="str">
        <f t="shared" si="196"/>
        <v/>
      </c>
      <c r="Q2181" t="str">
        <f t="shared" si="197"/>
        <v/>
      </c>
    </row>
    <row r="2182" spans="1:17" hidden="1">
      <c r="A2182" t="s">
        <v>2287</v>
      </c>
      <c r="B2182" s="1">
        <v>45214</v>
      </c>
      <c r="C2182">
        <v>2023</v>
      </c>
      <c r="D2182">
        <v>10</v>
      </c>
      <c r="E2182" t="s">
        <v>23</v>
      </c>
      <c r="F2182" t="s">
        <v>24</v>
      </c>
      <c r="G2182" t="s">
        <v>25</v>
      </c>
      <c r="H2182" t="s">
        <v>26</v>
      </c>
      <c r="I2182">
        <v>6219.9</v>
      </c>
      <c r="J2182">
        <v>6659.37</v>
      </c>
      <c r="K2182" t="s">
        <v>17</v>
      </c>
      <c r="L2182" t="b">
        <v>0</v>
      </c>
      <c r="N2182" s="2" t="str">
        <f t="shared" si="196"/>
        <v/>
      </c>
      <c r="Q2182" t="str">
        <f t="shared" si="197"/>
        <v/>
      </c>
    </row>
    <row r="2183" spans="1:17" hidden="1">
      <c r="A2183" t="s">
        <v>2288</v>
      </c>
      <c r="B2183" s="1">
        <v>45214</v>
      </c>
      <c r="C2183">
        <v>2023</v>
      </c>
      <c r="D2183">
        <v>10</v>
      </c>
      <c r="E2183" t="s">
        <v>37</v>
      </c>
      <c r="F2183" t="s">
        <v>28</v>
      </c>
      <c r="G2183" t="s">
        <v>98</v>
      </c>
      <c r="H2183" t="s">
        <v>185</v>
      </c>
      <c r="I2183">
        <v>5274.41</v>
      </c>
      <c r="J2183">
        <v>5458.27</v>
      </c>
      <c r="K2183" t="s">
        <v>17</v>
      </c>
      <c r="L2183" t="b">
        <v>0</v>
      </c>
      <c r="N2183" s="2" t="str">
        <f t="shared" si="196"/>
        <v/>
      </c>
      <c r="Q2183" t="str">
        <f t="shared" si="197"/>
        <v/>
      </c>
    </row>
    <row r="2184" spans="1:17" hidden="1">
      <c r="A2184" t="s">
        <v>2289</v>
      </c>
      <c r="B2184" s="1">
        <v>45214</v>
      </c>
      <c r="C2184">
        <v>2023</v>
      </c>
      <c r="D2184">
        <v>10</v>
      </c>
      <c r="E2184" t="s">
        <v>37</v>
      </c>
      <c r="F2184" t="s">
        <v>24</v>
      </c>
      <c r="G2184" t="s">
        <v>38</v>
      </c>
      <c r="H2184" t="s">
        <v>227</v>
      </c>
      <c r="I2184">
        <v>6389.2</v>
      </c>
      <c r="J2184">
        <v>5923.74</v>
      </c>
      <c r="K2184" t="s">
        <v>17</v>
      </c>
      <c r="L2184" t="b">
        <v>0</v>
      </c>
      <c r="N2184" s="2" t="str">
        <f t="shared" si="196"/>
        <v/>
      </c>
      <c r="Q2184" t="str">
        <f t="shared" si="197"/>
        <v/>
      </c>
    </row>
    <row r="2185" spans="1:17" hidden="1">
      <c r="A2185" t="s">
        <v>2290</v>
      </c>
      <c r="B2185" s="1">
        <v>45215</v>
      </c>
      <c r="C2185">
        <v>2023</v>
      </c>
      <c r="D2185">
        <v>10</v>
      </c>
      <c r="E2185" t="s">
        <v>13</v>
      </c>
      <c r="F2185" t="s">
        <v>24</v>
      </c>
      <c r="G2185" t="s">
        <v>102</v>
      </c>
      <c r="H2185" t="s">
        <v>145</v>
      </c>
      <c r="I2185">
        <v>2574.92</v>
      </c>
      <c r="J2185">
        <v>2718.08</v>
      </c>
      <c r="K2185" t="s">
        <v>17</v>
      </c>
      <c r="L2185" t="b">
        <v>0</v>
      </c>
      <c r="N2185" s="2" t="str">
        <f t="shared" si="196"/>
        <v/>
      </c>
      <c r="Q2185" t="str">
        <f t="shared" si="197"/>
        <v/>
      </c>
    </row>
    <row r="2186" spans="1:17" hidden="1">
      <c r="A2186" t="s">
        <v>2291</v>
      </c>
      <c r="B2186" s="1">
        <v>45215</v>
      </c>
      <c r="C2186">
        <v>2023</v>
      </c>
      <c r="D2186">
        <v>10</v>
      </c>
      <c r="E2186" t="s">
        <v>47</v>
      </c>
      <c r="F2186" t="s">
        <v>14</v>
      </c>
      <c r="G2186" t="s">
        <v>77</v>
      </c>
      <c r="H2186" t="s">
        <v>130</v>
      </c>
      <c r="I2186">
        <v>15385.03</v>
      </c>
      <c r="J2186">
        <v>12978.61</v>
      </c>
      <c r="K2186" t="s">
        <v>17</v>
      </c>
      <c r="L2186" t="b">
        <v>0</v>
      </c>
      <c r="N2186" s="2" t="b">
        <f t="shared" si="196"/>
        <v>1</v>
      </c>
      <c r="O2186" t="str">
        <f>IF(AND(E2175="HR",K2175="EXPENSE"),I2175&lt;J2175,"")</f>
        <v/>
      </c>
      <c r="Q2186" t="str">
        <f t="shared" si="197"/>
        <v/>
      </c>
    </row>
    <row r="2187" spans="1:17" hidden="1">
      <c r="A2187" t="s">
        <v>2292</v>
      </c>
      <c r="B2187" s="1">
        <v>45215</v>
      </c>
      <c r="C2187">
        <v>2023</v>
      </c>
      <c r="D2187">
        <v>10</v>
      </c>
      <c r="E2187" t="s">
        <v>19</v>
      </c>
      <c r="F2187" t="s">
        <v>24</v>
      </c>
      <c r="G2187" t="s">
        <v>80</v>
      </c>
      <c r="H2187" t="s">
        <v>113</v>
      </c>
      <c r="I2187">
        <v>6700.56</v>
      </c>
      <c r="J2187">
        <v>7032.27</v>
      </c>
      <c r="K2187" t="s">
        <v>17</v>
      </c>
      <c r="L2187" t="b">
        <v>0</v>
      </c>
      <c r="N2187" s="2" t="str">
        <f t="shared" si="196"/>
        <v/>
      </c>
      <c r="Q2187" t="str">
        <f t="shared" si="197"/>
        <v/>
      </c>
    </row>
    <row r="2188" spans="1:17" hidden="1">
      <c r="A2188" t="s">
        <v>2293</v>
      </c>
      <c r="B2188" s="1">
        <v>45215</v>
      </c>
      <c r="C2188">
        <v>2023</v>
      </c>
      <c r="D2188">
        <v>10</v>
      </c>
      <c r="E2188" t="s">
        <v>23</v>
      </c>
      <c r="F2188" t="s">
        <v>28</v>
      </c>
      <c r="G2188" t="s">
        <v>25</v>
      </c>
      <c r="H2188" t="s">
        <v>35</v>
      </c>
      <c r="I2188">
        <v>4974.66</v>
      </c>
      <c r="J2188">
        <v>5238.46</v>
      </c>
      <c r="K2188" t="s">
        <v>17</v>
      </c>
      <c r="L2188" t="b">
        <v>0</v>
      </c>
      <c r="N2188" s="2" t="str">
        <f t="shared" si="196"/>
        <v/>
      </c>
      <c r="Q2188" t="str">
        <f t="shared" si="197"/>
        <v/>
      </c>
    </row>
    <row r="2189" spans="1:17" hidden="1">
      <c r="A2189" t="s">
        <v>2294</v>
      </c>
      <c r="B2189" s="1">
        <v>45215</v>
      </c>
      <c r="C2189">
        <v>2023</v>
      </c>
      <c r="D2189">
        <v>10</v>
      </c>
      <c r="E2189" t="s">
        <v>23</v>
      </c>
      <c r="F2189" t="s">
        <v>28</v>
      </c>
      <c r="G2189" t="s">
        <v>25</v>
      </c>
      <c r="H2189" t="s">
        <v>35</v>
      </c>
      <c r="I2189">
        <v>4546.25</v>
      </c>
      <c r="J2189">
        <v>4661.57</v>
      </c>
      <c r="K2189" t="s">
        <v>17</v>
      </c>
      <c r="L2189" t="b">
        <v>0</v>
      </c>
      <c r="N2189" s="2" t="str">
        <f t="shared" si="196"/>
        <v/>
      </c>
      <c r="Q2189" t="str">
        <f t="shared" si="197"/>
        <v/>
      </c>
    </row>
    <row r="2190" spans="1:17" hidden="1">
      <c r="A2190" t="s">
        <v>2295</v>
      </c>
      <c r="B2190" s="1">
        <v>45215</v>
      </c>
      <c r="C2190">
        <v>2023</v>
      </c>
      <c r="D2190">
        <v>10</v>
      </c>
      <c r="E2190" t="s">
        <v>23</v>
      </c>
      <c r="F2190" t="s">
        <v>28</v>
      </c>
      <c r="G2190" t="s">
        <v>25</v>
      </c>
      <c r="H2190" t="s">
        <v>95</v>
      </c>
      <c r="I2190">
        <v>7939.48</v>
      </c>
      <c r="J2190">
        <v>7355.88</v>
      </c>
      <c r="K2190" t="s">
        <v>17</v>
      </c>
      <c r="L2190" t="b">
        <v>0</v>
      </c>
      <c r="N2190" s="2" t="str">
        <f t="shared" si="196"/>
        <v/>
      </c>
      <c r="Q2190" t="str">
        <f t="shared" si="197"/>
        <v/>
      </c>
    </row>
    <row r="2191" spans="1:17" hidden="1">
      <c r="A2191" t="s">
        <v>2296</v>
      </c>
      <c r="B2191" s="1">
        <v>45215</v>
      </c>
      <c r="C2191">
        <v>2023</v>
      </c>
      <c r="D2191">
        <v>10</v>
      </c>
      <c r="E2191" t="s">
        <v>23</v>
      </c>
      <c r="F2191" t="s">
        <v>24</v>
      </c>
      <c r="G2191" t="s">
        <v>25</v>
      </c>
      <c r="H2191" t="s">
        <v>26</v>
      </c>
      <c r="I2191">
        <v>6654.59</v>
      </c>
      <c r="J2191">
        <v>7142.5</v>
      </c>
      <c r="K2191" t="s">
        <v>17</v>
      </c>
      <c r="L2191" t="b">
        <v>0</v>
      </c>
      <c r="N2191" s="2" t="str">
        <f t="shared" si="196"/>
        <v/>
      </c>
      <c r="Q2191" t="str">
        <f t="shared" si="197"/>
        <v/>
      </c>
    </row>
    <row r="2192" spans="1:17" hidden="1">
      <c r="A2192" t="s">
        <v>2297</v>
      </c>
      <c r="B2192" s="1">
        <v>45215</v>
      </c>
      <c r="C2192">
        <v>2023</v>
      </c>
      <c r="D2192">
        <v>10</v>
      </c>
      <c r="E2192" t="s">
        <v>37</v>
      </c>
      <c r="F2192" t="s">
        <v>14</v>
      </c>
      <c r="G2192" t="s">
        <v>62</v>
      </c>
      <c r="H2192" t="s">
        <v>63</v>
      </c>
      <c r="I2192">
        <v>4175.66</v>
      </c>
      <c r="J2192">
        <v>4506.22</v>
      </c>
      <c r="K2192" t="s">
        <v>17</v>
      </c>
      <c r="L2192" t="b">
        <v>0</v>
      </c>
      <c r="N2192" s="2" t="str">
        <f t="shared" si="196"/>
        <v/>
      </c>
      <c r="Q2192" t="str">
        <f t="shared" si="197"/>
        <v/>
      </c>
    </row>
    <row r="2193" spans="1:17" hidden="1">
      <c r="A2193" t="s">
        <v>2298</v>
      </c>
      <c r="B2193" s="1">
        <v>45216</v>
      </c>
      <c r="C2193">
        <v>2023</v>
      </c>
      <c r="D2193">
        <v>10</v>
      </c>
      <c r="E2193" t="s">
        <v>13</v>
      </c>
      <c r="F2193" t="s">
        <v>24</v>
      </c>
      <c r="G2193" t="s">
        <v>108</v>
      </c>
      <c r="H2193" t="s">
        <v>109</v>
      </c>
      <c r="I2193">
        <v>2752.5</v>
      </c>
      <c r="J2193">
        <v>2632.09</v>
      </c>
      <c r="K2193" t="s">
        <v>17</v>
      </c>
      <c r="L2193" t="b">
        <v>0</v>
      </c>
      <c r="N2193" s="2" t="str">
        <f t="shared" si="196"/>
        <v/>
      </c>
      <c r="Q2193" t="str">
        <f t="shared" si="197"/>
        <v/>
      </c>
    </row>
    <row r="2194" spans="1:17" hidden="1">
      <c r="A2194" t="s">
        <v>2299</v>
      </c>
      <c r="B2194" s="1">
        <v>45216</v>
      </c>
      <c r="C2194">
        <v>2023</v>
      </c>
      <c r="D2194">
        <v>10</v>
      </c>
      <c r="E2194" t="s">
        <v>47</v>
      </c>
      <c r="F2194" t="s">
        <v>14</v>
      </c>
      <c r="G2194" t="s">
        <v>77</v>
      </c>
      <c r="H2194" t="s">
        <v>147</v>
      </c>
      <c r="I2194">
        <v>13315.39</v>
      </c>
      <c r="J2194">
        <v>11427.35</v>
      </c>
      <c r="K2194" t="s">
        <v>17</v>
      </c>
      <c r="L2194" t="b">
        <v>0</v>
      </c>
      <c r="N2194" s="2" t="b">
        <f t="shared" si="196"/>
        <v>1</v>
      </c>
      <c r="O2194" t="str">
        <f t="shared" ref="O2194:O2195" si="198">IF(AND(E2183="HR",K2183="EXPENSE"),I2183&lt;J2183,"")</f>
        <v/>
      </c>
      <c r="Q2194" t="str">
        <f t="shared" si="197"/>
        <v/>
      </c>
    </row>
    <row r="2195" spans="1:17" hidden="1">
      <c r="A2195" t="s">
        <v>2300</v>
      </c>
      <c r="B2195" s="1">
        <v>45216</v>
      </c>
      <c r="C2195">
        <v>2023</v>
      </c>
      <c r="D2195">
        <v>10</v>
      </c>
      <c r="E2195" t="s">
        <v>47</v>
      </c>
      <c r="F2195" t="s">
        <v>28</v>
      </c>
      <c r="G2195" t="s">
        <v>48</v>
      </c>
      <c r="H2195" t="s">
        <v>189</v>
      </c>
      <c r="I2195">
        <v>9066.2800000000007</v>
      </c>
      <c r="J2195">
        <v>7731.8</v>
      </c>
      <c r="K2195" t="s">
        <v>17</v>
      </c>
      <c r="L2195" t="b">
        <v>0</v>
      </c>
      <c r="N2195" s="2" t="b">
        <f t="shared" si="196"/>
        <v>1</v>
      </c>
      <c r="O2195" t="str">
        <f t="shared" si="198"/>
        <v/>
      </c>
      <c r="Q2195" t="str">
        <f t="shared" si="197"/>
        <v/>
      </c>
    </row>
    <row r="2196" spans="1:17" hidden="1">
      <c r="A2196" t="s">
        <v>2301</v>
      </c>
      <c r="B2196" s="1">
        <v>45216</v>
      </c>
      <c r="C2196">
        <v>2023</v>
      </c>
      <c r="D2196">
        <v>10</v>
      </c>
      <c r="E2196" t="s">
        <v>19</v>
      </c>
      <c r="F2196" t="s">
        <v>28</v>
      </c>
      <c r="G2196" t="s">
        <v>132</v>
      </c>
      <c r="H2196" t="s">
        <v>133</v>
      </c>
      <c r="I2196">
        <v>7717.91</v>
      </c>
      <c r="J2196">
        <v>7988.39</v>
      </c>
      <c r="K2196" t="s">
        <v>17</v>
      </c>
      <c r="L2196" t="b">
        <v>0</v>
      </c>
      <c r="N2196" s="2" t="str">
        <f t="shared" si="196"/>
        <v/>
      </c>
      <c r="Q2196" t="str">
        <f t="shared" si="197"/>
        <v/>
      </c>
    </row>
    <row r="2197" spans="1:17" hidden="1">
      <c r="A2197" t="s">
        <v>2302</v>
      </c>
      <c r="B2197" s="1">
        <v>45216</v>
      </c>
      <c r="C2197">
        <v>2023</v>
      </c>
      <c r="D2197">
        <v>10</v>
      </c>
      <c r="E2197" t="s">
        <v>19</v>
      </c>
      <c r="F2197" t="s">
        <v>28</v>
      </c>
      <c r="G2197" t="s">
        <v>132</v>
      </c>
      <c r="H2197" t="s">
        <v>133</v>
      </c>
      <c r="I2197">
        <v>6971.7</v>
      </c>
      <c r="J2197">
        <v>7364.16</v>
      </c>
      <c r="K2197" t="s">
        <v>17</v>
      </c>
      <c r="L2197" t="b">
        <v>0</v>
      </c>
      <c r="N2197" s="2" t="str">
        <f t="shared" si="196"/>
        <v/>
      </c>
      <c r="Q2197" t="str">
        <f t="shared" si="197"/>
        <v/>
      </c>
    </row>
    <row r="2198" spans="1:17" hidden="1">
      <c r="A2198" t="s">
        <v>2303</v>
      </c>
      <c r="B2198" s="1">
        <v>45216</v>
      </c>
      <c r="C2198">
        <v>2023</v>
      </c>
      <c r="D2198">
        <v>10</v>
      </c>
      <c r="E2198" t="s">
        <v>23</v>
      </c>
      <c r="F2198" t="s">
        <v>28</v>
      </c>
      <c r="G2198" t="s">
        <v>141</v>
      </c>
      <c r="H2198" t="s">
        <v>153</v>
      </c>
      <c r="I2198">
        <v>3982.3</v>
      </c>
      <c r="J2198">
        <v>4100.38</v>
      </c>
      <c r="K2198" t="s">
        <v>17</v>
      </c>
      <c r="L2198" t="b">
        <v>0</v>
      </c>
      <c r="N2198" s="2" t="str">
        <f t="shared" si="196"/>
        <v/>
      </c>
      <c r="Q2198" t="str">
        <f t="shared" si="197"/>
        <v/>
      </c>
    </row>
    <row r="2199" spans="1:17" hidden="1">
      <c r="A2199" t="s">
        <v>2304</v>
      </c>
      <c r="B2199" s="1">
        <v>45216</v>
      </c>
      <c r="C2199">
        <v>2023</v>
      </c>
      <c r="D2199">
        <v>10</v>
      </c>
      <c r="E2199" t="s">
        <v>23</v>
      </c>
      <c r="F2199" t="s">
        <v>28</v>
      </c>
      <c r="G2199" t="s">
        <v>59</v>
      </c>
      <c r="H2199" t="s">
        <v>60</v>
      </c>
      <c r="I2199">
        <v>6401.73</v>
      </c>
      <c r="J2199">
        <v>7014.95</v>
      </c>
      <c r="K2199" t="s">
        <v>17</v>
      </c>
      <c r="L2199" t="b">
        <v>0</v>
      </c>
      <c r="N2199" s="2" t="str">
        <f t="shared" si="196"/>
        <v/>
      </c>
      <c r="Q2199" t="str">
        <f t="shared" si="197"/>
        <v/>
      </c>
    </row>
    <row r="2200" spans="1:17" hidden="1">
      <c r="A2200" t="s">
        <v>2305</v>
      </c>
      <c r="B2200" s="1">
        <v>45216</v>
      </c>
      <c r="C2200">
        <v>2023</v>
      </c>
      <c r="D2200">
        <v>10</v>
      </c>
      <c r="E2200" t="s">
        <v>23</v>
      </c>
      <c r="F2200" t="s">
        <v>24</v>
      </c>
      <c r="G2200" t="s">
        <v>25</v>
      </c>
      <c r="H2200" t="s">
        <v>95</v>
      </c>
      <c r="I2200">
        <v>4562.03</v>
      </c>
      <c r="J2200">
        <v>4495.92</v>
      </c>
      <c r="K2200" t="s">
        <v>17</v>
      </c>
      <c r="L2200" t="b">
        <v>0</v>
      </c>
      <c r="N2200" s="2" t="str">
        <f t="shared" si="196"/>
        <v/>
      </c>
      <c r="Q2200" t="str">
        <f t="shared" si="197"/>
        <v/>
      </c>
    </row>
    <row r="2201" spans="1:17" hidden="1">
      <c r="A2201" t="s">
        <v>2306</v>
      </c>
      <c r="B2201" s="1">
        <v>45217</v>
      </c>
      <c r="C2201">
        <v>2023</v>
      </c>
      <c r="D2201">
        <v>10</v>
      </c>
      <c r="E2201" t="s">
        <v>13</v>
      </c>
      <c r="F2201" t="s">
        <v>28</v>
      </c>
      <c r="G2201" t="s">
        <v>108</v>
      </c>
      <c r="H2201" t="s">
        <v>123</v>
      </c>
      <c r="I2201">
        <v>3071.9</v>
      </c>
      <c r="J2201">
        <v>3125.1</v>
      </c>
      <c r="K2201" t="s">
        <v>17</v>
      </c>
      <c r="L2201" t="b">
        <v>0</v>
      </c>
      <c r="N2201" s="2" t="str">
        <f t="shared" si="196"/>
        <v/>
      </c>
      <c r="Q2201" t="str">
        <f t="shared" si="197"/>
        <v/>
      </c>
    </row>
    <row r="2202" spans="1:17" hidden="1">
      <c r="A2202" t="s">
        <v>2307</v>
      </c>
      <c r="B2202" s="1">
        <v>45217</v>
      </c>
      <c r="C2202">
        <v>2023</v>
      </c>
      <c r="D2202">
        <v>10</v>
      </c>
      <c r="E2202" t="s">
        <v>13</v>
      </c>
      <c r="F2202" t="s">
        <v>28</v>
      </c>
      <c r="G2202" t="s">
        <v>108</v>
      </c>
      <c r="H2202" t="s">
        <v>123</v>
      </c>
      <c r="I2202">
        <v>4530.04</v>
      </c>
      <c r="J2202">
        <v>4459.99</v>
      </c>
      <c r="K2202" t="s">
        <v>17</v>
      </c>
      <c r="L2202" t="b">
        <v>0</v>
      </c>
      <c r="N2202" s="2" t="str">
        <f t="shared" si="196"/>
        <v/>
      </c>
      <c r="Q2202" t="str">
        <f t="shared" si="197"/>
        <v/>
      </c>
    </row>
    <row r="2203" spans="1:17" hidden="1">
      <c r="A2203" t="s">
        <v>2308</v>
      </c>
      <c r="B2203" s="1">
        <v>45217</v>
      </c>
      <c r="C2203">
        <v>2023</v>
      </c>
      <c r="D2203">
        <v>10</v>
      </c>
      <c r="E2203" t="s">
        <v>13</v>
      </c>
      <c r="F2203" t="s">
        <v>28</v>
      </c>
      <c r="G2203" t="s">
        <v>102</v>
      </c>
      <c r="H2203" t="s">
        <v>145</v>
      </c>
      <c r="I2203">
        <v>5046.57</v>
      </c>
      <c r="J2203">
        <v>4790.0200000000004</v>
      </c>
      <c r="K2203" t="s">
        <v>17</v>
      </c>
      <c r="L2203" t="b">
        <v>0</v>
      </c>
      <c r="N2203" s="2" t="str">
        <f t="shared" si="196"/>
        <v/>
      </c>
      <c r="Q2203" t="str">
        <f t="shared" si="197"/>
        <v/>
      </c>
    </row>
    <row r="2204" spans="1:17" hidden="1">
      <c r="A2204" t="s">
        <v>2309</v>
      </c>
      <c r="B2204" s="1">
        <v>45217</v>
      </c>
      <c r="C2204">
        <v>2023</v>
      </c>
      <c r="D2204">
        <v>10</v>
      </c>
      <c r="E2204" t="s">
        <v>13</v>
      </c>
      <c r="F2204" t="s">
        <v>24</v>
      </c>
      <c r="G2204" t="s">
        <v>15</v>
      </c>
      <c r="H2204" t="s">
        <v>16</v>
      </c>
      <c r="I2204">
        <v>3372.53</v>
      </c>
      <c r="J2204">
        <v>3430.41</v>
      </c>
      <c r="K2204" t="s">
        <v>17</v>
      </c>
      <c r="L2204" t="b">
        <v>0</v>
      </c>
      <c r="N2204" s="2" t="str">
        <f t="shared" si="196"/>
        <v/>
      </c>
      <c r="Q2204" t="str">
        <f t="shared" si="197"/>
        <v/>
      </c>
    </row>
    <row r="2205" spans="1:17" hidden="1">
      <c r="A2205" t="s">
        <v>2310</v>
      </c>
      <c r="B2205" s="1">
        <v>45217</v>
      </c>
      <c r="C2205">
        <v>2023</v>
      </c>
      <c r="D2205">
        <v>10</v>
      </c>
      <c r="E2205" t="s">
        <v>47</v>
      </c>
      <c r="F2205" t="s">
        <v>24</v>
      </c>
      <c r="G2205" t="s">
        <v>51</v>
      </c>
      <c r="H2205" t="s">
        <v>52</v>
      </c>
      <c r="I2205">
        <v>19490.009999999998</v>
      </c>
      <c r="J2205">
        <v>15991.49</v>
      </c>
      <c r="K2205" t="s">
        <v>17</v>
      </c>
      <c r="L2205" t="b">
        <v>0</v>
      </c>
      <c r="N2205" s="2" t="b">
        <f t="shared" si="196"/>
        <v>1</v>
      </c>
      <c r="O2205" t="str">
        <f>IF(AND(E2194="HR",K2194="EXPENSE"),I2194&lt;J2194,"")</f>
        <v/>
      </c>
      <c r="Q2205" t="str">
        <f t="shared" si="197"/>
        <v/>
      </c>
    </row>
    <row r="2206" spans="1:17" hidden="1">
      <c r="A2206" t="s">
        <v>2311</v>
      </c>
      <c r="B2206" s="1">
        <v>45217</v>
      </c>
      <c r="C2206">
        <v>2023</v>
      </c>
      <c r="D2206">
        <v>10</v>
      </c>
      <c r="E2206" t="s">
        <v>19</v>
      </c>
      <c r="F2206" t="s">
        <v>14</v>
      </c>
      <c r="G2206" t="s">
        <v>80</v>
      </c>
      <c r="H2206" t="s">
        <v>113</v>
      </c>
      <c r="I2206">
        <v>6077.72</v>
      </c>
      <c r="J2206">
        <v>5518.33</v>
      </c>
      <c r="K2206" t="s">
        <v>17</v>
      </c>
      <c r="L2206" t="b">
        <v>0</v>
      </c>
      <c r="N2206" s="2" t="str">
        <f t="shared" si="196"/>
        <v/>
      </c>
      <c r="Q2206" t="str">
        <f t="shared" si="197"/>
        <v/>
      </c>
    </row>
    <row r="2207" spans="1:17" hidden="1">
      <c r="A2207" t="s">
        <v>2312</v>
      </c>
      <c r="B2207" s="1">
        <v>45217</v>
      </c>
      <c r="C2207">
        <v>2023</v>
      </c>
      <c r="D2207">
        <v>10</v>
      </c>
      <c r="E2207" t="s">
        <v>19</v>
      </c>
      <c r="F2207" t="s">
        <v>24</v>
      </c>
      <c r="G2207" t="s">
        <v>132</v>
      </c>
      <c r="H2207" t="s">
        <v>171</v>
      </c>
      <c r="I2207">
        <v>7209.17</v>
      </c>
      <c r="J2207">
        <v>7576.59</v>
      </c>
      <c r="K2207" t="s">
        <v>17</v>
      </c>
      <c r="L2207" t="b">
        <v>0</v>
      </c>
      <c r="N2207" s="2" t="str">
        <f t="shared" si="196"/>
        <v/>
      </c>
      <c r="Q2207" t="str">
        <f t="shared" si="197"/>
        <v/>
      </c>
    </row>
    <row r="2208" spans="1:17" hidden="1">
      <c r="A2208" t="s">
        <v>2313</v>
      </c>
      <c r="B2208" s="1">
        <v>45217</v>
      </c>
      <c r="C2208">
        <v>2023</v>
      </c>
      <c r="D2208">
        <v>10</v>
      </c>
      <c r="E2208" t="s">
        <v>37</v>
      </c>
      <c r="F2208" t="s">
        <v>14</v>
      </c>
      <c r="G2208" t="s">
        <v>38</v>
      </c>
      <c r="H2208" t="s">
        <v>227</v>
      </c>
      <c r="I2208">
        <v>4335.07</v>
      </c>
      <c r="J2208">
        <v>4163.05</v>
      </c>
      <c r="K2208" t="s">
        <v>17</v>
      </c>
      <c r="L2208" t="b">
        <v>0</v>
      </c>
      <c r="N2208" s="2" t="str">
        <f t="shared" si="196"/>
        <v/>
      </c>
      <c r="Q2208" t="str">
        <f t="shared" si="197"/>
        <v/>
      </c>
    </row>
    <row r="2209" spans="1:17" hidden="1">
      <c r="A2209" t="s">
        <v>2314</v>
      </c>
      <c r="B2209" s="1">
        <v>45218</v>
      </c>
      <c r="C2209">
        <v>2023</v>
      </c>
      <c r="D2209">
        <v>10</v>
      </c>
      <c r="E2209" t="s">
        <v>13</v>
      </c>
      <c r="F2209" t="s">
        <v>14</v>
      </c>
      <c r="G2209" t="s">
        <v>68</v>
      </c>
      <c r="H2209" t="s">
        <v>87</v>
      </c>
      <c r="I2209">
        <v>4624.63</v>
      </c>
      <c r="J2209">
        <v>4630.22</v>
      </c>
      <c r="K2209" t="s">
        <v>17</v>
      </c>
      <c r="L2209" t="b">
        <v>0</v>
      </c>
      <c r="N2209" s="2" t="str">
        <f t="shared" si="196"/>
        <v/>
      </c>
      <c r="Q2209" t="str">
        <f t="shared" si="197"/>
        <v/>
      </c>
    </row>
    <row r="2210" spans="1:17" hidden="1">
      <c r="A2210" t="s">
        <v>2315</v>
      </c>
      <c r="B2210" s="1">
        <v>45218</v>
      </c>
      <c r="C2210">
        <v>2023</v>
      </c>
      <c r="D2210">
        <v>10</v>
      </c>
      <c r="E2210" t="s">
        <v>13</v>
      </c>
      <c r="F2210" t="s">
        <v>28</v>
      </c>
      <c r="G2210" t="s">
        <v>102</v>
      </c>
      <c r="H2210" t="s">
        <v>145</v>
      </c>
      <c r="I2210">
        <v>1056.3800000000001</v>
      </c>
      <c r="J2210">
        <v>1044.28</v>
      </c>
      <c r="K2210" t="s">
        <v>17</v>
      </c>
      <c r="L2210" t="b">
        <v>0</v>
      </c>
      <c r="N2210" s="2" t="str">
        <f t="shared" si="196"/>
        <v/>
      </c>
      <c r="Q2210" t="str">
        <f t="shared" si="197"/>
        <v/>
      </c>
    </row>
    <row r="2211" spans="1:17" hidden="1">
      <c r="A2211" t="s">
        <v>2316</v>
      </c>
      <c r="B2211" s="1">
        <v>45218</v>
      </c>
      <c r="C2211">
        <v>2023</v>
      </c>
      <c r="D2211">
        <v>10</v>
      </c>
      <c r="E2211" t="s">
        <v>13</v>
      </c>
      <c r="F2211" t="s">
        <v>28</v>
      </c>
      <c r="G2211" t="s">
        <v>102</v>
      </c>
      <c r="H2211" t="s">
        <v>145</v>
      </c>
      <c r="I2211">
        <v>2949.41</v>
      </c>
      <c r="J2211">
        <v>3024.21</v>
      </c>
      <c r="K2211" t="s">
        <v>17</v>
      </c>
      <c r="L2211" t="b">
        <v>0</v>
      </c>
      <c r="N2211" s="2" t="str">
        <f t="shared" si="196"/>
        <v/>
      </c>
      <c r="Q2211" t="str">
        <f t="shared" si="197"/>
        <v/>
      </c>
    </row>
    <row r="2212" spans="1:17" hidden="1">
      <c r="A2212" t="s">
        <v>2317</v>
      </c>
      <c r="B2212" s="1">
        <v>45218</v>
      </c>
      <c r="C2212">
        <v>2023</v>
      </c>
      <c r="D2212">
        <v>10</v>
      </c>
      <c r="E2212" t="s">
        <v>13</v>
      </c>
      <c r="F2212" t="s">
        <v>28</v>
      </c>
      <c r="G2212" t="s">
        <v>102</v>
      </c>
      <c r="H2212" t="s">
        <v>103</v>
      </c>
      <c r="I2212">
        <v>4172.18</v>
      </c>
      <c r="J2212">
        <v>3915.43</v>
      </c>
      <c r="K2212" t="s">
        <v>17</v>
      </c>
      <c r="L2212" t="b">
        <v>0</v>
      </c>
      <c r="N2212" s="2" t="str">
        <f t="shared" si="196"/>
        <v/>
      </c>
      <c r="Q2212" t="str">
        <f t="shared" si="197"/>
        <v/>
      </c>
    </row>
    <row r="2213" spans="1:17" hidden="1">
      <c r="A2213" t="s">
        <v>2318</v>
      </c>
      <c r="B2213" s="1">
        <v>45218</v>
      </c>
      <c r="C2213">
        <v>2023</v>
      </c>
      <c r="D2213">
        <v>10</v>
      </c>
      <c r="E2213" t="s">
        <v>13</v>
      </c>
      <c r="F2213" t="s">
        <v>24</v>
      </c>
      <c r="G2213" t="s">
        <v>68</v>
      </c>
      <c r="H2213" t="s">
        <v>213</v>
      </c>
      <c r="I2213">
        <v>4025.02</v>
      </c>
      <c r="J2213">
        <v>3888.9</v>
      </c>
      <c r="K2213" t="s">
        <v>17</v>
      </c>
      <c r="L2213" t="b">
        <v>0</v>
      </c>
      <c r="N2213" s="2" t="str">
        <f t="shared" si="196"/>
        <v/>
      </c>
      <c r="Q2213" t="str">
        <f t="shared" si="197"/>
        <v/>
      </c>
    </row>
    <row r="2214" spans="1:17" hidden="1">
      <c r="A2214" t="s">
        <v>2319</v>
      </c>
      <c r="B2214" s="1">
        <v>45218</v>
      </c>
      <c r="C2214">
        <v>2023</v>
      </c>
      <c r="D2214">
        <v>10</v>
      </c>
      <c r="E2214" t="s">
        <v>13</v>
      </c>
      <c r="F2214" t="s">
        <v>24</v>
      </c>
      <c r="G2214" t="s">
        <v>68</v>
      </c>
      <c r="H2214" t="s">
        <v>69</v>
      </c>
      <c r="I2214">
        <v>4654.08</v>
      </c>
      <c r="J2214">
        <v>4386.08</v>
      </c>
      <c r="K2214" t="s">
        <v>17</v>
      </c>
      <c r="L2214" t="b">
        <v>0</v>
      </c>
      <c r="N2214" s="2" t="str">
        <f t="shared" si="196"/>
        <v/>
      </c>
      <c r="Q2214" t="str">
        <f t="shared" si="197"/>
        <v/>
      </c>
    </row>
    <row r="2215" spans="1:17" hidden="1">
      <c r="A2215" t="s">
        <v>2320</v>
      </c>
      <c r="B2215" s="1">
        <v>45218</v>
      </c>
      <c r="C2215">
        <v>2023</v>
      </c>
      <c r="D2215">
        <v>10</v>
      </c>
      <c r="E2215" t="s">
        <v>47</v>
      </c>
      <c r="F2215" t="s">
        <v>24</v>
      </c>
      <c r="G2215" t="s">
        <v>51</v>
      </c>
      <c r="H2215" t="s">
        <v>52</v>
      </c>
      <c r="I2215">
        <v>18817.37</v>
      </c>
      <c r="J2215">
        <v>15692.85</v>
      </c>
      <c r="K2215" t="s">
        <v>17</v>
      </c>
      <c r="L2215" t="b">
        <v>0</v>
      </c>
      <c r="N2215" s="2" t="b">
        <f t="shared" si="196"/>
        <v>1</v>
      </c>
      <c r="O2215" t="b">
        <f>IF(AND(E2204="HR",K2204="EXPENSE"),I2204&lt;J2204,"")</f>
        <v>1</v>
      </c>
      <c r="Q2215" t="str">
        <f t="shared" si="197"/>
        <v/>
      </c>
    </row>
    <row r="2216" spans="1:17" hidden="1">
      <c r="A2216" t="s">
        <v>2321</v>
      </c>
      <c r="B2216" s="1">
        <v>45218</v>
      </c>
      <c r="C2216">
        <v>2023</v>
      </c>
      <c r="D2216">
        <v>10</v>
      </c>
      <c r="E2216" t="s">
        <v>19</v>
      </c>
      <c r="F2216" t="s">
        <v>14</v>
      </c>
      <c r="G2216" t="s">
        <v>54</v>
      </c>
      <c r="H2216" t="s">
        <v>163</v>
      </c>
      <c r="I2216">
        <v>2882.48</v>
      </c>
      <c r="J2216">
        <v>2909.27</v>
      </c>
      <c r="K2216" t="s">
        <v>17</v>
      </c>
      <c r="L2216" t="b">
        <v>0</v>
      </c>
      <c r="N2216" s="2" t="str">
        <f t="shared" si="196"/>
        <v/>
      </c>
      <c r="Q2216" t="str">
        <f t="shared" si="197"/>
        <v/>
      </c>
    </row>
    <row r="2217" spans="1:17" hidden="1">
      <c r="A2217" t="s">
        <v>2322</v>
      </c>
      <c r="B2217" s="1">
        <v>45218</v>
      </c>
      <c r="C2217">
        <v>2023</v>
      </c>
      <c r="D2217">
        <v>10</v>
      </c>
      <c r="E2217" t="s">
        <v>37</v>
      </c>
      <c r="F2217" t="s">
        <v>14</v>
      </c>
      <c r="G2217" t="s">
        <v>62</v>
      </c>
      <c r="H2217" t="s">
        <v>63</v>
      </c>
      <c r="I2217">
        <v>3762.01</v>
      </c>
      <c r="J2217">
        <v>3455.79</v>
      </c>
      <c r="K2217" t="s">
        <v>17</v>
      </c>
      <c r="L2217" t="b">
        <v>0</v>
      </c>
      <c r="N2217" s="2" t="str">
        <f t="shared" si="196"/>
        <v/>
      </c>
      <c r="Q2217" t="str">
        <f t="shared" si="197"/>
        <v/>
      </c>
    </row>
    <row r="2218" spans="1:17" hidden="1">
      <c r="A2218" t="s">
        <v>2323</v>
      </c>
      <c r="B2218" s="1">
        <v>45218</v>
      </c>
      <c r="C2218">
        <v>2023</v>
      </c>
      <c r="D2218">
        <v>10</v>
      </c>
      <c r="E2218" t="s">
        <v>37</v>
      </c>
      <c r="F2218" t="s">
        <v>28</v>
      </c>
      <c r="G2218" t="s">
        <v>38</v>
      </c>
      <c r="H2218" t="s">
        <v>39</v>
      </c>
      <c r="I2218">
        <v>5168.6099999999997</v>
      </c>
      <c r="J2218">
        <v>5306.28</v>
      </c>
      <c r="K2218" t="s">
        <v>17</v>
      </c>
      <c r="L2218" t="b">
        <v>0</v>
      </c>
      <c r="N2218" s="2" t="str">
        <f t="shared" si="196"/>
        <v/>
      </c>
      <c r="Q2218" t="str">
        <f t="shared" si="197"/>
        <v/>
      </c>
    </row>
    <row r="2219" spans="1:17" hidden="1">
      <c r="A2219" t="s">
        <v>2324</v>
      </c>
      <c r="B2219" s="1">
        <v>45218</v>
      </c>
      <c r="C2219">
        <v>2023</v>
      </c>
      <c r="D2219">
        <v>10</v>
      </c>
      <c r="E2219" t="s">
        <v>37</v>
      </c>
      <c r="F2219" t="s">
        <v>24</v>
      </c>
      <c r="G2219" t="s">
        <v>62</v>
      </c>
      <c r="H2219" t="s">
        <v>360</v>
      </c>
      <c r="I2219">
        <v>6820.95</v>
      </c>
      <c r="J2219">
        <v>7484.19</v>
      </c>
      <c r="K2219" t="s">
        <v>17</v>
      </c>
      <c r="L2219" t="b">
        <v>0</v>
      </c>
      <c r="N2219" s="2" t="str">
        <f t="shared" si="196"/>
        <v/>
      </c>
      <c r="Q2219" t="str">
        <f t="shared" si="197"/>
        <v/>
      </c>
    </row>
    <row r="2220" spans="1:17" hidden="1">
      <c r="A2220" t="s">
        <v>2325</v>
      </c>
      <c r="B2220" s="1">
        <v>45219</v>
      </c>
      <c r="C2220">
        <v>2023</v>
      </c>
      <c r="D2220">
        <v>10</v>
      </c>
      <c r="E2220" t="s">
        <v>13</v>
      </c>
      <c r="F2220" t="s">
        <v>28</v>
      </c>
      <c r="G2220" t="s">
        <v>102</v>
      </c>
      <c r="H2220" t="s">
        <v>103</v>
      </c>
      <c r="I2220">
        <v>2840.39</v>
      </c>
      <c r="J2220">
        <v>2890.63</v>
      </c>
      <c r="K2220" t="s">
        <v>17</v>
      </c>
      <c r="L2220" t="b">
        <v>0</v>
      </c>
      <c r="N2220" s="2" t="str">
        <f t="shared" si="196"/>
        <v/>
      </c>
      <c r="Q2220" t="str">
        <f t="shared" si="197"/>
        <v/>
      </c>
    </row>
    <row r="2221" spans="1:17" hidden="1">
      <c r="A2221" t="s">
        <v>2326</v>
      </c>
      <c r="B2221" s="1">
        <v>45219</v>
      </c>
      <c r="C2221">
        <v>2023</v>
      </c>
      <c r="D2221">
        <v>10</v>
      </c>
      <c r="E2221" t="s">
        <v>13</v>
      </c>
      <c r="F2221" t="s">
        <v>24</v>
      </c>
      <c r="G2221" t="s">
        <v>68</v>
      </c>
      <c r="H2221" t="s">
        <v>213</v>
      </c>
      <c r="I2221">
        <v>3737.45</v>
      </c>
      <c r="J2221">
        <v>3900.08</v>
      </c>
      <c r="K2221" t="s">
        <v>17</v>
      </c>
      <c r="L2221" t="b">
        <v>0</v>
      </c>
      <c r="N2221" s="2" t="str">
        <f t="shared" si="196"/>
        <v/>
      </c>
      <c r="Q2221" t="str">
        <f t="shared" si="197"/>
        <v/>
      </c>
    </row>
    <row r="2222" spans="1:17" hidden="1">
      <c r="A2222" t="s">
        <v>2327</v>
      </c>
      <c r="B2222" s="1">
        <v>45219</v>
      </c>
      <c r="C2222">
        <v>2023</v>
      </c>
      <c r="D2222">
        <v>10</v>
      </c>
      <c r="E2222" t="s">
        <v>47</v>
      </c>
      <c r="F2222" t="s">
        <v>28</v>
      </c>
      <c r="G2222" t="s">
        <v>77</v>
      </c>
      <c r="H2222" t="s">
        <v>147</v>
      </c>
      <c r="I2222">
        <v>8261.02</v>
      </c>
      <c r="J2222">
        <v>6869.15</v>
      </c>
      <c r="K2222" t="s">
        <v>17</v>
      </c>
      <c r="L2222" t="b">
        <v>0</v>
      </c>
      <c r="N2222" s="2" t="b">
        <f t="shared" si="196"/>
        <v>1</v>
      </c>
      <c r="O2222" t="b">
        <f>IF(AND(E2211="HR",K2211="EXPENSE"),I2211&lt;J2211,"")</f>
        <v>1</v>
      </c>
      <c r="Q2222" t="str">
        <f t="shared" si="197"/>
        <v/>
      </c>
    </row>
    <row r="2223" spans="1:17" hidden="1">
      <c r="A2223" t="s">
        <v>2328</v>
      </c>
      <c r="B2223" s="1">
        <v>45219</v>
      </c>
      <c r="C2223">
        <v>2023</v>
      </c>
      <c r="D2223">
        <v>10</v>
      </c>
      <c r="E2223" t="s">
        <v>19</v>
      </c>
      <c r="F2223" t="s">
        <v>14</v>
      </c>
      <c r="G2223" t="s">
        <v>80</v>
      </c>
      <c r="H2223" t="s">
        <v>81</v>
      </c>
      <c r="I2223">
        <v>4815.54</v>
      </c>
      <c r="J2223">
        <v>4739.74</v>
      </c>
      <c r="K2223" t="s">
        <v>17</v>
      </c>
      <c r="L2223" t="b">
        <v>0</v>
      </c>
      <c r="N2223" s="2" t="str">
        <f t="shared" si="196"/>
        <v/>
      </c>
      <c r="Q2223" t="str">
        <f t="shared" si="197"/>
        <v/>
      </c>
    </row>
    <row r="2224" spans="1:17" hidden="1">
      <c r="A2224" t="s">
        <v>2329</v>
      </c>
      <c r="B2224" s="1">
        <v>45219</v>
      </c>
      <c r="C2224">
        <v>2023</v>
      </c>
      <c r="D2224">
        <v>10</v>
      </c>
      <c r="E2224" t="s">
        <v>19</v>
      </c>
      <c r="F2224" t="s">
        <v>28</v>
      </c>
      <c r="G2224" t="s">
        <v>132</v>
      </c>
      <c r="H2224" t="s">
        <v>133</v>
      </c>
      <c r="I2224">
        <v>5704.2</v>
      </c>
      <c r="J2224">
        <v>5839.15</v>
      </c>
      <c r="K2224" t="s">
        <v>17</v>
      </c>
      <c r="L2224" t="b">
        <v>0</v>
      </c>
      <c r="N2224" s="2" t="str">
        <f t="shared" si="196"/>
        <v/>
      </c>
      <c r="Q2224" t="str">
        <f t="shared" si="197"/>
        <v/>
      </c>
    </row>
    <row r="2225" spans="1:17" hidden="1">
      <c r="A2225" t="s">
        <v>2330</v>
      </c>
      <c r="B2225" s="1">
        <v>45219</v>
      </c>
      <c r="C2225">
        <v>2023</v>
      </c>
      <c r="D2225">
        <v>10</v>
      </c>
      <c r="E2225" t="s">
        <v>19</v>
      </c>
      <c r="F2225" t="s">
        <v>28</v>
      </c>
      <c r="G2225" t="s">
        <v>132</v>
      </c>
      <c r="H2225" t="s">
        <v>138</v>
      </c>
      <c r="I2225">
        <v>6393.77</v>
      </c>
      <c r="J2225">
        <v>5826.27</v>
      </c>
      <c r="K2225" t="s">
        <v>17</v>
      </c>
      <c r="L2225" t="b">
        <v>0</v>
      </c>
      <c r="N2225" s="2" t="str">
        <f t="shared" si="196"/>
        <v/>
      </c>
      <c r="Q2225" t="str">
        <f t="shared" si="197"/>
        <v/>
      </c>
    </row>
    <row r="2226" spans="1:17" hidden="1">
      <c r="A2226" t="s">
        <v>2331</v>
      </c>
      <c r="B2226" s="1">
        <v>45220</v>
      </c>
      <c r="C2226">
        <v>2023</v>
      </c>
      <c r="D2226">
        <v>10</v>
      </c>
      <c r="E2226" t="s">
        <v>47</v>
      </c>
      <c r="F2226" t="s">
        <v>14</v>
      </c>
      <c r="G2226" t="s">
        <v>77</v>
      </c>
      <c r="H2226" t="s">
        <v>78</v>
      </c>
      <c r="I2226">
        <v>11355.82</v>
      </c>
      <c r="J2226">
        <v>9332.33</v>
      </c>
      <c r="K2226" t="s">
        <v>17</v>
      </c>
      <c r="L2226" t="b">
        <v>0</v>
      </c>
      <c r="N2226" s="2" t="b">
        <f t="shared" si="196"/>
        <v>1</v>
      </c>
      <c r="O2226" t="str">
        <f>IF(AND(E2215="HR",K2215="EXPENSE"),I2215&lt;J2215,"")</f>
        <v/>
      </c>
      <c r="Q2226" t="str">
        <f t="shared" si="197"/>
        <v/>
      </c>
    </row>
    <row r="2227" spans="1:17" hidden="1">
      <c r="A2227" t="s">
        <v>2332</v>
      </c>
      <c r="B2227" s="1">
        <v>45220</v>
      </c>
      <c r="C2227">
        <v>2023</v>
      </c>
      <c r="D2227">
        <v>10</v>
      </c>
      <c r="E2227" t="s">
        <v>19</v>
      </c>
      <c r="F2227" t="s">
        <v>14</v>
      </c>
      <c r="G2227" t="s">
        <v>80</v>
      </c>
      <c r="H2227" t="s">
        <v>217</v>
      </c>
      <c r="I2227">
        <v>5098.08</v>
      </c>
      <c r="J2227">
        <v>4950.5200000000004</v>
      </c>
      <c r="K2227" t="s">
        <v>17</v>
      </c>
      <c r="L2227" t="b">
        <v>0</v>
      </c>
      <c r="N2227" s="2" t="str">
        <f t="shared" si="196"/>
        <v/>
      </c>
      <c r="Q2227" t="str">
        <f t="shared" si="197"/>
        <v/>
      </c>
    </row>
    <row r="2228" spans="1:17" hidden="1">
      <c r="A2228" t="s">
        <v>2333</v>
      </c>
      <c r="B2228" s="1">
        <v>45220</v>
      </c>
      <c r="C2228">
        <v>2023</v>
      </c>
      <c r="D2228">
        <v>10</v>
      </c>
      <c r="E2228" t="s">
        <v>19</v>
      </c>
      <c r="F2228" t="s">
        <v>14</v>
      </c>
      <c r="G2228" t="s">
        <v>132</v>
      </c>
      <c r="H2228" t="s">
        <v>171</v>
      </c>
      <c r="I2228">
        <v>5112.3999999999996</v>
      </c>
      <c r="J2228">
        <v>5164.1099999999997</v>
      </c>
      <c r="K2228" t="s">
        <v>17</v>
      </c>
      <c r="L2228" t="b">
        <v>0</v>
      </c>
      <c r="N2228" s="2" t="str">
        <f t="shared" si="196"/>
        <v/>
      </c>
      <c r="Q2228" t="str">
        <f t="shared" si="197"/>
        <v/>
      </c>
    </row>
    <row r="2229" spans="1:17" hidden="1">
      <c r="A2229" t="s">
        <v>2334</v>
      </c>
      <c r="B2229" s="1">
        <v>45220</v>
      </c>
      <c r="C2229">
        <v>2023</v>
      </c>
      <c r="D2229">
        <v>10</v>
      </c>
      <c r="E2229" t="s">
        <v>19</v>
      </c>
      <c r="F2229" t="s">
        <v>14</v>
      </c>
      <c r="G2229" t="s">
        <v>20</v>
      </c>
      <c r="H2229" t="s">
        <v>174</v>
      </c>
      <c r="I2229">
        <v>6359.25</v>
      </c>
      <c r="J2229">
        <v>5785.35</v>
      </c>
      <c r="K2229" t="s">
        <v>17</v>
      </c>
      <c r="L2229" t="b">
        <v>0</v>
      </c>
      <c r="N2229" s="2" t="str">
        <f t="shared" si="196"/>
        <v/>
      </c>
      <c r="Q2229" t="str">
        <f t="shared" si="197"/>
        <v/>
      </c>
    </row>
    <row r="2230" spans="1:17" hidden="1">
      <c r="A2230" t="s">
        <v>2335</v>
      </c>
      <c r="B2230" s="1">
        <v>45220</v>
      </c>
      <c r="C2230">
        <v>2023</v>
      </c>
      <c r="D2230">
        <v>10</v>
      </c>
      <c r="E2230" t="s">
        <v>19</v>
      </c>
      <c r="F2230" t="s">
        <v>24</v>
      </c>
      <c r="G2230" t="s">
        <v>20</v>
      </c>
      <c r="H2230" t="s">
        <v>174</v>
      </c>
      <c r="I2230">
        <v>5079.6499999999996</v>
      </c>
      <c r="J2230">
        <v>5497.99</v>
      </c>
      <c r="K2230" t="s">
        <v>17</v>
      </c>
      <c r="L2230" t="b">
        <v>0</v>
      </c>
      <c r="N2230" s="2" t="str">
        <f t="shared" si="196"/>
        <v/>
      </c>
      <c r="Q2230" t="str">
        <f t="shared" si="197"/>
        <v/>
      </c>
    </row>
    <row r="2231" spans="1:17" hidden="1">
      <c r="A2231" t="s">
        <v>2336</v>
      </c>
      <c r="B2231" s="1">
        <v>45220</v>
      </c>
      <c r="C2231">
        <v>2023</v>
      </c>
      <c r="D2231">
        <v>10</v>
      </c>
      <c r="E2231" t="s">
        <v>23</v>
      </c>
      <c r="F2231" t="s">
        <v>14</v>
      </c>
      <c r="G2231" t="s">
        <v>25</v>
      </c>
      <c r="H2231" t="s">
        <v>95</v>
      </c>
      <c r="I2231">
        <v>6194.8</v>
      </c>
      <c r="J2231">
        <v>5637.09</v>
      </c>
      <c r="K2231" t="s">
        <v>17</v>
      </c>
      <c r="L2231" t="b">
        <v>0</v>
      </c>
      <c r="N2231" s="2" t="str">
        <f t="shared" si="196"/>
        <v/>
      </c>
      <c r="Q2231" t="str">
        <f t="shared" si="197"/>
        <v/>
      </c>
    </row>
    <row r="2232" spans="1:17" hidden="1">
      <c r="A2232" t="s">
        <v>2337</v>
      </c>
      <c r="B2232" s="1">
        <v>45220</v>
      </c>
      <c r="C2232">
        <v>2023</v>
      </c>
      <c r="D2232">
        <v>10</v>
      </c>
      <c r="E2232" t="s">
        <v>23</v>
      </c>
      <c r="F2232" t="s">
        <v>28</v>
      </c>
      <c r="G2232" t="s">
        <v>25</v>
      </c>
      <c r="H2232" t="s">
        <v>35</v>
      </c>
      <c r="I2232">
        <v>5262.78</v>
      </c>
      <c r="J2232">
        <v>5312.16</v>
      </c>
      <c r="K2232" t="s">
        <v>17</v>
      </c>
      <c r="L2232" t="b">
        <v>0</v>
      </c>
      <c r="N2232" s="2" t="str">
        <f t="shared" si="196"/>
        <v/>
      </c>
      <c r="Q2232" t="str">
        <f t="shared" si="197"/>
        <v/>
      </c>
    </row>
    <row r="2233" spans="1:17" hidden="1">
      <c r="A2233" t="s">
        <v>2338</v>
      </c>
      <c r="B2233" s="1">
        <v>45221</v>
      </c>
      <c r="C2233">
        <v>2023</v>
      </c>
      <c r="D2233">
        <v>10</v>
      </c>
      <c r="E2233" t="s">
        <v>13</v>
      </c>
      <c r="F2233" t="s">
        <v>28</v>
      </c>
      <c r="G2233" t="s">
        <v>15</v>
      </c>
      <c r="H2233" t="s">
        <v>89</v>
      </c>
      <c r="I2233">
        <v>1789.62</v>
      </c>
      <c r="J2233">
        <v>1938.78</v>
      </c>
      <c r="K2233" t="s">
        <v>17</v>
      </c>
      <c r="L2233" t="b">
        <v>0</v>
      </c>
      <c r="N2233" s="2" t="str">
        <f t="shared" si="196"/>
        <v/>
      </c>
      <c r="Q2233" t="str">
        <f t="shared" si="197"/>
        <v/>
      </c>
    </row>
    <row r="2234" spans="1:17" hidden="1">
      <c r="A2234" t="s">
        <v>2339</v>
      </c>
      <c r="B2234" s="1">
        <v>45221</v>
      </c>
      <c r="C2234">
        <v>2023</v>
      </c>
      <c r="D2234">
        <v>10</v>
      </c>
      <c r="E2234" t="s">
        <v>13</v>
      </c>
      <c r="F2234" t="s">
        <v>24</v>
      </c>
      <c r="G2234" t="s">
        <v>108</v>
      </c>
      <c r="H2234" t="s">
        <v>126</v>
      </c>
      <c r="I2234">
        <v>2709.74</v>
      </c>
      <c r="J2234">
        <v>2799.92</v>
      </c>
      <c r="K2234" t="s">
        <v>17</v>
      </c>
      <c r="L2234" t="b">
        <v>0</v>
      </c>
      <c r="N2234" s="2" t="str">
        <f t="shared" si="196"/>
        <v/>
      </c>
      <c r="Q2234" t="str">
        <f t="shared" si="197"/>
        <v/>
      </c>
    </row>
    <row r="2235" spans="1:17" hidden="1">
      <c r="A2235" t="s">
        <v>2340</v>
      </c>
      <c r="B2235" s="1">
        <v>45221</v>
      </c>
      <c r="C2235">
        <v>2023</v>
      </c>
      <c r="D2235">
        <v>10</v>
      </c>
      <c r="E2235" t="s">
        <v>19</v>
      </c>
      <c r="F2235" t="s">
        <v>28</v>
      </c>
      <c r="G2235" t="s">
        <v>132</v>
      </c>
      <c r="H2235" t="s">
        <v>171</v>
      </c>
      <c r="I2235">
        <v>6794.71</v>
      </c>
      <c r="J2235">
        <v>6139.01</v>
      </c>
      <c r="K2235" t="s">
        <v>17</v>
      </c>
      <c r="L2235" t="b">
        <v>0</v>
      </c>
      <c r="N2235" s="2" t="str">
        <f t="shared" si="196"/>
        <v/>
      </c>
      <c r="Q2235" t="str">
        <f t="shared" si="197"/>
        <v/>
      </c>
    </row>
    <row r="2236" spans="1:17" hidden="1">
      <c r="A2236" t="s">
        <v>2341</v>
      </c>
      <c r="B2236" s="1">
        <v>45221</v>
      </c>
      <c r="C2236">
        <v>2023</v>
      </c>
      <c r="D2236">
        <v>10</v>
      </c>
      <c r="E2236" t="s">
        <v>37</v>
      </c>
      <c r="F2236" t="s">
        <v>24</v>
      </c>
      <c r="G2236" t="s">
        <v>38</v>
      </c>
      <c r="H2236" t="s">
        <v>118</v>
      </c>
      <c r="I2236">
        <v>3509.06</v>
      </c>
      <c r="J2236">
        <v>3735.75</v>
      </c>
      <c r="K2236" t="s">
        <v>17</v>
      </c>
      <c r="L2236" t="b">
        <v>0</v>
      </c>
      <c r="N2236" s="2" t="str">
        <f t="shared" si="196"/>
        <v/>
      </c>
      <c r="Q2236" t="str">
        <f t="shared" si="197"/>
        <v/>
      </c>
    </row>
    <row r="2237" spans="1:17" hidden="1">
      <c r="A2237" t="s">
        <v>2342</v>
      </c>
      <c r="B2237" s="1">
        <v>45222</v>
      </c>
      <c r="C2237">
        <v>2023</v>
      </c>
      <c r="D2237">
        <v>10</v>
      </c>
      <c r="E2237" t="s">
        <v>13</v>
      </c>
      <c r="F2237" t="s">
        <v>28</v>
      </c>
      <c r="G2237" t="s">
        <v>68</v>
      </c>
      <c r="H2237" t="s">
        <v>87</v>
      </c>
      <c r="I2237">
        <v>971.03</v>
      </c>
      <c r="J2237">
        <v>1067.29</v>
      </c>
      <c r="K2237" t="s">
        <v>17</v>
      </c>
      <c r="L2237" t="b">
        <v>0</v>
      </c>
      <c r="N2237" s="2" t="str">
        <f t="shared" si="196"/>
        <v/>
      </c>
      <c r="Q2237" t="str">
        <f t="shared" si="197"/>
        <v/>
      </c>
    </row>
    <row r="2238" spans="1:17" hidden="1">
      <c r="A2238" t="s">
        <v>2343</v>
      </c>
      <c r="B2238" s="1">
        <v>45222</v>
      </c>
      <c r="C2238">
        <v>2023</v>
      </c>
      <c r="D2238">
        <v>10</v>
      </c>
      <c r="E2238" t="s">
        <v>13</v>
      </c>
      <c r="F2238" t="s">
        <v>24</v>
      </c>
      <c r="G2238" t="s">
        <v>68</v>
      </c>
      <c r="H2238" t="s">
        <v>213</v>
      </c>
      <c r="I2238">
        <v>3546.92</v>
      </c>
      <c r="J2238">
        <v>3893.11</v>
      </c>
      <c r="K2238" t="s">
        <v>17</v>
      </c>
      <c r="L2238" t="b">
        <v>0</v>
      </c>
      <c r="N2238" s="2" t="str">
        <f t="shared" si="196"/>
        <v/>
      </c>
      <c r="Q2238" t="str">
        <f t="shared" si="197"/>
        <v/>
      </c>
    </row>
    <row r="2239" spans="1:17" hidden="1">
      <c r="A2239" t="s">
        <v>2344</v>
      </c>
      <c r="B2239" s="1">
        <v>45222</v>
      </c>
      <c r="C2239">
        <v>2023</v>
      </c>
      <c r="D2239">
        <v>10</v>
      </c>
      <c r="E2239" t="s">
        <v>13</v>
      </c>
      <c r="F2239" t="s">
        <v>24</v>
      </c>
      <c r="G2239" t="s">
        <v>108</v>
      </c>
      <c r="H2239" t="s">
        <v>126</v>
      </c>
      <c r="I2239">
        <v>4112.05</v>
      </c>
      <c r="J2239">
        <v>3832.16</v>
      </c>
      <c r="K2239" t="s">
        <v>17</v>
      </c>
      <c r="L2239" t="b">
        <v>0</v>
      </c>
      <c r="N2239" s="2" t="str">
        <f t="shared" si="196"/>
        <v/>
      </c>
      <c r="Q2239" t="str">
        <f t="shared" si="197"/>
        <v/>
      </c>
    </row>
    <row r="2240" spans="1:17" hidden="1">
      <c r="A2240" t="s">
        <v>2345</v>
      </c>
      <c r="B2240" s="1">
        <v>45222</v>
      </c>
      <c r="C2240">
        <v>2023</v>
      </c>
      <c r="D2240">
        <v>10</v>
      </c>
      <c r="E2240" t="s">
        <v>47</v>
      </c>
      <c r="F2240" t="s">
        <v>14</v>
      </c>
      <c r="G2240" t="s">
        <v>91</v>
      </c>
      <c r="H2240" t="s">
        <v>249</v>
      </c>
      <c r="I2240">
        <v>12159.42</v>
      </c>
      <c r="J2240">
        <v>10315.25</v>
      </c>
      <c r="K2240" t="s">
        <v>17</v>
      </c>
      <c r="L2240" t="b">
        <v>0</v>
      </c>
      <c r="N2240" s="2" t="b">
        <f t="shared" si="196"/>
        <v>1</v>
      </c>
      <c r="O2240" t="str">
        <f t="shared" ref="O2240:O2242" si="199">IF(AND(E2229="HR",K2229="EXPENSE"),I2229&lt;J2229,"")</f>
        <v/>
      </c>
      <c r="Q2240" t="str">
        <f t="shared" si="197"/>
        <v/>
      </c>
    </row>
    <row r="2241" spans="1:17" hidden="1">
      <c r="A2241" t="s">
        <v>2346</v>
      </c>
      <c r="B2241" s="1">
        <v>45222</v>
      </c>
      <c r="C2241">
        <v>2023</v>
      </c>
      <c r="D2241">
        <v>10</v>
      </c>
      <c r="E2241" t="s">
        <v>47</v>
      </c>
      <c r="F2241" t="s">
        <v>24</v>
      </c>
      <c r="G2241" t="s">
        <v>91</v>
      </c>
      <c r="H2241" t="s">
        <v>92</v>
      </c>
      <c r="I2241">
        <v>9972.27</v>
      </c>
      <c r="J2241">
        <v>8312.1299999999992</v>
      </c>
      <c r="K2241" t="s">
        <v>17</v>
      </c>
      <c r="L2241" t="b">
        <v>0</v>
      </c>
      <c r="N2241" s="2" t="b">
        <f t="shared" si="196"/>
        <v>1</v>
      </c>
      <c r="O2241" t="str">
        <f t="shared" si="199"/>
        <v/>
      </c>
      <c r="Q2241" t="str">
        <f t="shared" si="197"/>
        <v/>
      </c>
    </row>
    <row r="2242" spans="1:17" hidden="1">
      <c r="A2242" t="s">
        <v>2347</v>
      </c>
      <c r="B2242" s="1">
        <v>45222</v>
      </c>
      <c r="C2242">
        <v>2023</v>
      </c>
      <c r="D2242">
        <v>10</v>
      </c>
      <c r="E2242" t="s">
        <v>47</v>
      </c>
      <c r="F2242" t="s">
        <v>24</v>
      </c>
      <c r="G2242" t="s">
        <v>48</v>
      </c>
      <c r="H2242" t="s">
        <v>111</v>
      </c>
      <c r="I2242">
        <v>11697.49</v>
      </c>
      <c r="J2242">
        <v>9741.64</v>
      </c>
      <c r="K2242" t="s">
        <v>17</v>
      </c>
      <c r="L2242" t="b">
        <v>0</v>
      </c>
      <c r="N2242" s="2" t="b">
        <f t="shared" si="196"/>
        <v>1</v>
      </c>
      <c r="O2242" t="str">
        <f t="shared" si="199"/>
        <v/>
      </c>
      <c r="Q2242" t="str">
        <f t="shared" si="197"/>
        <v/>
      </c>
    </row>
    <row r="2243" spans="1:17" hidden="1">
      <c r="A2243" t="s">
        <v>2348</v>
      </c>
      <c r="B2243" s="1">
        <v>45222</v>
      </c>
      <c r="C2243">
        <v>2023</v>
      </c>
      <c r="D2243">
        <v>10</v>
      </c>
      <c r="E2243" t="s">
        <v>19</v>
      </c>
      <c r="F2243" t="s">
        <v>28</v>
      </c>
      <c r="G2243" t="s">
        <v>80</v>
      </c>
      <c r="H2243" t="s">
        <v>150</v>
      </c>
      <c r="I2243">
        <v>4512.4799999999996</v>
      </c>
      <c r="J2243">
        <v>4175.04</v>
      </c>
      <c r="K2243" t="s">
        <v>17</v>
      </c>
      <c r="L2243" t="b">
        <v>0</v>
      </c>
      <c r="N2243" s="2" t="str">
        <f t="shared" ref="N2243:N2306" si="200">IF(AND(E2243="IT",K2243="EXPENSE"),I2243&gt;J2243,"")</f>
        <v/>
      </c>
      <c r="Q2243" t="str">
        <f t="shared" ref="Q2243:Q2306" si="201">IF(L2243=TRUE,OR(H2243="Apex Solutions Inc",H2243="Global Trade Partners",H2243="NovaTech Services"),"")</f>
        <v/>
      </c>
    </row>
    <row r="2244" spans="1:17" hidden="1">
      <c r="A2244" t="s">
        <v>2349</v>
      </c>
      <c r="B2244" s="1">
        <v>45222</v>
      </c>
      <c r="C2244">
        <v>2023</v>
      </c>
      <c r="D2244">
        <v>10</v>
      </c>
      <c r="E2244" t="s">
        <v>37</v>
      </c>
      <c r="F2244" t="s">
        <v>14</v>
      </c>
      <c r="G2244" t="s">
        <v>62</v>
      </c>
      <c r="H2244" t="s">
        <v>121</v>
      </c>
      <c r="I2244">
        <v>3421.51</v>
      </c>
      <c r="J2244">
        <v>3146.15</v>
      </c>
      <c r="K2244" t="s">
        <v>17</v>
      </c>
      <c r="L2244" t="b">
        <v>0</v>
      </c>
      <c r="N2244" s="2" t="str">
        <f t="shared" si="200"/>
        <v/>
      </c>
      <c r="Q2244" t="str">
        <f t="shared" si="201"/>
        <v/>
      </c>
    </row>
    <row r="2245" spans="1:17" hidden="1">
      <c r="A2245" t="s">
        <v>2350</v>
      </c>
      <c r="B2245" s="1">
        <v>45222</v>
      </c>
      <c r="C2245">
        <v>2023</v>
      </c>
      <c r="D2245">
        <v>10</v>
      </c>
      <c r="E2245" t="s">
        <v>37</v>
      </c>
      <c r="F2245" t="s">
        <v>24</v>
      </c>
      <c r="G2245" t="s">
        <v>38</v>
      </c>
      <c r="H2245" t="s">
        <v>39</v>
      </c>
      <c r="I2245">
        <v>3308.25</v>
      </c>
      <c r="J2245">
        <v>3087.61</v>
      </c>
      <c r="K2245" t="s">
        <v>17</v>
      </c>
      <c r="L2245" t="b">
        <v>0</v>
      </c>
      <c r="N2245" s="2" t="str">
        <f t="shared" si="200"/>
        <v/>
      </c>
      <c r="Q2245" t="str">
        <f t="shared" si="201"/>
        <v/>
      </c>
    </row>
    <row r="2246" spans="1:17" hidden="1">
      <c r="A2246" t="s">
        <v>2351</v>
      </c>
      <c r="B2246" s="1">
        <v>45223</v>
      </c>
      <c r="C2246">
        <v>2023</v>
      </c>
      <c r="D2246">
        <v>10</v>
      </c>
      <c r="E2246" t="s">
        <v>47</v>
      </c>
      <c r="F2246" t="s">
        <v>14</v>
      </c>
      <c r="G2246" t="s">
        <v>77</v>
      </c>
      <c r="H2246" t="s">
        <v>147</v>
      </c>
      <c r="I2246">
        <v>16161.62</v>
      </c>
      <c r="J2246">
        <v>13484.47</v>
      </c>
      <c r="K2246" t="s">
        <v>17</v>
      </c>
      <c r="L2246" t="b">
        <v>0</v>
      </c>
      <c r="N2246" s="2" t="b">
        <f t="shared" si="200"/>
        <v>1</v>
      </c>
      <c r="O2246" t="str">
        <f t="shared" ref="O2246:O2248" si="202">IF(AND(E2235="HR",K2235="EXPENSE"),I2235&lt;J2235,"")</f>
        <v/>
      </c>
      <c r="Q2246" t="str">
        <f t="shared" si="201"/>
        <v/>
      </c>
    </row>
    <row r="2247" spans="1:17" hidden="1">
      <c r="A2247" t="s">
        <v>2352</v>
      </c>
      <c r="B2247" s="1">
        <v>45223</v>
      </c>
      <c r="C2247">
        <v>2023</v>
      </c>
      <c r="D2247">
        <v>10</v>
      </c>
      <c r="E2247" t="s">
        <v>47</v>
      </c>
      <c r="F2247" t="s">
        <v>28</v>
      </c>
      <c r="G2247" t="s">
        <v>77</v>
      </c>
      <c r="H2247" t="s">
        <v>147</v>
      </c>
      <c r="I2247">
        <v>12007.31</v>
      </c>
      <c r="J2247">
        <v>10375.27</v>
      </c>
      <c r="K2247" t="s">
        <v>17</v>
      </c>
      <c r="L2247" t="b">
        <v>0</v>
      </c>
      <c r="N2247" s="2" t="b">
        <f t="shared" si="200"/>
        <v>1</v>
      </c>
      <c r="O2247" t="str">
        <f t="shared" si="202"/>
        <v/>
      </c>
      <c r="Q2247" t="str">
        <f t="shared" si="201"/>
        <v/>
      </c>
    </row>
    <row r="2248" spans="1:17" hidden="1">
      <c r="A2248" t="s">
        <v>2353</v>
      </c>
      <c r="B2248" s="1">
        <v>45223</v>
      </c>
      <c r="C2248">
        <v>2023</v>
      </c>
      <c r="D2248">
        <v>10</v>
      </c>
      <c r="E2248" t="s">
        <v>47</v>
      </c>
      <c r="F2248" t="s">
        <v>24</v>
      </c>
      <c r="G2248" t="s">
        <v>51</v>
      </c>
      <c r="H2248" t="s">
        <v>72</v>
      </c>
      <c r="I2248">
        <v>16252.28</v>
      </c>
      <c r="J2248">
        <v>13603.22</v>
      </c>
      <c r="K2248" t="s">
        <v>17</v>
      </c>
      <c r="L2248" t="b">
        <v>0</v>
      </c>
      <c r="N2248" s="2" t="b">
        <f t="shared" si="200"/>
        <v>1</v>
      </c>
      <c r="O2248" t="b">
        <f t="shared" si="202"/>
        <v>1</v>
      </c>
      <c r="Q2248" t="str">
        <f t="shared" si="201"/>
        <v/>
      </c>
    </row>
    <row r="2249" spans="1:17" hidden="1">
      <c r="A2249" t="s">
        <v>2354</v>
      </c>
      <c r="B2249" s="1">
        <v>45223</v>
      </c>
      <c r="C2249">
        <v>2023</v>
      </c>
      <c r="D2249">
        <v>10</v>
      </c>
      <c r="E2249" t="s">
        <v>19</v>
      </c>
      <c r="F2249" t="s">
        <v>28</v>
      </c>
      <c r="G2249" t="s">
        <v>20</v>
      </c>
      <c r="H2249" t="s">
        <v>21</v>
      </c>
      <c r="I2249">
        <v>5669.09</v>
      </c>
      <c r="J2249">
        <v>5157.75</v>
      </c>
      <c r="K2249" t="s">
        <v>17</v>
      </c>
      <c r="L2249" t="b">
        <v>0</v>
      </c>
      <c r="N2249" s="2" t="str">
        <f t="shared" si="200"/>
        <v/>
      </c>
      <c r="Q2249" t="str">
        <f t="shared" si="201"/>
        <v/>
      </c>
    </row>
    <row r="2250" spans="1:17" hidden="1">
      <c r="A2250" t="s">
        <v>2355</v>
      </c>
      <c r="B2250" s="1">
        <v>45223</v>
      </c>
      <c r="C2250">
        <v>2023</v>
      </c>
      <c r="D2250">
        <v>10</v>
      </c>
      <c r="E2250" t="s">
        <v>19</v>
      </c>
      <c r="F2250" t="s">
        <v>28</v>
      </c>
      <c r="G2250" t="s">
        <v>54</v>
      </c>
      <c r="H2250" t="s">
        <v>163</v>
      </c>
      <c r="I2250">
        <v>6399.41</v>
      </c>
      <c r="J2250">
        <v>6991.65</v>
      </c>
      <c r="K2250" t="s">
        <v>17</v>
      </c>
      <c r="L2250" t="b">
        <v>0</v>
      </c>
      <c r="N2250" s="2" t="str">
        <f t="shared" si="200"/>
        <v/>
      </c>
      <c r="Q2250" t="str">
        <f t="shared" si="201"/>
        <v/>
      </c>
    </row>
    <row r="2251" spans="1:17" hidden="1">
      <c r="A2251" t="s">
        <v>2356</v>
      </c>
      <c r="B2251" s="1">
        <v>45223</v>
      </c>
      <c r="C2251">
        <v>2023</v>
      </c>
      <c r="D2251">
        <v>10</v>
      </c>
      <c r="E2251" t="s">
        <v>19</v>
      </c>
      <c r="F2251" t="s">
        <v>28</v>
      </c>
      <c r="G2251" t="s">
        <v>54</v>
      </c>
      <c r="H2251" t="s">
        <v>57</v>
      </c>
      <c r="I2251">
        <v>5828.88</v>
      </c>
      <c r="J2251">
        <v>5978.51</v>
      </c>
      <c r="K2251" t="s">
        <v>17</v>
      </c>
      <c r="L2251" t="b">
        <v>0</v>
      </c>
      <c r="N2251" s="2" t="str">
        <f t="shared" si="200"/>
        <v/>
      </c>
      <c r="Q2251" t="str">
        <f t="shared" si="201"/>
        <v/>
      </c>
    </row>
    <row r="2252" spans="1:17" hidden="1">
      <c r="A2252" t="s">
        <v>2357</v>
      </c>
      <c r="B2252" s="1">
        <v>45223</v>
      </c>
      <c r="C2252">
        <v>2023</v>
      </c>
      <c r="D2252">
        <v>10</v>
      </c>
      <c r="E2252" t="s">
        <v>23</v>
      </c>
      <c r="F2252" t="s">
        <v>14</v>
      </c>
      <c r="G2252" t="s">
        <v>25</v>
      </c>
      <c r="H2252" t="s">
        <v>95</v>
      </c>
      <c r="I2252">
        <v>6013.91</v>
      </c>
      <c r="J2252">
        <v>5592.83</v>
      </c>
      <c r="K2252" t="s">
        <v>17</v>
      </c>
      <c r="L2252" t="b">
        <v>0</v>
      </c>
      <c r="N2252" s="2" t="str">
        <f t="shared" si="200"/>
        <v/>
      </c>
      <c r="Q2252" t="str">
        <f t="shared" si="201"/>
        <v/>
      </c>
    </row>
    <row r="2253" spans="1:17" hidden="1">
      <c r="A2253" t="s">
        <v>2358</v>
      </c>
      <c r="B2253" s="1">
        <v>45223</v>
      </c>
      <c r="C2253">
        <v>2023</v>
      </c>
      <c r="D2253">
        <v>10</v>
      </c>
      <c r="E2253" t="s">
        <v>23</v>
      </c>
      <c r="F2253" t="s">
        <v>28</v>
      </c>
      <c r="G2253" t="s">
        <v>25</v>
      </c>
      <c r="H2253" t="s">
        <v>95</v>
      </c>
      <c r="I2253">
        <v>5714.84</v>
      </c>
      <c r="J2253">
        <v>5432.76</v>
      </c>
      <c r="K2253" t="s">
        <v>17</v>
      </c>
      <c r="L2253" t="b">
        <v>0</v>
      </c>
      <c r="N2253" s="2" t="str">
        <f t="shared" si="200"/>
        <v/>
      </c>
      <c r="Q2253" t="str">
        <f t="shared" si="201"/>
        <v/>
      </c>
    </row>
    <row r="2254" spans="1:17" hidden="1">
      <c r="A2254" t="s">
        <v>2359</v>
      </c>
      <c r="B2254" s="1">
        <v>45223</v>
      </c>
      <c r="C2254">
        <v>2023</v>
      </c>
      <c r="D2254">
        <v>10</v>
      </c>
      <c r="E2254" t="s">
        <v>23</v>
      </c>
      <c r="F2254" t="s">
        <v>24</v>
      </c>
      <c r="G2254" t="s">
        <v>30</v>
      </c>
      <c r="H2254" t="s">
        <v>106</v>
      </c>
      <c r="I2254">
        <v>5713.34</v>
      </c>
      <c r="J2254">
        <v>6141.57</v>
      </c>
      <c r="K2254" t="s">
        <v>17</v>
      </c>
      <c r="L2254" t="b">
        <v>0</v>
      </c>
      <c r="N2254" s="2" t="str">
        <f t="shared" si="200"/>
        <v/>
      </c>
      <c r="Q2254" t="str">
        <f t="shared" si="201"/>
        <v/>
      </c>
    </row>
    <row r="2255" spans="1:17" hidden="1">
      <c r="A2255" t="s">
        <v>2360</v>
      </c>
      <c r="B2255" s="1">
        <v>45223</v>
      </c>
      <c r="C2255">
        <v>2023</v>
      </c>
      <c r="D2255">
        <v>10</v>
      </c>
      <c r="E2255" t="s">
        <v>37</v>
      </c>
      <c r="F2255" t="s">
        <v>14</v>
      </c>
      <c r="G2255" t="s">
        <v>38</v>
      </c>
      <c r="H2255" t="s">
        <v>227</v>
      </c>
      <c r="I2255">
        <v>5137.24</v>
      </c>
      <c r="J2255">
        <v>5318.91</v>
      </c>
      <c r="K2255" t="s">
        <v>17</v>
      </c>
      <c r="L2255" t="b">
        <v>0</v>
      </c>
      <c r="N2255" s="2" t="str">
        <f t="shared" si="200"/>
        <v/>
      </c>
      <c r="Q2255" t="str">
        <f t="shared" si="201"/>
        <v/>
      </c>
    </row>
    <row r="2256" spans="1:17" hidden="1">
      <c r="A2256" t="s">
        <v>2361</v>
      </c>
      <c r="B2256" s="1">
        <v>45224</v>
      </c>
      <c r="C2256">
        <v>2023</v>
      </c>
      <c r="D2256">
        <v>10</v>
      </c>
      <c r="E2256" t="s">
        <v>13</v>
      </c>
      <c r="F2256" t="s">
        <v>14</v>
      </c>
      <c r="G2256" t="s">
        <v>15</v>
      </c>
      <c r="H2256" t="s">
        <v>16</v>
      </c>
      <c r="I2256">
        <v>3746.74</v>
      </c>
      <c r="J2256">
        <v>3923.61</v>
      </c>
      <c r="K2256" t="s">
        <v>17</v>
      </c>
      <c r="L2256" t="b">
        <v>0</v>
      </c>
      <c r="N2256" s="2" t="str">
        <f t="shared" si="200"/>
        <v/>
      </c>
      <c r="Q2256" t="str">
        <f t="shared" si="201"/>
        <v/>
      </c>
    </row>
    <row r="2257" spans="1:17" hidden="1">
      <c r="A2257" t="s">
        <v>2362</v>
      </c>
      <c r="B2257" s="1">
        <v>45224</v>
      </c>
      <c r="C2257">
        <v>2023</v>
      </c>
      <c r="D2257">
        <v>10</v>
      </c>
      <c r="E2257" t="s">
        <v>47</v>
      </c>
      <c r="F2257" t="s">
        <v>28</v>
      </c>
      <c r="G2257" t="s">
        <v>77</v>
      </c>
      <c r="H2257" t="s">
        <v>78</v>
      </c>
      <c r="I2257">
        <v>12743.97</v>
      </c>
      <c r="J2257">
        <v>10581.96</v>
      </c>
      <c r="K2257" t="s">
        <v>17</v>
      </c>
      <c r="L2257" t="b">
        <v>0</v>
      </c>
      <c r="N2257" s="2" t="b">
        <f t="shared" si="200"/>
        <v>1</v>
      </c>
      <c r="O2257" t="str">
        <f t="shared" ref="O2257:O2260" si="203">IF(AND(E2246="HR",K2246="EXPENSE"),I2246&lt;J2246,"")</f>
        <v/>
      </c>
      <c r="Q2257" t="str">
        <f t="shared" si="201"/>
        <v/>
      </c>
    </row>
    <row r="2258" spans="1:17" hidden="1">
      <c r="A2258" t="s">
        <v>2363</v>
      </c>
      <c r="B2258" s="1">
        <v>45224</v>
      </c>
      <c r="C2258">
        <v>2023</v>
      </c>
      <c r="D2258">
        <v>10</v>
      </c>
      <c r="E2258" t="s">
        <v>47</v>
      </c>
      <c r="F2258" t="s">
        <v>28</v>
      </c>
      <c r="G2258" t="s">
        <v>48</v>
      </c>
      <c r="H2258" t="s">
        <v>189</v>
      </c>
      <c r="I2258">
        <v>4711.8900000000003</v>
      </c>
      <c r="J2258">
        <v>3941.46</v>
      </c>
      <c r="K2258" t="s">
        <v>17</v>
      </c>
      <c r="L2258" t="b">
        <v>0</v>
      </c>
      <c r="N2258" s="2" t="b">
        <f t="shared" si="200"/>
        <v>1</v>
      </c>
      <c r="O2258" t="str">
        <f t="shared" si="203"/>
        <v/>
      </c>
      <c r="Q2258" t="str">
        <f t="shared" si="201"/>
        <v/>
      </c>
    </row>
    <row r="2259" spans="1:17" hidden="1">
      <c r="A2259" t="s">
        <v>2364</v>
      </c>
      <c r="B2259" s="1">
        <v>45224</v>
      </c>
      <c r="C2259">
        <v>2023</v>
      </c>
      <c r="D2259">
        <v>10</v>
      </c>
      <c r="E2259" t="s">
        <v>47</v>
      </c>
      <c r="F2259" t="s">
        <v>24</v>
      </c>
      <c r="G2259" t="s">
        <v>77</v>
      </c>
      <c r="H2259" t="s">
        <v>147</v>
      </c>
      <c r="I2259">
        <v>14357.84</v>
      </c>
      <c r="J2259">
        <v>12215.69</v>
      </c>
      <c r="K2259" t="s">
        <v>17</v>
      </c>
      <c r="L2259" t="b">
        <v>0</v>
      </c>
      <c r="N2259" s="2" t="b">
        <f t="shared" si="200"/>
        <v>1</v>
      </c>
      <c r="O2259" t="str">
        <f t="shared" si="203"/>
        <v/>
      </c>
      <c r="Q2259" t="str">
        <f t="shared" si="201"/>
        <v/>
      </c>
    </row>
    <row r="2260" spans="1:17" hidden="1">
      <c r="A2260" t="s">
        <v>2365</v>
      </c>
      <c r="B2260" s="1">
        <v>45224</v>
      </c>
      <c r="C2260">
        <v>2023</v>
      </c>
      <c r="D2260">
        <v>10</v>
      </c>
      <c r="E2260" t="s">
        <v>47</v>
      </c>
      <c r="F2260" t="s">
        <v>24</v>
      </c>
      <c r="G2260" t="s">
        <v>51</v>
      </c>
      <c r="H2260" t="s">
        <v>189</v>
      </c>
      <c r="I2260">
        <v>15382.89</v>
      </c>
      <c r="J2260">
        <v>12874.05</v>
      </c>
      <c r="K2260" t="s">
        <v>17</v>
      </c>
      <c r="L2260" t="b">
        <v>0</v>
      </c>
      <c r="N2260" s="2" t="b">
        <f t="shared" si="200"/>
        <v>1</v>
      </c>
      <c r="O2260" t="str">
        <f t="shared" si="203"/>
        <v/>
      </c>
      <c r="Q2260" t="str">
        <f t="shared" si="201"/>
        <v/>
      </c>
    </row>
    <row r="2261" spans="1:17" hidden="1">
      <c r="A2261" t="s">
        <v>2366</v>
      </c>
      <c r="B2261" s="1">
        <v>45224</v>
      </c>
      <c r="C2261">
        <v>2023</v>
      </c>
      <c r="D2261">
        <v>10</v>
      </c>
      <c r="E2261" t="s">
        <v>19</v>
      </c>
      <c r="F2261" t="s">
        <v>14</v>
      </c>
      <c r="G2261" t="s">
        <v>132</v>
      </c>
      <c r="H2261" t="s">
        <v>171</v>
      </c>
      <c r="I2261">
        <v>2864.58</v>
      </c>
      <c r="J2261">
        <v>3135.33</v>
      </c>
      <c r="K2261" t="s">
        <v>17</v>
      </c>
      <c r="L2261" t="b">
        <v>0</v>
      </c>
      <c r="N2261" s="2" t="str">
        <f t="shared" si="200"/>
        <v/>
      </c>
      <c r="Q2261" t="str">
        <f t="shared" si="201"/>
        <v/>
      </c>
    </row>
    <row r="2262" spans="1:17" hidden="1">
      <c r="A2262" t="s">
        <v>2367</v>
      </c>
      <c r="B2262" s="1">
        <v>45224</v>
      </c>
      <c r="C2262">
        <v>2023</v>
      </c>
      <c r="D2262">
        <v>10</v>
      </c>
      <c r="E2262" t="s">
        <v>19</v>
      </c>
      <c r="F2262" t="s">
        <v>28</v>
      </c>
      <c r="G2262" t="s">
        <v>80</v>
      </c>
      <c r="H2262" t="s">
        <v>81</v>
      </c>
      <c r="I2262">
        <v>3230.64</v>
      </c>
      <c r="J2262">
        <v>2924.77</v>
      </c>
      <c r="K2262" t="s">
        <v>17</v>
      </c>
      <c r="L2262" t="b">
        <v>0</v>
      </c>
      <c r="N2262" s="2" t="str">
        <f t="shared" si="200"/>
        <v/>
      </c>
      <c r="Q2262" t="str">
        <f t="shared" si="201"/>
        <v/>
      </c>
    </row>
    <row r="2263" spans="1:17" hidden="1">
      <c r="A2263" t="s">
        <v>2368</v>
      </c>
      <c r="B2263" s="1">
        <v>45224</v>
      </c>
      <c r="C2263">
        <v>2023</v>
      </c>
      <c r="D2263">
        <v>10</v>
      </c>
      <c r="E2263" t="s">
        <v>37</v>
      </c>
      <c r="F2263" t="s">
        <v>28</v>
      </c>
      <c r="G2263" t="s">
        <v>38</v>
      </c>
      <c r="H2263" t="s">
        <v>39</v>
      </c>
      <c r="I2263">
        <v>4041.82</v>
      </c>
      <c r="J2263">
        <v>4098</v>
      </c>
      <c r="K2263" t="s">
        <v>17</v>
      </c>
      <c r="L2263" t="b">
        <v>0</v>
      </c>
      <c r="N2263" s="2" t="str">
        <f t="shared" si="200"/>
        <v/>
      </c>
      <c r="Q2263" t="str">
        <f t="shared" si="201"/>
        <v/>
      </c>
    </row>
    <row r="2264" spans="1:17" hidden="1">
      <c r="A2264" t="s">
        <v>2369</v>
      </c>
      <c r="B2264" s="1">
        <v>45224</v>
      </c>
      <c r="C2264">
        <v>2023</v>
      </c>
      <c r="D2264">
        <v>10</v>
      </c>
      <c r="E2264" t="s">
        <v>37</v>
      </c>
      <c r="F2264" t="s">
        <v>28</v>
      </c>
      <c r="G2264" t="s">
        <v>41</v>
      </c>
      <c r="H2264" t="s">
        <v>42</v>
      </c>
      <c r="I2264">
        <v>3940.33</v>
      </c>
      <c r="J2264">
        <v>4161.54</v>
      </c>
      <c r="K2264" t="s">
        <v>17</v>
      </c>
      <c r="L2264" t="b">
        <v>0</v>
      </c>
      <c r="N2264" s="2" t="str">
        <f t="shared" si="200"/>
        <v/>
      </c>
      <c r="Q2264" t="str">
        <f t="shared" si="201"/>
        <v/>
      </c>
    </row>
    <row r="2265" spans="1:17" hidden="1">
      <c r="A2265" t="s">
        <v>2370</v>
      </c>
      <c r="B2265" s="1">
        <v>45224</v>
      </c>
      <c r="C2265">
        <v>2023</v>
      </c>
      <c r="D2265">
        <v>10</v>
      </c>
      <c r="E2265" t="s">
        <v>37</v>
      </c>
      <c r="F2265" t="s">
        <v>28</v>
      </c>
      <c r="G2265" t="s">
        <v>38</v>
      </c>
      <c r="H2265" t="s">
        <v>39</v>
      </c>
      <c r="I2265">
        <v>4431.0200000000004</v>
      </c>
      <c r="J2265">
        <v>4546.79</v>
      </c>
      <c r="K2265" t="s">
        <v>17</v>
      </c>
      <c r="L2265" t="b">
        <v>0</v>
      </c>
      <c r="N2265" s="2" t="str">
        <f t="shared" si="200"/>
        <v/>
      </c>
      <c r="Q2265" t="str">
        <f t="shared" si="201"/>
        <v/>
      </c>
    </row>
    <row r="2266" spans="1:17" hidden="1">
      <c r="A2266" t="s">
        <v>2371</v>
      </c>
      <c r="B2266" s="1">
        <v>45225</v>
      </c>
      <c r="C2266">
        <v>2023</v>
      </c>
      <c r="D2266">
        <v>10</v>
      </c>
      <c r="E2266" t="s">
        <v>47</v>
      </c>
      <c r="F2266" t="s">
        <v>24</v>
      </c>
      <c r="G2266" t="s">
        <v>77</v>
      </c>
      <c r="H2266" t="s">
        <v>78</v>
      </c>
      <c r="I2266">
        <v>17240.59</v>
      </c>
      <c r="J2266">
        <v>14875.6</v>
      </c>
      <c r="K2266" t="s">
        <v>17</v>
      </c>
      <c r="L2266" t="b">
        <v>0</v>
      </c>
      <c r="N2266" s="2" t="b">
        <f t="shared" si="200"/>
        <v>1</v>
      </c>
      <c r="O2266" t="str">
        <f>IF(AND(E2255="HR",K2255="EXPENSE"),I2255&lt;J2255,"")</f>
        <v/>
      </c>
      <c r="Q2266" t="str">
        <f t="shared" si="201"/>
        <v/>
      </c>
    </row>
    <row r="2267" spans="1:17" hidden="1">
      <c r="A2267" t="s">
        <v>2372</v>
      </c>
      <c r="B2267" s="1">
        <v>45225</v>
      </c>
      <c r="C2267">
        <v>2023</v>
      </c>
      <c r="D2267">
        <v>10</v>
      </c>
      <c r="E2267" t="s">
        <v>19</v>
      </c>
      <c r="F2267" t="s">
        <v>24</v>
      </c>
      <c r="G2267" t="s">
        <v>132</v>
      </c>
      <c r="H2267" t="s">
        <v>171</v>
      </c>
      <c r="I2267">
        <v>6561.98</v>
      </c>
      <c r="J2267">
        <v>6562.79</v>
      </c>
      <c r="K2267" t="s">
        <v>17</v>
      </c>
      <c r="L2267" t="b">
        <v>0</v>
      </c>
      <c r="N2267" s="2" t="str">
        <f t="shared" si="200"/>
        <v/>
      </c>
      <c r="Q2267" t="str">
        <f t="shared" si="201"/>
        <v/>
      </c>
    </row>
    <row r="2268" spans="1:17" hidden="1">
      <c r="A2268" t="s">
        <v>2373</v>
      </c>
      <c r="B2268" s="1">
        <v>45225</v>
      </c>
      <c r="C2268">
        <v>2023</v>
      </c>
      <c r="D2268">
        <v>10</v>
      </c>
      <c r="E2268" t="s">
        <v>37</v>
      </c>
      <c r="F2268" t="s">
        <v>14</v>
      </c>
      <c r="G2268" t="s">
        <v>41</v>
      </c>
      <c r="H2268" t="s">
        <v>42</v>
      </c>
      <c r="I2268">
        <v>2920.03</v>
      </c>
      <c r="J2268">
        <v>2775.38</v>
      </c>
      <c r="K2268" t="s">
        <v>17</v>
      </c>
      <c r="L2268" t="b">
        <v>0</v>
      </c>
      <c r="N2268" s="2" t="str">
        <f t="shared" si="200"/>
        <v/>
      </c>
      <c r="Q2268" t="str">
        <f t="shared" si="201"/>
        <v/>
      </c>
    </row>
    <row r="2269" spans="1:17" hidden="1">
      <c r="A2269" t="s">
        <v>2374</v>
      </c>
      <c r="B2269" s="1">
        <v>45225</v>
      </c>
      <c r="C2269">
        <v>2023</v>
      </c>
      <c r="D2269">
        <v>10</v>
      </c>
      <c r="E2269" t="s">
        <v>37</v>
      </c>
      <c r="F2269" t="s">
        <v>14</v>
      </c>
      <c r="G2269" t="s">
        <v>38</v>
      </c>
      <c r="H2269" t="s">
        <v>118</v>
      </c>
      <c r="I2269">
        <v>5173.32</v>
      </c>
      <c r="J2269">
        <v>4830.58</v>
      </c>
      <c r="K2269" t="s">
        <v>17</v>
      </c>
      <c r="L2269" t="b">
        <v>0</v>
      </c>
      <c r="N2269" s="2" t="str">
        <f t="shared" si="200"/>
        <v/>
      </c>
      <c r="Q2269" t="str">
        <f t="shared" si="201"/>
        <v/>
      </c>
    </row>
    <row r="2270" spans="1:17" hidden="1">
      <c r="A2270" t="s">
        <v>2375</v>
      </c>
      <c r="B2270" s="1">
        <v>45225</v>
      </c>
      <c r="C2270">
        <v>2023</v>
      </c>
      <c r="D2270">
        <v>10</v>
      </c>
      <c r="E2270" t="s">
        <v>37</v>
      </c>
      <c r="F2270" t="s">
        <v>24</v>
      </c>
      <c r="G2270" t="s">
        <v>83</v>
      </c>
      <c r="H2270" t="s">
        <v>84</v>
      </c>
      <c r="I2270">
        <v>153744.76999999999</v>
      </c>
      <c r="J2270">
        <v>146057.53</v>
      </c>
      <c r="K2270" t="s">
        <v>85</v>
      </c>
      <c r="L2270" t="b">
        <v>0</v>
      </c>
      <c r="N2270" s="2" t="str">
        <f t="shared" si="200"/>
        <v/>
      </c>
      <c r="Q2270" t="str">
        <f t="shared" si="201"/>
        <v/>
      </c>
    </row>
    <row r="2271" spans="1:17" hidden="1">
      <c r="A2271" t="s">
        <v>2376</v>
      </c>
      <c r="B2271" s="1">
        <v>45226</v>
      </c>
      <c r="C2271">
        <v>2023</v>
      </c>
      <c r="D2271">
        <v>10</v>
      </c>
      <c r="E2271" t="s">
        <v>13</v>
      </c>
      <c r="F2271" t="s">
        <v>28</v>
      </c>
      <c r="G2271" t="s">
        <v>68</v>
      </c>
      <c r="H2271" t="s">
        <v>69</v>
      </c>
      <c r="I2271">
        <v>4047.75</v>
      </c>
      <c r="J2271">
        <v>4184.79</v>
      </c>
      <c r="K2271" t="s">
        <v>17</v>
      </c>
      <c r="L2271" t="b">
        <v>0</v>
      </c>
      <c r="N2271" s="2" t="str">
        <f t="shared" si="200"/>
        <v/>
      </c>
      <c r="Q2271" t="str">
        <f t="shared" si="201"/>
        <v/>
      </c>
    </row>
    <row r="2272" spans="1:17" hidden="1">
      <c r="A2272" t="s">
        <v>2377</v>
      </c>
      <c r="B2272" s="1">
        <v>45226</v>
      </c>
      <c r="C2272">
        <v>2023</v>
      </c>
      <c r="D2272">
        <v>10</v>
      </c>
      <c r="E2272" t="s">
        <v>13</v>
      </c>
      <c r="F2272" t="s">
        <v>24</v>
      </c>
      <c r="G2272" t="s">
        <v>108</v>
      </c>
      <c r="H2272" t="s">
        <v>109</v>
      </c>
      <c r="I2272">
        <v>3053.58</v>
      </c>
      <c r="J2272">
        <v>3128.67</v>
      </c>
      <c r="K2272" t="s">
        <v>17</v>
      </c>
      <c r="L2272" t="b">
        <v>0</v>
      </c>
      <c r="N2272" s="2" t="str">
        <f t="shared" si="200"/>
        <v/>
      </c>
      <c r="Q2272" t="str">
        <f t="shared" si="201"/>
        <v/>
      </c>
    </row>
    <row r="2273" spans="1:17" hidden="1">
      <c r="A2273" t="s">
        <v>2378</v>
      </c>
      <c r="B2273" s="1">
        <v>45226</v>
      </c>
      <c r="C2273">
        <v>2023</v>
      </c>
      <c r="D2273">
        <v>10</v>
      </c>
      <c r="E2273" t="s">
        <v>47</v>
      </c>
      <c r="F2273" t="s">
        <v>28</v>
      </c>
      <c r="G2273" t="s">
        <v>77</v>
      </c>
      <c r="H2273" t="s">
        <v>130</v>
      </c>
      <c r="I2273">
        <v>14651.96</v>
      </c>
      <c r="J2273">
        <v>12370.37</v>
      </c>
      <c r="K2273" t="s">
        <v>17</v>
      </c>
      <c r="L2273" t="b">
        <v>0</v>
      </c>
      <c r="N2273" s="2" t="b">
        <f t="shared" si="200"/>
        <v>1</v>
      </c>
      <c r="O2273" t="str">
        <f t="shared" ref="O2273:O2274" si="204">IF(AND(E2262="HR",K2262="EXPENSE"),I2262&lt;J2262,"")</f>
        <v/>
      </c>
      <c r="Q2273" t="str">
        <f t="shared" si="201"/>
        <v/>
      </c>
    </row>
    <row r="2274" spans="1:17" hidden="1">
      <c r="A2274" t="s">
        <v>2379</v>
      </c>
      <c r="B2274" s="1">
        <v>45226</v>
      </c>
      <c r="C2274">
        <v>2023</v>
      </c>
      <c r="D2274">
        <v>10</v>
      </c>
      <c r="E2274" t="s">
        <v>47</v>
      </c>
      <c r="F2274" t="s">
        <v>28</v>
      </c>
      <c r="G2274" t="s">
        <v>51</v>
      </c>
      <c r="H2274" t="s">
        <v>52</v>
      </c>
      <c r="I2274">
        <v>8712.11</v>
      </c>
      <c r="J2274">
        <v>7226.07</v>
      </c>
      <c r="K2274" t="s">
        <v>17</v>
      </c>
      <c r="L2274" t="b">
        <v>0</v>
      </c>
      <c r="N2274" s="2" t="b">
        <f t="shared" si="200"/>
        <v>1</v>
      </c>
      <c r="O2274" t="str">
        <f t="shared" si="204"/>
        <v/>
      </c>
      <c r="Q2274" t="str">
        <f t="shared" si="201"/>
        <v/>
      </c>
    </row>
    <row r="2275" spans="1:17" hidden="1">
      <c r="A2275" t="s">
        <v>2380</v>
      </c>
      <c r="B2275" s="1">
        <v>45226</v>
      </c>
      <c r="C2275">
        <v>2023</v>
      </c>
      <c r="D2275">
        <v>10</v>
      </c>
      <c r="E2275" t="s">
        <v>23</v>
      </c>
      <c r="F2275" t="s">
        <v>28</v>
      </c>
      <c r="G2275" t="s">
        <v>30</v>
      </c>
      <c r="H2275" t="s">
        <v>106</v>
      </c>
      <c r="I2275">
        <v>5703.79</v>
      </c>
      <c r="J2275">
        <v>5657.66</v>
      </c>
      <c r="K2275" t="s">
        <v>17</v>
      </c>
      <c r="L2275" t="b">
        <v>0</v>
      </c>
      <c r="N2275" s="2" t="str">
        <f t="shared" si="200"/>
        <v/>
      </c>
      <c r="Q2275" t="str">
        <f t="shared" si="201"/>
        <v/>
      </c>
    </row>
    <row r="2276" spans="1:17" hidden="1">
      <c r="A2276" t="s">
        <v>2381</v>
      </c>
      <c r="B2276" s="1">
        <v>45226</v>
      </c>
      <c r="C2276">
        <v>2023</v>
      </c>
      <c r="D2276">
        <v>10</v>
      </c>
      <c r="E2276" t="s">
        <v>37</v>
      </c>
      <c r="F2276" t="s">
        <v>14</v>
      </c>
      <c r="G2276" t="s">
        <v>41</v>
      </c>
      <c r="H2276" t="s">
        <v>42</v>
      </c>
      <c r="I2276">
        <v>4704.72</v>
      </c>
      <c r="J2276">
        <v>5145.3900000000003</v>
      </c>
      <c r="K2276" t="s">
        <v>17</v>
      </c>
      <c r="L2276" t="b">
        <v>0</v>
      </c>
      <c r="N2276" s="2" t="str">
        <f t="shared" si="200"/>
        <v/>
      </c>
      <c r="Q2276" t="str">
        <f t="shared" si="201"/>
        <v/>
      </c>
    </row>
    <row r="2277" spans="1:17" hidden="1">
      <c r="A2277" t="s">
        <v>2382</v>
      </c>
      <c r="B2277" s="1">
        <v>45226</v>
      </c>
      <c r="C2277">
        <v>2023</v>
      </c>
      <c r="D2277">
        <v>10</v>
      </c>
      <c r="E2277" t="s">
        <v>37</v>
      </c>
      <c r="F2277" t="s">
        <v>14</v>
      </c>
      <c r="G2277" t="s">
        <v>98</v>
      </c>
      <c r="H2277" t="s">
        <v>99</v>
      </c>
      <c r="I2277">
        <v>4215.53</v>
      </c>
      <c r="J2277">
        <v>4464.74</v>
      </c>
      <c r="K2277" t="s">
        <v>17</v>
      </c>
      <c r="L2277" t="b">
        <v>0</v>
      </c>
      <c r="N2277" s="2" t="str">
        <f t="shared" si="200"/>
        <v/>
      </c>
      <c r="Q2277" t="str">
        <f t="shared" si="201"/>
        <v/>
      </c>
    </row>
    <row r="2278" spans="1:17" hidden="1">
      <c r="A2278" t="s">
        <v>2383</v>
      </c>
      <c r="B2278" s="1">
        <v>45227</v>
      </c>
      <c r="C2278">
        <v>2023</v>
      </c>
      <c r="D2278">
        <v>10</v>
      </c>
      <c r="E2278" t="s">
        <v>13</v>
      </c>
      <c r="F2278" t="s">
        <v>14</v>
      </c>
      <c r="G2278" t="s">
        <v>15</v>
      </c>
      <c r="H2278" t="s">
        <v>89</v>
      </c>
      <c r="I2278">
        <v>5014.0600000000004</v>
      </c>
      <c r="J2278">
        <v>5246.58</v>
      </c>
      <c r="K2278" t="s">
        <v>17</v>
      </c>
      <c r="L2278" t="b">
        <v>0</v>
      </c>
      <c r="N2278" s="2" t="str">
        <f t="shared" si="200"/>
        <v/>
      </c>
      <c r="Q2278" t="str">
        <f t="shared" si="201"/>
        <v/>
      </c>
    </row>
    <row r="2279" spans="1:17" hidden="1">
      <c r="A2279" t="s">
        <v>2384</v>
      </c>
      <c r="B2279" s="1">
        <v>45227</v>
      </c>
      <c r="C2279">
        <v>2023</v>
      </c>
      <c r="D2279">
        <v>10</v>
      </c>
      <c r="E2279" t="s">
        <v>13</v>
      </c>
      <c r="F2279" t="s">
        <v>14</v>
      </c>
      <c r="G2279" t="s">
        <v>102</v>
      </c>
      <c r="H2279" t="s">
        <v>145</v>
      </c>
      <c r="I2279">
        <v>5108.55</v>
      </c>
      <c r="J2279">
        <v>4745.1400000000003</v>
      </c>
      <c r="K2279" t="s">
        <v>17</v>
      </c>
      <c r="L2279" t="b">
        <v>0</v>
      </c>
      <c r="N2279" s="2" t="str">
        <f t="shared" si="200"/>
        <v/>
      </c>
      <c r="Q2279" t="str">
        <f t="shared" si="201"/>
        <v/>
      </c>
    </row>
    <row r="2280" spans="1:17" hidden="1">
      <c r="A2280" t="s">
        <v>2385</v>
      </c>
      <c r="B2280" s="1">
        <v>45227</v>
      </c>
      <c r="C2280">
        <v>2023</v>
      </c>
      <c r="D2280">
        <v>10</v>
      </c>
      <c r="E2280" t="s">
        <v>13</v>
      </c>
      <c r="F2280" t="s">
        <v>24</v>
      </c>
      <c r="G2280" t="s">
        <v>102</v>
      </c>
      <c r="H2280" t="s">
        <v>103</v>
      </c>
      <c r="I2280">
        <v>2110.91</v>
      </c>
      <c r="J2280">
        <v>2271.08</v>
      </c>
      <c r="K2280" t="s">
        <v>17</v>
      </c>
      <c r="L2280" t="b">
        <v>0</v>
      </c>
      <c r="N2280" s="2" t="str">
        <f t="shared" si="200"/>
        <v/>
      </c>
      <c r="Q2280" t="str">
        <f t="shared" si="201"/>
        <v/>
      </c>
    </row>
    <row r="2281" spans="1:17" hidden="1">
      <c r="A2281" t="s">
        <v>2386</v>
      </c>
      <c r="B2281" s="1">
        <v>45227</v>
      </c>
      <c r="C2281">
        <v>2023</v>
      </c>
      <c r="D2281">
        <v>10</v>
      </c>
      <c r="E2281" t="s">
        <v>13</v>
      </c>
      <c r="F2281" t="s">
        <v>24</v>
      </c>
      <c r="G2281" t="s">
        <v>68</v>
      </c>
      <c r="H2281" t="s">
        <v>69</v>
      </c>
      <c r="I2281">
        <v>3868.81</v>
      </c>
      <c r="J2281">
        <v>3958.8</v>
      </c>
      <c r="K2281" t="s">
        <v>17</v>
      </c>
      <c r="L2281" t="b">
        <v>0</v>
      </c>
      <c r="N2281" s="2" t="str">
        <f t="shared" si="200"/>
        <v/>
      </c>
      <c r="Q2281" t="str">
        <f t="shared" si="201"/>
        <v/>
      </c>
    </row>
    <row r="2282" spans="1:17" hidden="1">
      <c r="A2282" t="s">
        <v>2387</v>
      </c>
      <c r="B2282" s="1">
        <v>45227</v>
      </c>
      <c r="C2282">
        <v>2023</v>
      </c>
      <c r="D2282">
        <v>10</v>
      </c>
      <c r="E2282" t="s">
        <v>47</v>
      </c>
      <c r="F2282" t="s">
        <v>14</v>
      </c>
      <c r="G2282" t="s">
        <v>91</v>
      </c>
      <c r="H2282" t="s">
        <v>128</v>
      </c>
      <c r="I2282">
        <v>10028.040000000001</v>
      </c>
      <c r="J2282">
        <v>8593.6299999999992</v>
      </c>
      <c r="K2282" t="s">
        <v>17</v>
      </c>
      <c r="L2282" t="b">
        <v>0</v>
      </c>
      <c r="N2282" s="2" t="b">
        <f t="shared" si="200"/>
        <v>1</v>
      </c>
      <c r="O2282" t="b">
        <f t="shared" ref="O2282:O2284" si="205">IF(AND(E2271="HR",K2271="EXPENSE"),I2271&lt;J2271,"")</f>
        <v>1</v>
      </c>
      <c r="Q2282" t="str">
        <f t="shared" si="201"/>
        <v/>
      </c>
    </row>
    <row r="2283" spans="1:17" hidden="1">
      <c r="A2283" t="s">
        <v>2388</v>
      </c>
      <c r="B2283" s="1">
        <v>45227</v>
      </c>
      <c r="C2283">
        <v>2023</v>
      </c>
      <c r="D2283">
        <v>10</v>
      </c>
      <c r="E2283" t="s">
        <v>47</v>
      </c>
      <c r="F2283" t="s">
        <v>14</v>
      </c>
      <c r="G2283" t="s">
        <v>51</v>
      </c>
      <c r="H2283" t="s">
        <v>52</v>
      </c>
      <c r="I2283">
        <v>13920.58</v>
      </c>
      <c r="J2283">
        <v>11591.87</v>
      </c>
      <c r="K2283" t="s">
        <v>17</v>
      </c>
      <c r="L2283" t="b">
        <v>0</v>
      </c>
      <c r="N2283" s="2" t="b">
        <f t="shared" si="200"/>
        <v>1</v>
      </c>
      <c r="O2283" t="b">
        <f t="shared" si="205"/>
        <v>1</v>
      </c>
      <c r="Q2283" t="str">
        <f t="shared" si="201"/>
        <v/>
      </c>
    </row>
    <row r="2284" spans="1:17" hidden="1">
      <c r="A2284" t="s">
        <v>2389</v>
      </c>
      <c r="B2284" s="1">
        <v>45227</v>
      </c>
      <c r="C2284">
        <v>2023</v>
      </c>
      <c r="D2284">
        <v>10</v>
      </c>
      <c r="E2284" t="s">
        <v>47</v>
      </c>
      <c r="F2284" t="s">
        <v>24</v>
      </c>
      <c r="G2284" t="s">
        <v>51</v>
      </c>
      <c r="H2284" t="s">
        <v>189</v>
      </c>
      <c r="I2284">
        <v>12635.23</v>
      </c>
      <c r="J2284">
        <v>10682.19</v>
      </c>
      <c r="K2284" t="s">
        <v>17</v>
      </c>
      <c r="L2284" t="b">
        <v>0</v>
      </c>
      <c r="N2284" s="2" t="b">
        <f t="shared" si="200"/>
        <v>1</v>
      </c>
      <c r="O2284" t="str">
        <f t="shared" si="205"/>
        <v/>
      </c>
      <c r="Q2284" t="str">
        <f t="shared" si="201"/>
        <v/>
      </c>
    </row>
    <row r="2285" spans="1:17" hidden="1">
      <c r="A2285" t="s">
        <v>2390</v>
      </c>
      <c r="B2285" s="1">
        <v>45227</v>
      </c>
      <c r="C2285">
        <v>2023</v>
      </c>
      <c r="D2285">
        <v>10</v>
      </c>
      <c r="E2285" t="s">
        <v>19</v>
      </c>
      <c r="F2285" t="s">
        <v>24</v>
      </c>
      <c r="G2285" t="s">
        <v>54</v>
      </c>
      <c r="H2285" t="s">
        <v>163</v>
      </c>
      <c r="I2285">
        <v>6361.74</v>
      </c>
      <c r="J2285">
        <v>5949.36</v>
      </c>
      <c r="K2285" t="s">
        <v>17</v>
      </c>
      <c r="L2285" t="b">
        <v>0</v>
      </c>
      <c r="N2285" s="2" t="str">
        <f t="shared" si="200"/>
        <v/>
      </c>
      <c r="Q2285" t="str">
        <f t="shared" si="201"/>
        <v/>
      </c>
    </row>
    <row r="2286" spans="1:17" hidden="1">
      <c r="A2286" t="s">
        <v>2391</v>
      </c>
      <c r="B2286" s="1">
        <v>45228</v>
      </c>
      <c r="C2286">
        <v>2023</v>
      </c>
      <c r="D2286">
        <v>10</v>
      </c>
      <c r="E2286" t="s">
        <v>13</v>
      </c>
      <c r="F2286" t="s">
        <v>24</v>
      </c>
      <c r="G2286" t="s">
        <v>15</v>
      </c>
      <c r="H2286" t="s">
        <v>45</v>
      </c>
      <c r="I2286">
        <v>3005.17</v>
      </c>
      <c r="J2286">
        <v>2956.44</v>
      </c>
      <c r="K2286" t="s">
        <v>17</v>
      </c>
      <c r="L2286" t="b">
        <v>0</v>
      </c>
      <c r="N2286" s="2" t="str">
        <f t="shared" si="200"/>
        <v/>
      </c>
      <c r="Q2286" t="str">
        <f t="shared" si="201"/>
        <v/>
      </c>
    </row>
    <row r="2287" spans="1:17" hidden="1">
      <c r="A2287" t="s">
        <v>2392</v>
      </c>
      <c r="B2287" s="1">
        <v>45228</v>
      </c>
      <c r="C2287">
        <v>2023</v>
      </c>
      <c r="D2287">
        <v>10</v>
      </c>
      <c r="E2287" t="s">
        <v>47</v>
      </c>
      <c r="F2287" t="s">
        <v>28</v>
      </c>
      <c r="G2287" t="s">
        <v>77</v>
      </c>
      <c r="H2287" t="s">
        <v>130</v>
      </c>
      <c r="I2287">
        <v>13012.7</v>
      </c>
      <c r="J2287">
        <v>10931.23</v>
      </c>
      <c r="K2287" t="s">
        <v>17</v>
      </c>
      <c r="L2287" t="b">
        <v>0</v>
      </c>
      <c r="N2287" s="2" t="b">
        <f t="shared" si="200"/>
        <v>1</v>
      </c>
      <c r="O2287" t="str">
        <f t="shared" ref="O2287:O2289" si="206">IF(AND(E2276="HR",K2276="EXPENSE"),I2276&lt;J2276,"")</f>
        <v/>
      </c>
      <c r="Q2287" t="str">
        <f t="shared" si="201"/>
        <v/>
      </c>
    </row>
    <row r="2288" spans="1:17" hidden="1">
      <c r="A2288" t="s">
        <v>2393</v>
      </c>
      <c r="B2288" s="1">
        <v>45228</v>
      </c>
      <c r="C2288">
        <v>2023</v>
      </c>
      <c r="D2288">
        <v>10</v>
      </c>
      <c r="E2288" t="s">
        <v>47</v>
      </c>
      <c r="F2288" t="s">
        <v>28</v>
      </c>
      <c r="G2288" t="s">
        <v>48</v>
      </c>
      <c r="H2288" t="s">
        <v>111</v>
      </c>
      <c r="I2288">
        <v>11900.15</v>
      </c>
      <c r="J2288">
        <v>10166.84</v>
      </c>
      <c r="K2288" t="s">
        <v>17</v>
      </c>
      <c r="L2288" t="b">
        <v>0</v>
      </c>
      <c r="N2288" s="2" t="b">
        <f t="shared" si="200"/>
        <v>1</v>
      </c>
      <c r="O2288" t="str">
        <f t="shared" si="206"/>
        <v/>
      </c>
      <c r="Q2288" t="str">
        <f t="shared" si="201"/>
        <v/>
      </c>
    </row>
    <row r="2289" spans="1:17" hidden="1">
      <c r="A2289" t="s">
        <v>2394</v>
      </c>
      <c r="B2289" s="1">
        <v>45228</v>
      </c>
      <c r="C2289">
        <v>2023</v>
      </c>
      <c r="D2289">
        <v>10</v>
      </c>
      <c r="E2289" t="s">
        <v>47</v>
      </c>
      <c r="F2289" t="s">
        <v>24</v>
      </c>
      <c r="G2289" t="s">
        <v>77</v>
      </c>
      <c r="H2289" t="s">
        <v>78</v>
      </c>
      <c r="I2289">
        <v>15760.5</v>
      </c>
      <c r="J2289">
        <v>13592.54</v>
      </c>
      <c r="K2289" t="s">
        <v>17</v>
      </c>
      <c r="L2289" t="b">
        <v>0</v>
      </c>
      <c r="N2289" s="2" t="b">
        <f t="shared" si="200"/>
        <v>1</v>
      </c>
      <c r="O2289" t="b">
        <f t="shared" si="206"/>
        <v>1</v>
      </c>
      <c r="Q2289" t="str">
        <f t="shared" si="201"/>
        <v/>
      </c>
    </row>
    <row r="2290" spans="1:17" hidden="1">
      <c r="A2290" t="s">
        <v>2395</v>
      </c>
      <c r="B2290" s="1">
        <v>45228</v>
      </c>
      <c r="C2290">
        <v>2023</v>
      </c>
      <c r="D2290">
        <v>10</v>
      </c>
      <c r="E2290" t="s">
        <v>19</v>
      </c>
      <c r="F2290" t="s">
        <v>14</v>
      </c>
      <c r="G2290" t="s">
        <v>20</v>
      </c>
      <c r="H2290" t="s">
        <v>174</v>
      </c>
      <c r="I2290">
        <v>2489.0700000000002</v>
      </c>
      <c r="J2290">
        <v>2579.9299999999998</v>
      </c>
      <c r="K2290" t="s">
        <v>17</v>
      </c>
      <c r="L2290" t="b">
        <v>0</v>
      </c>
      <c r="N2290" s="2" t="str">
        <f t="shared" si="200"/>
        <v/>
      </c>
      <c r="Q2290" t="str">
        <f t="shared" si="201"/>
        <v/>
      </c>
    </row>
    <row r="2291" spans="1:17" hidden="1">
      <c r="A2291" t="s">
        <v>2396</v>
      </c>
      <c r="B2291" s="1">
        <v>45228</v>
      </c>
      <c r="C2291">
        <v>2023</v>
      </c>
      <c r="D2291">
        <v>10</v>
      </c>
      <c r="E2291" t="s">
        <v>19</v>
      </c>
      <c r="F2291" t="s">
        <v>14</v>
      </c>
      <c r="G2291" t="s">
        <v>54</v>
      </c>
      <c r="H2291" t="s">
        <v>163</v>
      </c>
      <c r="I2291">
        <v>4408.66</v>
      </c>
      <c r="J2291">
        <v>4494.79</v>
      </c>
      <c r="K2291" t="s">
        <v>17</v>
      </c>
      <c r="L2291" t="b">
        <v>0</v>
      </c>
      <c r="N2291" s="2" t="str">
        <f t="shared" si="200"/>
        <v/>
      </c>
      <c r="Q2291" t="str">
        <f t="shared" si="201"/>
        <v/>
      </c>
    </row>
    <row r="2292" spans="1:17" hidden="1">
      <c r="A2292" t="s">
        <v>2397</v>
      </c>
      <c r="B2292" s="1">
        <v>45228</v>
      </c>
      <c r="C2292">
        <v>2023</v>
      </c>
      <c r="D2292">
        <v>10</v>
      </c>
      <c r="E2292" t="s">
        <v>19</v>
      </c>
      <c r="F2292" t="s">
        <v>14</v>
      </c>
      <c r="G2292" t="s">
        <v>54</v>
      </c>
      <c r="H2292" t="s">
        <v>55</v>
      </c>
      <c r="I2292">
        <v>6560.4</v>
      </c>
      <c r="J2292">
        <v>7004.98</v>
      </c>
      <c r="K2292" t="s">
        <v>17</v>
      </c>
      <c r="L2292" t="b">
        <v>0</v>
      </c>
      <c r="N2292" s="2" t="str">
        <f t="shared" si="200"/>
        <v/>
      </c>
      <c r="Q2292" t="str">
        <f t="shared" si="201"/>
        <v/>
      </c>
    </row>
    <row r="2293" spans="1:17" hidden="1">
      <c r="A2293" t="s">
        <v>2398</v>
      </c>
      <c r="B2293" s="1">
        <v>45228</v>
      </c>
      <c r="C2293">
        <v>2023</v>
      </c>
      <c r="D2293">
        <v>10</v>
      </c>
      <c r="E2293" t="s">
        <v>23</v>
      </c>
      <c r="F2293" t="s">
        <v>14</v>
      </c>
      <c r="G2293" t="s">
        <v>30</v>
      </c>
      <c r="H2293" t="s">
        <v>31</v>
      </c>
      <c r="I2293">
        <v>7168.58</v>
      </c>
      <c r="J2293">
        <v>7406.5</v>
      </c>
      <c r="K2293" t="s">
        <v>17</v>
      </c>
      <c r="L2293" t="b">
        <v>0</v>
      </c>
      <c r="N2293" s="2" t="str">
        <f t="shared" si="200"/>
        <v/>
      </c>
      <c r="Q2293" t="str">
        <f t="shared" si="201"/>
        <v/>
      </c>
    </row>
    <row r="2294" spans="1:17" hidden="1">
      <c r="A2294" t="s">
        <v>2399</v>
      </c>
      <c r="B2294" s="1">
        <v>45228</v>
      </c>
      <c r="C2294">
        <v>2023</v>
      </c>
      <c r="D2294">
        <v>10</v>
      </c>
      <c r="E2294" t="s">
        <v>23</v>
      </c>
      <c r="F2294" t="s">
        <v>28</v>
      </c>
      <c r="G2294" t="s">
        <v>25</v>
      </c>
      <c r="H2294" t="s">
        <v>35</v>
      </c>
      <c r="I2294">
        <v>6369.06</v>
      </c>
      <c r="J2294">
        <v>6371.44</v>
      </c>
      <c r="K2294" t="s">
        <v>17</v>
      </c>
      <c r="L2294" t="b">
        <v>0</v>
      </c>
      <c r="N2294" s="2" t="str">
        <f t="shared" si="200"/>
        <v/>
      </c>
      <c r="Q2294" t="str">
        <f t="shared" si="201"/>
        <v/>
      </c>
    </row>
    <row r="2295" spans="1:17" hidden="1">
      <c r="A2295" t="s">
        <v>2400</v>
      </c>
      <c r="B2295" s="1">
        <v>45228</v>
      </c>
      <c r="C2295">
        <v>2023</v>
      </c>
      <c r="D2295">
        <v>10</v>
      </c>
      <c r="E2295" t="s">
        <v>23</v>
      </c>
      <c r="F2295" t="s">
        <v>28</v>
      </c>
      <c r="G2295" t="s">
        <v>59</v>
      </c>
      <c r="H2295" t="s">
        <v>155</v>
      </c>
      <c r="I2295">
        <v>4436.63</v>
      </c>
      <c r="J2295">
        <v>4363.8599999999997</v>
      </c>
      <c r="K2295" t="s">
        <v>17</v>
      </c>
      <c r="L2295" t="b">
        <v>0</v>
      </c>
      <c r="N2295" s="2" t="str">
        <f t="shared" si="200"/>
        <v/>
      </c>
      <c r="Q2295" t="str">
        <f t="shared" si="201"/>
        <v/>
      </c>
    </row>
    <row r="2296" spans="1:17" hidden="1">
      <c r="A2296" t="s">
        <v>2401</v>
      </c>
      <c r="B2296" s="1">
        <v>45228</v>
      </c>
      <c r="C2296">
        <v>2023</v>
      </c>
      <c r="D2296">
        <v>10</v>
      </c>
      <c r="E2296" t="s">
        <v>37</v>
      </c>
      <c r="F2296" t="s">
        <v>14</v>
      </c>
      <c r="G2296" t="s">
        <v>98</v>
      </c>
      <c r="H2296" t="s">
        <v>99</v>
      </c>
      <c r="I2296">
        <v>4830.2299999999996</v>
      </c>
      <c r="J2296">
        <v>4447.17</v>
      </c>
      <c r="K2296" t="s">
        <v>17</v>
      </c>
      <c r="L2296" t="b">
        <v>0</v>
      </c>
      <c r="N2296" s="2" t="str">
        <f t="shared" si="200"/>
        <v/>
      </c>
      <c r="Q2296" t="str">
        <f t="shared" si="201"/>
        <v/>
      </c>
    </row>
    <row r="2297" spans="1:17" hidden="1">
      <c r="A2297" t="s">
        <v>2402</v>
      </c>
      <c r="B2297" s="1">
        <v>45228</v>
      </c>
      <c r="C2297">
        <v>2023</v>
      </c>
      <c r="D2297">
        <v>10</v>
      </c>
      <c r="E2297" t="s">
        <v>37</v>
      </c>
      <c r="F2297" t="s">
        <v>28</v>
      </c>
      <c r="G2297" t="s">
        <v>62</v>
      </c>
      <c r="H2297" t="s">
        <v>360</v>
      </c>
      <c r="I2297">
        <v>3658.04</v>
      </c>
      <c r="J2297">
        <v>4009.18</v>
      </c>
      <c r="K2297" t="s">
        <v>17</v>
      </c>
      <c r="L2297" t="b">
        <v>0</v>
      </c>
      <c r="N2297" s="2" t="str">
        <f t="shared" si="200"/>
        <v/>
      </c>
      <c r="Q2297" t="str">
        <f t="shared" si="201"/>
        <v/>
      </c>
    </row>
    <row r="2298" spans="1:17" hidden="1">
      <c r="A2298" t="s">
        <v>2403</v>
      </c>
      <c r="B2298" s="1">
        <v>45228</v>
      </c>
      <c r="C2298">
        <v>2023</v>
      </c>
      <c r="D2298">
        <v>10</v>
      </c>
      <c r="E2298" t="s">
        <v>37</v>
      </c>
      <c r="F2298" t="s">
        <v>28</v>
      </c>
      <c r="G2298" t="s">
        <v>38</v>
      </c>
      <c r="H2298" t="s">
        <v>227</v>
      </c>
      <c r="I2298">
        <v>4416.72</v>
      </c>
      <c r="J2298">
        <v>4611.9799999999996</v>
      </c>
      <c r="K2298" t="s">
        <v>17</v>
      </c>
      <c r="L2298" t="b">
        <v>0</v>
      </c>
      <c r="N2298" s="2" t="str">
        <f t="shared" si="200"/>
        <v/>
      </c>
      <c r="Q2298" t="str">
        <f t="shared" si="201"/>
        <v/>
      </c>
    </row>
    <row r="2299" spans="1:17" hidden="1">
      <c r="A2299" t="s">
        <v>2404</v>
      </c>
      <c r="B2299" s="1">
        <v>45228</v>
      </c>
      <c r="C2299">
        <v>2023</v>
      </c>
      <c r="D2299">
        <v>10</v>
      </c>
      <c r="E2299" t="s">
        <v>37</v>
      </c>
      <c r="F2299" t="s">
        <v>28</v>
      </c>
      <c r="G2299" t="s">
        <v>83</v>
      </c>
      <c r="H2299" t="s">
        <v>84</v>
      </c>
      <c r="I2299">
        <v>221688.03</v>
      </c>
      <c r="J2299">
        <v>210603.63</v>
      </c>
      <c r="K2299" t="s">
        <v>85</v>
      </c>
      <c r="L2299" t="b">
        <v>0</v>
      </c>
      <c r="N2299" s="2" t="str">
        <f t="shared" si="200"/>
        <v/>
      </c>
      <c r="Q2299" t="str">
        <f t="shared" si="201"/>
        <v/>
      </c>
    </row>
    <row r="2300" spans="1:17" hidden="1">
      <c r="A2300" t="s">
        <v>2405</v>
      </c>
      <c r="B2300" s="1">
        <v>45229</v>
      </c>
      <c r="C2300">
        <v>2023</v>
      </c>
      <c r="D2300">
        <v>10</v>
      </c>
      <c r="E2300" t="s">
        <v>13</v>
      </c>
      <c r="F2300" t="s">
        <v>14</v>
      </c>
      <c r="G2300" t="s">
        <v>15</v>
      </c>
      <c r="H2300" t="s">
        <v>45</v>
      </c>
      <c r="I2300">
        <v>3013.81</v>
      </c>
      <c r="J2300">
        <v>3034.79</v>
      </c>
      <c r="K2300" t="s">
        <v>17</v>
      </c>
      <c r="L2300" t="b">
        <v>0</v>
      </c>
      <c r="N2300" s="2" t="str">
        <f t="shared" si="200"/>
        <v/>
      </c>
      <c r="Q2300" t="str">
        <f t="shared" si="201"/>
        <v/>
      </c>
    </row>
    <row r="2301" spans="1:17" hidden="1">
      <c r="A2301" t="s">
        <v>2406</v>
      </c>
      <c r="B2301" s="1">
        <v>45229</v>
      </c>
      <c r="C2301">
        <v>2023</v>
      </c>
      <c r="D2301">
        <v>10</v>
      </c>
      <c r="E2301" t="s">
        <v>13</v>
      </c>
      <c r="F2301" t="s">
        <v>28</v>
      </c>
      <c r="G2301" t="s">
        <v>108</v>
      </c>
      <c r="H2301" t="s">
        <v>109</v>
      </c>
      <c r="I2301">
        <v>1064.96</v>
      </c>
      <c r="J2301">
        <v>1054.55</v>
      </c>
      <c r="K2301" t="s">
        <v>17</v>
      </c>
      <c r="L2301" t="b">
        <v>0</v>
      </c>
      <c r="N2301" s="2" t="str">
        <f t="shared" si="200"/>
        <v/>
      </c>
      <c r="Q2301" t="str">
        <f t="shared" si="201"/>
        <v/>
      </c>
    </row>
    <row r="2302" spans="1:17" hidden="1">
      <c r="A2302" t="s">
        <v>2407</v>
      </c>
      <c r="B2302" s="1">
        <v>45229</v>
      </c>
      <c r="C2302">
        <v>2023</v>
      </c>
      <c r="D2302">
        <v>10</v>
      </c>
      <c r="E2302" t="s">
        <v>19</v>
      </c>
      <c r="F2302" t="s">
        <v>28</v>
      </c>
      <c r="G2302" t="s">
        <v>132</v>
      </c>
      <c r="H2302" t="s">
        <v>133</v>
      </c>
      <c r="I2302">
        <v>4273.21</v>
      </c>
      <c r="J2302">
        <v>3923.96</v>
      </c>
      <c r="K2302" t="s">
        <v>17</v>
      </c>
      <c r="L2302" t="b">
        <v>0</v>
      </c>
      <c r="N2302" s="2" t="str">
        <f t="shared" si="200"/>
        <v/>
      </c>
      <c r="Q2302" t="str">
        <f t="shared" si="201"/>
        <v/>
      </c>
    </row>
    <row r="2303" spans="1:17" hidden="1">
      <c r="A2303" t="s">
        <v>2408</v>
      </c>
      <c r="B2303" s="1">
        <v>45229</v>
      </c>
      <c r="C2303">
        <v>2023</v>
      </c>
      <c r="D2303">
        <v>10</v>
      </c>
      <c r="E2303" t="s">
        <v>19</v>
      </c>
      <c r="F2303" t="s">
        <v>24</v>
      </c>
      <c r="G2303" t="s">
        <v>132</v>
      </c>
      <c r="H2303" t="s">
        <v>133</v>
      </c>
      <c r="I2303">
        <v>4514.3100000000004</v>
      </c>
      <c r="J2303">
        <v>4572.63</v>
      </c>
      <c r="K2303" t="s">
        <v>17</v>
      </c>
      <c r="L2303" t="b">
        <v>0</v>
      </c>
      <c r="N2303" s="2" t="str">
        <f t="shared" si="200"/>
        <v/>
      </c>
      <c r="Q2303" t="str">
        <f t="shared" si="201"/>
        <v/>
      </c>
    </row>
    <row r="2304" spans="1:17" hidden="1">
      <c r="A2304" t="s">
        <v>2409</v>
      </c>
      <c r="B2304" s="1">
        <v>45229</v>
      </c>
      <c r="C2304">
        <v>2023</v>
      </c>
      <c r="D2304">
        <v>10</v>
      </c>
      <c r="E2304" t="s">
        <v>23</v>
      </c>
      <c r="F2304" t="s">
        <v>28</v>
      </c>
      <c r="G2304" t="s">
        <v>59</v>
      </c>
      <c r="H2304" t="s">
        <v>60</v>
      </c>
      <c r="I2304">
        <v>5596</v>
      </c>
      <c r="J2304">
        <v>5229.34</v>
      </c>
      <c r="K2304" t="s">
        <v>17</v>
      </c>
      <c r="L2304" t="b">
        <v>0</v>
      </c>
      <c r="N2304" s="2" t="str">
        <f t="shared" si="200"/>
        <v/>
      </c>
      <c r="Q2304" t="str">
        <f t="shared" si="201"/>
        <v/>
      </c>
    </row>
    <row r="2305" spans="1:17" hidden="1">
      <c r="A2305" t="s">
        <v>2410</v>
      </c>
      <c r="B2305" s="1">
        <v>45229</v>
      </c>
      <c r="C2305">
        <v>2023</v>
      </c>
      <c r="D2305">
        <v>10</v>
      </c>
      <c r="E2305" t="s">
        <v>23</v>
      </c>
      <c r="F2305" t="s">
        <v>24</v>
      </c>
      <c r="G2305" t="s">
        <v>25</v>
      </c>
      <c r="H2305" t="s">
        <v>35</v>
      </c>
      <c r="I2305">
        <v>6519.15</v>
      </c>
      <c r="J2305">
        <v>6331.49</v>
      </c>
      <c r="K2305" t="s">
        <v>17</v>
      </c>
      <c r="L2305" t="b">
        <v>0</v>
      </c>
      <c r="N2305" s="2" t="str">
        <f t="shared" si="200"/>
        <v/>
      </c>
      <c r="Q2305" t="str">
        <f t="shared" si="201"/>
        <v/>
      </c>
    </row>
    <row r="2306" spans="1:17" hidden="1">
      <c r="A2306" t="s">
        <v>2411</v>
      </c>
      <c r="B2306" s="1">
        <v>45230</v>
      </c>
      <c r="C2306">
        <v>2023</v>
      </c>
      <c r="D2306">
        <v>10</v>
      </c>
      <c r="E2306" t="s">
        <v>47</v>
      </c>
      <c r="F2306" t="s">
        <v>14</v>
      </c>
      <c r="G2306" t="s">
        <v>48</v>
      </c>
      <c r="H2306" t="s">
        <v>191</v>
      </c>
      <c r="I2306">
        <v>20001.310000000001</v>
      </c>
      <c r="J2306">
        <v>16680.13</v>
      </c>
      <c r="K2306" t="s">
        <v>17</v>
      </c>
      <c r="L2306" t="b">
        <v>0</v>
      </c>
      <c r="N2306" s="2" t="b">
        <f t="shared" si="200"/>
        <v>1</v>
      </c>
      <c r="O2306" t="str">
        <f t="shared" ref="O2306:O2307" si="207">IF(AND(E2295="HR",K2295="EXPENSE"),I2295&lt;J2295,"")</f>
        <v/>
      </c>
      <c r="Q2306" t="str">
        <f t="shared" si="201"/>
        <v/>
      </c>
    </row>
    <row r="2307" spans="1:17" hidden="1">
      <c r="A2307" t="s">
        <v>2412</v>
      </c>
      <c r="B2307" s="1">
        <v>45230</v>
      </c>
      <c r="C2307">
        <v>2023</v>
      </c>
      <c r="D2307">
        <v>10</v>
      </c>
      <c r="E2307" t="s">
        <v>47</v>
      </c>
      <c r="F2307" t="s">
        <v>28</v>
      </c>
      <c r="G2307" t="s">
        <v>77</v>
      </c>
      <c r="H2307" t="s">
        <v>78</v>
      </c>
      <c r="I2307">
        <v>13403.39</v>
      </c>
      <c r="J2307">
        <v>11056.8</v>
      </c>
      <c r="K2307" t="s">
        <v>17</v>
      </c>
      <c r="L2307" t="b">
        <v>0</v>
      </c>
      <c r="N2307" s="2" t="b">
        <f t="shared" ref="N2307:N2370" si="208">IF(AND(E2307="IT",K2307="EXPENSE"),I2307&gt;J2307,"")</f>
        <v>1</v>
      </c>
      <c r="O2307" t="str">
        <f t="shared" si="207"/>
        <v/>
      </c>
      <c r="Q2307" t="str">
        <f t="shared" ref="Q2307:Q2370" si="209">IF(L2307=TRUE,OR(H2307="Apex Solutions Inc",H2307="Global Trade Partners",H2307="NovaTech Services"),"")</f>
        <v/>
      </c>
    </row>
    <row r="2308" spans="1:17" hidden="1">
      <c r="A2308" t="s">
        <v>2413</v>
      </c>
      <c r="B2308" s="1">
        <v>45230</v>
      </c>
      <c r="C2308">
        <v>2023</v>
      </c>
      <c r="D2308">
        <v>10</v>
      </c>
      <c r="E2308" t="s">
        <v>37</v>
      </c>
      <c r="F2308" t="s">
        <v>24</v>
      </c>
      <c r="G2308" t="s">
        <v>38</v>
      </c>
      <c r="H2308" t="s">
        <v>39</v>
      </c>
      <c r="I2308">
        <v>4018.78</v>
      </c>
      <c r="J2308">
        <v>3786.84</v>
      </c>
      <c r="K2308" t="s">
        <v>17</v>
      </c>
      <c r="L2308" t="b">
        <v>0</v>
      </c>
      <c r="N2308" s="2" t="str">
        <f t="shared" si="208"/>
        <v/>
      </c>
      <c r="Q2308" t="str">
        <f t="shared" si="209"/>
        <v/>
      </c>
    </row>
    <row r="2309" spans="1:17" hidden="1">
      <c r="A2309" t="s">
        <v>2414</v>
      </c>
      <c r="B2309" s="1">
        <v>45231</v>
      </c>
      <c r="C2309">
        <v>2023</v>
      </c>
      <c r="D2309">
        <v>11</v>
      </c>
      <c r="E2309" t="s">
        <v>19</v>
      </c>
      <c r="F2309" t="s">
        <v>14</v>
      </c>
      <c r="G2309" t="s">
        <v>132</v>
      </c>
      <c r="H2309" t="s">
        <v>133</v>
      </c>
      <c r="I2309">
        <v>6003.34</v>
      </c>
      <c r="J2309">
        <v>6330.93</v>
      </c>
      <c r="K2309" t="s">
        <v>17</v>
      </c>
      <c r="L2309" t="b">
        <v>0</v>
      </c>
      <c r="N2309" s="2" t="str">
        <f t="shared" si="208"/>
        <v/>
      </c>
      <c r="Q2309" t="str">
        <f t="shared" si="209"/>
        <v/>
      </c>
    </row>
    <row r="2310" spans="1:17" hidden="1">
      <c r="A2310" t="s">
        <v>2415</v>
      </c>
      <c r="B2310" s="1">
        <v>45231</v>
      </c>
      <c r="C2310">
        <v>2023</v>
      </c>
      <c r="D2310">
        <v>11</v>
      </c>
      <c r="E2310" t="s">
        <v>19</v>
      </c>
      <c r="F2310" t="s">
        <v>24</v>
      </c>
      <c r="G2310" t="s">
        <v>54</v>
      </c>
      <c r="H2310" t="s">
        <v>55</v>
      </c>
      <c r="I2310">
        <v>7428.04</v>
      </c>
      <c r="J2310">
        <v>7605.69</v>
      </c>
      <c r="K2310" t="s">
        <v>17</v>
      </c>
      <c r="L2310" t="b">
        <v>0</v>
      </c>
      <c r="N2310" s="2" t="str">
        <f t="shared" si="208"/>
        <v/>
      </c>
      <c r="Q2310" t="str">
        <f t="shared" si="209"/>
        <v/>
      </c>
    </row>
    <row r="2311" spans="1:17" hidden="1">
      <c r="A2311" t="s">
        <v>2416</v>
      </c>
      <c r="B2311" s="1">
        <v>45231</v>
      </c>
      <c r="C2311">
        <v>2023</v>
      </c>
      <c r="D2311">
        <v>11</v>
      </c>
      <c r="E2311" t="s">
        <v>37</v>
      </c>
      <c r="F2311" t="s">
        <v>28</v>
      </c>
      <c r="G2311" t="s">
        <v>41</v>
      </c>
      <c r="H2311" t="s">
        <v>42</v>
      </c>
      <c r="I2311">
        <v>4802.3999999999996</v>
      </c>
      <c r="J2311">
        <v>5218.68</v>
      </c>
      <c r="K2311" t="s">
        <v>17</v>
      </c>
      <c r="L2311" t="b">
        <v>0</v>
      </c>
      <c r="N2311" s="2" t="str">
        <f t="shared" si="208"/>
        <v/>
      </c>
      <c r="Q2311" t="str">
        <f t="shared" si="209"/>
        <v/>
      </c>
    </row>
    <row r="2312" spans="1:17" hidden="1">
      <c r="A2312" t="s">
        <v>2417</v>
      </c>
      <c r="B2312" s="1">
        <v>45231</v>
      </c>
      <c r="C2312">
        <v>2023</v>
      </c>
      <c r="D2312">
        <v>11</v>
      </c>
      <c r="E2312" t="s">
        <v>37</v>
      </c>
      <c r="F2312" t="s">
        <v>28</v>
      </c>
      <c r="G2312" t="s">
        <v>41</v>
      </c>
      <c r="H2312" t="s">
        <v>42</v>
      </c>
      <c r="I2312">
        <v>4749.8</v>
      </c>
      <c r="J2312">
        <v>4962.1499999999996</v>
      </c>
      <c r="K2312" t="s">
        <v>17</v>
      </c>
      <c r="L2312" t="b">
        <v>0</v>
      </c>
      <c r="N2312" s="2" t="str">
        <f t="shared" si="208"/>
        <v/>
      </c>
      <c r="Q2312" t="str">
        <f t="shared" si="209"/>
        <v/>
      </c>
    </row>
    <row r="2313" spans="1:17" hidden="1">
      <c r="A2313" t="s">
        <v>2418</v>
      </c>
      <c r="B2313" s="1">
        <v>45232</v>
      </c>
      <c r="C2313">
        <v>2023</v>
      </c>
      <c r="D2313">
        <v>11</v>
      </c>
      <c r="E2313" t="s">
        <v>13</v>
      </c>
      <c r="F2313" t="s">
        <v>24</v>
      </c>
      <c r="G2313" t="s">
        <v>108</v>
      </c>
      <c r="H2313" t="s">
        <v>123</v>
      </c>
      <c r="I2313">
        <v>3389.81</v>
      </c>
      <c r="J2313">
        <v>3600.97</v>
      </c>
      <c r="K2313" t="s">
        <v>17</v>
      </c>
      <c r="L2313" t="b">
        <v>0</v>
      </c>
      <c r="N2313" s="2" t="str">
        <f t="shared" si="208"/>
        <v/>
      </c>
      <c r="Q2313" t="str">
        <f t="shared" si="209"/>
        <v/>
      </c>
    </row>
    <row r="2314" spans="1:17" hidden="1">
      <c r="A2314" t="s">
        <v>2419</v>
      </c>
      <c r="B2314" s="1">
        <v>45232</v>
      </c>
      <c r="C2314">
        <v>2023</v>
      </c>
      <c r="D2314">
        <v>11</v>
      </c>
      <c r="E2314" t="s">
        <v>47</v>
      </c>
      <c r="F2314" t="s">
        <v>14</v>
      </c>
      <c r="G2314" t="s">
        <v>91</v>
      </c>
      <c r="H2314" t="s">
        <v>249</v>
      </c>
      <c r="I2314">
        <v>6426.09</v>
      </c>
      <c r="J2314">
        <v>5506.3</v>
      </c>
      <c r="K2314" t="s">
        <v>17</v>
      </c>
      <c r="L2314" t="b">
        <v>0</v>
      </c>
      <c r="N2314" s="2" t="b">
        <f t="shared" si="208"/>
        <v>1</v>
      </c>
      <c r="O2314" t="str">
        <f>IF(AND(E2303="HR",K2303="EXPENSE"),I2303&lt;J2303,"")</f>
        <v/>
      </c>
      <c r="Q2314" t="str">
        <f t="shared" si="209"/>
        <v/>
      </c>
    </row>
    <row r="2315" spans="1:17" hidden="1">
      <c r="A2315" t="s">
        <v>2420</v>
      </c>
      <c r="B2315" s="1">
        <v>45232</v>
      </c>
      <c r="C2315">
        <v>2023</v>
      </c>
      <c r="D2315">
        <v>11</v>
      </c>
      <c r="E2315" t="s">
        <v>19</v>
      </c>
      <c r="F2315" t="s">
        <v>14</v>
      </c>
      <c r="G2315" t="s">
        <v>132</v>
      </c>
      <c r="H2315" t="s">
        <v>138</v>
      </c>
      <c r="I2315">
        <v>4577.37</v>
      </c>
      <c r="J2315">
        <v>4574.18</v>
      </c>
      <c r="K2315" t="s">
        <v>17</v>
      </c>
      <c r="L2315" t="b">
        <v>0</v>
      </c>
      <c r="N2315" s="2" t="str">
        <f t="shared" si="208"/>
        <v/>
      </c>
      <c r="Q2315" t="str">
        <f t="shared" si="209"/>
        <v/>
      </c>
    </row>
    <row r="2316" spans="1:17" hidden="1">
      <c r="A2316" t="s">
        <v>2421</v>
      </c>
      <c r="B2316" s="1">
        <v>45232</v>
      </c>
      <c r="C2316">
        <v>2023</v>
      </c>
      <c r="D2316">
        <v>11</v>
      </c>
      <c r="E2316" t="s">
        <v>19</v>
      </c>
      <c r="F2316" t="s">
        <v>28</v>
      </c>
      <c r="G2316" t="s">
        <v>132</v>
      </c>
      <c r="H2316" t="s">
        <v>133</v>
      </c>
      <c r="I2316">
        <v>7743.33</v>
      </c>
      <c r="J2316">
        <v>8353.4599999999991</v>
      </c>
      <c r="K2316" t="s">
        <v>17</v>
      </c>
      <c r="L2316" t="b">
        <v>0</v>
      </c>
      <c r="N2316" s="2" t="str">
        <f t="shared" si="208"/>
        <v/>
      </c>
      <c r="Q2316" t="str">
        <f t="shared" si="209"/>
        <v/>
      </c>
    </row>
    <row r="2317" spans="1:17" hidden="1">
      <c r="A2317" t="s">
        <v>2422</v>
      </c>
      <c r="B2317" s="1">
        <v>45232</v>
      </c>
      <c r="C2317">
        <v>2023</v>
      </c>
      <c r="D2317">
        <v>11</v>
      </c>
      <c r="E2317" t="s">
        <v>19</v>
      </c>
      <c r="F2317" t="s">
        <v>24</v>
      </c>
      <c r="G2317" t="s">
        <v>80</v>
      </c>
      <c r="H2317" t="s">
        <v>81</v>
      </c>
      <c r="I2317">
        <v>8289.2099999999991</v>
      </c>
      <c r="J2317">
        <v>8857.09</v>
      </c>
      <c r="K2317" t="s">
        <v>17</v>
      </c>
      <c r="L2317" t="b">
        <v>0</v>
      </c>
      <c r="N2317" s="2" t="str">
        <f t="shared" si="208"/>
        <v/>
      </c>
      <c r="Q2317" t="str">
        <f t="shared" si="209"/>
        <v/>
      </c>
    </row>
    <row r="2318" spans="1:17" hidden="1">
      <c r="A2318" t="s">
        <v>2423</v>
      </c>
      <c r="B2318" s="1">
        <v>45232</v>
      </c>
      <c r="C2318">
        <v>2023</v>
      </c>
      <c r="D2318">
        <v>11</v>
      </c>
      <c r="E2318" t="s">
        <v>37</v>
      </c>
      <c r="F2318" t="s">
        <v>14</v>
      </c>
      <c r="G2318" t="s">
        <v>98</v>
      </c>
      <c r="H2318" t="s">
        <v>185</v>
      </c>
      <c r="I2318">
        <v>7272.1</v>
      </c>
      <c r="J2318">
        <v>7494.24</v>
      </c>
      <c r="K2318" t="s">
        <v>17</v>
      </c>
      <c r="L2318" t="b">
        <v>0</v>
      </c>
      <c r="N2318" s="2" t="str">
        <f t="shared" si="208"/>
        <v/>
      </c>
      <c r="Q2318" t="str">
        <f t="shared" si="209"/>
        <v/>
      </c>
    </row>
    <row r="2319" spans="1:17" hidden="1">
      <c r="A2319" t="s">
        <v>2424</v>
      </c>
      <c r="B2319" s="1">
        <v>45232</v>
      </c>
      <c r="C2319">
        <v>2023</v>
      </c>
      <c r="D2319">
        <v>11</v>
      </c>
      <c r="E2319" t="s">
        <v>37</v>
      </c>
      <c r="F2319" t="s">
        <v>24</v>
      </c>
      <c r="G2319" t="s">
        <v>98</v>
      </c>
      <c r="H2319" t="s">
        <v>99</v>
      </c>
      <c r="I2319">
        <v>5320.17</v>
      </c>
      <c r="J2319">
        <v>4865.92</v>
      </c>
      <c r="K2319" t="s">
        <v>17</v>
      </c>
      <c r="L2319" t="b">
        <v>0</v>
      </c>
      <c r="N2319" s="2" t="str">
        <f t="shared" si="208"/>
        <v/>
      </c>
      <c r="Q2319" t="str">
        <f t="shared" si="209"/>
        <v/>
      </c>
    </row>
    <row r="2320" spans="1:17" hidden="1">
      <c r="A2320" t="s">
        <v>2425</v>
      </c>
      <c r="B2320" s="1">
        <v>45233</v>
      </c>
      <c r="C2320">
        <v>2023</v>
      </c>
      <c r="D2320">
        <v>11</v>
      </c>
      <c r="E2320" t="s">
        <v>47</v>
      </c>
      <c r="F2320" t="s">
        <v>14</v>
      </c>
      <c r="G2320" t="s">
        <v>48</v>
      </c>
      <c r="H2320" t="s">
        <v>191</v>
      </c>
      <c r="I2320">
        <v>13049.41</v>
      </c>
      <c r="J2320">
        <v>11185.05</v>
      </c>
      <c r="K2320" t="s">
        <v>17</v>
      </c>
      <c r="L2320" t="b">
        <v>0</v>
      </c>
      <c r="N2320" s="2" t="b">
        <f t="shared" si="208"/>
        <v>1</v>
      </c>
      <c r="O2320" t="str">
        <f t="shared" ref="O2320:O2322" si="210">IF(AND(E2309="HR",K2309="EXPENSE"),I2309&lt;J2309,"")</f>
        <v/>
      </c>
      <c r="Q2320" t="str">
        <f t="shared" si="209"/>
        <v/>
      </c>
    </row>
    <row r="2321" spans="1:17" hidden="1">
      <c r="A2321" t="s">
        <v>2426</v>
      </c>
      <c r="B2321" s="1">
        <v>45233</v>
      </c>
      <c r="C2321">
        <v>2023</v>
      </c>
      <c r="D2321">
        <v>11</v>
      </c>
      <c r="E2321" t="s">
        <v>47</v>
      </c>
      <c r="F2321" t="s">
        <v>24</v>
      </c>
      <c r="G2321" t="s">
        <v>48</v>
      </c>
      <c r="H2321" t="s">
        <v>111</v>
      </c>
      <c r="I2321">
        <v>18308.39</v>
      </c>
      <c r="J2321">
        <v>15871.72</v>
      </c>
      <c r="K2321" t="s">
        <v>17</v>
      </c>
      <c r="L2321" t="b">
        <v>0</v>
      </c>
      <c r="N2321" s="2" t="b">
        <f t="shared" si="208"/>
        <v>1</v>
      </c>
      <c r="O2321" t="str">
        <f t="shared" si="210"/>
        <v/>
      </c>
      <c r="Q2321" t="str">
        <f t="shared" si="209"/>
        <v/>
      </c>
    </row>
    <row r="2322" spans="1:17" hidden="1">
      <c r="A2322" t="s">
        <v>2427</v>
      </c>
      <c r="B2322" s="1">
        <v>45233</v>
      </c>
      <c r="C2322">
        <v>2023</v>
      </c>
      <c r="D2322">
        <v>11</v>
      </c>
      <c r="E2322" t="s">
        <v>47</v>
      </c>
      <c r="F2322" t="s">
        <v>24</v>
      </c>
      <c r="G2322" t="s">
        <v>48</v>
      </c>
      <c r="H2322" t="s">
        <v>49</v>
      </c>
      <c r="I2322">
        <v>19391.150000000001</v>
      </c>
      <c r="J2322">
        <v>16610.14</v>
      </c>
      <c r="K2322" t="s">
        <v>17</v>
      </c>
      <c r="L2322" t="b">
        <v>0</v>
      </c>
      <c r="N2322" s="2" t="b">
        <f t="shared" si="208"/>
        <v>1</v>
      </c>
      <c r="O2322" t="str">
        <f t="shared" si="210"/>
        <v/>
      </c>
      <c r="Q2322" t="str">
        <f t="shared" si="209"/>
        <v/>
      </c>
    </row>
    <row r="2323" spans="1:17" hidden="1">
      <c r="A2323" t="s">
        <v>2428</v>
      </c>
      <c r="B2323" s="1">
        <v>45233</v>
      </c>
      <c r="C2323">
        <v>2023</v>
      </c>
      <c r="D2323">
        <v>11</v>
      </c>
      <c r="E2323" t="s">
        <v>19</v>
      </c>
      <c r="F2323" t="s">
        <v>24</v>
      </c>
      <c r="G2323" t="s">
        <v>132</v>
      </c>
      <c r="H2323" t="s">
        <v>133</v>
      </c>
      <c r="I2323">
        <v>6219.4</v>
      </c>
      <c r="J2323">
        <v>6017.24</v>
      </c>
      <c r="K2323" t="s">
        <v>17</v>
      </c>
      <c r="L2323" t="b">
        <v>0</v>
      </c>
      <c r="N2323" s="2" t="str">
        <f t="shared" si="208"/>
        <v/>
      </c>
      <c r="Q2323" t="str">
        <f t="shared" si="209"/>
        <v/>
      </c>
    </row>
    <row r="2324" spans="1:17" hidden="1">
      <c r="A2324" t="s">
        <v>2429</v>
      </c>
      <c r="B2324" s="1">
        <v>45233</v>
      </c>
      <c r="C2324">
        <v>2023</v>
      </c>
      <c r="D2324">
        <v>11</v>
      </c>
      <c r="E2324" t="s">
        <v>23</v>
      </c>
      <c r="F2324" t="s">
        <v>14</v>
      </c>
      <c r="G2324" t="s">
        <v>25</v>
      </c>
      <c r="H2324" t="s">
        <v>35</v>
      </c>
      <c r="I2324">
        <v>6763.9</v>
      </c>
      <c r="J2324">
        <v>7231.3</v>
      </c>
      <c r="K2324" t="s">
        <v>17</v>
      </c>
      <c r="L2324" t="b">
        <v>0</v>
      </c>
      <c r="N2324" s="2" t="str">
        <f t="shared" si="208"/>
        <v/>
      </c>
      <c r="Q2324" t="str">
        <f t="shared" si="209"/>
        <v/>
      </c>
    </row>
    <row r="2325" spans="1:17" hidden="1">
      <c r="A2325" t="s">
        <v>2430</v>
      </c>
      <c r="B2325" s="1">
        <v>45233</v>
      </c>
      <c r="C2325">
        <v>2023</v>
      </c>
      <c r="D2325">
        <v>11</v>
      </c>
      <c r="E2325" t="s">
        <v>23</v>
      </c>
      <c r="F2325" t="s">
        <v>28</v>
      </c>
      <c r="G2325" t="s">
        <v>30</v>
      </c>
      <c r="H2325" t="s">
        <v>33</v>
      </c>
      <c r="I2325">
        <v>8775.64</v>
      </c>
      <c r="J2325">
        <v>8881.16</v>
      </c>
      <c r="K2325" t="s">
        <v>17</v>
      </c>
      <c r="L2325" t="b">
        <v>0</v>
      </c>
      <c r="N2325" s="2" t="str">
        <f t="shared" si="208"/>
        <v/>
      </c>
      <c r="Q2325" t="str">
        <f t="shared" si="209"/>
        <v/>
      </c>
    </row>
    <row r="2326" spans="1:17" hidden="1">
      <c r="A2326" t="s">
        <v>2431</v>
      </c>
      <c r="B2326" s="1">
        <v>45233</v>
      </c>
      <c r="C2326">
        <v>2023</v>
      </c>
      <c r="D2326">
        <v>11</v>
      </c>
      <c r="E2326" t="s">
        <v>37</v>
      </c>
      <c r="F2326" t="s">
        <v>14</v>
      </c>
      <c r="G2326" t="s">
        <v>98</v>
      </c>
      <c r="H2326" t="s">
        <v>99</v>
      </c>
      <c r="I2326">
        <v>3835.61</v>
      </c>
      <c r="J2326">
        <v>4048.8</v>
      </c>
      <c r="K2326" t="s">
        <v>17</v>
      </c>
      <c r="L2326" t="b">
        <v>0</v>
      </c>
      <c r="N2326" s="2" t="str">
        <f t="shared" si="208"/>
        <v/>
      </c>
      <c r="Q2326" t="str">
        <f t="shared" si="209"/>
        <v/>
      </c>
    </row>
    <row r="2327" spans="1:17" hidden="1">
      <c r="A2327" t="s">
        <v>2432</v>
      </c>
      <c r="B2327" s="1">
        <v>45234</v>
      </c>
      <c r="C2327">
        <v>2023</v>
      </c>
      <c r="D2327">
        <v>11</v>
      </c>
      <c r="E2327" t="s">
        <v>13</v>
      </c>
      <c r="F2327" t="s">
        <v>14</v>
      </c>
      <c r="G2327" t="s">
        <v>102</v>
      </c>
      <c r="H2327" t="s">
        <v>103</v>
      </c>
      <c r="I2327">
        <v>4075.97</v>
      </c>
      <c r="J2327">
        <v>3721.28</v>
      </c>
      <c r="K2327" t="s">
        <v>17</v>
      </c>
      <c r="L2327" t="b">
        <v>0</v>
      </c>
      <c r="N2327" s="2" t="str">
        <f t="shared" si="208"/>
        <v/>
      </c>
      <c r="Q2327" t="str">
        <f t="shared" si="209"/>
        <v/>
      </c>
    </row>
    <row r="2328" spans="1:17" hidden="1">
      <c r="A2328" t="s">
        <v>2433</v>
      </c>
      <c r="B2328" s="1">
        <v>45234</v>
      </c>
      <c r="C2328">
        <v>2023</v>
      </c>
      <c r="D2328">
        <v>11</v>
      </c>
      <c r="E2328" t="s">
        <v>47</v>
      </c>
      <c r="F2328" t="s">
        <v>28</v>
      </c>
      <c r="G2328" t="s">
        <v>91</v>
      </c>
      <c r="H2328" t="s">
        <v>249</v>
      </c>
      <c r="I2328">
        <v>9746.1299999999992</v>
      </c>
      <c r="J2328">
        <v>7999.42</v>
      </c>
      <c r="K2328" t="s">
        <v>17</v>
      </c>
      <c r="L2328" t="b">
        <v>0</v>
      </c>
      <c r="N2328" s="2" t="b">
        <f t="shared" si="208"/>
        <v>1</v>
      </c>
      <c r="O2328" t="str">
        <f t="shared" ref="O2328:O2329" si="211">IF(AND(E2317="HR",K2317="EXPENSE"),I2317&lt;J2317,"")</f>
        <v/>
      </c>
      <c r="Q2328" t="str">
        <f t="shared" si="209"/>
        <v/>
      </c>
    </row>
    <row r="2329" spans="1:17" hidden="1">
      <c r="A2329" t="s">
        <v>2434</v>
      </c>
      <c r="B2329" s="1">
        <v>45234</v>
      </c>
      <c r="C2329">
        <v>2023</v>
      </c>
      <c r="D2329">
        <v>11</v>
      </c>
      <c r="E2329" t="s">
        <v>47</v>
      </c>
      <c r="F2329" t="s">
        <v>28</v>
      </c>
      <c r="G2329" t="s">
        <v>48</v>
      </c>
      <c r="H2329" t="s">
        <v>111</v>
      </c>
      <c r="I2329">
        <v>16181</v>
      </c>
      <c r="J2329">
        <v>13978.2</v>
      </c>
      <c r="K2329" t="s">
        <v>17</v>
      </c>
      <c r="L2329" t="b">
        <v>0</v>
      </c>
      <c r="N2329" s="2" t="b">
        <f t="shared" si="208"/>
        <v>1</v>
      </c>
      <c r="O2329" t="str">
        <f t="shared" si="211"/>
        <v/>
      </c>
      <c r="Q2329" t="str">
        <f t="shared" si="209"/>
        <v/>
      </c>
    </row>
    <row r="2330" spans="1:17" hidden="1">
      <c r="A2330" t="s">
        <v>2435</v>
      </c>
      <c r="B2330" s="1">
        <v>45234</v>
      </c>
      <c r="C2330">
        <v>2023</v>
      </c>
      <c r="D2330">
        <v>11</v>
      </c>
      <c r="E2330" t="s">
        <v>19</v>
      </c>
      <c r="F2330" t="s">
        <v>24</v>
      </c>
      <c r="G2330" t="s">
        <v>54</v>
      </c>
      <c r="H2330" t="s">
        <v>57</v>
      </c>
      <c r="I2330">
        <v>7918.07</v>
      </c>
      <c r="J2330">
        <v>7606.2</v>
      </c>
      <c r="K2330" t="s">
        <v>17</v>
      </c>
      <c r="L2330" t="b">
        <v>0</v>
      </c>
      <c r="N2330" s="2" t="str">
        <f t="shared" si="208"/>
        <v/>
      </c>
      <c r="Q2330" t="str">
        <f t="shared" si="209"/>
        <v/>
      </c>
    </row>
    <row r="2331" spans="1:17" hidden="1">
      <c r="A2331" t="s">
        <v>2436</v>
      </c>
      <c r="B2331" s="1">
        <v>45234</v>
      </c>
      <c r="C2331">
        <v>2023</v>
      </c>
      <c r="D2331">
        <v>11</v>
      </c>
      <c r="E2331" t="s">
        <v>23</v>
      </c>
      <c r="F2331" t="s">
        <v>14</v>
      </c>
      <c r="G2331" t="s">
        <v>59</v>
      </c>
      <c r="H2331" t="s">
        <v>155</v>
      </c>
      <c r="I2331">
        <v>8267.92</v>
      </c>
      <c r="J2331">
        <v>8358.24</v>
      </c>
      <c r="K2331" t="s">
        <v>17</v>
      </c>
      <c r="L2331" t="b">
        <v>0</v>
      </c>
      <c r="N2331" s="2" t="str">
        <f t="shared" si="208"/>
        <v/>
      </c>
      <c r="Q2331" t="str">
        <f t="shared" si="209"/>
        <v/>
      </c>
    </row>
    <row r="2332" spans="1:17" hidden="1">
      <c r="A2332" t="s">
        <v>2437</v>
      </c>
      <c r="B2332" s="1">
        <v>45234</v>
      </c>
      <c r="C2332">
        <v>2023</v>
      </c>
      <c r="D2332">
        <v>11</v>
      </c>
      <c r="E2332" t="s">
        <v>37</v>
      </c>
      <c r="F2332" t="s">
        <v>14</v>
      </c>
      <c r="G2332" t="s">
        <v>41</v>
      </c>
      <c r="H2332" t="s">
        <v>42</v>
      </c>
      <c r="I2332">
        <v>4227.91</v>
      </c>
      <c r="J2332">
        <v>4101.2299999999996</v>
      </c>
      <c r="K2332" t="s">
        <v>17</v>
      </c>
      <c r="L2332" t="b">
        <v>0</v>
      </c>
      <c r="N2332" s="2" t="str">
        <f t="shared" si="208"/>
        <v/>
      </c>
      <c r="Q2332" t="str">
        <f t="shared" si="209"/>
        <v/>
      </c>
    </row>
    <row r="2333" spans="1:17" hidden="1">
      <c r="A2333" t="s">
        <v>2438</v>
      </c>
      <c r="B2333" s="1">
        <v>45234</v>
      </c>
      <c r="C2333">
        <v>2023</v>
      </c>
      <c r="D2333">
        <v>11</v>
      </c>
      <c r="E2333" t="s">
        <v>37</v>
      </c>
      <c r="F2333" t="s">
        <v>28</v>
      </c>
      <c r="G2333" t="s">
        <v>62</v>
      </c>
      <c r="H2333" t="s">
        <v>63</v>
      </c>
      <c r="I2333">
        <v>8032.6</v>
      </c>
      <c r="J2333">
        <v>8306.8799999999992</v>
      </c>
      <c r="K2333" t="s">
        <v>17</v>
      </c>
      <c r="L2333" t="b">
        <v>0</v>
      </c>
      <c r="N2333" s="2" t="str">
        <f t="shared" si="208"/>
        <v/>
      </c>
      <c r="Q2333" t="str">
        <f t="shared" si="209"/>
        <v/>
      </c>
    </row>
    <row r="2334" spans="1:17" hidden="1">
      <c r="A2334" t="s">
        <v>2439</v>
      </c>
      <c r="B2334" s="1">
        <v>45235</v>
      </c>
      <c r="C2334">
        <v>2023</v>
      </c>
      <c r="D2334">
        <v>11</v>
      </c>
      <c r="E2334" t="s">
        <v>13</v>
      </c>
      <c r="F2334" t="s">
        <v>28</v>
      </c>
      <c r="G2334" t="s">
        <v>108</v>
      </c>
      <c r="H2334" t="s">
        <v>123</v>
      </c>
      <c r="I2334">
        <v>4069.47</v>
      </c>
      <c r="J2334">
        <v>3709.92</v>
      </c>
      <c r="K2334" t="s">
        <v>17</v>
      </c>
      <c r="L2334" t="b">
        <v>0</v>
      </c>
      <c r="N2334" s="2" t="str">
        <f t="shared" si="208"/>
        <v/>
      </c>
      <c r="Q2334" t="str">
        <f t="shared" si="209"/>
        <v/>
      </c>
    </row>
    <row r="2335" spans="1:17" hidden="1">
      <c r="A2335" t="s">
        <v>2440</v>
      </c>
      <c r="B2335" s="1">
        <v>45235</v>
      </c>
      <c r="C2335">
        <v>2023</v>
      </c>
      <c r="D2335">
        <v>11</v>
      </c>
      <c r="E2335" t="s">
        <v>13</v>
      </c>
      <c r="F2335" t="s">
        <v>24</v>
      </c>
      <c r="G2335" t="s">
        <v>102</v>
      </c>
      <c r="H2335" t="s">
        <v>103</v>
      </c>
      <c r="I2335">
        <v>2910.04</v>
      </c>
      <c r="J2335">
        <v>3172.24</v>
      </c>
      <c r="K2335" t="s">
        <v>17</v>
      </c>
      <c r="L2335" t="b">
        <v>0</v>
      </c>
      <c r="N2335" s="2" t="str">
        <f t="shared" si="208"/>
        <v/>
      </c>
      <c r="Q2335" t="str">
        <f t="shared" si="209"/>
        <v/>
      </c>
    </row>
    <row r="2336" spans="1:17" hidden="1">
      <c r="A2336" t="s">
        <v>2441</v>
      </c>
      <c r="B2336" s="1">
        <v>45235</v>
      </c>
      <c r="C2336">
        <v>2023</v>
      </c>
      <c r="D2336">
        <v>11</v>
      </c>
      <c r="E2336" t="s">
        <v>19</v>
      </c>
      <c r="F2336" t="s">
        <v>28</v>
      </c>
      <c r="G2336" t="s">
        <v>80</v>
      </c>
      <c r="H2336" t="s">
        <v>217</v>
      </c>
      <c r="I2336">
        <v>6936.51</v>
      </c>
      <c r="J2336">
        <v>7224</v>
      </c>
      <c r="K2336" t="s">
        <v>17</v>
      </c>
      <c r="L2336" t="b">
        <v>0</v>
      </c>
      <c r="N2336" s="2" t="str">
        <f t="shared" si="208"/>
        <v/>
      </c>
      <c r="Q2336" t="str">
        <f t="shared" si="209"/>
        <v/>
      </c>
    </row>
    <row r="2337" spans="1:17" hidden="1">
      <c r="A2337" t="s">
        <v>2442</v>
      </c>
      <c r="B2337" s="1">
        <v>45235</v>
      </c>
      <c r="C2337">
        <v>2023</v>
      </c>
      <c r="D2337">
        <v>11</v>
      </c>
      <c r="E2337" t="s">
        <v>19</v>
      </c>
      <c r="F2337" t="s">
        <v>24</v>
      </c>
      <c r="G2337" t="s">
        <v>80</v>
      </c>
      <c r="H2337" t="s">
        <v>150</v>
      </c>
      <c r="I2337">
        <v>7815.61</v>
      </c>
      <c r="J2337">
        <v>7893.57</v>
      </c>
      <c r="K2337" t="s">
        <v>17</v>
      </c>
      <c r="L2337" t="b">
        <v>0</v>
      </c>
      <c r="N2337" s="2" t="str">
        <f t="shared" si="208"/>
        <v/>
      </c>
      <c r="Q2337" t="str">
        <f t="shared" si="209"/>
        <v/>
      </c>
    </row>
    <row r="2338" spans="1:17" hidden="1">
      <c r="A2338" t="s">
        <v>2443</v>
      </c>
      <c r="B2338" s="1">
        <v>45235</v>
      </c>
      <c r="C2338">
        <v>2023</v>
      </c>
      <c r="D2338">
        <v>11</v>
      </c>
      <c r="E2338" t="s">
        <v>37</v>
      </c>
      <c r="F2338" t="s">
        <v>24</v>
      </c>
      <c r="G2338" t="s">
        <v>83</v>
      </c>
      <c r="H2338" t="s">
        <v>84</v>
      </c>
      <c r="I2338">
        <v>153909.19</v>
      </c>
      <c r="J2338">
        <v>146213.73000000001</v>
      </c>
      <c r="K2338" t="s">
        <v>85</v>
      </c>
      <c r="L2338" t="b">
        <v>0</v>
      </c>
      <c r="N2338" s="2" t="str">
        <f t="shared" si="208"/>
        <v/>
      </c>
      <c r="Q2338" t="str">
        <f t="shared" si="209"/>
        <v/>
      </c>
    </row>
    <row r="2339" spans="1:17" hidden="1">
      <c r="A2339" t="s">
        <v>2444</v>
      </c>
      <c r="B2339" s="1">
        <v>45236</v>
      </c>
      <c r="C2339">
        <v>2023</v>
      </c>
      <c r="D2339">
        <v>11</v>
      </c>
      <c r="E2339" t="s">
        <v>13</v>
      </c>
      <c r="F2339" t="s">
        <v>14</v>
      </c>
      <c r="G2339" t="s">
        <v>108</v>
      </c>
      <c r="H2339" t="s">
        <v>109</v>
      </c>
      <c r="I2339">
        <v>2162.5300000000002</v>
      </c>
      <c r="J2339">
        <v>2143.27</v>
      </c>
      <c r="K2339" t="s">
        <v>17</v>
      </c>
      <c r="L2339" t="b">
        <v>0</v>
      </c>
      <c r="N2339" s="2" t="str">
        <f t="shared" si="208"/>
        <v/>
      </c>
      <c r="Q2339" t="str">
        <f t="shared" si="209"/>
        <v/>
      </c>
    </row>
    <row r="2340" spans="1:17" hidden="1">
      <c r="A2340" t="s">
        <v>2445</v>
      </c>
      <c r="B2340" s="1">
        <v>45236</v>
      </c>
      <c r="C2340">
        <v>2023</v>
      </c>
      <c r="D2340">
        <v>11</v>
      </c>
      <c r="E2340" t="s">
        <v>13</v>
      </c>
      <c r="F2340" t="s">
        <v>28</v>
      </c>
      <c r="G2340" t="s">
        <v>68</v>
      </c>
      <c r="H2340" t="s">
        <v>87</v>
      </c>
      <c r="I2340">
        <v>4488.1899999999996</v>
      </c>
      <c r="J2340">
        <v>4734.72</v>
      </c>
      <c r="K2340" t="s">
        <v>17</v>
      </c>
      <c r="L2340" t="b">
        <v>0</v>
      </c>
      <c r="N2340" s="2" t="str">
        <f t="shared" si="208"/>
        <v/>
      </c>
      <c r="Q2340" t="str">
        <f t="shared" si="209"/>
        <v/>
      </c>
    </row>
    <row r="2341" spans="1:17" hidden="1">
      <c r="A2341" t="s">
        <v>2446</v>
      </c>
      <c r="B2341" s="1">
        <v>45236</v>
      </c>
      <c r="C2341">
        <v>2023</v>
      </c>
      <c r="D2341">
        <v>11</v>
      </c>
      <c r="E2341" t="s">
        <v>47</v>
      </c>
      <c r="F2341" t="s">
        <v>14</v>
      </c>
      <c r="G2341" t="s">
        <v>51</v>
      </c>
      <c r="H2341" t="s">
        <v>52</v>
      </c>
      <c r="I2341">
        <v>10813.2</v>
      </c>
      <c r="J2341">
        <v>9177.3700000000008</v>
      </c>
      <c r="K2341" t="s">
        <v>17</v>
      </c>
      <c r="L2341" t="b">
        <v>0</v>
      </c>
      <c r="N2341" s="2" t="b">
        <f t="shared" si="208"/>
        <v>1</v>
      </c>
      <c r="O2341" t="str">
        <f t="shared" ref="O2341:O2342" si="212">IF(AND(E2330="HR",K2330="EXPENSE"),I2330&lt;J2330,"")</f>
        <v/>
      </c>
      <c r="Q2341" t="str">
        <f t="shared" si="209"/>
        <v/>
      </c>
    </row>
    <row r="2342" spans="1:17" hidden="1">
      <c r="A2342" t="s">
        <v>2447</v>
      </c>
      <c r="B2342" s="1">
        <v>45236</v>
      </c>
      <c r="C2342">
        <v>2023</v>
      </c>
      <c r="D2342">
        <v>11</v>
      </c>
      <c r="E2342" t="s">
        <v>47</v>
      </c>
      <c r="F2342" t="s">
        <v>24</v>
      </c>
      <c r="G2342" t="s">
        <v>91</v>
      </c>
      <c r="H2342" t="s">
        <v>92</v>
      </c>
      <c r="I2342">
        <v>20126.72</v>
      </c>
      <c r="J2342">
        <v>17358.189999999999</v>
      </c>
      <c r="K2342" t="s">
        <v>17</v>
      </c>
      <c r="L2342" t="b">
        <v>0</v>
      </c>
      <c r="N2342" s="2" t="b">
        <f t="shared" si="208"/>
        <v>1</v>
      </c>
      <c r="O2342" t="str">
        <f t="shared" si="212"/>
        <v/>
      </c>
      <c r="Q2342" t="str">
        <f t="shared" si="209"/>
        <v/>
      </c>
    </row>
    <row r="2343" spans="1:17" hidden="1">
      <c r="A2343" t="s">
        <v>2448</v>
      </c>
      <c r="B2343" s="1">
        <v>45236</v>
      </c>
      <c r="C2343">
        <v>2023</v>
      </c>
      <c r="D2343">
        <v>11</v>
      </c>
      <c r="E2343" t="s">
        <v>23</v>
      </c>
      <c r="F2343" t="s">
        <v>28</v>
      </c>
      <c r="G2343" t="s">
        <v>25</v>
      </c>
      <c r="H2343" t="s">
        <v>95</v>
      </c>
      <c r="I2343">
        <v>9078.33</v>
      </c>
      <c r="J2343">
        <v>8181.14</v>
      </c>
      <c r="K2343" t="s">
        <v>17</v>
      </c>
      <c r="L2343" t="b">
        <v>0</v>
      </c>
      <c r="N2343" s="2" t="str">
        <f t="shared" si="208"/>
        <v/>
      </c>
      <c r="Q2343" t="str">
        <f t="shared" si="209"/>
        <v/>
      </c>
    </row>
    <row r="2344" spans="1:17" hidden="1">
      <c r="A2344" t="s">
        <v>2449</v>
      </c>
      <c r="B2344" s="1">
        <v>45236</v>
      </c>
      <c r="C2344">
        <v>2023</v>
      </c>
      <c r="D2344">
        <v>11</v>
      </c>
      <c r="E2344" t="s">
        <v>23</v>
      </c>
      <c r="F2344" t="s">
        <v>24</v>
      </c>
      <c r="G2344" t="s">
        <v>141</v>
      </c>
      <c r="H2344" t="s">
        <v>142</v>
      </c>
      <c r="I2344">
        <v>6284.2</v>
      </c>
      <c r="J2344">
        <v>6326.28</v>
      </c>
      <c r="K2344" t="s">
        <v>17</v>
      </c>
      <c r="L2344" t="b">
        <v>0</v>
      </c>
      <c r="N2344" s="2" t="str">
        <f t="shared" si="208"/>
        <v/>
      </c>
      <c r="Q2344" t="str">
        <f t="shared" si="209"/>
        <v/>
      </c>
    </row>
    <row r="2345" spans="1:17" hidden="1">
      <c r="A2345" t="s">
        <v>2450</v>
      </c>
      <c r="B2345" s="1">
        <v>45236</v>
      </c>
      <c r="C2345">
        <v>2023</v>
      </c>
      <c r="D2345">
        <v>11</v>
      </c>
      <c r="E2345" t="s">
        <v>37</v>
      </c>
      <c r="F2345" t="s">
        <v>14</v>
      </c>
      <c r="G2345" t="s">
        <v>98</v>
      </c>
      <c r="H2345" t="s">
        <v>185</v>
      </c>
      <c r="I2345">
        <v>6479.21</v>
      </c>
      <c r="J2345">
        <v>6756.02</v>
      </c>
      <c r="K2345" t="s">
        <v>17</v>
      </c>
      <c r="L2345" t="b">
        <v>0</v>
      </c>
      <c r="N2345" s="2" t="str">
        <f t="shared" si="208"/>
        <v/>
      </c>
      <c r="Q2345" t="str">
        <f t="shared" si="209"/>
        <v/>
      </c>
    </row>
    <row r="2346" spans="1:17" hidden="1">
      <c r="A2346" t="s">
        <v>2451</v>
      </c>
      <c r="B2346" s="1">
        <v>45236</v>
      </c>
      <c r="C2346">
        <v>2023</v>
      </c>
      <c r="D2346">
        <v>11</v>
      </c>
      <c r="E2346" t="s">
        <v>37</v>
      </c>
      <c r="F2346" t="s">
        <v>28</v>
      </c>
      <c r="G2346" t="s">
        <v>38</v>
      </c>
      <c r="H2346" t="s">
        <v>227</v>
      </c>
      <c r="I2346">
        <v>4762.62</v>
      </c>
      <c r="J2346">
        <v>4787.34</v>
      </c>
      <c r="K2346" t="s">
        <v>17</v>
      </c>
      <c r="L2346" t="b">
        <v>0</v>
      </c>
      <c r="N2346" s="2" t="str">
        <f t="shared" si="208"/>
        <v/>
      </c>
      <c r="Q2346" t="str">
        <f t="shared" si="209"/>
        <v/>
      </c>
    </row>
    <row r="2347" spans="1:17" hidden="1">
      <c r="A2347" t="s">
        <v>2452</v>
      </c>
      <c r="B2347" s="1">
        <v>45237</v>
      </c>
      <c r="C2347">
        <v>2023</v>
      </c>
      <c r="D2347">
        <v>11</v>
      </c>
      <c r="E2347" t="s">
        <v>13</v>
      </c>
      <c r="F2347" t="s">
        <v>14</v>
      </c>
      <c r="G2347" t="s">
        <v>68</v>
      </c>
      <c r="H2347" t="s">
        <v>213</v>
      </c>
      <c r="I2347">
        <v>3814.33</v>
      </c>
      <c r="J2347">
        <v>3454.13</v>
      </c>
      <c r="K2347" t="s">
        <v>17</v>
      </c>
      <c r="L2347" t="b">
        <v>0</v>
      </c>
      <c r="N2347" s="2" t="str">
        <f t="shared" si="208"/>
        <v/>
      </c>
      <c r="Q2347" t="str">
        <f t="shared" si="209"/>
        <v/>
      </c>
    </row>
    <row r="2348" spans="1:17" hidden="1">
      <c r="A2348" t="s">
        <v>2453</v>
      </c>
      <c r="B2348" s="1">
        <v>45237</v>
      </c>
      <c r="C2348">
        <v>2023</v>
      </c>
      <c r="D2348">
        <v>11</v>
      </c>
      <c r="E2348" t="s">
        <v>13</v>
      </c>
      <c r="F2348" t="s">
        <v>14</v>
      </c>
      <c r="G2348" t="s">
        <v>102</v>
      </c>
      <c r="H2348" t="s">
        <v>103</v>
      </c>
      <c r="I2348">
        <v>1916.38</v>
      </c>
      <c r="J2348">
        <v>1802.75</v>
      </c>
      <c r="K2348" t="s">
        <v>17</v>
      </c>
      <c r="L2348" t="b">
        <v>0</v>
      </c>
      <c r="N2348" s="2" t="str">
        <f t="shared" si="208"/>
        <v/>
      </c>
      <c r="Q2348" t="str">
        <f t="shared" si="209"/>
        <v/>
      </c>
    </row>
    <row r="2349" spans="1:17" hidden="1">
      <c r="A2349" t="s">
        <v>2454</v>
      </c>
      <c r="B2349" s="1">
        <v>45237</v>
      </c>
      <c r="C2349">
        <v>2023</v>
      </c>
      <c r="D2349">
        <v>11</v>
      </c>
      <c r="E2349" t="s">
        <v>47</v>
      </c>
      <c r="F2349" t="s">
        <v>28</v>
      </c>
      <c r="G2349" t="s">
        <v>91</v>
      </c>
      <c r="H2349" t="s">
        <v>92</v>
      </c>
      <c r="I2349">
        <v>15605.34</v>
      </c>
      <c r="J2349">
        <v>13072.47</v>
      </c>
      <c r="K2349" t="s">
        <v>17</v>
      </c>
      <c r="L2349" t="b">
        <v>0</v>
      </c>
      <c r="N2349" s="2" t="b">
        <f t="shared" si="208"/>
        <v>1</v>
      </c>
      <c r="O2349" t="str">
        <f>IF(AND(E2338="HR",K2338="EXPENSE"),I2338&lt;J2338,"")</f>
        <v/>
      </c>
      <c r="Q2349" t="str">
        <f t="shared" si="209"/>
        <v/>
      </c>
    </row>
    <row r="2350" spans="1:17" hidden="1">
      <c r="A2350" t="s">
        <v>2455</v>
      </c>
      <c r="B2350" s="1">
        <v>45237</v>
      </c>
      <c r="C2350">
        <v>2023</v>
      </c>
      <c r="D2350">
        <v>11</v>
      </c>
      <c r="E2350" t="s">
        <v>23</v>
      </c>
      <c r="F2350" t="s">
        <v>28</v>
      </c>
      <c r="G2350" t="s">
        <v>59</v>
      </c>
      <c r="H2350" t="s">
        <v>155</v>
      </c>
      <c r="I2350">
        <v>5633.38</v>
      </c>
      <c r="J2350">
        <v>5244.5</v>
      </c>
      <c r="K2350" t="s">
        <v>17</v>
      </c>
      <c r="L2350" t="b">
        <v>0</v>
      </c>
      <c r="N2350" s="2" t="str">
        <f t="shared" si="208"/>
        <v/>
      </c>
      <c r="Q2350" t="str">
        <f t="shared" si="209"/>
        <v/>
      </c>
    </row>
    <row r="2351" spans="1:17" hidden="1">
      <c r="A2351" t="s">
        <v>2456</v>
      </c>
      <c r="B2351" s="1">
        <v>45237</v>
      </c>
      <c r="C2351">
        <v>2023</v>
      </c>
      <c r="D2351">
        <v>11</v>
      </c>
      <c r="E2351" t="s">
        <v>23</v>
      </c>
      <c r="F2351" t="s">
        <v>24</v>
      </c>
      <c r="G2351" t="s">
        <v>25</v>
      </c>
      <c r="H2351" t="s">
        <v>26</v>
      </c>
      <c r="I2351">
        <v>5522.11</v>
      </c>
      <c r="J2351">
        <v>5489.75</v>
      </c>
      <c r="K2351" t="s">
        <v>17</v>
      </c>
      <c r="L2351" t="b">
        <v>0</v>
      </c>
      <c r="N2351" s="2" t="str">
        <f t="shared" si="208"/>
        <v/>
      </c>
      <c r="Q2351" t="str">
        <f t="shared" si="209"/>
        <v/>
      </c>
    </row>
    <row r="2352" spans="1:17" hidden="1">
      <c r="A2352" t="s">
        <v>2457</v>
      </c>
      <c r="B2352" s="1">
        <v>45237</v>
      </c>
      <c r="C2352">
        <v>2023</v>
      </c>
      <c r="D2352">
        <v>11</v>
      </c>
      <c r="E2352" t="s">
        <v>37</v>
      </c>
      <c r="F2352" t="s">
        <v>28</v>
      </c>
      <c r="G2352" t="s">
        <v>41</v>
      </c>
      <c r="H2352" t="s">
        <v>42</v>
      </c>
      <c r="I2352">
        <v>10960.49</v>
      </c>
      <c r="J2352">
        <v>10652.33</v>
      </c>
      <c r="K2352" t="s">
        <v>17</v>
      </c>
      <c r="L2352" t="b">
        <v>0</v>
      </c>
      <c r="N2352" s="2" t="str">
        <f t="shared" si="208"/>
        <v/>
      </c>
      <c r="Q2352" t="str">
        <f t="shared" si="209"/>
        <v/>
      </c>
    </row>
    <row r="2353" spans="1:17" hidden="1">
      <c r="A2353" t="s">
        <v>2458</v>
      </c>
      <c r="B2353" s="1">
        <v>45237</v>
      </c>
      <c r="C2353">
        <v>2023</v>
      </c>
      <c r="D2353">
        <v>11</v>
      </c>
      <c r="E2353" t="s">
        <v>37</v>
      </c>
      <c r="F2353" t="s">
        <v>24</v>
      </c>
      <c r="G2353" t="s">
        <v>62</v>
      </c>
      <c r="H2353" t="s">
        <v>63</v>
      </c>
      <c r="I2353">
        <v>4749.66</v>
      </c>
      <c r="J2353">
        <v>4455.12</v>
      </c>
      <c r="K2353" t="s">
        <v>17</v>
      </c>
      <c r="L2353" t="b">
        <v>0</v>
      </c>
      <c r="N2353" s="2" t="str">
        <f t="shared" si="208"/>
        <v/>
      </c>
      <c r="Q2353" t="str">
        <f t="shared" si="209"/>
        <v/>
      </c>
    </row>
    <row r="2354" spans="1:17" hidden="1">
      <c r="A2354" t="s">
        <v>2459</v>
      </c>
      <c r="B2354" s="1">
        <v>45237</v>
      </c>
      <c r="C2354">
        <v>2023</v>
      </c>
      <c r="D2354">
        <v>11</v>
      </c>
      <c r="E2354" t="s">
        <v>37</v>
      </c>
      <c r="F2354" t="s">
        <v>24</v>
      </c>
      <c r="G2354" t="s">
        <v>38</v>
      </c>
      <c r="H2354" t="s">
        <v>118</v>
      </c>
      <c r="I2354">
        <v>5800.77</v>
      </c>
      <c r="J2354">
        <v>6288.93</v>
      </c>
      <c r="K2354" t="s">
        <v>17</v>
      </c>
      <c r="L2354" t="b">
        <v>0</v>
      </c>
      <c r="N2354" s="2" t="str">
        <f t="shared" si="208"/>
        <v/>
      </c>
      <c r="Q2354" t="str">
        <f t="shared" si="209"/>
        <v/>
      </c>
    </row>
    <row r="2355" spans="1:17" hidden="1">
      <c r="A2355" t="s">
        <v>2460</v>
      </c>
      <c r="B2355" s="1">
        <v>45238</v>
      </c>
      <c r="C2355">
        <v>2023</v>
      </c>
      <c r="D2355">
        <v>11</v>
      </c>
      <c r="E2355" t="s">
        <v>13</v>
      </c>
      <c r="F2355" t="s">
        <v>14</v>
      </c>
      <c r="G2355" t="s">
        <v>108</v>
      </c>
      <c r="H2355" t="s">
        <v>123</v>
      </c>
      <c r="I2355">
        <v>4472.63</v>
      </c>
      <c r="J2355">
        <v>4275.62</v>
      </c>
      <c r="K2355" t="s">
        <v>17</v>
      </c>
      <c r="L2355" t="b">
        <v>0</v>
      </c>
      <c r="N2355" s="2" t="str">
        <f t="shared" si="208"/>
        <v/>
      </c>
      <c r="Q2355" t="str">
        <f t="shared" si="209"/>
        <v/>
      </c>
    </row>
    <row r="2356" spans="1:17" hidden="1">
      <c r="A2356" t="s">
        <v>2461</v>
      </c>
      <c r="B2356" s="1">
        <v>45238</v>
      </c>
      <c r="C2356">
        <v>2023</v>
      </c>
      <c r="D2356">
        <v>11</v>
      </c>
      <c r="E2356" t="s">
        <v>13</v>
      </c>
      <c r="F2356" t="s">
        <v>24</v>
      </c>
      <c r="G2356" t="s">
        <v>102</v>
      </c>
      <c r="H2356" t="s">
        <v>278</v>
      </c>
      <c r="I2356">
        <v>3520.65</v>
      </c>
      <c r="J2356">
        <v>3197.51</v>
      </c>
      <c r="K2356" t="s">
        <v>17</v>
      </c>
      <c r="L2356" t="b">
        <v>0</v>
      </c>
      <c r="N2356" s="2" t="str">
        <f t="shared" si="208"/>
        <v/>
      </c>
      <c r="Q2356" t="str">
        <f t="shared" si="209"/>
        <v/>
      </c>
    </row>
    <row r="2357" spans="1:17" hidden="1">
      <c r="A2357" t="s">
        <v>2462</v>
      </c>
      <c r="B2357" s="1">
        <v>45238</v>
      </c>
      <c r="C2357">
        <v>2023</v>
      </c>
      <c r="D2357">
        <v>11</v>
      </c>
      <c r="E2357" t="s">
        <v>13</v>
      </c>
      <c r="F2357" t="s">
        <v>24</v>
      </c>
      <c r="G2357" t="s">
        <v>68</v>
      </c>
      <c r="H2357" t="s">
        <v>213</v>
      </c>
      <c r="I2357">
        <v>2217.8000000000002</v>
      </c>
      <c r="J2357">
        <v>2263.84</v>
      </c>
      <c r="K2357" t="s">
        <v>17</v>
      </c>
      <c r="L2357" t="b">
        <v>0</v>
      </c>
      <c r="N2357" s="2" t="str">
        <f t="shared" si="208"/>
        <v/>
      </c>
      <c r="Q2357" t="str">
        <f t="shared" si="209"/>
        <v/>
      </c>
    </row>
    <row r="2358" spans="1:17" hidden="1">
      <c r="A2358" t="s">
        <v>2463</v>
      </c>
      <c r="B2358" s="1">
        <v>45238</v>
      </c>
      <c r="C2358">
        <v>2023</v>
      </c>
      <c r="D2358">
        <v>11</v>
      </c>
      <c r="E2358" t="s">
        <v>47</v>
      </c>
      <c r="F2358" t="s">
        <v>14</v>
      </c>
      <c r="G2358" t="s">
        <v>77</v>
      </c>
      <c r="H2358" t="s">
        <v>130</v>
      </c>
      <c r="I2358">
        <v>12158.13</v>
      </c>
      <c r="J2358">
        <v>10464.73</v>
      </c>
      <c r="K2358" t="s">
        <v>17</v>
      </c>
      <c r="L2358" t="b">
        <v>0</v>
      </c>
      <c r="N2358" s="2" t="b">
        <f t="shared" si="208"/>
        <v>1</v>
      </c>
      <c r="O2358" t="b">
        <f t="shared" ref="O2358:O2359" si="213">IF(AND(E2347="HR",K2347="EXPENSE"),I2347&lt;J2347,"")</f>
        <v>0</v>
      </c>
      <c r="Q2358" t="str">
        <f t="shared" si="209"/>
        <v/>
      </c>
    </row>
    <row r="2359" spans="1:17" hidden="1">
      <c r="A2359" t="s">
        <v>2464</v>
      </c>
      <c r="B2359" s="1">
        <v>45238</v>
      </c>
      <c r="C2359">
        <v>2023</v>
      </c>
      <c r="D2359">
        <v>11</v>
      </c>
      <c r="E2359" t="s">
        <v>47</v>
      </c>
      <c r="F2359" t="s">
        <v>28</v>
      </c>
      <c r="G2359" t="s">
        <v>77</v>
      </c>
      <c r="H2359" t="s">
        <v>130</v>
      </c>
      <c r="I2359">
        <v>14972.83</v>
      </c>
      <c r="J2359">
        <v>12626.15</v>
      </c>
      <c r="K2359" t="s">
        <v>17</v>
      </c>
      <c r="L2359" t="b">
        <v>0</v>
      </c>
      <c r="N2359" s="2" t="b">
        <f t="shared" si="208"/>
        <v>1</v>
      </c>
      <c r="O2359" t="b">
        <f t="shared" si="213"/>
        <v>0</v>
      </c>
      <c r="Q2359" t="str">
        <f t="shared" si="209"/>
        <v/>
      </c>
    </row>
    <row r="2360" spans="1:17" hidden="1">
      <c r="A2360" t="s">
        <v>2465</v>
      </c>
      <c r="B2360" s="1">
        <v>45238</v>
      </c>
      <c r="C2360">
        <v>2023</v>
      </c>
      <c r="D2360">
        <v>11</v>
      </c>
      <c r="E2360" t="s">
        <v>37</v>
      </c>
      <c r="F2360" t="s">
        <v>28</v>
      </c>
      <c r="G2360" t="s">
        <v>41</v>
      </c>
      <c r="H2360" t="s">
        <v>42</v>
      </c>
      <c r="I2360">
        <v>4878.9799999999996</v>
      </c>
      <c r="J2360">
        <v>4442.51</v>
      </c>
      <c r="K2360" t="s">
        <v>17</v>
      </c>
      <c r="L2360" t="b">
        <v>0</v>
      </c>
      <c r="N2360" s="2" t="str">
        <f t="shared" si="208"/>
        <v/>
      </c>
      <c r="Q2360" t="str">
        <f t="shared" si="209"/>
        <v/>
      </c>
    </row>
    <row r="2361" spans="1:17" hidden="1">
      <c r="A2361" t="s">
        <v>2466</v>
      </c>
      <c r="B2361" s="1">
        <v>45239</v>
      </c>
      <c r="C2361">
        <v>2023</v>
      </c>
      <c r="D2361">
        <v>11</v>
      </c>
      <c r="E2361" t="s">
        <v>13</v>
      </c>
      <c r="F2361" t="s">
        <v>28</v>
      </c>
      <c r="G2361" t="s">
        <v>102</v>
      </c>
      <c r="H2361" t="s">
        <v>145</v>
      </c>
      <c r="I2361">
        <v>3445.77</v>
      </c>
      <c r="J2361">
        <v>3145.02</v>
      </c>
      <c r="K2361" t="s">
        <v>17</v>
      </c>
      <c r="L2361" t="b">
        <v>0</v>
      </c>
      <c r="N2361" s="2" t="str">
        <f t="shared" si="208"/>
        <v/>
      </c>
      <c r="Q2361" t="str">
        <f t="shared" si="209"/>
        <v/>
      </c>
    </row>
    <row r="2362" spans="1:17" hidden="1">
      <c r="A2362" t="s">
        <v>2467</v>
      </c>
      <c r="B2362" s="1">
        <v>45239</v>
      </c>
      <c r="C2362">
        <v>2023</v>
      </c>
      <c r="D2362">
        <v>11</v>
      </c>
      <c r="E2362" t="s">
        <v>47</v>
      </c>
      <c r="F2362" t="s">
        <v>14</v>
      </c>
      <c r="G2362" t="s">
        <v>91</v>
      </c>
      <c r="H2362" t="s">
        <v>128</v>
      </c>
      <c r="I2362">
        <v>2414.87</v>
      </c>
      <c r="J2362">
        <v>1996.96</v>
      </c>
      <c r="K2362" t="s">
        <v>17</v>
      </c>
      <c r="L2362" t="b">
        <v>0</v>
      </c>
      <c r="N2362" s="2" t="b">
        <f t="shared" si="208"/>
        <v>1</v>
      </c>
      <c r="O2362" t="str">
        <f t="shared" ref="O2362:O2365" si="214">IF(AND(E2351="HR",K2351="EXPENSE"),I2351&lt;J2351,"")</f>
        <v/>
      </c>
      <c r="Q2362" t="str">
        <f t="shared" si="209"/>
        <v/>
      </c>
    </row>
    <row r="2363" spans="1:17" hidden="1">
      <c r="A2363" t="s">
        <v>2468</v>
      </c>
      <c r="B2363" s="1">
        <v>45239</v>
      </c>
      <c r="C2363">
        <v>2023</v>
      </c>
      <c r="D2363">
        <v>11</v>
      </c>
      <c r="E2363" t="s">
        <v>47</v>
      </c>
      <c r="F2363" t="s">
        <v>14</v>
      </c>
      <c r="G2363" t="s">
        <v>77</v>
      </c>
      <c r="H2363" t="s">
        <v>130</v>
      </c>
      <c r="I2363">
        <v>17427.259999999998</v>
      </c>
      <c r="J2363">
        <v>15106.07</v>
      </c>
      <c r="K2363" t="s">
        <v>17</v>
      </c>
      <c r="L2363" t="b">
        <v>0</v>
      </c>
      <c r="N2363" s="2" t="b">
        <f t="shared" si="208"/>
        <v>1</v>
      </c>
      <c r="O2363" t="str">
        <f t="shared" si="214"/>
        <v/>
      </c>
      <c r="Q2363" t="str">
        <f t="shared" si="209"/>
        <v/>
      </c>
    </row>
    <row r="2364" spans="1:17" hidden="1">
      <c r="A2364" t="s">
        <v>2469</v>
      </c>
      <c r="B2364" s="1">
        <v>45239</v>
      </c>
      <c r="C2364">
        <v>2023</v>
      </c>
      <c r="D2364">
        <v>11</v>
      </c>
      <c r="E2364" t="s">
        <v>47</v>
      </c>
      <c r="F2364" t="s">
        <v>28</v>
      </c>
      <c r="G2364" t="s">
        <v>91</v>
      </c>
      <c r="H2364" t="s">
        <v>92</v>
      </c>
      <c r="I2364">
        <v>13674.65</v>
      </c>
      <c r="J2364">
        <v>11432.48</v>
      </c>
      <c r="K2364" t="s">
        <v>17</v>
      </c>
      <c r="L2364" t="b">
        <v>0</v>
      </c>
      <c r="N2364" s="2" t="b">
        <f t="shared" si="208"/>
        <v>1</v>
      </c>
      <c r="O2364" t="str">
        <f t="shared" si="214"/>
        <v/>
      </c>
      <c r="Q2364" t="str">
        <f t="shared" si="209"/>
        <v/>
      </c>
    </row>
    <row r="2365" spans="1:17" hidden="1">
      <c r="A2365" t="s">
        <v>2470</v>
      </c>
      <c r="B2365" s="1">
        <v>45239</v>
      </c>
      <c r="C2365">
        <v>2023</v>
      </c>
      <c r="D2365">
        <v>11</v>
      </c>
      <c r="E2365" t="s">
        <v>47</v>
      </c>
      <c r="F2365" t="s">
        <v>28</v>
      </c>
      <c r="G2365" t="s">
        <v>91</v>
      </c>
      <c r="H2365" t="s">
        <v>249</v>
      </c>
      <c r="I2365">
        <v>12581.12</v>
      </c>
      <c r="J2365">
        <v>10937.49</v>
      </c>
      <c r="K2365" t="s">
        <v>17</v>
      </c>
      <c r="L2365" t="b">
        <v>0</v>
      </c>
      <c r="N2365" s="2" t="b">
        <f t="shared" si="208"/>
        <v>1</v>
      </c>
      <c r="O2365" t="str">
        <f t="shared" si="214"/>
        <v/>
      </c>
      <c r="Q2365" t="str">
        <f t="shared" si="209"/>
        <v/>
      </c>
    </row>
    <row r="2366" spans="1:17" hidden="1">
      <c r="A2366" t="s">
        <v>2471</v>
      </c>
      <c r="B2366" s="1">
        <v>45239</v>
      </c>
      <c r="C2366">
        <v>2023</v>
      </c>
      <c r="D2366">
        <v>11</v>
      </c>
      <c r="E2366" t="s">
        <v>23</v>
      </c>
      <c r="F2366" t="s">
        <v>28</v>
      </c>
      <c r="G2366" t="s">
        <v>59</v>
      </c>
      <c r="H2366" t="s">
        <v>60</v>
      </c>
      <c r="I2366">
        <v>10708.65</v>
      </c>
      <c r="J2366">
        <v>9655.98</v>
      </c>
      <c r="K2366" t="s">
        <v>17</v>
      </c>
      <c r="L2366" t="b">
        <v>0</v>
      </c>
      <c r="N2366" s="2" t="str">
        <f t="shared" si="208"/>
        <v/>
      </c>
      <c r="Q2366" t="str">
        <f t="shared" si="209"/>
        <v/>
      </c>
    </row>
    <row r="2367" spans="1:17" hidden="1">
      <c r="A2367" t="s">
        <v>2472</v>
      </c>
      <c r="B2367" s="1">
        <v>45240</v>
      </c>
      <c r="C2367">
        <v>2023</v>
      </c>
      <c r="D2367">
        <v>11</v>
      </c>
      <c r="E2367" t="s">
        <v>47</v>
      </c>
      <c r="F2367" t="s">
        <v>24</v>
      </c>
      <c r="G2367" t="s">
        <v>51</v>
      </c>
      <c r="H2367" t="s">
        <v>52</v>
      </c>
      <c r="I2367">
        <v>15707.05</v>
      </c>
      <c r="J2367">
        <v>13245.55</v>
      </c>
      <c r="K2367" t="s">
        <v>17</v>
      </c>
      <c r="L2367" t="b">
        <v>0</v>
      </c>
      <c r="N2367" s="2" t="b">
        <f t="shared" si="208"/>
        <v>1</v>
      </c>
      <c r="O2367" t="b">
        <f>IF(AND(E2356="HR",K2356="EXPENSE"),I2356&lt;J2356,"")</f>
        <v>0</v>
      </c>
      <c r="Q2367" t="str">
        <f t="shared" si="209"/>
        <v/>
      </c>
    </row>
    <row r="2368" spans="1:17" hidden="1">
      <c r="A2368" t="s">
        <v>2473</v>
      </c>
      <c r="B2368" s="1">
        <v>45240</v>
      </c>
      <c r="C2368">
        <v>2023</v>
      </c>
      <c r="D2368">
        <v>11</v>
      </c>
      <c r="E2368" t="s">
        <v>19</v>
      </c>
      <c r="F2368" t="s">
        <v>24</v>
      </c>
      <c r="G2368" t="s">
        <v>80</v>
      </c>
      <c r="H2368" t="s">
        <v>150</v>
      </c>
      <c r="I2368">
        <v>8638.0300000000007</v>
      </c>
      <c r="J2368">
        <v>9018.2999999999993</v>
      </c>
      <c r="K2368" t="s">
        <v>17</v>
      </c>
      <c r="L2368" t="b">
        <v>0</v>
      </c>
      <c r="N2368" s="2" t="str">
        <f t="shared" si="208"/>
        <v/>
      </c>
      <c r="Q2368" t="str">
        <f t="shared" si="209"/>
        <v/>
      </c>
    </row>
    <row r="2369" spans="1:17" hidden="1">
      <c r="A2369" t="s">
        <v>2474</v>
      </c>
      <c r="B2369" s="1">
        <v>45240</v>
      </c>
      <c r="C2369">
        <v>2023</v>
      </c>
      <c r="D2369">
        <v>11</v>
      </c>
      <c r="E2369" t="s">
        <v>23</v>
      </c>
      <c r="F2369" t="s">
        <v>28</v>
      </c>
      <c r="G2369" t="s">
        <v>30</v>
      </c>
      <c r="H2369" t="s">
        <v>33</v>
      </c>
      <c r="I2369">
        <v>4905.47</v>
      </c>
      <c r="J2369">
        <v>4794.08</v>
      </c>
      <c r="K2369" t="s">
        <v>17</v>
      </c>
      <c r="L2369" t="b">
        <v>0</v>
      </c>
      <c r="N2369" s="2" t="str">
        <f t="shared" si="208"/>
        <v/>
      </c>
      <c r="Q2369" t="str">
        <f t="shared" si="209"/>
        <v/>
      </c>
    </row>
    <row r="2370" spans="1:17" hidden="1">
      <c r="A2370" t="s">
        <v>2475</v>
      </c>
      <c r="B2370" s="1">
        <v>45240</v>
      </c>
      <c r="C2370">
        <v>2023</v>
      </c>
      <c r="D2370">
        <v>11</v>
      </c>
      <c r="E2370" t="s">
        <v>23</v>
      </c>
      <c r="F2370" t="s">
        <v>24</v>
      </c>
      <c r="G2370" t="s">
        <v>30</v>
      </c>
      <c r="H2370" t="s">
        <v>31</v>
      </c>
      <c r="I2370">
        <v>6969.84</v>
      </c>
      <c r="J2370">
        <v>7083.57</v>
      </c>
      <c r="K2370" t="s">
        <v>17</v>
      </c>
      <c r="L2370" t="b">
        <v>0</v>
      </c>
      <c r="N2370" s="2" t="str">
        <f t="shared" si="208"/>
        <v/>
      </c>
      <c r="Q2370" t="str">
        <f t="shared" si="209"/>
        <v/>
      </c>
    </row>
    <row r="2371" spans="1:17" hidden="1">
      <c r="A2371" t="s">
        <v>2476</v>
      </c>
      <c r="B2371" s="1">
        <v>45241</v>
      </c>
      <c r="C2371">
        <v>2023</v>
      </c>
      <c r="D2371">
        <v>11</v>
      </c>
      <c r="E2371" t="s">
        <v>13</v>
      </c>
      <c r="F2371" t="s">
        <v>28</v>
      </c>
      <c r="G2371" t="s">
        <v>68</v>
      </c>
      <c r="H2371" t="s">
        <v>69</v>
      </c>
      <c r="I2371">
        <v>3469.88</v>
      </c>
      <c r="J2371">
        <v>3390.45</v>
      </c>
      <c r="K2371" t="s">
        <v>17</v>
      </c>
      <c r="L2371" t="b">
        <v>0</v>
      </c>
      <c r="N2371" s="2" t="str">
        <f t="shared" ref="N2371:N2434" si="215">IF(AND(E2371="IT",K2371="EXPENSE"),I2371&gt;J2371,"")</f>
        <v/>
      </c>
      <c r="Q2371" t="str">
        <f t="shared" ref="Q2371:Q2434" si="216">IF(L2371=TRUE,OR(H2371="Apex Solutions Inc",H2371="Global Trade Partners",H2371="NovaTech Services"),"")</f>
        <v/>
      </c>
    </row>
    <row r="2372" spans="1:17" hidden="1">
      <c r="A2372" t="s">
        <v>2477</v>
      </c>
      <c r="B2372" s="1">
        <v>45241</v>
      </c>
      <c r="C2372">
        <v>2023</v>
      </c>
      <c r="D2372">
        <v>11</v>
      </c>
      <c r="E2372" t="s">
        <v>13</v>
      </c>
      <c r="F2372" t="s">
        <v>24</v>
      </c>
      <c r="G2372" t="s">
        <v>15</v>
      </c>
      <c r="H2372" t="s">
        <v>89</v>
      </c>
      <c r="I2372">
        <v>3294.9</v>
      </c>
      <c r="J2372">
        <v>3562.88</v>
      </c>
      <c r="K2372" t="s">
        <v>17</v>
      </c>
      <c r="L2372" t="b">
        <v>0</v>
      </c>
      <c r="N2372" s="2" t="str">
        <f t="shared" si="215"/>
        <v/>
      </c>
      <c r="Q2372" t="str">
        <f t="shared" si="216"/>
        <v/>
      </c>
    </row>
    <row r="2373" spans="1:17" hidden="1">
      <c r="A2373" t="s">
        <v>2478</v>
      </c>
      <c r="B2373" s="1">
        <v>45241</v>
      </c>
      <c r="C2373">
        <v>2023</v>
      </c>
      <c r="D2373">
        <v>11</v>
      </c>
      <c r="E2373" t="s">
        <v>47</v>
      </c>
      <c r="F2373" t="s">
        <v>28</v>
      </c>
      <c r="G2373" t="s">
        <v>51</v>
      </c>
      <c r="H2373" t="s">
        <v>72</v>
      </c>
      <c r="I2373">
        <v>19268.009999999998</v>
      </c>
      <c r="J2373">
        <v>16379.93</v>
      </c>
      <c r="K2373" t="s">
        <v>17</v>
      </c>
      <c r="L2373" t="b">
        <v>0</v>
      </c>
      <c r="N2373" s="2" t="b">
        <f t="shared" si="215"/>
        <v>1</v>
      </c>
      <c r="O2373" t="str">
        <f>IF(AND(E2362="HR",K2362="EXPENSE"),I2362&lt;J2362,"")</f>
        <v/>
      </c>
      <c r="Q2373" t="str">
        <f t="shared" si="216"/>
        <v/>
      </c>
    </row>
    <row r="2374" spans="1:17" hidden="1">
      <c r="A2374" t="s">
        <v>2479</v>
      </c>
      <c r="B2374" s="1">
        <v>45241</v>
      </c>
      <c r="C2374">
        <v>2023</v>
      </c>
      <c r="D2374">
        <v>11</v>
      </c>
      <c r="E2374" t="s">
        <v>19</v>
      </c>
      <c r="F2374" t="s">
        <v>14</v>
      </c>
      <c r="G2374" t="s">
        <v>80</v>
      </c>
      <c r="H2374" t="s">
        <v>113</v>
      </c>
      <c r="I2374">
        <v>10303.780000000001</v>
      </c>
      <c r="J2374">
        <v>11205.32</v>
      </c>
      <c r="K2374" t="s">
        <v>17</v>
      </c>
      <c r="L2374" t="b">
        <v>0</v>
      </c>
      <c r="N2374" s="2" t="str">
        <f t="shared" si="215"/>
        <v/>
      </c>
      <c r="Q2374" t="str">
        <f t="shared" si="216"/>
        <v/>
      </c>
    </row>
    <row r="2375" spans="1:17" hidden="1">
      <c r="A2375" t="s">
        <v>2480</v>
      </c>
      <c r="B2375" s="1">
        <v>45241</v>
      </c>
      <c r="C2375">
        <v>2023</v>
      </c>
      <c r="D2375">
        <v>11</v>
      </c>
      <c r="E2375" t="s">
        <v>19</v>
      </c>
      <c r="F2375" t="s">
        <v>24</v>
      </c>
      <c r="G2375" t="s">
        <v>132</v>
      </c>
      <c r="H2375" t="s">
        <v>138</v>
      </c>
      <c r="I2375">
        <v>8686.9</v>
      </c>
      <c r="J2375">
        <v>7987.39</v>
      </c>
      <c r="K2375" t="s">
        <v>17</v>
      </c>
      <c r="L2375" t="b">
        <v>0</v>
      </c>
      <c r="N2375" s="2" t="str">
        <f t="shared" si="215"/>
        <v/>
      </c>
      <c r="Q2375" t="str">
        <f t="shared" si="216"/>
        <v/>
      </c>
    </row>
    <row r="2376" spans="1:17" hidden="1">
      <c r="A2376" t="s">
        <v>2481</v>
      </c>
      <c r="B2376" s="1">
        <v>45241</v>
      </c>
      <c r="C2376">
        <v>2023</v>
      </c>
      <c r="D2376">
        <v>11</v>
      </c>
      <c r="E2376" t="s">
        <v>23</v>
      </c>
      <c r="F2376" t="s">
        <v>14</v>
      </c>
      <c r="G2376" t="s">
        <v>30</v>
      </c>
      <c r="H2376" t="s">
        <v>106</v>
      </c>
      <c r="I2376">
        <v>6604.85</v>
      </c>
      <c r="J2376">
        <v>6252.02</v>
      </c>
      <c r="K2376" t="s">
        <v>17</v>
      </c>
      <c r="L2376" t="b">
        <v>0</v>
      </c>
      <c r="N2376" s="2" t="str">
        <f t="shared" si="215"/>
        <v/>
      </c>
      <c r="Q2376" t="str">
        <f t="shared" si="216"/>
        <v/>
      </c>
    </row>
    <row r="2377" spans="1:17" hidden="1">
      <c r="A2377" t="s">
        <v>2482</v>
      </c>
      <c r="B2377" s="1">
        <v>45241</v>
      </c>
      <c r="C2377">
        <v>2023</v>
      </c>
      <c r="D2377">
        <v>11</v>
      </c>
      <c r="E2377" t="s">
        <v>23</v>
      </c>
      <c r="F2377" t="s">
        <v>14</v>
      </c>
      <c r="G2377" t="s">
        <v>141</v>
      </c>
      <c r="H2377" t="s">
        <v>209</v>
      </c>
      <c r="I2377">
        <v>6474.32</v>
      </c>
      <c r="J2377">
        <v>5938.4</v>
      </c>
      <c r="K2377" t="s">
        <v>17</v>
      </c>
      <c r="L2377" t="b">
        <v>0</v>
      </c>
      <c r="N2377" s="2" t="str">
        <f t="shared" si="215"/>
        <v/>
      </c>
      <c r="Q2377" t="str">
        <f t="shared" si="216"/>
        <v/>
      </c>
    </row>
    <row r="2378" spans="1:17" hidden="1">
      <c r="A2378" t="s">
        <v>2483</v>
      </c>
      <c r="B2378" s="1">
        <v>45241</v>
      </c>
      <c r="C2378">
        <v>2023</v>
      </c>
      <c r="D2378">
        <v>11</v>
      </c>
      <c r="E2378" t="s">
        <v>37</v>
      </c>
      <c r="F2378" t="s">
        <v>14</v>
      </c>
      <c r="G2378" t="s">
        <v>98</v>
      </c>
      <c r="H2378" t="s">
        <v>99</v>
      </c>
      <c r="I2378">
        <v>5625.9</v>
      </c>
      <c r="J2378">
        <v>6054.87</v>
      </c>
      <c r="K2378" t="s">
        <v>17</v>
      </c>
      <c r="L2378" t="b">
        <v>0</v>
      </c>
      <c r="N2378" s="2" t="str">
        <f t="shared" si="215"/>
        <v/>
      </c>
      <c r="Q2378" t="str">
        <f t="shared" si="216"/>
        <v/>
      </c>
    </row>
    <row r="2379" spans="1:17" hidden="1">
      <c r="A2379" t="s">
        <v>2484</v>
      </c>
      <c r="B2379" s="1">
        <v>45242</v>
      </c>
      <c r="C2379">
        <v>2023</v>
      </c>
      <c r="D2379">
        <v>11</v>
      </c>
      <c r="E2379" t="s">
        <v>13</v>
      </c>
      <c r="F2379" t="s">
        <v>28</v>
      </c>
      <c r="G2379" t="s">
        <v>15</v>
      </c>
      <c r="H2379" t="s">
        <v>45</v>
      </c>
      <c r="I2379">
        <v>4741.55</v>
      </c>
      <c r="J2379">
        <v>4456.25</v>
      </c>
      <c r="K2379" t="s">
        <v>17</v>
      </c>
      <c r="L2379" t="b">
        <v>0</v>
      </c>
      <c r="N2379" s="2" t="str">
        <f t="shared" si="215"/>
        <v/>
      </c>
      <c r="Q2379" t="str">
        <f t="shared" si="216"/>
        <v/>
      </c>
    </row>
    <row r="2380" spans="1:17" hidden="1">
      <c r="A2380" t="s">
        <v>2485</v>
      </c>
      <c r="B2380" s="1">
        <v>45242</v>
      </c>
      <c r="C2380">
        <v>2023</v>
      </c>
      <c r="D2380">
        <v>11</v>
      </c>
      <c r="E2380" t="s">
        <v>23</v>
      </c>
      <c r="F2380" t="s">
        <v>14</v>
      </c>
      <c r="G2380" t="s">
        <v>25</v>
      </c>
      <c r="H2380" t="s">
        <v>26</v>
      </c>
      <c r="I2380">
        <v>4615.0600000000004</v>
      </c>
      <c r="J2380">
        <v>4578.08</v>
      </c>
      <c r="K2380" t="s">
        <v>17</v>
      </c>
      <c r="L2380" t="b">
        <v>0</v>
      </c>
      <c r="N2380" s="2" t="str">
        <f t="shared" si="215"/>
        <v/>
      </c>
      <c r="Q2380" t="str">
        <f t="shared" si="216"/>
        <v/>
      </c>
    </row>
    <row r="2381" spans="1:17" hidden="1">
      <c r="A2381" t="s">
        <v>2486</v>
      </c>
      <c r="B2381" s="1">
        <v>45242</v>
      </c>
      <c r="C2381">
        <v>2023</v>
      </c>
      <c r="D2381">
        <v>11</v>
      </c>
      <c r="E2381" t="s">
        <v>23</v>
      </c>
      <c r="F2381" t="s">
        <v>28</v>
      </c>
      <c r="G2381" t="s">
        <v>141</v>
      </c>
      <c r="H2381" t="s">
        <v>142</v>
      </c>
      <c r="I2381">
        <v>6553.4</v>
      </c>
      <c r="J2381">
        <v>6335.97</v>
      </c>
      <c r="K2381" t="s">
        <v>17</v>
      </c>
      <c r="L2381" t="b">
        <v>0</v>
      </c>
      <c r="N2381" s="2" t="str">
        <f t="shared" si="215"/>
        <v/>
      </c>
      <c r="Q2381" t="str">
        <f t="shared" si="216"/>
        <v/>
      </c>
    </row>
    <row r="2382" spans="1:17" hidden="1">
      <c r="A2382" t="s">
        <v>2487</v>
      </c>
      <c r="B2382" s="1">
        <v>45242</v>
      </c>
      <c r="C2382">
        <v>2023</v>
      </c>
      <c r="D2382">
        <v>11</v>
      </c>
      <c r="E2382" t="s">
        <v>23</v>
      </c>
      <c r="F2382" t="s">
        <v>28</v>
      </c>
      <c r="G2382" t="s">
        <v>25</v>
      </c>
      <c r="H2382" t="s">
        <v>95</v>
      </c>
      <c r="I2382">
        <v>7601.33</v>
      </c>
      <c r="J2382">
        <v>7998.12</v>
      </c>
      <c r="K2382" t="s">
        <v>17</v>
      </c>
      <c r="L2382" t="b">
        <v>0</v>
      </c>
      <c r="N2382" s="2" t="str">
        <f t="shared" si="215"/>
        <v/>
      </c>
      <c r="Q2382" t="str">
        <f t="shared" si="216"/>
        <v/>
      </c>
    </row>
    <row r="2383" spans="1:17" hidden="1">
      <c r="A2383" t="s">
        <v>2488</v>
      </c>
      <c r="B2383" s="1">
        <v>45242</v>
      </c>
      <c r="C2383">
        <v>2023</v>
      </c>
      <c r="D2383">
        <v>11</v>
      </c>
      <c r="E2383" t="s">
        <v>23</v>
      </c>
      <c r="F2383" t="s">
        <v>24</v>
      </c>
      <c r="G2383" t="s">
        <v>141</v>
      </c>
      <c r="H2383" t="s">
        <v>142</v>
      </c>
      <c r="I2383">
        <v>6831.17</v>
      </c>
      <c r="J2383">
        <v>7158.47</v>
      </c>
      <c r="K2383" t="s">
        <v>17</v>
      </c>
      <c r="L2383" t="b">
        <v>0</v>
      </c>
      <c r="N2383" s="2" t="str">
        <f t="shared" si="215"/>
        <v/>
      </c>
      <c r="Q2383" t="str">
        <f t="shared" si="216"/>
        <v/>
      </c>
    </row>
    <row r="2384" spans="1:17" hidden="1">
      <c r="A2384" t="s">
        <v>2489</v>
      </c>
      <c r="B2384" s="1">
        <v>45243</v>
      </c>
      <c r="C2384">
        <v>2023</v>
      </c>
      <c r="D2384">
        <v>11</v>
      </c>
      <c r="E2384" t="s">
        <v>13</v>
      </c>
      <c r="F2384" t="s">
        <v>14</v>
      </c>
      <c r="G2384" t="s">
        <v>102</v>
      </c>
      <c r="H2384" t="s">
        <v>103</v>
      </c>
      <c r="I2384">
        <v>4999.82</v>
      </c>
      <c r="J2384">
        <v>5490.45</v>
      </c>
      <c r="K2384" t="s">
        <v>17</v>
      </c>
      <c r="L2384" t="b">
        <v>0</v>
      </c>
      <c r="N2384" s="2" t="str">
        <f t="shared" si="215"/>
        <v/>
      </c>
      <c r="Q2384" t="str">
        <f t="shared" si="216"/>
        <v/>
      </c>
    </row>
    <row r="2385" spans="1:17" hidden="1">
      <c r="A2385" t="s">
        <v>2490</v>
      </c>
      <c r="B2385" s="1">
        <v>45243</v>
      </c>
      <c r="C2385">
        <v>2023</v>
      </c>
      <c r="D2385">
        <v>11</v>
      </c>
      <c r="E2385" t="s">
        <v>13</v>
      </c>
      <c r="F2385" t="s">
        <v>14</v>
      </c>
      <c r="G2385" t="s">
        <v>102</v>
      </c>
      <c r="H2385" t="s">
        <v>103</v>
      </c>
      <c r="I2385">
        <v>3279.59</v>
      </c>
      <c r="J2385">
        <v>3287.52</v>
      </c>
      <c r="K2385" t="s">
        <v>17</v>
      </c>
      <c r="L2385" t="b">
        <v>0</v>
      </c>
      <c r="N2385" s="2" t="str">
        <f t="shared" si="215"/>
        <v/>
      </c>
      <c r="Q2385" t="str">
        <f t="shared" si="216"/>
        <v/>
      </c>
    </row>
    <row r="2386" spans="1:17" hidden="1">
      <c r="A2386" t="s">
        <v>2491</v>
      </c>
      <c r="B2386" s="1">
        <v>45243</v>
      </c>
      <c r="C2386">
        <v>2023</v>
      </c>
      <c r="D2386">
        <v>11</v>
      </c>
      <c r="E2386" t="s">
        <v>13</v>
      </c>
      <c r="F2386" t="s">
        <v>24</v>
      </c>
      <c r="G2386" t="s">
        <v>15</v>
      </c>
      <c r="H2386" t="s">
        <v>45</v>
      </c>
      <c r="I2386">
        <v>2552.17</v>
      </c>
      <c r="J2386">
        <v>2690.74</v>
      </c>
      <c r="K2386" t="s">
        <v>17</v>
      </c>
      <c r="L2386" t="b">
        <v>0</v>
      </c>
      <c r="N2386" s="2" t="str">
        <f t="shared" si="215"/>
        <v/>
      </c>
      <c r="Q2386" t="str">
        <f t="shared" si="216"/>
        <v/>
      </c>
    </row>
    <row r="2387" spans="1:17" hidden="1">
      <c r="A2387" t="s">
        <v>2492</v>
      </c>
      <c r="B2387" s="1">
        <v>45243</v>
      </c>
      <c r="C2387">
        <v>2023</v>
      </c>
      <c r="D2387">
        <v>11</v>
      </c>
      <c r="E2387" t="s">
        <v>47</v>
      </c>
      <c r="F2387" t="s">
        <v>14</v>
      </c>
      <c r="G2387" t="s">
        <v>51</v>
      </c>
      <c r="H2387" t="s">
        <v>52</v>
      </c>
      <c r="I2387">
        <v>18282.47</v>
      </c>
      <c r="J2387">
        <v>15239.83</v>
      </c>
      <c r="K2387" t="s">
        <v>17</v>
      </c>
      <c r="L2387" t="b">
        <v>0</v>
      </c>
      <c r="N2387" s="2" t="b">
        <f t="shared" si="215"/>
        <v>1</v>
      </c>
      <c r="O2387" t="str">
        <f>IF(AND(E2376="HR",K2376="EXPENSE"),I2376&lt;J2376,"")</f>
        <v/>
      </c>
      <c r="Q2387" t="str">
        <f t="shared" si="216"/>
        <v/>
      </c>
    </row>
    <row r="2388" spans="1:17" hidden="1">
      <c r="A2388" t="s">
        <v>2493</v>
      </c>
      <c r="B2388" s="1">
        <v>45243</v>
      </c>
      <c r="C2388">
        <v>2023</v>
      </c>
      <c r="D2388">
        <v>11</v>
      </c>
      <c r="E2388" t="s">
        <v>19</v>
      </c>
      <c r="F2388" t="s">
        <v>14</v>
      </c>
      <c r="G2388" t="s">
        <v>20</v>
      </c>
      <c r="H2388" t="s">
        <v>136</v>
      </c>
      <c r="I2388">
        <v>8314.51</v>
      </c>
      <c r="J2388">
        <v>8152.42</v>
      </c>
      <c r="K2388" t="s">
        <v>17</v>
      </c>
      <c r="L2388" t="b">
        <v>0</v>
      </c>
      <c r="N2388" s="2" t="str">
        <f t="shared" si="215"/>
        <v/>
      </c>
      <c r="Q2388" t="str">
        <f t="shared" si="216"/>
        <v/>
      </c>
    </row>
    <row r="2389" spans="1:17" hidden="1">
      <c r="A2389" t="s">
        <v>2494</v>
      </c>
      <c r="B2389" s="1">
        <v>45243</v>
      </c>
      <c r="C2389">
        <v>2023</v>
      </c>
      <c r="D2389">
        <v>11</v>
      </c>
      <c r="E2389" t="s">
        <v>19</v>
      </c>
      <c r="F2389" t="s">
        <v>28</v>
      </c>
      <c r="G2389" t="s">
        <v>20</v>
      </c>
      <c r="H2389" t="s">
        <v>174</v>
      </c>
      <c r="I2389">
        <v>3386.69</v>
      </c>
      <c r="J2389">
        <v>3423.33</v>
      </c>
      <c r="K2389" t="s">
        <v>17</v>
      </c>
      <c r="L2389" t="b">
        <v>0</v>
      </c>
      <c r="N2389" s="2" t="str">
        <f t="shared" si="215"/>
        <v/>
      </c>
      <c r="Q2389" t="str">
        <f t="shared" si="216"/>
        <v/>
      </c>
    </row>
    <row r="2390" spans="1:17" hidden="1">
      <c r="A2390" t="s">
        <v>2495</v>
      </c>
      <c r="B2390" s="1">
        <v>45243</v>
      </c>
      <c r="C2390">
        <v>2023</v>
      </c>
      <c r="D2390">
        <v>11</v>
      </c>
      <c r="E2390" t="s">
        <v>19</v>
      </c>
      <c r="F2390" t="s">
        <v>24</v>
      </c>
      <c r="G2390" t="s">
        <v>20</v>
      </c>
      <c r="H2390" t="s">
        <v>21</v>
      </c>
      <c r="I2390">
        <v>9835.56</v>
      </c>
      <c r="J2390">
        <v>9275.85</v>
      </c>
      <c r="K2390" t="s">
        <v>17</v>
      </c>
      <c r="L2390" t="b">
        <v>0</v>
      </c>
      <c r="N2390" s="2" t="str">
        <f t="shared" si="215"/>
        <v/>
      </c>
      <c r="Q2390" t="str">
        <f t="shared" si="216"/>
        <v/>
      </c>
    </row>
    <row r="2391" spans="1:17" hidden="1">
      <c r="A2391" t="s">
        <v>2496</v>
      </c>
      <c r="B2391" s="1">
        <v>45244</v>
      </c>
      <c r="C2391">
        <v>2023</v>
      </c>
      <c r="D2391">
        <v>11</v>
      </c>
      <c r="E2391" t="s">
        <v>13</v>
      </c>
      <c r="F2391" t="s">
        <v>28</v>
      </c>
      <c r="G2391" t="s">
        <v>15</v>
      </c>
      <c r="H2391" t="s">
        <v>89</v>
      </c>
      <c r="I2391">
        <v>5845.92</v>
      </c>
      <c r="J2391">
        <v>5575.68</v>
      </c>
      <c r="K2391" t="s">
        <v>17</v>
      </c>
      <c r="L2391" t="b">
        <v>0</v>
      </c>
      <c r="N2391" s="2" t="str">
        <f t="shared" si="215"/>
        <v/>
      </c>
      <c r="Q2391" t="str">
        <f t="shared" si="216"/>
        <v/>
      </c>
    </row>
    <row r="2392" spans="1:17" hidden="1">
      <c r="A2392" t="s">
        <v>2497</v>
      </c>
      <c r="B2392" s="1">
        <v>45244</v>
      </c>
      <c r="C2392">
        <v>2023</v>
      </c>
      <c r="D2392">
        <v>11</v>
      </c>
      <c r="E2392" t="s">
        <v>13</v>
      </c>
      <c r="F2392" t="s">
        <v>28</v>
      </c>
      <c r="G2392" t="s">
        <v>108</v>
      </c>
      <c r="H2392" t="s">
        <v>109</v>
      </c>
      <c r="I2392">
        <v>5129.54</v>
      </c>
      <c r="J2392">
        <v>5058.08</v>
      </c>
      <c r="K2392" t="s">
        <v>17</v>
      </c>
      <c r="L2392" t="b">
        <v>0</v>
      </c>
      <c r="N2392" s="2" t="str">
        <f t="shared" si="215"/>
        <v/>
      </c>
      <c r="Q2392" t="str">
        <f t="shared" si="216"/>
        <v/>
      </c>
    </row>
    <row r="2393" spans="1:17" hidden="1">
      <c r="A2393" t="s">
        <v>2498</v>
      </c>
      <c r="B2393" s="1">
        <v>45244</v>
      </c>
      <c r="C2393">
        <v>2023</v>
      </c>
      <c r="D2393">
        <v>11</v>
      </c>
      <c r="E2393" t="s">
        <v>47</v>
      </c>
      <c r="F2393" t="s">
        <v>28</v>
      </c>
      <c r="G2393" t="s">
        <v>48</v>
      </c>
      <c r="H2393" t="s">
        <v>49</v>
      </c>
      <c r="I2393">
        <v>15149.66</v>
      </c>
      <c r="J2393">
        <v>12809.97</v>
      </c>
      <c r="K2393" t="s">
        <v>17</v>
      </c>
      <c r="L2393" t="b">
        <v>0</v>
      </c>
      <c r="N2393" s="2" t="b">
        <f t="shared" si="215"/>
        <v>1</v>
      </c>
      <c r="O2393" t="str">
        <f>IF(AND(E2382="HR",K2382="EXPENSE"),I2382&lt;J2382,"")</f>
        <v/>
      </c>
      <c r="Q2393" t="str">
        <f t="shared" si="216"/>
        <v/>
      </c>
    </row>
    <row r="2394" spans="1:17" hidden="1">
      <c r="A2394" t="s">
        <v>2499</v>
      </c>
      <c r="B2394" s="1">
        <v>45244</v>
      </c>
      <c r="C2394">
        <v>2023</v>
      </c>
      <c r="D2394">
        <v>11</v>
      </c>
      <c r="E2394" t="s">
        <v>19</v>
      </c>
      <c r="F2394" t="s">
        <v>28</v>
      </c>
      <c r="G2394" t="s">
        <v>80</v>
      </c>
      <c r="H2394" t="s">
        <v>113</v>
      </c>
      <c r="I2394">
        <v>5898.69</v>
      </c>
      <c r="J2394">
        <v>5452.01</v>
      </c>
      <c r="K2394" t="s">
        <v>17</v>
      </c>
      <c r="L2394" t="b">
        <v>0</v>
      </c>
      <c r="N2394" s="2" t="str">
        <f t="shared" si="215"/>
        <v/>
      </c>
      <c r="Q2394" t="str">
        <f t="shared" si="216"/>
        <v/>
      </c>
    </row>
    <row r="2395" spans="1:17" hidden="1">
      <c r="A2395" t="s">
        <v>2500</v>
      </c>
      <c r="B2395" s="1">
        <v>45244</v>
      </c>
      <c r="C2395">
        <v>2023</v>
      </c>
      <c r="D2395">
        <v>11</v>
      </c>
      <c r="E2395" t="s">
        <v>23</v>
      </c>
      <c r="F2395" t="s">
        <v>14</v>
      </c>
      <c r="G2395" t="s">
        <v>25</v>
      </c>
      <c r="H2395" t="s">
        <v>26</v>
      </c>
      <c r="I2395">
        <v>8880.19</v>
      </c>
      <c r="J2395">
        <v>9493.51</v>
      </c>
      <c r="K2395" t="s">
        <v>17</v>
      </c>
      <c r="L2395" t="b">
        <v>0</v>
      </c>
      <c r="N2395" s="2" t="str">
        <f t="shared" si="215"/>
        <v/>
      </c>
      <c r="Q2395" t="str">
        <f t="shared" si="216"/>
        <v/>
      </c>
    </row>
    <row r="2396" spans="1:17" hidden="1">
      <c r="A2396" t="s">
        <v>2501</v>
      </c>
      <c r="B2396" s="1">
        <v>45244</v>
      </c>
      <c r="C2396">
        <v>2023</v>
      </c>
      <c r="D2396">
        <v>11</v>
      </c>
      <c r="E2396" t="s">
        <v>23</v>
      </c>
      <c r="F2396" t="s">
        <v>24</v>
      </c>
      <c r="G2396" t="s">
        <v>25</v>
      </c>
      <c r="H2396" t="s">
        <v>26</v>
      </c>
      <c r="I2396">
        <v>8159.59</v>
      </c>
      <c r="J2396">
        <v>8880.75</v>
      </c>
      <c r="K2396" t="s">
        <v>17</v>
      </c>
      <c r="L2396" t="b">
        <v>0</v>
      </c>
      <c r="N2396" s="2" t="str">
        <f t="shared" si="215"/>
        <v/>
      </c>
      <c r="Q2396" t="str">
        <f t="shared" si="216"/>
        <v/>
      </c>
    </row>
    <row r="2397" spans="1:17" hidden="1">
      <c r="A2397" t="s">
        <v>2502</v>
      </c>
      <c r="B2397" s="1">
        <v>45244</v>
      </c>
      <c r="C2397">
        <v>2023</v>
      </c>
      <c r="D2397">
        <v>11</v>
      </c>
      <c r="E2397" t="s">
        <v>37</v>
      </c>
      <c r="F2397" t="s">
        <v>28</v>
      </c>
      <c r="G2397" t="s">
        <v>62</v>
      </c>
      <c r="H2397" t="s">
        <v>121</v>
      </c>
      <c r="I2397">
        <v>7766.88</v>
      </c>
      <c r="J2397">
        <v>7950.34</v>
      </c>
      <c r="K2397" t="s">
        <v>17</v>
      </c>
      <c r="L2397" t="b">
        <v>0</v>
      </c>
      <c r="N2397" s="2" t="str">
        <f t="shared" si="215"/>
        <v/>
      </c>
      <c r="Q2397" t="str">
        <f t="shared" si="216"/>
        <v/>
      </c>
    </row>
    <row r="2398" spans="1:17" hidden="1">
      <c r="A2398" t="s">
        <v>2503</v>
      </c>
      <c r="B2398" s="1">
        <v>45244</v>
      </c>
      <c r="C2398">
        <v>2023</v>
      </c>
      <c r="D2398">
        <v>11</v>
      </c>
      <c r="E2398" t="s">
        <v>37</v>
      </c>
      <c r="F2398" t="s">
        <v>24</v>
      </c>
      <c r="G2398" t="s">
        <v>38</v>
      </c>
      <c r="H2398" t="s">
        <v>118</v>
      </c>
      <c r="I2398">
        <v>8340.08</v>
      </c>
      <c r="J2398">
        <v>7911.61</v>
      </c>
      <c r="K2398" t="s">
        <v>17</v>
      </c>
      <c r="L2398" t="b">
        <v>0</v>
      </c>
      <c r="N2398" s="2" t="str">
        <f t="shared" si="215"/>
        <v/>
      </c>
      <c r="Q2398" t="str">
        <f t="shared" si="216"/>
        <v/>
      </c>
    </row>
    <row r="2399" spans="1:17" hidden="1">
      <c r="A2399" t="s">
        <v>2504</v>
      </c>
      <c r="B2399" s="1">
        <v>45244</v>
      </c>
      <c r="C2399">
        <v>2023</v>
      </c>
      <c r="D2399">
        <v>11</v>
      </c>
      <c r="E2399" t="s">
        <v>37</v>
      </c>
      <c r="F2399" t="s">
        <v>14</v>
      </c>
      <c r="G2399" t="s">
        <v>83</v>
      </c>
      <c r="H2399" t="s">
        <v>84</v>
      </c>
      <c r="I2399">
        <v>385401.72</v>
      </c>
      <c r="J2399">
        <v>366131.64</v>
      </c>
      <c r="K2399" t="s">
        <v>85</v>
      </c>
      <c r="L2399" t="b">
        <v>0</v>
      </c>
      <c r="N2399" s="2" t="str">
        <f t="shared" si="215"/>
        <v/>
      </c>
      <c r="Q2399" t="str">
        <f t="shared" si="216"/>
        <v/>
      </c>
    </row>
    <row r="2400" spans="1:17" hidden="1">
      <c r="A2400" t="s">
        <v>2505</v>
      </c>
      <c r="B2400" s="1">
        <v>45245</v>
      </c>
      <c r="C2400">
        <v>2023</v>
      </c>
      <c r="D2400">
        <v>11</v>
      </c>
      <c r="E2400" t="s">
        <v>13</v>
      </c>
      <c r="F2400" t="s">
        <v>14</v>
      </c>
      <c r="G2400" t="s">
        <v>15</v>
      </c>
      <c r="H2400" t="s">
        <v>45</v>
      </c>
      <c r="I2400">
        <v>2446.4499999999998</v>
      </c>
      <c r="J2400">
        <v>2659.55</v>
      </c>
      <c r="K2400" t="s">
        <v>17</v>
      </c>
      <c r="L2400" t="b">
        <v>0</v>
      </c>
      <c r="N2400" s="2" t="str">
        <f t="shared" si="215"/>
        <v/>
      </c>
      <c r="Q2400" t="str">
        <f t="shared" si="216"/>
        <v/>
      </c>
    </row>
    <row r="2401" spans="1:17" hidden="1">
      <c r="A2401" t="s">
        <v>2506</v>
      </c>
      <c r="B2401" s="1">
        <v>45245</v>
      </c>
      <c r="C2401">
        <v>2023</v>
      </c>
      <c r="D2401">
        <v>11</v>
      </c>
      <c r="E2401" t="s">
        <v>13</v>
      </c>
      <c r="F2401" t="s">
        <v>28</v>
      </c>
      <c r="G2401" t="s">
        <v>108</v>
      </c>
      <c r="H2401" t="s">
        <v>123</v>
      </c>
      <c r="I2401">
        <v>3383.16</v>
      </c>
      <c r="J2401">
        <v>3686</v>
      </c>
      <c r="K2401" t="s">
        <v>17</v>
      </c>
      <c r="L2401" t="b">
        <v>0</v>
      </c>
      <c r="N2401" s="2" t="str">
        <f t="shared" si="215"/>
        <v/>
      </c>
      <c r="Q2401" t="str">
        <f t="shared" si="216"/>
        <v/>
      </c>
    </row>
    <row r="2402" spans="1:17" hidden="1">
      <c r="A2402" t="s">
        <v>2507</v>
      </c>
      <c r="B2402" s="1">
        <v>45245</v>
      </c>
      <c r="C2402">
        <v>2023</v>
      </c>
      <c r="D2402">
        <v>11</v>
      </c>
      <c r="E2402" t="s">
        <v>13</v>
      </c>
      <c r="F2402" t="s">
        <v>24</v>
      </c>
      <c r="G2402" t="s">
        <v>108</v>
      </c>
      <c r="H2402" t="s">
        <v>123</v>
      </c>
      <c r="I2402">
        <v>3068.09</v>
      </c>
      <c r="J2402">
        <v>2813.29</v>
      </c>
      <c r="K2402" t="s">
        <v>17</v>
      </c>
      <c r="L2402" t="b">
        <v>0</v>
      </c>
      <c r="N2402" s="2" t="str">
        <f t="shared" si="215"/>
        <v/>
      </c>
      <c r="Q2402" t="str">
        <f t="shared" si="216"/>
        <v/>
      </c>
    </row>
    <row r="2403" spans="1:17" hidden="1">
      <c r="A2403" t="s">
        <v>2508</v>
      </c>
      <c r="B2403" s="1">
        <v>45245</v>
      </c>
      <c r="C2403">
        <v>2023</v>
      </c>
      <c r="D2403">
        <v>11</v>
      </c>
      <c r="E2403" t="s">
        <v>47</v>
      </c>
      <c r="F2403" t="s">
        <v>14</v>
      </c>
      <c r="G2403" t="s">
        <v>51</v>
      </c>
      <c r="H2403" t="s">
        <v>72</v>
      </c>
      <c r="I2403">
        <v>13312.12</v>
      </c>
      <c r="J2403">
        <v>11007.44</v>
      </c>
      <c r="K2403" t="s">
        <v>17</v>
      </c>
      <c r="L2403" t="b">
        <v>0</v>
      </c>
      <c r="N2403" s="2" t="b">
        <f t="shared" si="215"/>
        <v>1</v>
      </c>
      <c r="O2403" t="b">
        <f>IF(AND(E2392="HR",K2392="EXPENSE"),I2392&lt;J2392,"")</f>
        <v>0</v>
      </c>
      <c r="Q2403" t="str">
        <f t="shared" si="216"/>
        <v/>
      </c>
    </row>
    <row r="2404" spans="1:17" hidden="1">
      <c r="A2404" t="s">
        <v>2509</v>
      </c>
      <c r="B2404" s="1">
        <v>45245</v>
      </c>
      <c r="C2404">
        <v>2023</v>
      </c>
      <c r="D2404">
        <v>11</v>
      </c>
      <c r="E2404" t="s">
        <v>19</v>
      </c>
      <c r="F2404" t="s">
        <v>14</v>
      </c>
      <c r="G2404" t="s">
        <v>132</v>
      </c>
      <c r="H2404" t="s">
        <v>138</v>
      </c>
      <c r="I2404">
        <v>6992.61</v>
      </c>
      <c r="J2404">
        <v>7471.18</v>
      </c>
      <c r="K2404" t="s">
        <v>17</v>
      </c>
      <c r="L2404" t="b">
        <v>0</v>
      </c>
      <c r="N2404" s="2" t="str">
        <f t="shared" si="215"/>
        <v/>
      </c>
      <c r="Q2404" t="str">
        <f t="shared" si="216"/>
        <v/>
      </c>
    </row>
    <row r="2405" spans="1:17" hidden="1">
      <c r="A2405" t="s">
        <v>2510</v>
      </c>
      <c r="B2405" s="1">
        <v>45245</v>
      </c>
      <c r="C2405">
        <v>2023</v>
      </c>
      <c r="D2405">
        <v>11</v>
      </c>
      <c r="E2405" t="s">
        <v>23</v>
      </c>
      <c r="F2405" t="s">
        <v>14</v>
      </c>
      <c r="G2405" t="s">
        <v>30</v>
      </c>
      <c r="H2405" t="s">
        <v>31</v>
      </c>
      <c r="I2405">
        <v>7842.98</v>
      </c>
      <c r="J2405">
        <v>8452.02</v>
      </c>
      <c r="K2405" t="s">
        <v>17</v>
      </c>
      <c r="L2405" t="b">
        <v>0</v>
      </c>
      <c r="N2405" s="2" t="str">
        <f t="shared" si="215"/>
        <v/>
      </c>
      <c r="Q2405" t="str">
        <f t="shared" si="216"/>
        <v/>
      </c>
    </row>
    <row r="2406" spans="1:17" hidden="1">
      <c r="A2406" t="s">
        <v>2511</v>
      </c>
      <c r="B2406" s="1">
        <v>45246</v>
      </c>
      <c r="C2406">
        <v>2023</v>
      </c>
      <c r="D2406">
        <v>11</v>
      </c>
      <c r="E2406" t="s">
        <v>13</v>
      </c>
      <c r="F2406" t="s">
        <v>14</v>
      </c>
      <c r="G2406" t="s">
        <v>15</v>
      </c>
      <c r="H2406" t="s">
        <v>89</v>
      </c>
      <c r="I2406">
        <v>3423.16</v>
      </c>
      <c r="J2406">
        <v>3325.1</v>
      </c>
      <c r="K2406" t="s">
        <v>17</v>
      </c>
      <c r="L2406" t="b">
        <v>0</v>
      </c>
      <c r="N2406" s="2" t="str">
        <f t="shared" si="215"/>
        <v/>
      </c>
      <c r="Q2406" t="str">
        <f t="shared" si="216"/>
        <v/>
      </c>
    </row>
    <row r="2407" spans="1:17" hidden="1">
      <c r="A2407" t="s">
        <v>2512</v>
      </c>
      <c r="B2407" s="1">
        <v>45246</v>
      </c>
      <c r="C2407">
        <v>2023</v>
      </c>
      <c r="D2407">
        <v>11</v>
      </c>
      <c r="E2407" t="s">
        <v>13</v>
      </c>
      <c r="F2407" t="s">
        <v>14</v>
      </c>
      <c r="G2407" t="s">
        <v>15</v>
      </c>
      <c r="H2407" t="s">
        <v>89</v>
      </c>
      <c r="I2407">
        <v>3100.69</v>
      </c>
      <c r="J2407">
        <v>3099.57</v>
      </c>
      <c r="K2407" t="s">
        <v>17</v>
      </c>
      <c r="L2407" t="b">
        <v>0</v>
      </c>
      <c r="N2407" s="2" t="str">
        <f t="shared" si="215"/>
        <v/>
      </c>
      <c r="Q2407" t="str">
        <f t="shared" si="216"/>
        <v/>
      </c>
    </row>
    <row r="2408" spans="1:17" hidden="1">
      <c r="A2408" t="s">
        <v>2513</v>
      </c>
      <c r="B2408" s="1">
        <v>45246</v>
      </c>
      <c r="C2408">
        <v>2023</v>
      </c>
      <c r="D2408">
        <v>11</v>
      </c>
      <c r="E2408" t="s">
        <v>13</v>
      </c>
      <c r="F2408" t="s">
        <v>24</v>
      </c>
      <c r="G2408" t="s">
        <v>108</v>
      </c>
      <c r="H2408" t="s">
        <v>123</v>
      </c>
      <c r="I2408">
        <v>3147.78</v>
      </c>
      <c r="J2408">
        <v>3165.52</v>
      </c>
      <c r="K2408" t="s">
        <v>17</v>
      </c>
      <c r="L2408" t="b">
        <v>0</v>
      </c>
      <c r="N2408" s="2" t="str">
        <f t="shared" si="215"/>
        <v/>
      </c>
      <c r="Q2408" t="str">
        <f t="shared" si="216"/>
        <v/>
      </c>
    </row>
    <row r="2409" spans="1:17" hidden="1">
      <c r="A2409" t="s">
        <v>2514</v>
      </c>
      <c r="B2409" s="1">
        <v>45246</v>
      </c>
      <c r="C2409">
        <v>2023</v>
      </c>
      <c r="D2409">
        <v>11</v>
      </c>
      <c r="E2409" t="s">
        <v>13</v>
      </c>
      <c r="F2409" t="s">
        <v>24</v>
      </c>
      <c r="G2409" t="s">
        <v>108</v>
      </c>
      <c r="H2409" t="s">
        <v>126</v>
      </c>
      <c r="I2409">
        <v>1653.91</v>
      </c>
      <c r="J2409">
        <v>1624.41</v>
      </c>
      <c r="K2409" t="s">
        <v>17</v>
      </c>
      <c r="L2409" t="b">
        <v>0</v>
      </c>
      <c r="N2409" s="2" t="str">
        <f t="shared" si="215"/>
        <v/>
      </c>
      <c r="Q2409" t="str">
        <f t="shared" si="216"/>
        <v/>
      </c>
    </row>
    <row r="2410" spans="1:17" hidden="1">
      <c r="A2410" t="s">
        <v>2515</v>
      </c>
      <c r="B2410" s="1">
        <v>45246</v>
      </c>
      <c r="C2410">
        <v>2023</v>
      </c>
      <c r="D2410">
        <v>11</v>
      </c>
      <c r="E2410" t="s">
        <v>47</v>
      </c>
      <c r="F2410" t="s">
        <v>14</v>
      </c>
      <c r="G2410" t="s">
        <v>77</v>
      </c>
      <c r="H2410" t="s">
        <v>130</v>
      </c>
      <c r="I2410">
        <v>12120.06</v>
      </c>
      <c r="J2410">
        <v>10277.120000000001</v>
      </c>
      <c r="K2410" t="s">
        <v>17</v>
      </c>
      <c r="L2410" t="b">
        <v>0</v>
      </c>
      <c r="N2410" s="2" t="b">
        <f t="shared" si="215"/>
        <v>1</v>
      </c>
      <c r="O2410" t="str">
        <f>IF(AND(E2399="HR",K2399="EXPENSE"),I2399&lt;J2399,"")</f>
        <v/>
      </c>
      <c r="Q2410" t="str">
        <f t="shared" si="216"/>
        <v/>
      </c>
    </row>
    <row r="2411" spans="1:17" hidden="1">
      <c r="A2411" t="s">
        <v>2516</v>
      </c>
      <c r="B2411" s="1">
        <v>45246</v>
      </c>
      <c r="C2411">
        <v>2023</v>
      </c>
      <c r="D2411">
        <v>11</v>
      </c>
      <c r="E2411" t="s">
        <v>19</v>
      </c>
      <c r="F2411" t="s">
        <v>14</v>
      </c>
      <c r="G2411" t="s">
        <v>20</v>
      </c>
      <c r="H2411" t="s">
        <v>136</v>
      </c>
      <c r="I2411">
        <v>7080.04</v>
      </c>
      <c r="J2411">
        <v>7674.82</v>
      </c>
      <c r="K2411" t="s">
        <v>17</v>
      </c>
      <c r="L2411" t="b">
        <v>0</v>
      </c>
      <c r="N2411" s="2" t="str">
        <f t="shared" si="215"/>
        <v/>
      </c>
      <c r="Q2411" t="str">
        <f t="shared" si="216"/>
        <v/>
      </c>
    </row>
    <row r="2412" spans="1:17" hidden="1">
      <c r="A2412" t="s">
        <v>2517</v>
      </c>
      <c r="B2412" s="1">
        <v>45246</v>
      </c>
      <c r="C2412">
        <v>2023</v>
      </c>
      <c r="D2412">
        <v>11</v>
      </c>
      <c r="E2412" t="s">
        <v>23</v>
      </c>
      <c r="F2412" t="s">
        <v>28</v>
      </c>
      <c r="G2412" t="s">
        <v>25</v>
      </c>
      <c r="H2412" t="s">
        <v>35</v>
      </c>
      <c r="I2412">
        <v>3670.06</v>
      </c>
      <c r="J2412">
        <v>3713.46</v>
      </c>
      <c r="K2412" t="s">
        <v>17</v>
      </c>
      <c r="L2412" t="b">
        <v>0</v>
      </c>
      <c r="N2412" s="2" t="str">
        <f t="shared" si="215"/>
        <v/>
      </c>
      <c r="Q2412" t="str">
        <f t="shared" si="216"/>
        <v/>
      </c>
    </row>
    <row r="2413" spans="1:17" hidden="1">
      <c r="A2413" t="s">
        <v>2518</v>
      </c>
      <c r="B2413" s="1">
        <v>45246</v>
      </c>
      <c r="C2413">
        <v>2023</v>
      </c>
      <c r="D2413">
        <v>11</v>
      </c>
      <c r="E2413" t="s">
        <v>23</v>
      </c>
      <c r="F2413" t="s">
        <v>28</v>
      </c>
      <c r="G2413" t="s">
        <v>59</v>
      </c>
      <c r="H2413" t="s">
        <v>60</v>
      </c>
      <c r="I2413">
        <v>5097.67</v>
      </c>
      <c r="J2413">
        <v>4641.87</v>
      </c>
      <c r="K2413" t="s">
        <v>17</v>
      </c>
      <c r="L2413" t="b">
        <v>0</v>
      </c>
      <c r="N2413" s="2" t="str">
        <f t="shared" si="215"/>
        <v/>
      </c>
      <c r="Q2413" t="str">
        <f t="shared" si="216"/>
        <v/>
      </c>
    </row>
    <row r="2414" spans="1:17" hidden="1">
      <c r="A2414" t="s">
        <v>2519</v>
      </c>
      <c r="B2414" s="1">
        <v>45246</v>
      </c>
      <c r="C2414">
        <v>2023</v>
      </c>
      <c r="D2414">
        <v>11</v>
      </c>
      <c r="E2414" t="s">
        <v>23</v>
      </c>
      <c r="F2414" t="s">
        <v>24</v>
      </c>
      <c r="G2414" t="s">
        <v>59</v>
      </c>
      <c r="H2414" t="s">
        <v>60</v>
      </c>
      <c r="I2414">
        <v>7552.05</v>
      </c>
      <c r="J2414">
        <v>6974.32</v>
      </c>
      <c r="K2414" t="s">
        <v>17</v>
      </c>
      <c r="L2414" t="b">
        <v>0</v>
      </c>
      <c r="N2414" s="2" t="str">
        <f t="shared" si="215"/>
        <v/>
      </c>
      <c r="Q2414" t="str">
        <f t="shared" si="216"/>
        <v/>
      </c>
    </row>
    <row r="2415" spans="1:17" hidden="1">
      <c r="A2415" t="s">
        <v>2520</v>
      </c>
      <c r="B2415" s="1">
        <v>45246</v>
      </c>
      <c r="C2415">
        <v>2023</v>
      </c>
      <c r="D2415">
        <v>11</v>
      </c>
      <c r="E2415" t="s">
        <v>23</v>
      </c>
      <c r="F2415" t="s">
        <v>24</v>
      </c>
      <c r="G2415" t="s">
        <v>59</v>
      </c>
      <c r="H2415" t="s">
        <v>155</v>
      </c>
      <c r="I2415">
        <v>3744.64</v>
      </c>
      <c r="J2415">
        <v>3974.64</v>
      </c>
      <c r="K2415" t="s">
        <v>17</v>
      </c>
      <c r="L2415" t="b">
        <v>0</v>
      </c>
      <c r="N2415" s="2" t="str">
        <f t="shared" si="215"/>
        <v/>
      </c>
      <c r="Q2415" t="str">
        <f t="shared" si="216"/>
        <v/>
      </c>
    </row>
    <row r="2416" spans="1:17" hidden="1">
      <c r="A2416" t="s">
        <v>2521</v>
      </c>
      <c r="B2416" s="1">
        <v>45246</v>
      </c>
      <c r="C2416">
        <v>2023</v>
      </c>
      <c r="D2416">
        <v>11</v>
      </c>
      <c r="E2416" t="s">
        <v>37</v>
      </c>
      <c r="F2416" t="s">
        <v>14</v>
      </c>
      <c r="G2416" t="s">
        <v>62</v>
      </c>
      <c r="H2416" t="s">
        <v>66</v>
      </c>
      <c r="I2416">
        <v>3358.27</v>
      </c>
      <c r="J2416">
        <v>3284</v>
      </c>
      <c r="K2416" t="s">
        <v>17</v>
      </c>
      <c r="L2416" t="b">
        <v>0</v>
      </c>
      <c r="N2416" s="2" t="str">
        <f t="shared" si="215"/>
        <v/>
      </c>
      <c r="Q2416" t="str">
        <f t="shared" si="216"/>
        <v/>
      </c>
    </row>
    <row r="2417" spans="1:17" hidden="1">
      <c r="A2417" t="s">
        <v>2522</v>
      </c>
      <c r="B2417" s="1">
        <v>45246</v>
      </c>
      <c r="C2417">
        <v>2023</v>
      </c>
      <c r="D2417">
        <v>11</v>
      </c>
      <c r="E2417" t="s">
        <v>37</v>
      </c>
      <c r="F2417" t="s">
        <v>24</v>
      </c>
      <c r="G2417" t="s">
        <v>98</v>
      </c>
      <c r="H2417" t="s">
        <v>99</v>
      </c>
      <c r="I2417">
        <v>5851.61</v>
      </c>
      <c r="J2417">
        <v>6097.07</v>
      </c>
      <c r="K2417" t="s">
        <v>17</v>
      </c>
      <c r="L2417" t="b">
        <v>0</v>
      </c>
      <c r="N2417" s="2" t="str">
        <f t="shared" si="215"/>
        <v/>
      </c>
      <c r="Q2417" t="str">
        <f t="shared" si="216"/>
        <v/>
      </c>
    </row>
    <row r="2418" spans="1:17" hidden="1">
      <c r="A2418" t="s">
        <v>2523</v>
      </c>
      <c r="B2418" s="1">
        <v>45247</v>
      </c>
      <c r="C2418">
        <v>2023</v>
      </c>
      <c r="D2418">
        <v>11</v>
      </c>
      <c r="E2418" t="s">
        <v>13</v>
      </c>
      <c r="F2418" t="s">
        <v>24</v>
      </c>
      <c r="G2418" t="s">
        <v>108</v>
      </c>
      <c r="H2418" t="s">
        <v>123</v>
      </c>
      <c r="I2418">
        <v>3791.02</v>
      </c>
      <c r="J2418">
        <v>3902.87</v>
      </c>
      <c r="K2418" t="s">
        <v>17</v>
      </c>
      <c r="L2418" t="b">
        <v>0</v>
      </c>
      <c r="N2418" s="2" t="str">
        <f t="shared" si="215"/>
        <v/>
      </c>
      <c r="Q2418" t="str">
        <f t="shared" si="216"/>
        <v/>
      </c>
    </row>
    <row r="2419" spans="1:17" hidden="1">
      <c r="A2419" t="s">
        <v>2524</v>
      </c>
      <c r="B2419" s="1">
        <v>45247</v>
      </c>
      <c r="C2419">
        <v>2023</v>
      </c>
      <c r="D2419">
        <v>11</v>
      </c>
      <c r="E2419" t="s">
        <v>23</v>
      </c>
      <c r="F2419" t="s">
        <v>14</v>
      </c>
      <c r="G2419" t="s">
        <v>59</v>
      </c>
      <c r="H2419" t="s">
        <v>155</v>
      </c>
      <c r="I2419">
        <v>5843.91</v>
      </c>
      <c r="J2419">
        <v>6243.19</v>
      </c>
      <c r="K2419" t="s">
        <v>17</v>
      </c>
      <c r="L2419" t="b">
        <v>0</v>
      </c>
      <c r="N2419" s="2" t="str">
        <f t="shared" si="215"/>
        <v/>
      </c>
      <c r="Q2419" t="str">
        <f t="shared" si="216"/>
        <v/>
      </c>
    </row>
    <row r="2420" spans="1:17" hidden="1">
      <c r="A2420" t="s">
        <v>2525</v>
      </c>
      <c r="B2420" s="1">
        <v>45247</v>
      </c>
      <c r="C2420">
        <v>2023</v>
      </c>
      <c r="D2420">
        <v>11</v>
      </c>
      <c r="E2420" t="s">
        <v>37</v>
      </c>
      <c r="F2420" t="s">
        <v>28</v>
      </c>
      <c r="G2420" t="s">
        <v>98</v>
      </c>
      <c r="H2420" t="s">
        <v>99</v>
      </c>
      <c r="I2420">
        <v>7229.05</v>
      </c>
      <c r="J2420">
        <v>6623.94</v>
      </c>
      <c r="K2420" t="s">
        <v>17</v>
      </c>
      <c r="L2420" t="b">
        <v>0</v>
      </c>
      <c r="N2420" s="2" t="str">
        <f t="shared" si="215"/>
        <v/>
      </c>
      <c r="Q2420" t="str">
        <f t="shared" si="216"/>
        <v/>
      </c>
    </row>
    <row r="2421" spans="1:17" hidden="1">
      <c r="A2421" t="s">
        <v>2526</v>
      </c>
      <c r="B2421" s="1">
        <v>45247</v>
      </c>
      <c r="C2421">
        <v>2023</v>
      </c>
      <c r="D2421">
        <v>11</v>
      </c>
      <c r="E2421" t="s">
        <v>37</v>
      </c>
      <c r="F2421" t="s">
        <v>24</v>
      </c>
      <c r="G2421" t="s">
        <v>38</v>
      </c>
      <c r="H2421" t="s">
        <v>227</v>
      </c>
      <c r="I2421">
        <v>4354.18</v>
      </c>
      <c r="J2421">
        <v>4480.66</v>
      </c>
      <c r="K2421" t="s">
        <v>17</v>
      </c>
      <c r="L2421" t="b">
        <v>0</v>
      </c>
      <c r="N2421" s="2" t="str">
        <f t="shared" si="215"/>
        <v/>
      </c>
      <c r="Q2421" t="str">
        <f t="shared" si="216"/>
        <v/>
      </c>
    </row>
    <row r="2422" spans="1:17" hidden="1">
      <c r="A2422" t="s">
        <v>2527</v>
      </c>
      <c r="B2422" s="1">
        <v>45248</v>
      </c>
      <c r="C2422">
        <v>2023</v>
      </c>
      <c r="D2422">
        <v>11</v>
      </c>
      <c r="E2422" t="s">
        <v>13</v>
      </c>
      <c r="F2422" t="s">
        <v>28</v>
      </c>
      <c r="G2422" t="s">
        <v>15</v>
      </c>
      <c r="H2422" t="s">
        <v>45</v>
      </c>
      <c r="I2422">
        <v>5442.48</v>
      </c>
      <c r="J2422">
        <v>5035.53</v>
      </c>
      <c r="K2422" t="s">
        <v>17</v>
      </c>
      <c r="L2422" t="b">
        <v>0</v>
      </c>
      <c r="N2422" s="2" t="str">
        <f t="shared" si="215"/>
        <v/>
      </c>
      <c r="Q2422" t="str">
        <f t="shared" si="216"/>
        <v/>
      </c>
    </row>
    <row r="2423" spans="1:17" hidden="1">
      <c r="A2423" t="s">
        <v>2528</v>
      </c>
      <c r="B2423" s="1">
        <v>45248</v>
      </c>
      <c r="C2423">
        <v>2023</v>
      </c>
      <c r="D2423">
        <v>11</v>
      </c>
      <c r="E2423" t="s">
        <v>13</v>
      </c>
      <c r="F2423" t="s">
        <v>24</v>
      </c>
      <c r="G2423" t="s">
        <v>15</v>
      </c>
      <c r="H2423" t="s">
        <v>89</v>
      </c>
      <c r="I2423">
        <v>3752.92</v>
      </c>
      <c r="J2423">
        <v>3822.35</v>
      </c>
      <c r="K2423" t="s">
        <v>17</v>
      </c>
      <c r="L2423" t="b">
        <v>0</v>
      </c>
      <c r="N2423" s="2" t="str">
        <f t="shared" si="215"/>
        <v/>
      </c>
      <c r="Q2423" t="str">
        <f t="shared" si="216"/>
        <v/>
      </c>
    </row>
    <row r="2424" spans="1:17" hidden="1">
      <c r="A2424" t="s">
        <v>2529</v>
      </c>
      <c r="B2424" s="1">
        <v>45248</v>
      </c>
      <c r="C2424">
        <v>2023</v>
      </c>
      <c r="D2424">
        <v>11</v>
      </c>
      <c r="E2424" t="s">
        <v>47</v>
      </c>
      <c r="F2424" t="s">
        <v>28</v>
      </c>
      <c r="G2424" t="s">
        <v>51</v>
      </c>
      <c r="H2424" t="s">
        <v>52</v>
      </c>
      <c r="I2424">
        <v>14723.98</v>
      </c>
      <c r="J2424">
        <v>12789.43</v>
      </c>
      <c r="K2424" t="s">
        <v>17</v>
      </c>
      <c r="L2424" t="b">
        <v>0</v>
      </c>
      <c r="N2424" s="2" t="b">
        <f t="shared" si="215"/>
        <v>1</v>
      </c>
      <c r="O2424" t="str">
        <f>IF(AND(E2413="HR",K2413="EXPENSE"),I2413&lt;J2413,"")</f>
        <v/>
      </c>
      <c r="Q2424" t="str">
        <f t="shared" si="216"/>
        <v/>
      </c>
    </row>
    <row r="2425" spans="1:17" hidden="1">
      <c r="A2425" t="s">
        <v>2530</v>
      </c>
      <c r="B2425" s="1">
        <v>45248</v>
      </c>
      <c r="C2425">
        <v>2023</v>
      </c>
      <c r="D2425">
        <v>11</v>
      </c>
      <c r="E2425" t="s">
        <v>19</v>
      </c>
      <c r="F2425" t="s">
        <v>14</v>
      </c>
      <c r="G2425" t="s">
        <v>54</v>
      </c>
      <c r="H2425" t="s">
        <v>55</v>
      </c>
      <c r="I2425">
        <v>6544.49</v>
      </c>
      <c r="J2425">
        <v>7130.69</v>
      </c>
      <c r="K2425" t="s">
        <v>17</v>
      </c>
      <c r="L2425" t="b">
        <v>0</v>
      </c>
      <c r="N2425" s="2" t="str">
        <f t="shared" si="215"/>
        <v/>
      </c>
      <c r="Q2425" t="str">
        <f t="shared" si="216"/>
        <v/>
      </c>
    </row>
    <row r="2426" spans="1:17" hidden="1">
      <c r="A2426" t="s">
        <v>2531</v>
      </c>
      <c r="B2426" s="1">
        <v>45248</v>
      </c>
      <c r="C2426">
        <v>2023</v>
      </c>
      <c r="D2426">
        <v>11</v>
      </c>
      <c r="E2426" t="s">
        <v>19</v>
      </c>
      <c r="F2426" t="s">
        <v>28</v>
      </c>
      <c r="G2426" t="s">
        <v>80</v>
      </c>
      <c r="H2426" t="s">
        <v>81</v>
      </c>
      <c r="I2426">
        <v>8442.4500000000007</v>
      </c>
      <c r="J2426">
        <v>9137</v>
      </c>
      <c r="K2426" t="s">
        <v>17</v>
      </c>
      <c r="L2426" t="b">
        <v>0</v>
      </c>
      <c r="N2426" s="2" t="str">
        <f t="shared" si="215"/>
        <v/>
      </c>
      <c r="Q2426" t="str">
        <f t="shared" si="216"/>
        <v/>
      </c>
    </row>
    <row r="2427" spans="1:17" hidden="1">
      <c r="A2427" t="s">
        <v>2532</v>
      </c>
      <c r="B2427" s="1">
        <v>45248</v>
      </c>
      <c r="C2427">
        <v>2023</v>
      </c>
      <c r="D2427">
        <v>11</v>
      </c>
      <c r="E2427" t="s">
        <v>19</v>
      </c>
      <c r="F2427" t="s">
        <v>28</v>
      </c>
      <c r="G2427" t="s">
        <v>54</v>
      </c>
      <c r="H2427" t="s">
        <v>57</v>
      </c>
      <c r="I2427">
        <v>6912.69</v>
      </c>
      <c r="J2427">
        <v>7493.07</v>
      </c>
      <c r="K2427" t="s">
        <v>17</v>
      </c>
      <c r="L2427" t="b">
        <v>0</v>
      </c>
      <c r="N2427" s="2" t="str">
        <f t="shared" si="215"/>
        <v/>
      </c>
      <c r="Q2427" t="str">
        <f t="shared" si="216"/>
        <v/>
      </c>
    </row>
    <row r="2428" spans="1:17" hidden="1">
      <c r="A2428" t="s">
        <v>2533</v>
      </c>
      <c r="B2428" s="1">
        <v>45248</v>
      </c>
      <c r="C2428">
        <v>2023</v>
      </c>
      <c r="D2428">
        <v>11</v>
      </c>
      <c r="E2428" t="s">
        <v>19</v>
      </c>
      <c r="F2428" t="s">
        <v>28</v>
      </c>
      <c r="G2428" t="s">
        <v>20</v>
      </c>
      <c r="H2428" t="s">
        <v>174</v>
      </c>
      <c r="I2428">
        <v>4531.41</v>
      </c>
      <c r="J2428">
        <v>4800.95</v>
      </c>
      <c r="K2428" t="s">
        <v>17</v>
      </c>
      <c r="L2428" t="b">
        <v>0</v>
      </c>
      <c r="N2428" s="2" t="str">
        <f t="shared" si="215"/>
        <v/>
      </c>
      <c r="Q2428" t="str">
        <f t="shared" si="216"/>
        <v/>
      </c>
    </row>
    <row r="2429" spans="1:17" hidden="1">
      <c r="A2429" t="s">
        <v>2534</v>
      </c>
      <c r="B2429" s="1">
        <v>45248</v>
      </c>
      <c r="C2429">
        <v>2023</v>
      </c>
      <c r="D2429">
        <v>11</v>
      </c>
      <c r="E2429" t="s">
        <v>19</v>
      </c>
      <c r="F2429" t="s">
        <v>24</v>
      </c>
      <c r="G2429" t="s">
        <v>132</v>
      </c>
      <c r="H2429" t="s">
        <v>133</v>
      </c>
      <c r="I2429">
        <v>7552.76</v>
      </c>
      <c r="J2429">
        <v>8269.91</v>
      </c>
      <c r="K2429" t="s">
        <v>17</v>
      </c>
      <c r="L2429" t="b">
        <v>0</v>
      </c>
      <c r="N2429" s="2" t="str">
        <f t="shared" si="215"/>
        <v/>
      </c>
      <c r="Q2429" t="str">
        <f t="shared" si="216"/>
        <v/>
      </c>
    </row>
    <row r="2430" spans="1:17" hidden="1">
      <c r="A2430" t="s">
        <v>2535</v>
      </c>
      <c r="B2430" s="1">
        <v>45248</v>
      </c>
      <c r="C2430">
        <v>2023</v>
      </c>
      <c r="D2430">
        <v>11</v>
      </c>
      <c r="E2430" t="s">
        <v>23</v>
      </c>
      <c r="F2430" t="s">
        <v>14</v>
      </c>
      <c r="G2430" t="s">
        <v>141</v>
      </c>
      <c r="H2430" t="s">
        <v>153</v>
      </c>
      <c r="I2430">
        <v>4540.67</v>
      </c>
      <c r="J2430">
        <v>4817.62</v>
      </c>
      <c r="K2430" t="s">
        <v>17</v>
      </c>
      <c r="L2430" t="b">
        <v>0</v>
      </c>
      <c r="N2430" s="2" t="str">
        <f t="shared" si="215"/>
        <v/>
      </c>
      <c r="Q2430" t="str">
        <f t="shared" si="216"/>
        <v/>
      </c>
    </row>
    <row r="2431" spans="1:17" hidden="1">
      <c r="A2431" t="s">
        <v>2536</v>
      </c>
      <c r="B2431" s="1">
        <v>45249</v>
      </c>
      <c r="C2431">
        <v>2023</v>
      </c>
      <c r="D2431">
        <v>11</v>
      </c>
      <c r="E2431" t="s">
        <v>13</v>
      </c>
      <c r="F2431" t="s">
        <v>28</v>
      </c>
      <c r="G2431" t="s">
        <v>102</v>
      </c>
      <c r="H2431" t="s">
        <v>103</v>
      </c>
      <c r="I2431">
        <v>3947.35</v>
      </c>
      <c r="J2431">
        <v>4317.47</v>
      </c>
      <c r="K2431" t="s">
        <v>17</v>
      </c>
      <c r="L2431" t="b">
        <v>0</v>
      </c>
      <c r="N2431" s="2" t="str">
        <f t="shared" si="215"/>
        <v/>
      </c>
      <c r="Q2431" t="str">
        <f t="shared" si="216"/>
        <v/>
      </c>
    </row>
    <row r="2432" spans="1:17" hidden="1">
      <c r="A2432" t="s">
        <v>2537</v>
      </c>
      <c r="B2432" s="1">
        <v>45249</v>
      </c>
      <c r="C2432">
        <v>2023</v>
      </c>
      <c r="D2432">
        <v>11</v>
      </c>
      <c r="E2432" t="s">
        <v>47</v>
      </c>
      <c r="F2432" t="s">
        <v>14</v>
      </c>
      <c r="G2432" t="s">
        <v>51</v>
      </c>
      <c r="H2432" t="s">
        <v>189</v>
      </c>
      <c r="I2432">
        <v>12077.22</v>
      </c>
      <c r="J2432">
        <v>10160.709999999999</v>
      </c>
      <c r="K2432" t="s">
        <v>17</v>
      </c>
      <c r="L2432" t="b">
        <v>0</v>
      </c>
      <c r="N2432" s="2" t="b">
        <f t="shared" si="215"/>
        <v>1</v>
      </c>
      <c r="O2432" t="str">
        <f>IF(AND(E2421="HR",K2421="EXPENSE"),I2421&lt;J2421,"")</f>
        <v/>
      </c>
      <c r="Q2432" t="str">
        <f t="shared" si="216"/>
        <v/>
      </c>
    </row>
    <row r="2433" spans="1:17" hidden="1">
      <c r="A2433" t="s">
        <v>2538</v>
      </c>
      <c r="B2433" s="1">
        <v>45249</v>
      </c>
      <c r="C2433">
        <v>2023</v>
      </c>
      <c r="D2433">
        <v>11</v>
      </c>
      <c r="E2433" t="s">
        <v>19</v>
      </c>
      <c r="F2433" t="s">
        <v>14</v>
      </c>
      <c r="G2433" t="s">
        <v>54</v>
      </c>
      <c r="H2433" t="s">
        <v>55</v>
      </c>
      <c r="I2433">
        <v>7413.65</v>
      </c>
      <c r="J2433">
        <v>7192.3</v>
      </c>
      <c r="K2433" t="s">
        <v>17</v>
      </c>
      <c r="L2433" t="b">
        <v>0</v>
      </c>
      <c r="N2433" s="2" t="str">
        <f t="shared" si="215"/>
        <v/>
      </c>
      <c r="Q2433" t="str">
        <f t="shared" si="216"/>
        <v/>
      </c>
    </row>
    <row r="2434" spans="1:17" hidden="1">
      <c r="A2434" t="s">
        <v>2539</v>
      </c>
      <c r="B2434" s="1">
        <v>45249</v>
      </c>
      <c r="C2434">
        <v>2023</v>
      </c>
      <c r="D2434">
        <v>11</v>
      </c>
      <c r="E2434" t="s">
        <v>19</v>
      </c>
      <c r="F2434" t="s">
        <v>28</v>
      </c>
      <c r="G2434" t="s">
        <v>132</v>
      </c>
      <c r="H2434" t="s">
        <v>133</v>
      </c>
      <c r="I2434">
        <v>5628.83</v>
      </c>
      <c r="J2434">
        <v>5280.28</v>
      </c>
      <c r="K2434" t="s">
        <v>17</v>
      </c>
      <c r="L2434" t="b">
        <v>0</v>
      </c>
      <c r="N2434" s="2" t="str">
        <f t="shared" si="215"/>
        <v/>
      </c>
      <c r="Q2434" t="str">
        <f t="shared" si="216"/>
        <v/>
      </c>
    </row>
    <row r="2435" spans="1:17" hidden="1">
      <c r="A2435" t="s">
        <v>2540</v>
      </c>
      <c r="B2435" s="1">
        <v>45249</v>
      </c>
      <c r="C2435">
        <v>2023</v>
      </c>
      <c r="D2435">
        <v>11</v>
      </c>
      <c r="E2435" t="s">
        <v>19</v>
      </c>
      <c r="F2435" t="s">
        <v>28</v>
      </c>
      <c r="G2435" t="s">
        <v>80</v>
      </c>
      <c r="H2435" t="s">
        <v>81</v>
      </c>
      <c r="I2435">
        <v>5665.99</v>
      </c>
      <c r="J2435">
        <v>6054.84</v>
      </c>
      <c r="K2435" t="s">
        <v>17</v>
      </c>
      <c r="L2435" t="b">
        <v>0</v>
      </c>
      <c r="N2435" s="2" t="str">
        <f t="shared" ref="N2435:N2498" si="217">IF(AND(E2435="IT",K2435="EXPENSE"),I2435&gt;J2435,"")</f>
        <v/>
      </c>
      <c r="Q2435" t="str">
        <f t="shared" ref="Q2435:Q2498" si="218">IF(L2435=TRUE,OR(H2435="Apex Solutions Inc",H2435="Global Trade Partners",H2435="NovaTech Services"),"")</f>
        <v/>
      </c>
    </row>
    <row r="2436" spans="1:17" hidden="1">
      <c r="A2436" t="s">
        <v>2541</v>
      </c>
      <c r="B2436" s="1">
        <v>45249</v>
      </c>
      <c r="C2436">
        <v>2023</v>
      </c>
      <c r="D2436">
        <v>11</v>
      </c>
      <c r="E2436" t="s">
        <v>23</v>
      </c>
      <c r="F2436" t="s">
        <v>24</v>
      </c>
      <c r="G2436" t="s">
        <v>59</v>
      </c>
      <c r="H2436" t="s">
        <v>60</v>
      </c>
      <c r="I2436">
        <v>7250.61</v>
      </c>
      <c r="J2436">
        <v>6920.44</v>
      </c>
      <c r="K2436" t="s">
        <v>17</v>
      </c>
      <c r="L2436" t="b">
        <v>0</v>
      </c>
      <c r="N2436" s="2" t="str">
        <f t="shared" si="217"/>
        <v/>
      </c>
      <c r="Q2436" t="str">
        <f t="shared" si="218"/>
        <v/>
      </c>
    </row>
    <row r="2437" spans="1:17" hidden="1">
      <c r="A2437" t="s">
        <v>2542</v>
      </c>
      <c r="B2437" s="1">
        <v>45249</v>
      </c>
      <c r="C2437">
        <v>2023</v>
      </c>
      <c r="D2437">
        <v>11</v>
      </c>
      <c r="E2437" t="s">
        <v>37</v>
      </c>
      <c r="F2437" t="s">
        <v>14</v>
      </c>
      <c r="G2437" t="s">
        <v>98</v>
      </c>
      <c r="H2437" t="s">
        <v>185</v>
      </c>
      <c r="I2437">
        <v>4205.01</v>
      </c>
      <c r="J2437">
        <v>4442.95</v>
      </c>
      <c r="K2437" t="s">
        <v>17</v>
      </c>
      <c r="L2437" t="b">
        <v>0</v>
      </c>
      <c r="N2437" s="2" t="str">
        <f t="shared" si="217"/>
        <v/>
      </c>
      <c r="Q2437" t="str">
        <f t="shared" si="218"/>
        <v/>
      </c>
    </row>
    <row r="2438" spans="1:17" hidden="1">
      <c r="A2438" t="s">
        <v>2543</v>
      </c>
      <c r="B2438" s="1">
        <v>45250</v>
      </c>
      <c r="C2438">
        <v>2023</v>
      </c>
      <c r="D2438">
        <v>11</v>
      </c>
      <c r="E2438" t="s">
        <v>13</v>
      </c>
      <c r="F2438" t="s">
        <v>14</v>
      </c>
      <c r="G2438" t="s">
        <v>68</v>
      </c>
      <c r="H2438" t="s">
        <v>213</v>
      </c>
      <c r="I2438">
        <v>3631.75</v>
      </c>
      <c r="J2438">
        <v>3954.98</v>
      </c>
      <c r="K2438" t="s">
        <v>17</v>
      </c>
      <c r="L2438" t="b">
        <v>0</v>
      </c>
      <c r="N2438" s="2" t="str">
        <f t="shared" si="217"/>
        <v/>
      </c>
      <c r="Q2438" t="str">
        <f t="shared" si="218"/>
        <v/>
      </c>
    </row>
    <row r="2439" spans="1:17" hidden="1">
      <c r="A2439" t="s">
        <v>2544</v>
      </c>
      <c r="B2439" s="1">
        <v>45250</v>
      </c>
      <c r="C2439">
        <v>2023</v>
      </c>
      <c r="D2439">
        <v>11</v>
      </c>
      <c r="E2439" t="s">
        <v>47</v>
      </c>
      <c r="F2439" t="s">
        <v>28</v>
      </c>
      <c r="G2439" t="s">
        <v>91</v>
      </c>
      <c r="H2439" t="s">
        <v>254</v>
      </c>
      <c r="I2439">
        <v>16682.22</v>
      </c>
      <c r="J2439">
        <v>14271.95</v>
      </c>
      <c r="K2439" t="s">
        <v>17</v>
      </c>
      <c r="L2439" t="b">
        <v>0</v>
      </c>
      <c r="N2439" s="2" t="b">
        <f t="shared" si="217"/>
        <v>1</v>
      </c>
      <c r="O2439" t="str">
        <f>IF(AND(E2428="HR",K2428="EXPENSE"),I2428&lt;J2428,"")</f>
        <v/>
      </c>
      <c r="Q2439" t="str">
        <f t="shared" si="218"/>
        <v/>
      </c>
    </row>
    <row r="2440" spans="1:17" hidden="1">
      <c r="A2440" t="s">
        <v>2545</v>
      </c>
      <c r="B2440" s="1">
        <v>45250</v>
      </c>
      <c r="C2440">
        <v>2023</v>
      </c>
      <c r="D2440">
        <v>11</v>
      </c>
      <c r="E2440" t="s">
        <v>19</v>
      </c>
      <c r="F2440" t="s">
        <v>14</v>
      </c>
      <c r="G2440" t="s">
        <v>80</v>
      </c>
      <c r="H2440" t="s">
        <v>150</v>
      </c>
      <c r="I2440">
        <v>8420.0499999999993</v>
      </c>
      <c r="J2440">
        <v>8013.46</v>
      </c>
      <c r="K2440" t="s">
        <v>17</v>
      </c>
      <c r="L2440" t="b">
        <v>0</v>
      </c>
      <c r="N2440" s="2" t="str">
        <f t="shared" si="217"/>
        <v/>
      </c>
      <c r="Q2440" t="str">
        <f t="shared" si="218"/>
        <v/>
      </c>
    </row>
    <row r="2441" spans="1:17" hidden="1">
      <c r="A2441" t="s">
        <v>2546</v>
      </c>
      <c r="B2441" s="1">
        <v>45250</v>
      </c>
      <c r="C2441">
        <v>2023</v>
      </c>
      <c r="D2441">
        <v>11</v>
      </c>
      <c r="E2441" t="s">
        <v>23</v>
      </c>
      <c r="F2441" t="s">
        <v>28</v>
      </c>
      <c r="G2441" t="s">
        <v>59</v>
      </c>
      <c r="H2441" t="s">
        <v>60</v>
      </c>
      <c r="I2441">
        <v>4916.8500000000004</v>
      </c>
      <c r="J2441">
        <v>4992.51</v>
      </c>
      <c r="K2441" t="s">
        <v>17</v>
      </c>
      <c r="L2441" t="b">
        <v>0</v>
      </c>
      <c r="N2441" s="2" t="str">
        <f t="shared" si="217"/>
        <v/>
      </c>
      <c r="Q2441" t="str">
        <f t="shared" si="218"/>
        <v/>
      </c>
    </row>
    <row r="2442" spans="1:17" hidden="1">
      <c r="A2442" t="s">
        <v>2547</v>
      </c>
      <c r="B2442" s="1">
        <v>45250</v>
      </c>
      <c r="C2442">
        <v>2023</v>
      </c>
      <c r="D2442">
        <v>11</v>
      </c>
      <c r="E2442" t="s">
        <v>37</v>
      </c>
      <c r="F2442" t="s">
        <v>14</v>
      </c>
      <c r="G2442" t="s">
        <v>62</v>
      </c>
      <c r="H2442" t="s">
        <v>360</v>
      </c>
      <c r="I2442">
        <v>5928.26</v>
      </c>
      <c r="J2442">
        <v>5847.77</v>
      </c>
      <c r="K2442" t="s">
        <v>17</v>
      </c>
      <c r="L2442" t="b">
        <v>0</v>
      </c>
      <c r="N2442" s="2" t="str">
        <f t="shared" si="217"/>
        <v/>
      </c>
      <c r="Q2442" t="str">
        <f t="shared" si="218"/>
        <v/>
      </c>
    </row>
    <row r="2443" spans="1:17" hidden="1">
      <c r="A2443" t="s">
        <v>2548</v>
      </c>
      <c r="B2443" s="1">
        <v>45250</v>
      </c>
      <c r="C2443">
        <v>2023</v>
      </c>
      <c r="D2443">
        <v>11</v>
      </c>
      <c r="E2443" t="s">
        <v>37</v>
      </c>
      <c r="F2443" t="s">
        <v>24</v>
      </c>
      <c r="G2443" t="s">
        <v>62</v>
      </c>
      <c r="H2443" t="s">
        <v>66</v>
      </c>
      <c r="I2443">
        <v>6521.4</v>
      </c>
      <c r="J2443">
        <v>6470.16</v>
      </c>
      <c r="K2443" t="s">
        <v>17</v>
      </c>
      <c r="L2443" t="b">
        <v>0</v>
      </c>
      <c r="N2443" s="2" t="str">
        <f t="shared" si="217"/>
        <v/>
      </c>
      <c r="Q2443" t="str">
        <f t="shared" si="218"/>
        <v/>
      </c>
    </row>
    <row r="2444" spans="1:17" hidden="1">
      <c r="A2444" t="s">
        <v>2549</v>
      </c>
      <c r="B2444" s="1">
        <v>45251</v>
      </c>
      <c r="C2444">
        <v>2023</v>
      </c>
      <c r="D2444">
        <v>11</v>
      </c>
      <c r="E2444" t="s">
        <v>47</v>
      </c>
      <c r="F2444" t="s">
        <v>14</v>
      </c>
      <c r="G2444" t="s">
        <v>77</v>
      </c>
      <c r="H2444" t="s">
        <v>78</v>
      </c>
      <c r="I2444">
        <v>6832.97</v>
      </c>
      <c r="J2444">
        <v>5827.09</v>
      </c>
      <c r="K2444" t="s">
        <v>17</v>
      </c>
      <c r="L2444" t="b">
        <v>0</v>
      </c>
      <c r="N2444" s="2" t="b">
        <f t="shared" si="217"/>
        <v>1</v>
      </c>
      <c r="O2444" t="str">
        <f t="shared" ref="O2444:O2446" si="219">IF(AND(E2433="HR",K2433="EXPENSE"),I2433&lt;J2433,"")</f>
        <v/>
      </c>
      <c r="Q2444" t="str">
        <f t="shared" si="218"/>
        <v/>
      </c>
    </row>
    <row r="2445" spans="1:17" hidden="1">
      <c r="A2445" t="s">
        <v>2550</v>
      </c>
      <c r="B2445" s="1">
        <v>45251</v>
      </c>
      <c r="C2445">
        <v>2023</v>
      </c>
      <c r="D2445">
        <v>11</v>
      </c>
      <c r="E2445" t="s">
        <v>47</v>
      </c>
      <c r="F2445" t="s">
        <v>14</v>
      </c>
      <c r="G2445" t="s">
        <v>91</v>
      </c>
      <c r="H2445" t="s">
        <v>249</v>
      </c>
      <c r="I2445">
        <v>11126.42</v>
      </c>
      <c r="J2445">
        <v>9457.91</v>
      </c>
      <c r="K2445" t="s">
        <v>17</v>
      </c>
      <c r="L2445" t="b">
        <v>0</v>
      </c>
      <c r="N2445" s="2" t="b">
        <f t="shared" si="217"/>
        <v>1</v>
      </c>
      <c r="O2445" t="str">
        <f t="shared" si="219"/>
        <v/>
      </c>
      <c r="Q2445" t="str">
        <f t="shared" si="218"/>
        <v/>
      </c>
    </row>
    <row r="2446" spans="1:17" hidden="1">
      <c r="A2446" t="s">
        <v>2551</v>
      </c>
      <c r="B2446" s="1">
        <v>45251</v>
      </c>
      <c r="C2446">
        <v>2023</v>
      </c>
      <c r="D2446">
        <v>11</v>
      </c>
      <c r="E2446" t="s">
        <v>47</v>
      </c>
      <c r="F2446" t="s">
        <v>24</v>
      </c>
      <c r="G2446" t="s">
        <v>51</v>
      </c>
      <c r="H2446" t="s">
        <v>72</v>
      </c>
      <c r="I2446">
        <v>15058.88</v>
      </c>
      <c r="J2446">
        <v>12972.45</v>
      </c>
      <c r="K2446" t="s">
        <v>17</v>
      </c>
      <c r="L2446" t="b">
        <v>0</v>
      </c>
      <c r="N2446" s="2" t="b">
        <f t="shared" si="217"/>
        <v>1</v>
      </c>
      <c r="O2446" t="str">
        <f t="shared" si="219"/>
        <v/>
      </c>
      <c r="Q2446" t="str">
        <f t="shared" si="218"/>
        <v/>
      </c>
    </row>
    <row r="2447" spans="1:17" hidden="1">
      <c r="A2447" t="s">
        <v>2552</v>
      </c>
      <c r="B2447" s="1">
        <v>45251</v>
      </c>
      <c r="C2447">
        <v>2023</v>
      </c>
      <c r="D2447">
        <v>11</v>
      </c>
      <c r="E2447" t="s">
        <v>19</v>
      </c>
      <c r="F2447" t="s">
        <v>28</v>
      </c>
      <c r="G2447" t="s">
        <v>20</v>
      </c>
      <c r="H2447" t="s">
        <v>136</v>
      </c>
      <c r="I2447">
        <v>5649.33</v>
      </c>
      <c r="J2447">
        <v>5498.55</v>
      </c>
      <c r="K2447" t="s">
        <v>17</v>
      </c>
      <c r="L2447" t="b">
        <v>0</v>
      </c>
      <c r="N2447" s="2" t="str">
        <f t="shared" si="217"/>
        <v/>
      </c>
      <c r="Q2447" t="str">
        <f t="shared" si="218"/>
        <v/>
      </c>
    </row>
    <row r="2448" spans="1:17" hidden="1">
      <c r="A2448" t="s">
        <v>2553</v>
      </c>
      <c r="B2448" s="1">
        <v>45251</v>
      </c>
      <c r="C2448">
        <v>2023</v>
      </c>
      <c r="D2448">
        <v>11</v>
      </c>
      <c r="E2448" t="s">
        <v>19</v>
      </c>
      <c r="F2448" t="s">
        <v>28</v>
      </c>
      <c r="G2448" t="s">
        <v>80</v>
      </c>
      <c r="H2448" t="s">
        <v>217</v>
      </c>
      <c r="I2448">
        <v>4909.8999999999996</v>
      </c>
      <c r="J2448">
        <v>5162.1899999999996</v>
      </c>
      <c r="K2448" t="s">
        <v>17</v>
      </c>
      <c r="L2448" t="b">
        <v>0</v>
      </c>
      <c r="N2448" s="2" t="str">
        <f t="shared" si="217"/>
        <v/>
      </c>
      <c r="Q2448" t="str">
        <f t="shared" si="218"/>
        <v/>
      </c>
    </row>
    <row r="2449" spans="1:17" hidden="1">
      <c r="A2449" t="s">
        <v>2554</v>
      </c>
      <c r="B2449" s="1">
        <v>45251</v>
      </c>
      <c r="C2449">
        <v>2023</v>
      </c>
      <c r="D2449">
        <v>11</v>
      </c>
      <c r="E2449" t="s">
        <v>19</v>
      </c>
      <c r="F2449" t="s">
        <v>24</v>
      </c>
      <c r="G2449" t="s">
        <v>80</v>
      </c>
      <c r="H2449" t="s">
        <v>81</v>
      </c>
      <c r="I2449">
        <v>7768.25</v>
      </c>
      <c r="J2449">
        <v>7261.72</v>
      </c>
      <c r="K2449" t="s">
        <v>17</v>
      </c>
      <c r="L2449" t="b">
        <v>0</v>
      </c>
      <c r="N2449" s="2" t="str">
        <f t="shared" si="217"/>
        <v/>
      </c>
      <c r="Q2449" t="str">
        <f t="shared" si="218"/>
        <v/>
      </c>
    </row>
    <row r="2450" spans="1:17" hidden="1">
      <c r="A2450" t="s">
        <v>2555</v>
      </c>
      <c r="B2450" s="1">
        <v>45251</v>
      </c>
      <c r="C2450">
        <v>2023</v>
      </c>
      <c r="D2450">
        <v>11</v>
      </c>
      <c r="E2450" t="s">
        <v>19</v>
      </c>
      <c r="F2450" t="s">
        <v>24</v>
      </c>
      <c r="G2450" t="s">
        <v>54</v>
      </c>
      <c r="H2450" t="s">
        <v>163</v>
      </c>
      <c r="I2450">
        <v>8849.5499999999993</v>
      </c>
      <c r="J2450">
        <v>8177.84</v>
      </c>
      <c r="K2450" t="s">
        <v>17</v>
      </c>
      <c r="L2450" t="b">
        <v>0</v>
      </c>
      <c r="N2450" s="2" t="str">
        <f t="shared" si="217"/>
        <v/>
      </c>
      <c r="Q2450" t="str">
        <f t="shared" si="218"/>
        <v/>
      </c>
    </row>
    <row r="2451" spans="1:17" hidden="1">
      <c r="A2451" t="s">
        <v>2556</v>
      </c>
      <c r="B2451" s="1">
        <v>45251</v>
      </c>
      <c r="C2451">
        <v>2023</v>
      </c>
      <c r="D2451">
        <v>11</v>
      </c>
      <c r="E2451" t="s">
        <v>23</v>
      </c>
      <c r="F2451" t="s">
        <v>24</v>
      </c>
      <c r="G2451" t="s">
        <v>141</v>
      </c>
      <c r="H2451" t="s">
        <v>153</v>
      </c>
      <c r="I2451">
        <v>6908.71</v>
      </c>
      <c r="J2451">
        <v>6729.76</v>
      </c>
      <c r="K2451" t="s">
        <v>17</v>
      </c>
      <c r="L2451" t="b">
        <v>0</v>
      </c>
      <c r="N2451" s="2" t="str">
        <f t="shared" si="217"/>
        <v/>
      </c>
      <c r="Q2451" t="str">
        <f t="shared" si="218"/>
        <v/>
      </c>
    </row>
    <row r="2452" spans="1:17" hidden="1">
      <c r="A2452" t="s">
        <v>2557</v>
      </c>
      <c r="B2452" s="1">
        <v>45251</v>
      </c>
      <c r="C2452">
        <v>2023</v>
      </c>
      <c r="D2452">
        <v>11</v>
      </c>
      <c r="E2452" t="s">
        <v>23</v>
      </c>
      <c r="F2452" t="s">
        <v>24</v>
      </c>
      <c r="G2452" t="s">
        <v>141</v>
      </c>
      <c r="H2452" t="s">
        <v>153</v>
      </c>
      <c r="I2452">
        <v>8890.39</v>
      </c>
      <c r="J2452">
        <v>8684.17</v>
      </c>
      <c r="K2452" t="s">
        <v>17</v>
      </c>
      <c r="L2452" t="b">
        <v>0</v>
      </c>
      <c r="N2452" s="2" t="str">
        <f t="shared" si="217"/>
        <v/>
      </c>
      <c r="Q2452" t="str">
        <f t="shared" si="218"/>
        <v/>
      </c>
    </row>
    <row r="2453" spans="1:17" hidden="1">
      <c r="A2453" t="s">
        <v>2558</v>
      </c>
      <c r="B2453" s="1">
        <v>45251</v>
      </c>
      <c r="C2453">
        <v>2023</v>
      </c>
      <c r="D2453">
        <v>11</v>
      </c>
      <c r="E2453" t="s">
        <v>37</v>
      </c>
      <c r="F2453" t="s">
        <v>14</v>
      </c>
      <c r="G2453" t="s">
        <v>98</v>
      </c>
      <c r="H2453" t="s">
        <v>99</v>
      </c>
      <c r="I2453">
        <v>6092.97</v>
      </c>
      <c r="J2453">
        <v>5795.23</v>
      </c>
      <c r="K2453" t="s">
        <v>17</v>
      </c>
      <c r="L2453" t="b">
        <v>0</v>
      </c>
      <c r="N2453" s="2" t="str">
        <f t="shared" si="217"/>
        <v/>
      </c>
      <c r="Q2453" t="str">
        <f t="shared" si="218"/>
        <v/>
      </c>
    </row>
    <row r="2454" spans="1:17" hidden="1">
      <c r="A2454" t="s">
        <v>2559</v>
      </c>
      <c r="B2454" s="1">
        <v>45251</v>
      </c>
      <c r="C2454">
        <v>2023</v>
      </c>
      <c r="D2454">
        <v>11</v>
      </c>
      <c r="E2454" t="s">
        <v>37</v>
      </c>
      <c r="F2454" t="s">
        <v>24</v>
      </c>
      <c r="G2454" t="s">
        <v>41</v>
      </c>
      <c r="H2454" t="s">
        <v>42</v>
      </c>
      <c r="I2454">
        <v>6220.17</v>
      </c>
      <c r="J2454">
        <v>6231</v>
      </c>
      <c r="K2454" t="s">
        <v>17</v>
      </c>
      <c r="L2454" t="b">
        <v>0</v>
      </c>
      <c r="N2454" s="2" t="str">
        <f t="shared" si="217"/>
        <v/>
      </c>
      <c r="Q2454" t="str">
        <f t="shared" si="218"/>
        <v/>
      </c>
    </row>
    <row r="2455" spans="1:17" hidden="1">
      <c r="A2455" t="s">
        <v>2560</v>
      </c>
      <c r="B2455" s="1">
        <v>45251</v>
      </c>
      <c r="C2455">
        <v>2023</v>
      </c>
      <c r="D2455">
        <v>11</v>
      </c>
      <c r="E2455" t="s">
        <v>37</v>
      </c>
      <c r="F2455" t="s">
        <v>24</v>
      </c>
      <c r="G2455" t="s">
        <v>62</v>
      </c>
      <c r="H2455" t="s">
        <v>66</v>
      </c>
      <c r="I2455">
        <v>4968.1099999999997</v>
      </c>
      <c r="J2455">
        <v>5036.8999999999996</v>
      </c>
      <c r="K2455" t="s">
        <v>17</v>
      </c>
      <c r="L2455" t="b">
        <v>0</v>
      </c>
      <c r="N2455" s="2" t="str">
        <f t="shared" si="217"/>
        <v/>
      </c>
      <c r="Q2455" t="str">
        <f t="shared" si="218"/>
        <v/>
      </c>
    </row>
    <row r="2456" spans="1:17" hidden="1">
      <c r="A2456" t="s">
        <v>2561</v>
      </c>
      <c r="B2456" s="1">
        <v>45252</v>
      </c>
      <c r="C2456">
        <v>2023</v>
      </c>
      <c r="D2456">
        <v>11</v>
      </c>
      <c r="E2456" t="s">
        <v>47</v>
      </c>
      <c r="F2456" t="s">
        <v>14</v>
      </c>
      <c r="G2456" t="s">
        <v>51</v>
      </c>
      <c r="H2456" t="s">
        <v>52</v>
      </c>
      <c r="I2456">
        <v>11122.08</v>
      </c>
      <c r="J2456">
        <v>9552.19</v>
      </c>
      <c r="K2456" t="s">
        <v>17</v>
      </c>
      <c r="L2456" t="b">
        <v>0</v>
      </c>
      <c r="N2456" s="2" t="b">
        <f t="shared" si="217"/>
        <v>1</v>
      </c>
      <c r="O2456" t="str">
        <f t="shared" ref="O2456:O2460" si="220">IF(AND(E2445="HR",K2445="EXPENSE"),I2445&lt;J2445,"")</f>
        <v/>
      </c>
      <c r="Q2456" t="str">
        <f t="shared" si="218"/>
        <v/>
      </c>
    </row>
    <row r="2457" spans="1:17" hidden="1">
      <c r="A2457" t="s">
        <v>2562</v>
      </c>
      <c r="B2457" s="1">
        <v>45252</v>
      </c>
      <c r="C2457">
        <v>2023</v>
      </c>
      <c r="D2457">
        <v>11</v>
      </c>
      <c r="E2457" t="s">
        <v>47</v>
      </c>
      <c r="F2457" t="s">
        <v>28</v>
      </c>
      <c r="G2457" t="s">
        <v>77</v>
      </c>
      <c r="H2457" t="s">
        <v>130</v>
      </c>
      <c r="I2457">
        <v>13768.96</v>
      </c>
      <c r="J2457">
        <v>11831.87</v>
      </c>
      <c r="K2457" t="s">
        <v>17</v>
      </c>
      <c r="L2457" t="b">
        <v>0</v>
      </c>
      <c r="N2457" s="2" t="b">
        <f t="shared" si="217"/>
        <v>1</v>
      </c>
      <c r="O2457" t="str">
        <f t="shared" si="220"/>
        <v/>
      </c>
      <c r="Q2457" t="str">
        <f t="shared" si="218"/>
        <v/>
      </c>
    </row>
    <row r="2458" spans="1:17" hidden="1">
      <c r="A2458" t="s">
        <v>2563</v>
      </c>
      <c r="B2458" s="1">
        <v>45252</v>
      </c>
      <c r="C2458">
        <v>2023</v>
      </c>
      <c r="D2458">
        <v>11</v>
      </c>
      <c r="E2458" t="s">
        <v>47</v>
      </c>
      <c r="F2458" t="s">
        <v>28</v>
      </c>
      <c r="G2458" t="s">
        <v>51</v>
      </c>
      <c r="H2458" t="s">
        <v>72</v>
      </c>
      <c r="I2458">
        <v>14229.59</v>
      </c>
      <c r="J2458">
        <v>12260.67</v>
      </c>
      <c r="K2458" t="s">
        <v>17</v>
      </c>
      <c r="L2458" t="b">
        <v>0</v>
      </c>
      <c r="N2458" s="2" t="b">
        <f t="shared" si="217"/>
        <v>1</v>
      </c>
      <c r="O2458" t="str">
        <f t="shared" si="220"/>
        <v/>
      </c>
      <c r="Q2458" t="str">
        <f t="shared" si="218"/>
        <v/>
      </c>
    </row>
    <row r="2459" spans="1:17" hidden="1">
      <c r="A2459" t="s">
        <v>2564</v>
      </c>
      <c r="B2459" s="1">
        <v>45252</v>
      </c>
      <c r="C2459">
        <v>2023</v>
      </c>
      <c r="D2459">
        <v>11</v>
      </c>
      <c r="E2459" t="s">
        <v>47</v>
      </c>
      <c r="F2459" t="s">
        <v>24</v>
      </c>
      <c r="G2459" t="s">
        <v>48</v>
      </c>
      <c r="H2459" t="s">
        <v>111</v>
      </c>
      <c r="I2459">
        <v>19986.02</v>
      </c>
      <c r="J2459">
        <v>17183.2</v>
      </c>
      <c r="K2459" t="s">
        <v>17</v>
      </c>
      <c r="L2459" t="b">
        <v>0</v>
      </c>
      <c r="N2459" s="2" t="b">
        <f t="shared" si="217"/>
        <v>1</v>
      </c>
      <c r="O2459" t="str">
        <f t="shared" si="220"/>
        <v/>
      </c>
      <c r="Q2459" t="str">
        <f t="shared" si="218"/>
        <v/>
      </c>
    </row>
    <row r="2460" spans="1:17" hidden="1">
      <c r="A2460" t="s">
        <v>2565</v>
      </c>
      <c r="B2460" s="1">
        <v>45252</v>
      </c>
      <c r="C2460">
        <v>2023</v>
      </c>
      <c r="D2460">
        <v>11</v>
      </c>
      <c r="E2460" t="s">
        <v>47</v>
      </c>
      <c r="F2460" t="s">
        <v>24</v>
      </c>
      <c r="G2460" t="s">
        <v>51</v>
      </c>
      <c r="H2460" t="s">
        <v>52</v>
      </c>
      <c r="I2460">
        <v>11701.01</v>
      </c>
      <c r="J2460">
        <v>9928.58</v>
      </c>
      <c r="K2460" t="s">
        <v>17</v>
      </c>
      <c r="L2460" t="b">
        <v>0</v>
      </c>
      <c r="N2460" s="2" t="b">
        <f t="shared" si="217"/>
        <v>1</v>
      </c>
      <c r="O2460" t="str">
        <f t="shared" si="220"/>
        <v/>
      </c>
      <c r="Q2460" t="str">
        <f t="shared" si="218"/>
        <v/>
      </c>
    </row>
    <row r="2461" spans="1:17" hidden="1">
      <c r="A2461" t="s">
        <v>2566</v>
      </c>
      <c r="B2461" s="1">
        <v>45252</v>
      </c>
      <c r="C2461">
        <v>2023</v>
      </c>
      <c r="D2461">
        <v>11</v>
      </c>
      <c r="E2461" t="s">
        <v>19</v>
      </c>
      <c r="F2461" t="s">
        <v>28</v>
      </c>
      <c r="G2461" t="s">
        <v>54</v>
      </c>
      <c r="H2461" t="s">
        <v>55</v>
      </c>
      <c r="I2461">
        <v>6931.65</v>
      </c>
      <c r="J2461">
        <v>6756.07</v>
      </c>
      <c r="K2461" t="s">
        <v>17</v>
      </c>
      <c r="L2461" t="b">
        <v>0</v>
      </c>
      <c r="N2461" s="2" t="str">
        <f t="shared" si="217"/>
        <v/>
      </c>
      <c r="Q2461" t="str">
        <f t="shared" si="218"/>
        <v/>
      </c>
    </row>
    <row r="2462" spans="1:17" hidden="1">
      <c r="A2462" t="s">
        <v>2567</v>
      </c>
      <c r="B2462" s="1">
        <v>45252</v>
      </c>
      <c r="C2462">
        <v>2023</v>
      </c>
      <c r="D2462">
        <v>11</v>
      </c>
      <c r="E2462" t="s">
        <v>19</v>
      </c>
      <c r="F2462" t="s">
        <v>28</v>
      </c>
      <c r="G2462" t="s">
        <v>132</v>
      </c>
      <c r="H2462" t="s">
        <v>133</v>
      </c>
      <c r="I2462">
        <v>4542.5200000000004</v>
      </c>
      <c r="J2462">
        <v>4673.53</v>
      </c>
      <c r="K2462" t="s">
        <v>17</v>
      </c>
      <c r="L2462" t="b">
        <v>0</v>
      </c>
      <c r="N2462" s="2" t="str">
        <f t="shared" si="217"/>
        <v/>
      </c>
      <c r="Q2462" t="str">
        <f t="shared" si="218"/>
        <v/>
      </c>
    </row>
    <row r="2463" spans="1:17" hidden="1">
      <c r="A2463" t="s">
        <v>2568</v>
      </c>
      <c r="B2463" s="1">
        <v>45252</v>
      </c>
      <c r="C2463">
        <v>2023</v>
      </c>
      <c r="D2463">
        <v>11</v>
      </c>
      <c r="E2463" t="s">
        <v>19</v>
      </c>
      <c r="F2463" t="s">
        <v>24</v>
      </c>
      <c r="G2463" t="s">
        <v>20</v>
      </c>
      <c r="H2463" t="s">
        <v>136</v>
      </c>
      <c r="I2463">
        <v>5160.38</v>
      </c>
      <c r="J2463">
        <v>5602.5</v>
      </c>
      <c r="K2463" t="s">
        <v>17</v>
      </c>
      <c r="L2463" t="b">
        <v>0</v>
      </c>
      <c r="N2463" s="2" t="str">
        <f t="shared" si="217"/>
        <v/>
      </c>
      <c r="Q2463" t="str">
        <f t="shared" si="218"/>
        <v/>
      </c>
    </row>
    <row r="2464" spans="1:17" hidden="1">
      <c r="A2464" t="s">
        <v>2569</v>
      </c>
      <c r="B2464" s="1">
        <v>45252</v>
      </c>
      <c r="C2464">
        <v>2023</v>
      </c>
      <c r="D2464">
        <v>11</v>
      </c>
      <c r="E2464" t="s">
        <v>37</v>
      </c>
      <c r="F2464" t="s">
        <v>24</v>
      </c>
      <c r="G2464" t="s">
        <v>98</v>
      </c>
      <c r="H2464" t="s">
        <v>185</v>
      </c>
      <c r="I2464">
        <v>6180.04</v>
      </c>
      <c r="J2464">
        <v>5571.13</v>
      </c>
      <c r="K2464" t="s">
        <v>17</v>
      </c>
      <c r="L2464" t="b">
        <v>0</v>
      </c>
      <c r="N2464" s="2" t="str">
        <f t="shared" si="217"/>
        <v/>
      </c>
      <c r="Q2464" t="str">
        <f t="shared" si="218"/>
        <v/>
      </c>
    </row>
    <row r="2465" spans="1:17" hidden="1">
      <c r="A2465" t="s">
        <v>2570</v>
      </c>
      <c r="B2465" s="1">
        <v>45253</v>
      </c>
      <c r="C2465">
        <v>2023</v>
      </c>
      <c r="D2465">
        <v>11</v>
      </c>
      <c r="E2465" t="s">
        <v>13</v>
      </c>
      <c r="F2465" t="s">
        <v>28</v>
      </c>
      <c r="G2465" t="s">
        <v>15</v>
      </c>
      <c r="H2465" t="s">
        <v>89</v>
      </c>
      <c r="I2465">
        <v>3995.9</v>
      </c>
      <c r="J2465">
        <v>4386.1899999999996</v>
      </c>
      <c r="K2465" t="s">
        <v>17</v>
      </c>
      <c r="L2465" t="b">
        <v>0</v>
      </c>
      <c r="N2465" s="2" t="str">
        <f t="shared" si="217"/>
        <v/>
      </c>
      <c r="Q2465" t="str">
        <f t="shared" si="218"/>
        <v/>
      </c>
    </row>
    <row r="2466" spans="1:17" hidden="1">
      <c r="A2466" t="s">
        <v>2571</v>
      </c>
      <c r="B2466" s="1">
        <v>45253</v>
      </c>
      <c r="C2466">
        <v>2023</v>
      </c>
      <c r="D2466">
        <v>11</v>
      </c>
      <c r="E2466" t="s">
        <v>13</v>
      </c>
      <c r="F2466" t="s">
        <v>24</v>
      </c>
      <c r="G2466" t="s">
        <v>68</v>
      </c>
      <c r="H2466" t="s">
        <v>69</v>
      </c>
      <c r="I2466">
        <v>2856.75</v>
      </c>
      <c r="J2466">
        <v>2697.79</v>
      </c>
      <c r="K2466" t="s">
        <v>17</v>
      </c>
      <c r="L2466" t="b">
        <v>0</v>
      </c>
      <c r="N2466" s="2" t="str">
        <f t="shared" si="217"/>
        <v/>
      </c>
      <c r="Q2466" t="str">
        <f t="shared" si="218"/>
        <v/>
      </c>
    </row>
    <row r="2467" spans="1:17" hidden="1">
      <c r="A2467" t="s">
        <v>2572</v>
      </c>
      <c r="B2467" s="1">
        <v>45253</v>
      </c>
      <c r="C2467">
        <v>2023</v>
      </c>
      <c r="D2467">
        <v>11</v>
      </c>
      <c r="E2467" t="s">
        <v>47</v>
      </c>
      <c r="F2467" t="s">
        <v>24</v>
      </c>
      <c r="G2467" t="s">
        <v>51</v>
      </c>
      <c r="H2467" t="s">
        <v>189</v>
      </c>
      <c r="I2467">
        <v>15037.73</v>
      </c>
      <c r="J2467">
        <v>13031.92</v>
      </c>
      <c r="K2467" t="s">
        <v>17</v>
      </c>
      <c r="L2467" t="b">
        <v>0</v>
      </c>
      <c r="N2467" s="2" t="b">
        <f t="shared" si="217"/>
        <v>1</v>
      </c>
      <c r="O2467" t="str">
        <f t="shared" ref="O2467:O2468" si="221">IF(AND(E2456="HR",K2456="EXPENSE"),I2456&lt;J2456,"")</f>
        <v/>
      </c>
      <c r="Q2467" t="str">
        <f t="shared" si="218"/>
        <v/>
      </c>
    </row>
    <row r="2468" spans="1:17" hidden="1">
      <c r="A2468" t="s">
        <v>2573</v>
      </c>
      <c r="B2468" s="1">
        <v>45253</v>
      </c>
      <c r="C2468">
        <v>2023</v>
      </c>
      <c r="D2468">
        <v>11</v>
      </c>
      <c r="E2468" t="s">
        <v>47</v>
      </c>
      <c r="F2468" t="s">
        <v>24</v>
      </c>
      <c r="G2468" t="s">
        <v>91</v>
      </c>
      <c r="H2468" t="s">
        <v>254</v>
      </c>
      <c r="I2468">
        <v>15315.66</v>
      </c>
      <c r="J2468">
        <v>13224.33</v>
      </c>
      <c r="K2468" t="s">
        <v>17</v>
      </c>
      <c r="L2468" t="b">
        <v>0</v>
      </c>
      <c r="N2468" s="2" t="b">
        <f t="shared" si="217"/>
        <v>1</v>
      </c>
      <c r="O2468" t="str">
        <f t="shared" si="221"/>
        <v/>
      </c>
      <c r="Q2468" t="str">
        <f t="shared" si="218"/>
        <v/>
      </c>
    </row>
    <row r="2469" spans="1:17" hidden="1">
      <c r="A2469" t="s">
        <v>2574</v>
      </c>
      <c r="B2469" s="1">
        <v>45253</v>
      </c>
      <c r="C2469">
        <v>2023</v>
      </c>
      <c r="D2469">
        <v>11</v>
      </c>
      <c r="E2469" t="s">
        <v>19</v>
      </c>
      <c r="F2469" t="s">
        <v>14</v>
      </c>
      <c r="G2469" t="s">
        <v>54</v>
      </c>
      <c r="H2469" t="s">
        <v>57</v>
      </c>
      <c r="I2469">
        <v>5911.71</v>
      </c>
      <c r="J2469">
        <v>5381.11</v>
      </c>
      <c r="K2469" t="s">
        <v>17</v>
      </c>
      <c r="L2469" t="b">
        <v>0</v>
      </c>
      <c r="N2469" s="2" t="str">
        <f t="shared" si="217"/>
        <v/>
      </c>
      <c r="Q2469" t="str">
        <f t="shared" si="218"/>
        <v/>
      </c>
    </row>
    <row r="2470" spans="1:17" hidden="1">
      <c r="A2470" t="s">
        <v>2575</v>
      </c>
      <c r="B2470" s="1">
        <v>45253</v>
      </c>
      <c r="C2470">
        <v>2023</v>
      </c>
      <c r="D2470">
        <v>11</v>
      </c>
      <c r="E2470" t="s">
        <v>19</v>
      </c>
      <c r="F2470" t="s">
        <v>28</v>
      </c>
      <c r="G2470" t="s">
        <v>54</v>
      </c>
      <c r="H2470" t="s">
        <v>163</v>
      </c>
      <c r="I2470">
        <v>5047.79</v>
      </c>
      <c r="J2470">
        <v>5177.22</v>
      </c>
      <c r="K2470" t="s">
        <v>17</v>
      </c>
      <c r="L2470" t="b">
        <v>0</v>
      </c>
      <c r="N2470" s="2" t="str">
        <f t="shared" si="217"/>
        <v/>
      </c>
      <c r="Q2470" t="str">
        <f t="shared" si="218"/>
        <v/>
      </c>
    </row>
    <row r="2471" spans="1:17" hidden="1">
      <c r="A2471" t="s">
        <v>2576</v>
      </c>
      <c r="B2471" s="1">
        <v>45253</v>
      </c>
      <c r="C2471">
        <v>2023</v>
      </c>
      <c r="D2471">
        <v>11</v>
      </c>
      <c r="E2471" t="s">
        <v>23</v>
      </c>
      <c r="F2471" t="s">
        <v>14</v>
      </c>
      <c r="G2471" t="s">
        <v>59</v>
      </c>
      <c r="H2471" t="s">
        <v>60</v>
      </c>
      <c r="I2471">
        <v>5987.5</v>
      </c>
      <c r="J2471">
        <v>6326.21</v>
      </c>
      <c r="K2471" t="s">
        <v>17</v>
      </c>
      <c r="L2471" t="b">
        <v>0</v>
      </c>
      <c r="N2471" s="2" t="str">
        <f t="shared" si="217"/>
        <v/>
      </c>
      <c r="Q2471" t="str">
        <f t="shared" si="218"/>
        <v/>
      </c>
    </row>
    <row r="2472" spans="1:17" hidden="1">
      <c r="A2472" t="s">
        <v>2577</v>
      </c>
      <c r="B2472" s="1">
        <v>45253</v>
      </c>
      <c r="C2472">
        <v>2023</v>
      </c>
      <c r="D2472">
        <v>11</v>
      </c>
      <c r="E2472" t="s">
        <v>23</v>
      </c>
      <c r="F2472" t="s">
        <v>14</v>
      </c>
      <c r="G2472" t="s">
        <v>25</v>
      </c>
      <c r="H2472" t="s">
        <v>35</v>
      </c>
      <c r="I2472">
        <v>7224.53</v>
      </c>
      <c r="J2472">
        <v>7899.77</v>
      </c>
      <c r="K2472" t="s">
        <v>17</v>
      </c>
      <c r="L2472" t="b">
        <v>0</v>
      </c>
      <c r="N2472" s="2" t="str">
        <f t="shared" si="217"/>
        <v/>
      </c>
      <c r="Q2472" t="str">
        <f t="shared" si="218"/>
        <v/>
      </c>
    </row>
    <row r="2473" spans="1:17" hidden="1">
      <c r="A2473" t="s">
        <v>2578</v>
      </c>
      <c r="B2473" s="1">
        <v>45253</v>
      </c>
      <c r="C2473">
        <v>2023</v>
      </c>
      <c r="D2473">
        <v>11</v>
      </c>
      <c r="E2473" t="s">
        <v>23</v>
      </c>
      <c r="F2473" t="s">
        <v>28</v>
      </c>
      <c r="G2473" t="s">
        <v>25</v>
      </c>
      <c r="H2473" t="s">
        <v>26</v>
      </c>
      <c r="I2473">
        <v>8833.73</v>
      </c>
      <c r="J2473">
        <v>9284.1299999999992</v>
      </c>
      <c r="K2473" t="s">
        <v>17</v>
      </c>
      <c r="L2473" t="b">
        <v>0</v>
      </c>
      <c r="N2473" s="2" t="str">
        <f t="shared" si="217"/>
        <v/>
      </c>
      <c r="Q2473" t="str">
        <f t="shared" si="218"/>
        <v/>
      </c>
    </row>
    <row r="2474" spans="1:17" hidden="1">
      <c r="A2474" t="s">
        <v>2579</v>
      </c>
      <c r="B2474" s="1">
        <v>45253</v>
      </c>
      <c r="C2474">
        <v>2023</v>
      </c>
      <c r="D2474">
        <v>11</v>
      </c>
      <c r="E2474" t="s">
        <v>23</v>
      </c>
      <c r="F2474" t="s">
        <v>28</v>
      </c>
      <c r="G2474" t="s">
        <v>59</v>
      </c>
      <c r="H2474" t="s">
        <v>155</v>
      </c>
      <c r="I2474">
        <v>3277.27</v>
      </c>
      <c r="J2474">
        <v>3001</v>
      </c>
      <c r="K2474" t="s">
        <v>17</v>
      </c>
      <c r="L2474" t="b">
        <v>0</v>
      </c>
      <c r="N2474" s="2" t="str">
        <f t="shared" si="217"/>
        <v/>
      </c>
      <c r="Q2474" t="str">
        <f t="shared" si="218"/>
        <v/>
      </c>
    </row>
    <row r="2475" spans="1:17" hidden="1">
      <c r="A2475" t="s">
        <v>2580</v>
      </c>
      <c r="B2475" s="1">
        <v>45253</v>
      </c>
      <c r="C2475">
        <v>2023</v>
      </c>
      <c r="D2475">
        <v>11</v>
      </c>
      <c r="E2475" t="s">
        <v>37</v>
      </c>
      <c r="F2475" t="s">
        <v>14</v>
      </c>
      <c r="G2475" t="s">
        <v>62</v>
      </c>
      <c r="H2475" t="s">
        <v>63</v>
      </c>
      <c r="I2475">
        <v>4214.72</v>
      </c>
      <c r="J2475">
        <v>4490.25</v>
      </c>
      <c r="K2475" t="s">
        <v>17</v>
      </c>
      <c r="L2475" t="b">
        <v>0</v>
      </c>
      <c r="N2475" s="2" t="str">
        <f t="shared" si="217"/>
        <v/>
      </c>
      <c r="Q2475" t="str">
        <f t="shared" si="218"/>
        <v/>
      </c>
    </row>
    <row r="2476" spans="1:17" hidden="1">
      <c r="A2476" t="s">
        <v>2581</v>
      </c>
      <c r="B2476" s="1">
        <v>45253</v>
      </c>
      <c r="C2476">
        <v>2023</v>
      </c>
      <c r="D2476">
        <v>11</v>
      </c>
      <c r="E2476" t="s">
        <v>37</v>
      </c>
      <c r="F2476" t="s">
        <v>28</v>
      </c>
      <c r="G2476" t="s">
        <v>41</v>
      </c>
      <c r="H2476" t="s">
        <v>42</v>
      </c>
      <c r="I2476">
        <v>3012.04</v>
      </c>
      <c r="J2476">
        <v>2932.13</v>
      </c>
      <c r="K2476" t="s">
        <v>17</v>
      </c>
      <c r="L2476" t="b">
        <v>0</v>
      </c>
      <c r="N2476" s="2" t="str">
        <f t="shared" si="217"/>
        <v/>
      </c>
      <c r="Q2476" t="str">
        <f t="shared" si="218"/>
        <v/>
      </c>
    </row>
    <row r="2477" spans="1:17" hidden="1">
      <c r="A2477" t="s">
        <v>2582</v>
      </c>
      <c r="B2477" s="1">
        <v>45253</v>
      </c>
      <c r="C2477">
        <v>2023</v>
      </c>
      <c r="D2477">
        <v>11</v>
      </c>
      <c r="E2477" t="s">
        <v>37</v>
      </c>
      <c r="F2477" t="s">
        <v>24</v>
      </c>
      <c r="G2477" t="s">
        <v>62</v>
      </c>
      <c r="H2477" t="s">
        <v>63</v>
      </c>
      <c r="I2477">
        <v>2301.13</v>
      </c>
      <c r="J2477">
        <v>2088.31</v>
      </c>
      <c r="K2477" t="s">
        <v>17</v>
      </c>
      <c r="L2477" t="b">
        <v>0</v>
      </c>
      <c r="N2477" s="2" t="str">
        <f t="shared" si="217"/>
        <v/>
      </c>
      <c r="Q2477" t="str">
        <f t="shared" si="218"/>
        <v/>
      </c>
    </row>
    <row r="2478" spans="1:17" hidden="1">
      <c r="A2478" t="s">
        <v>2583</v>
      </c>
      <c r="B2478" s="1">
        <v>45254</v>
      </c>
      <c r="C2478">
        <v>2023</v>
      </c>
      <c r="D2478">
        <v>11</v>
      </c>
      <c r="E2478" t="s">
        <v>13</v>
      </c>
      <c r="F2478" t="s">
        <v>14</v>
      </c>
      <c r="G2478" t="s">
        <v>108</v>
      </c>
      <c r="H2478" t="s">
        <v>126</v>
      </c>
      <c r="I2478">
        <v>5467.28</v>
      </c>
      <c r="J2478">
        <v>5016.93</v>
      </c>
      <c r="K2478" t="s">
        <v>17</v>
      </c>
      <c r="L2478" t="b">
        <v>0</v>
      </c>
      <c r="N2478" s="2" t="str">
        <f t="shared" si="217"/>
        <v/>
      </c>
      <c r="Q2478" t="str">
        <f t="shared" si="218"/>
        <v/>
      </c>
    </row>
    <row r="2479" spans="1:17" hidden="1">
      <c r="A2479" t="s">
        <v>2584</v>
      </c>
      <c r="B2479" s="1">
        <v>45254</v>
      </c>
      <c r="C2479">
        <v>2023</v>
      </c>
      <c r="D2479">
        <v>11</v>
      </c>
      <c r="E2479" t="s">
        <v>13</v>
      </c>
      <c r="F2479" t="s">
        <v>28</v>
      </c>
      <c r="G2479" t="s">
        <v>15</v>
      </c>
      <c r="H2479" t="s">
        <v>16</v>
      </c>
      <c r="I2479">
        <v>4660.7700000000004</v>
      </c>
      <c r="J2479">
        <v>4239.24</v>
      </c>
      <c r="K2479" t="s">
        <v>17</v>
      </c>
      <c r="L2479" t="b">
        <v>0</v>
      </c>
      <c r="N2479" s="2" t="str">
        <f t="shared" si="217"/>
        <v/>
      </c>
      <c r="Q2479" t="str">
        <f t="shared" si="218"/>
        <v/>
      </c>
    </row>
    <row r="2480" spans="1:17" hidden="1">
      <c r="A2480" t="s">
        <v>2585</v>
      </c>
      <c r="B2480" s="1">
        <v>45254</v>
      </c>
      <c r="C2480">
        <v>2023</v>
      </c>
      <c r="D2480">
        <v>11</v>
      </c>
      <c r="E2480" t="s">
        <v>13</v>
      </c>
      <c r="F2480" t="s">
        <v>24</v>
      </c>
      <c r="G2480" t="s">
        <v>108</v>
      </c>
      <c r="H2480" t="s">
        <v>123</v>
      </c>
      <c r="I2480">
        <v>3214.76</v>
      </c>
      <c r="J2480">
        <v>3239.27</v>
      </c>
      <c r="K2480" t="s">
        <v>17</v>
      </c>
      <c r="L2480" t="b">
        <v>0</v>
      </c>
      <c r="N2480" s="2" t="str">
        <f t="shared" si="217"/>
        <v/>
      </c>
      <c r="Q2480" t="str">
        <f t="shared" si="218"/>
        <v/>
      </c>
    </row>
    <row r="2481" spans="1:17" hidden="1">
      <c r="A2481" t="s">
        <v>2586</v>
      </c>
      <c r="B2481" s="1">
        <v>45254</v>
      </c>
      <c r="C2481">
        <v>2023</v>
      </c>
      <c r="D2481">
        <v>11</v>
      </c>
      <c r="E2481" t="s">
        <v>13</v>
      </c>
      <c r="F2481" t="s">
        <v>24</v>
      </c>
      <c r="G2481" t="s">
        <v>108</v>
      </c>
      <c r="H2481" t="s">
        <v>109</v>
      </c>
      <c r="I2481">
        <v>4924.3999999999996</v>
      </c>
      <c r="J2481">
        <v>4623.8500000000004</v>
      </c>
      <c r="K2481" t="s">
        <v>17</v>
      </c>
      <c r="L2481" t="b">
        <v>0</v>
      </c>
      <c r="N2481" s="2" t="str">
        <f t="shared" si="217"/>
        <v/>
      </c>
      <c r="Q2481" t="str">
        <f t="shared" si="218"/>
        <v/>
      </c>
    </row>
    <row r="2482" spans="1:17" hidden="1">
      <c r="A2482" t="s">
        <v>2587</v>
      </c>
      <c r="B2482" s="1">
        <v>45254</v>
      </c>
      <c r="C2482">
        <v>2023</v>
      </c>
      <c r="D2482">
        <v>11</v>
      </c>
      <c r="E2482" t="s">
        <v>13</v>
      </c>
      <c r="F2482" t="s">
        <v>24</v>
      </c>
      <c r="G2482" t="s">
        <v>102</v>
      </c>
      <c r="H2482" t="s">
        <v>278</v>
      </c>
      <c r="I2482">
        <v>2462.61</v>
      </c>
      <c r="J2482">
        <v>2315.4299999999998</v>
      </c>
      <c r="K2482" t="s">
        <v>17</v>
      </c>
      <c r="L2482" t="b">
        <v>0</v>
      </c>
      <c r="N2482" s="2" t="str">
        <f t="shared" si="217"/>
        <v/>
      </c>
      <c r="Q2482" t="str">
        <f t="shared" si="218"/>
        <v/>
      </c>
    </row>
    <row r="2483" spans="1:17" hidden="1">
      <c r="A2483" t="s">
        <v>2588</v>
      </c>
      <c r="B2483" s="1">
        <v>45254</v>
      </c>
      <c r="C2483">
        <v>2023</v>
      </c>
      <c r="D2483">
        <v>11</v>
      </c>
      <c r="E2483" t="s">
        <v>23</v>
      </c>
      <c r="F2483" t="s">
        <v>24</v>
      </c>
      <c r="G2483" t="s">
        <v>30</v>
      </c>
      <c r="H2483" t="s">
        <v>31</v>
      </c>
      <c r="I2483">
        <v>6954.35</v>
      </c>
      <c r="J2483">
        <v>6829.6</v>
      </c>
      <c r="K2483" t="s">
        <v>17</v>
      </c>
      <c r="L2483" t="b">
        <v>0</v>
      </c>
      <c r="N2483" s="2" t="str">
        <f t="shared" si="217"/>
        <v/>
      </c>
      <c r="Q2483" t="str">
        <f t="shared" si="218"/>
        <v/>
      </c>
    </row>
    <row r="2484" spans="1:17" hidden="1">
      <c r="A2484" t="s">
        <v>2589</v>
      </c>
      <c r="B2484" s="1">
        <v>45254</v>
      </c>
      <c r="C2484">
        <v>2023</v>
      </c>
      <c r="D2484">
        <v>11</v>
      </c>
      <c r="E2484" t="s">
        <v>37</v>
      </c>
      <c r="F2484" t="s">
        <v>14</v>
      </c>
      <c r="G2484" t="s">
        <v>41</v>
      </c>
      <c r="H2484" t="s">
        <v>42</v>
      </c>
      <c r="I2484">
        <v>6191.46</v>
      </c>
      <c r="J2484">
        <v>5653.58</v>
      </c>
      <c r="K2484" t="s">
        <v>17</v>
      </c>
      <c r="L2484" t="b">
        <v>0</v>
      </c>
      <c r="N2484" s="2" t="str">
        <f t="shared" si="217"/>
        <v/>
      </c>
      <c r="Q2484" t="str">
        <f t="shared" si="218"/>
        <v/>
      </c>
    </row>
    <row r="2485" spans="1:17" hidden="1">
      <c r="A2485" t="s">
        <v>2590</v>
      </c>
      <c r="B2485" s="1">
        <v>45254</v>
      </c>
      <c r="C2485">
        <v>2023</v>
      </c>
      <c r="D2485">
        <v>11</v>
      </c>
      <c r="E2485" t="s">
        <v>37</v>
      </c>
      <c r="F2485" t="s">
        <v>28</v>
      </c>
      <c r="G2485" t="s">
        <v>83</v>
      </c>
      <c r="H2485" t="s">
        <v>84</v>
      </c>
      <c r="I2485">
        <v>210618.02</v>
      </c>
      <c r="J2485">
        <v>200087.12</v>
      </c>
      <c r="K2485" t="s">
        <v>85</v>
      </c>
      <c r="L2485" t="b">
        <v>0</v>
      </c>
      <c r="N2485" s="2" t="str">
        <f t="shared" si="217"/>
        <v/>
      </c>
      <c r="Q2485" t="str">
        <f t="shared" si="218"/>
        <v/>
      </c>
    </row>
    <row r="2486" spans="1:17" hidden="1">
      <c r="A2486" t="s">
        <v>2591</v>
      </c>
      <c r="B2486" s="1">
        <v>45255</v>
      </c>
      <c r="C2486">
        <v>2023</v>
      </c>
      <c r="D2486">
        <v>11</v>
      </c>
      <c r="E2486" t="s">
        <v>13</v>
      </c>
      <c r="F2486" t="s">
        <v>14</v>
      </c>
      <c r="G2486" t="s">
        <v>68</v>
      </c>
      <c r="H2486" t="s">
        <v>69</v>
      </c>
      <c r="I2486">
        <v>4361.68</v>
      </c>
      <c r="J2486">
        <v>4326.45</v>
      </c>
      <c r="K2486" t="s">
        <v>17</v>
      </c>
      <c r="L2486" t="b">
        <v>0</v>
      </c>
      <c r="N2486" s="2" t="str">
        <f t="shared" si="217"/>
        <v/>
      </c>
      <c r="Q2486" t="str">
        <f t="shared" si="218"/>
        <v/>
      </c>
    </row>
    <row r="2487" spans="1:17" hidden="1">
      <c r="A2487" t="s">
        <v>2592</v>
      </c>
      <c r="B2487" s="1">
        <v>45255</v>
      </c>
      <c r="C2487">
        <v>2023</v>
      </c>
      <c r="D2487">
        <v>11</v>
      </c>
      <c r="E2487" t="s">
        <v>13</v>
      </c>
      <c r="F2487" t="s">
        <v>28</v>
      </c>
      <c r="G2487" t="s">
        <v>102</v>
      </c>
      <c r="H2487" t="s">
        <v>103</v>
      </c>
      <c r="I2487">
        <v>2316.58</v>
      </c>
      <c r="J2487">
        <v>2209.2199999999998</v>
      </c>
      <c r="K2487" t="s">
        <v>17</v>
      </c>
      <c r="L2487" t="b">
        <v>0</v>
      </c>
      <c r="N2487" s="2" t="str">
        <f t="shared" si="217"/>
        <v/>
      </c>
      <c r="Q2487" t="str">
        <f t="shared" si="218"/>
        <v/>
      </c>
    </row>
    <row r="2488" spans="1:17" hidden="1">
      <c r="A2488" t="s">
        <v>2593</v>
      </c>
      <c r="B2488" s="1">
        <v>45255</v>
      </c>
      <c r="C2488">
        <v>2023</v>
      </c>
      <c r="D2488">
        <v>11</v>
      </c>
      <c r="E2488" t="s">
        <v>47</v>
      </c>
      <c r="F2488" t="s">
        <v>14</v>
      </c>
      <c r="G2488" t="s">
        <v>51</v>
      </c>
      <c r="H2488" t="s">
        <v>52</v>
      </c>
      <c r="I2488">
        <v>10719.44</v>
      </c>
      <c r="J2488">
        <v>8812.07</v>
      </c>
      <c r="K2488" t="s">
        <v>17</v>
      </c>
      <c r="L2488" t="b">
        <v>0</v>
      </c>
      <c r="N2488" s="2" t="b">
        <f t="shared" si="217"/>
        <v>1</v>
      </c>
      <c r="O2488" t="str">
        <f t="shared" ref="O2488:O2490" si="222">IF(AND(E2477="HR",K2477="EXPENSE"),I2477&lt;J2477,"")</f>
        <v/>
      </c>
      <c r="Q2488" t="str">
        <f t="shared" si="218"/>
        <v/>
      </c>
    </row>
    <row r="2489" spans="1:17" hidden="1">
      <c r="A2489" t="s">
        <v>2594</v>
      </c>
      <c r="B2489" s="1">
        <v>45255</v>
      </c>
      <c r="C2489">
        <v>2023</v>
      </c>
      <c r="D2489">
        <v>11</v>
      </c>
      <c r="E2489" t="s">
        <v>47</v>
      </c>
      <c r="F2489" t="s">
        <v>28</v>
      </c>
      <c r="G2489" t="s">
        <v>77</v>
      </c>
      <c r="H2489" t="s">
        <v>130</v>
      </c>
      <c r="I2489">
        <v>15171.39</v>
      </c>
      <c r="J2489">
        <v>12578.27</v>
      </c>
      <c r="K2489" t="s">
        <v>17</v>
      </c>
      <c r="L2489" t="b">
        <v>0</v>
      </c>
      <c r="N2489" s="2" t="b">
        <f t="shared" si="217"/>
        <v>1</v>
      </c>
      <c r="O2489" t="b">
        <f t="shared" si="222"/>
        <v>0</v>
      </c>
      <c r="Q2489" t="str">
        <f t="shared" si="218"/>
        <v/>
      </c>
    </row>
    <row r="2490" spans="1:17" hidden="1">
      <c r="A2490" t="s">
        <v>2595</v>
      </c>
      <c r="B2490" s="1">
        <v>45255</v>
      </c>
      <c r="C2490">
        <v>2023</v>
      </c>
      <c r="D2490">
        <v>11</v>
      </c>
      <c r="E2490" t="s">
        <v>47</v>
      </c>
      <c r="F2490" t="s">
        <v>24</v>
      </c>
      <c r="G2490" t="s">
        <v>48</v>
      </c>
      <c r="H2490" t="s">
        <v>191</v>
      </c>
      <c r="I2490">
        <v>20073.68</v>
      </c>
      <c r="J2490">
        <v>16744.53</v>
      </c>
      <c r="K2490" t="s">
        <v>17</v>
      </c>
      <c r="L2490" t="b">
        <v>0</v>
      </c>
      <c r="N2490" s="2" t="b">
        <f t="shared" si="217"/>
        <v>1</v>
      </c>
      <c r="O2490" t="b">
        <f t="shared" si="222"/>
        <v>0</v>
      </c>
      <c r="Q2490" t="str">
        <f t="shared" si="218"/>
        <v/>
      </c>
    </row>
    <row r="2491" spans="1:17" hidden="1">
      <c r="A2491" t="s">
        <v>2596</v>
      </c>
      <c r="B2491" s="1">
        <v>45255</v>
      </c>
      <c r="C2491">
        <v>2023</v>
      </c>
      <c r="D2491">
        <v>11</v>
      </c>
      <c r="E2491" t="s">
        <v>23</v>
      </c>
      <c r="F2491" t="s">
        <v>28</v>
      </c>
      <c r="G2491" t="s">
        <v>141</v>
      </c>
      <c r="H2491" t="s">
        <v>153</v>
      </c>
      <c r="I2491">
        <v>4629.8</v>
      </c>
      <c r="J2491">
        <v>4576.16</v>
      </c>
      <c r="K2491" t="s">
        <v>17</v>
      </c>
      <c r="L2491" t="b">
        <v>0</v>
      </c>
      <c r="N2491" s="2" t="str">
        <f t="shared" si="217"/>
        <v/>
      </c>
      <c r="Q2491" t="str">
        <f t="shared" si="218"/>
        <v/>
      </c>
    </row>
    <row r="2492" spans="1:17" hidden="1">
      <c r="A2492" t="s">
        <v>2597</v>
      </c>
      <c r="B2492" s="1">
        <v>45255</v>
      </c>
      <c r="C2492">
        <v>2023</v>
      </c>
      <c r="D2492">
        <v>11</v>
      </c>
      <c r="E2492" t="s">
        <v>37</v>
      </c>
      <c r="F2492" t="s">
        <v>28</v>
      </c>
      <c r="G2492" t="s">
        <v>38</v>
      </c>
      <c r="H2492" t="s">
        <v>39</v>
      </c>
      <c r="I2492">
        <v>1828.99</v>
      </c>
      <c r="J2492">
        <v>1785.96</v>
      </c>
      <c r="K2492" t="s">
        <v>17</v>
      </c>
      <c r="L2492" t="b">
        <v>0</v>
      </c>
      <c r="N2492" s="2" t="str">
        <f t="shared" si="217"/>
        <v/>
      </c>
      <c r="Q2492" t="str">
        <f t="shared" si="218"/>
        <v/>
      </c>
    </row>
    <row r="2493" spans="1:17" hidden="1">
      <c r="A2493" t="s">
        <v>2598</v>
      </c>
      <c r="B2493" s="1">
        <v>45255</v>
      </c>
      <c r="C2493">
        <v>2023</v>
      </c>
      <c r="D2493">
        <v>11</v>
      </c>
      <c r="E2493" t="s">
        <v>37</v>
      </c>
      <c r="F2493" t="s">
        <v>24</v>
      </c>
      <c r="G2493" t="s">
        <v>98</v>
      </c>
      <c r="H2493" t="s">
        <v>99</v>
      </c>
      <c r="I2493">
        <v>4571.68</v>
      </c>
      <c r="J2493">
        <v>4709.72</v>
      </c>
      <c r="K2493" t="s">
        <v>17</v>
      </c>
      <c r="L2493" t="b">
        <v>0</v>
      </c>
      <c r="N2493" s="2" t="str">
        <f t="shared" si="217"/>
        <v/>
      </c>
      <c r="Q2493" t="str">
        <f t="shared" si="218"/>
        <v/>
      </c>
    </row>
    <row r="2494" spans="1:17" hidden="1">
      <c r="A2494" t="s">
        <v>2599</v>
      </c>
      <c r="B2494" s="1">
        <v>45256</v>
      </c>
      <c r="C2494">
        <v>2023</v>
      </c>
      <c r="D2494">
        <v>11</v>
      </c>
      <c r="E2494" t="s">
        <v>13</v>
      </c>
      <c r="F2494" t="s">
        <v>24</v>
      </c>
      <c r="G2494" t="s">
        <v>102</v>
      </c>
      <c r="H2494" t="s">
        <v>145</v>
      </c>
      <c r="I2494">
        <v>4207.9799999999996</v>
      </c>
      <c r="J2494">
        <v>4388.04</v>
      </c>
      <c r="K2494" t="s">
        <v>17</v>
      </c>
      <c r="L2494" t="b">
        <v>0</v>
      </c>
      <c r="N2494" s="2" t="str">
        <f t="shared" si="217"/>
        <v/>
      </c>
      <c r="Q2494" t="str">
        <f t="shared" si="218"/>
        <v/>
      </c>
    </row>
    <row r="2495" spans="1:17" hidden="1">
      <c r="A2495" t="s">
        <v>2600</v>
      </c>
      <c r="B2495" s="1">
        <v>45256</v>
      </c>
      <c r="C2495">
        <v>2023</v>
      </c>
      <c r="D2495">
        <v>11</v>
      </c>
      <c r="E2495" t="s">
        <v>23</v>
      </c>
      <c r="F2495" t="s">
        <v>14</v>
      </c>
      <c r="G2495" t="s">
        <v>59</v>
      </c>
      <c r="H2495" t="s">
        <v>155</v>
      </c>
      <c r="I2495">
        <v>5811.6</v>
      </c>
      <c r="J2495">
        <v>5476.62</v>
      </c>
      <c r="K2495" t="s">
        <v>17</v>
      </c>
      <c r="L2495" t="b">
        <v>0</v>
      </c>
      <c r="N2495" s="2" t="str">
        <f t="shared" si="217"/>
        <v/>
      </c>
      <c r="Q2495" t="str">
        <f t="shared" si="218"/>
        <v/>
      </c>
    </row>
    <row r="2496" spans="1:17" hidden="1">
      <c r="A2496" t="s">
        <v>2601</v>
      </c>
      <c r="B2496" s="1">
        <v>45256</v>
      </c>
      <c r="C2496">
        <v>2023</v>
      </c>
      <c r="D2496">
        <v>11</v>
      </c>
      <c r="E2496" t="s">
        <v>37</v>
      </c>
      <c r="F2496" t="s">
        <v>14</v>
      </c>
      <c r="G2496" t="s">
        <v>98</v>
      </c>
      <c r="H2496" t="s">
        <v>185</v>
      </c>
      <c r="I2496">
        <v>4509.6899999999996</v>
      </c>
      <c r="J2496">
        <v>4917.09</v>
      </c>
      <c r="K2496" t="s">
        <v>17</v>
      </c>
      <c r="L2496" t="b">
        <v>0</v>
      </c>
      <c r="N2496" s="2" t="str">
        <f t="shared" si="217"/>
        <v/>
      </c>
      <c r="Q2496" t="str">
        <f t="shared" si="218"/>
        <v/>
      </c>
    </row>
    <row r="2497" spans="1:17" hidden="1">
      <c r="A2497" t="s">
        <v>2602</v>
      </c>
      <c r="B2497" s="1">
        <v>45256</v>
      </c>
      <c r="C2497">
        <v>2023</v>
      </c>
      <c r="D2497">
        <v>11</v>
      </c>
      <c r="E2497" t="s">
        <v>37</v>
      </c>
      <c r="F2497" t="s">
        <v>24</v>
      </c>
      <c r="G2497" t="s">
        <v>98</v>
      </c>
      <c r="H2497" t="s">
        <v>185</v>
      </c>
      <c r="I2497">
        <v>7540.1</v>
      </c>
      <c r="J2497">
        <v>7198.79</v>
      </c>
      <c r="K2497" t="s">
        <v>17</v>
      </c>
      <c r="L2497" t="b">
        <v>0</v>
      </c>
      <c r="N2497" s="2" t="str">
        <f t="shared" si="217"/>
        <v/>
      </c>
      <c r="Q2497" t="str">
        <f t="shared" si="218"/>
        <v/>
      </c>
    </row>
    <row r="2498" spans="1:17" hidden="1">
      <c r="A2498" t="s">
        <v>2603</v>
      </c>
      <c r="B2498" s="1">
        <v>45257</v>
      </c>
      <c r="C2498">
        <v>2023</v>
      </c>
      <c r="D2498">
        <v>11</v>
      </c>
      <c r="E2498" t="s">
        <v>47</v>
      </c>
      <c r="F2498" t="s">
        <v>28</v>
      </c>
      <c r="G2498" t="s">
        <v>48</v>
      </c>
      <c r="H2498" t="s">
        <v>49</v>
      </c>
      <c r="I2498">
        <v>19444.849999999999</v>
      </c>
      <c r="J2498">
        <v>16496.37</v>
      </c>
      <c r="K2498" t="s">
        <v>17</v>
      </c>
      <c r="L2498" t="b">
        <v>0</v>
      </c>
      <c r="N2498" s="2" t="b">
        <f t="shared" si="217"/>
        <v>1</v>
      </c>
      <c r="O2498" t="b">
        <f>IF(AND(E2487="HR",K2487="EXPENSE"),I2487&lt;J2487,"")</f>
        <v>0</v>
      </c>
      <c r="Q2498" t="str">
        <f t="shared" si="218"/>
        <v/>
      </c>
    </row>
    <row r="2499" spans="1:17" hidden="1">
      <c r="A2499" t="s">
        <v>2604</v>
      </c>
      <c r="B2499" s="1">
        <v>45257</v>
      </c>
      <c r="C2499">
        <v>2023</v>
      </c>
      <c r="D2499">
        <v>11</v>
      </c>
      <c r="E2499" t="s">
        <v>19</v>
      </c>
      <c r="F2499" t="s">
        <v>14</v>
      </c>
      <c r="G2499" t="s">
        <v>54</v>
      </c>
      <c r="H2499" t="s">
        <v>57</v>
      </c>
      <c r="I2499">
        <v>9122.33</v>
      </c>
      <c r="J2499">
        <v>9472.49</v>
      </c>
      <c r="K2499" t="s">
        <v>17</v>
      </c>
      <c r="L2499" t="b">
        <v>0</v>
      </c>
      <c r="N2499" s="2" t="str">
        <f t="shared" ref="N2499:N2562" si="223">IF(AND(E2499="IT",K2499="EXPENSE"),I2499&gt;J2499,"")</f>
        <v/>
      </c>
      <c r="Q2499" t="str">
        <f t="shared" ref="Q2499:Q2562" si="224">IF(L2499=TRUE,OR(H2499="Apex Solutions Inc",H2499="Global Trade Partners",H2499="NovaTech Services"),"")</f>
        <v/>
      </c>
    </row>
    <row r="2500" spans="1:17" hidden="1">
      <c r="A2500" t="s">
        <v>2605</v>
      </c>
      <c r="B2500" s="1">
        <v>45257</v>
      </c>
      <c r="C2500">
        <v>2023</v>
      </c>
      <c r="D2500">
        <v>11</v>
      </c>
      <c r="E2500" t="s">
        <v>19</v>
      </c>
      <c r="F2500" t="s">
        <v>28</v>
      </c>
      <c r="G2500" t="s">
        <v>132</v>
      </c>
      <c r="H2500" t="s">
        <v>138</v>
      </c>
      <c r="I2500">
        <v>6488.36</v>
      </c>
      <c r="J2500">
        <v>6800.47</v>
      </c>
      <c r="K2500" t="s">
        <v>17</v>
      </c>
      <c r="L2500" t="b">
        <v>0</v>
      </c>
      <c r="N2500" s="2" t="str">
        <f t="shared" si="223"/>
        <v/>
      </c>
      <c r="Q2500" t="str">
        <f t="shared" si="224"/>
        <v/>
      </c>
    </row>
    <row r="2501" spans="1:17" hidden="1">
      <c r="A2501" t="s">
        <v>2606</v>
      </c>
      <c r="B2501" s="1">
        <v>45257</v>
      </c>
      <c r="C2501">
        <v>2023</v>
      </c>
      <c r="D2501">
        <v>11</v>
      </c>
      <c r="E2501" t="s">
        <v>37</v>
      </c>
      <c r="F2501" t="s">
        <v>14</v>
      </c>
      <c r="G2501" t="s">
        <v>62</v>
      </c>
      <c r="H2501" t="s">
        <v>121</v>
      </c>
      <c r="I2501">
        <v>5115.67</v>
      </c>
      <c r="J2501">
        <v>4816.41</v>
      </c>
      <c r="K2501" t="s">
        <v>17</v>
      </c>
      <c r="L2501" t="b">
        <v>0</v>
      </c>
      <c r="N2501" s="2" t="str">
        <f t="shared" si="223"/>
        <v/>
      </c>
      <c r="Q2501" t="str">
        <f t="shared" si="224"/>
        <v/>
      </c>
    </row>
    <row r="2502" spans="1:17" hidden="1">
      <c r="A2502" t="s">
        <v>2607</v>
      </c>
      <c r="B2502" s="1">
        <v>45257</v>
      </c>
      <c r="C2502">
        <v>2023</v>
      </c>
      <c r="D2502">
        <v>11</v>
      </c>
      <c r="E2502" t="s">
        <v>37</v>
      </c>
      <c r="F2502" t="s">
        <v>14</v>
      </c>
      <c r="G2502" t="s">
        <v>98</v>
      </c>
      <c r="H2502" t="s">
        <v>185</v>
      </c>
      <c r="I2502">
        <v>4919.6899999999996</v>
      </c>
      <c r="J2502">
        <v>5378.78</v>
      </c>
      <c r="K2502" t="s">
        <v>17</v>
      </c>
      <c r="L2502" t="b">
        <v>0</v>
      </c>
      <c r="N2502" s="2" t="str">
        <f t="shared" si="223"/>
        <v/>
      </c>
      <c r="Q2502" t="str">
        <f t="shared" si="224"/>
        <v/>
      </c>
    </row>
    <row r="2503" spans="1:17" hidden="1">
      <c r="A2503" t="s">
        <v>2608</v>
      </c>
      <c r="B2503" s="1">
        <v>45257</v>
      </c>
      <c r="C2503">
        <v>2023</v>
      </c>
      <c r="D2503">
        <v>11</v>
      </c>
      <c r="E2503" t="s">
        <v>37</v>
      </c>
      <c r="F2503" t="s">
        <v>14</v>
      </c>
      <c r="G2503" t="s">
        <v>98</v>
      </c>
      <c r="H2503" t="s">
        <v>99</v>
      </c>
      <c r="I2503">
        <v>4947.4799999999996</v>
      </c>
      <c r="J2503">
        <v>4760.9799999999996</v>
      </c>
      <c r="K2503" t="s">
        <v>17</v>
      </c>
      <c r="L2503" t="b">
        <v>0</v>
      </c>
      <c r="N2503" s="2" t="str">
        <f t="shared" si="223"/>
        <v/>
      </c>
      <c r="Q2503" t="str">
        <f t="shared" si="224"/>
        <v/>
      </c>
    </row>
    <row r="2504" spans="1:17" hidden="1">
      <c r="A2504" t="s">
        <v>2609</v>
      </c>
      <c r="B2504" s="1">
        <v>45258</v>
      </c>
      <c r="C2504">
        <v>2023</v>
      </c>
      <c r="D2504">
        <v>11</v>
      </c>
      <c r="E2504" t="s">
        <v>47</v>
      </c>
      <c r="F2504" t="s">
        <v>14</v>
      </c>
      <c r="G2504" t="s">
        <v>51</v>
      </c>
      <c r="H2504" t="s">
        <v>72</v>
      </c>
      <c r="I2504">
        <v>12416.36</v>
      </c>
      <c r="J2504">
        <v>10570.02</v>
      </c>
      <c r="K2504" t="s">
        <v>17</v>
      </c>
      <c r="L2504" t="b">
        <v>0</v>
      </c>
      <c r="N2504" s="2" t="b">
        <f t="shared" si="223"/>
        <v>1</v>
      </c>
      <c r="O2504" t="str">
        <f>IF(AND(E2493="HR",K2493="EXPENSE"),I2493&lt;J2493,"")</f>
        <v/>
      </c>
      <c r="Q2504" t="str">
        <f t="shared" si="224"/>
        <v/>
      </c>
    </row>
    <row r="2505" spans="1:17" hidden="1">
      <c r="A2505" t="s">
        <v>2610</v>
      </c>
      <c r="B2505" s="1">
        <v>45258</v>
      </c>
      <c r="C2505">
        <v>2023</v>
      </c>
      <c r="D2505">
        <v>11</v>
      </c>
      <c r="E2505" t="s">
        <v>23</v>
      </c>
      <c r="F2505" t="s">
        <v>24</v>
      </c>
      <c r="G2505" t="s">
        <v>30</v>
      </c>
      <c r="H2505" t="s">
        <v>33</v>
      </c>
      <c r="I2505">
        <v>7290.47</v>
      </c>
      <c r="J2505">
        <v>6956.11</v>
      </c>
      <c r="K2505" t="s">
        <v>17</v>
      </c>
      <c r="L2505" t="b">
        <v>0</v>
      </c>
      <c r="N2505" s="2" t="str">
        <f t="shared" si="223"/>
        <v/>
      </c>
      <c r="Q2505" t="str">
        <f t="shared" si="224"/>
        <v/>
      </c>
    </row>
    <row r="2506" spans="1:17" hidden="1">
      <c r="A2506" t="s">
        <v>2611</v>
      </c>
      <c r="B2506" s="1">
        <v>45258</v>
      </c>
      <c r="C2506">
        <v>2023</v>
      </c>
      <c r="D2506">
        <v>11</v>
      </c>
      <c r="E2506" t="s">
        <v>23</v>
      </c>
      <c r="F2506" t="s">
        <v>24</v>
      </c>
      <c r="G2506" t="s">
        <v>25</v>
      </c>
      <c r="H2506" t="s">
        <v>95</v>
      </c>
      <c r="I2506">
        <v>6165.72</v>
      </c>
      <c r="J2506">
        <v>5921.14</v>
      </c>
      <c r="K2506" t="s">
        <v>17</v>
      </c>
      <c r="L2506" t="b">
        <v>0</v>
      </c>
      <c r="N2506" s="2" t="str">
        <f t="shared" si="223"/>
        <v/>
      </c>
      <c r="Q2506" t="str">
        <f t="shared" si="224"/>
        <v/>
      </c>
    </row>
    <row r="2507" spans="1:17" hidden="1">
      <c r="A2507" t="s">
        <v>2612</v>
      </c>
      <c r="B2507" s="1">
        <v>45259</v>
      </c>
      <c r="C2507">
        <v>2023</v>
      </c>
      <c r="D2507">
        <v>11</v>
      </c>
      <c r="E2507" t="s">
        <v>13</v>
      </c>
      <c r="F2507" t="s">
        <v>14</v>
      </c>
      <c r="G2507" t="s">
        <v>108</v>
      </c>
      <c r="H2507" t="s">
        <v>126</v>
      </c>
      <c r="I2507">
        <v>3665.6</v>
      </c>
      <c r="J2507">
        <v>3785.84</v>
      </c>
      <c r="K2507" t="s">
        <v>17</v>
      </c>
      <c r="L2507" t="b">
        <v>0</v>
      </c>
      <c r="N2507" s="2" t="str">
        <f t="shared" si="223"/>
        <v/>
      </c>
      <c r="Q2507" t="str">
        <f t="shared" si="224"/>
        <v/>
      </c>
    </row>
    <row r="2508" spans="1:17" hidden="1">
      <c r="A2508" t="s">
        <v>2613</v>
      </c>
      <c r="B2508" s="1">
        <v>45259</v>
      </c>
      <c r="C2508">
        <v>2023</v>
      </c>
      <c r="D2508">
        <v>11</v>
      </c>
      <c r="E2508" t="s">
        <v>13</v>
      </c>
      <c r="F2508" t="s">
        <v>14</v>
      </c>
      <c r="G2508" t="s">
        <v>102</v>
      </c>
      <c r="H2508" t="s">
        <v>103</v>
      </c>
      <c r="I2508">
        <v>3049.84</v>
      </c>
      <c r="J2508">
        <v>3162.21</v>
      </c>
      <c r="K2508" t="s">
        <v>17</v>
      </c>
      <c r="L2508" t="b">
        <v>0</v>
      </c>
      <c r="N2508" s="2" t="str">
        <f t="shared" si="223"/>
        <v/>
      </c>
      <c r="Q2508" t="str">
        <f t="shared" si="224"/>
        <v/>
      </c>
    </row>
    <row r="2509" spans="1:17" hidden="1">
      <c r="A2509" t="s">
        <v>2614</v>
      </c>
      <c r="B2509" s="1">
        <v>45259</v>
      </c>
      <c r="C2509">
        <v>2023</v>
      </c>
      <c r="D2509">
        <v>11</v>
      </c>
      <c r="E2509" t="s">
        <v>13</v>
      </c>
      <c r="F2509" t="s">
        <v>28</v>
      </c>
      <c r="G2509" t="s">
        <v>68</v>
      </c>
      <c r="H2509" t="s">
        <v>69</v>
      </c>
      <c r="I2509">
        <v>5494.4</v>
      </c>
      <c r="J2509">
        <v>5913.77</v>
      </c>
      <c r="K2509" t="s">
        <v>17</v>
      </c>
      <c r="L2509" t="b">
        <v>0</v>
      </c>
      <c r="N2509" s="2" t="str">
        <f t="shared" si="223"/>
        <v/>
      </c>
      <c r="Q2509" t="str">
        <f t="shared" si="224"/>
        <v/>
      </c>
    </row>
    <row r="2510" spans="1:17" hidden="1">
      <c r="A2510" t="s">
        <v>2615</v>
      </c>
      <c r="B2510" s="1">
        <v>45259</v>
      </c>
      <c r="C2510">
        <v>2023</v>
      </c>
      <c r="D2510">
        <v>11</v>
      </c>
      <c r="E2510" t="s">
        <v>13</v>
      </c>
      <c r="F2510" t="s">
        <v>24</v>
      </c>
      <c r="G2510" t="s">
        <v>15</v>
      </c>
      <c r="H2510" t="s">
        <v>45</v>
      </c>
      <c r="I2510">
        <v>2201.17</v>
      </c>
      <c r="J2510">
        <v>2097.8200000000002</v>
      </c>
      <c r="K2510" t="s">
        <v>17</v>
      </c>
      <c r="L2510" t="b">
        <v>0</v>
      </c>
      <c r="N2510" s="2" t="str">
        <f t="shared" si="223"/>
        <v/>
      </c>
      <c r="Q2510" t="str">
        <f t="shared" si="224"/>
        <v/>
      </c>
    </row>
    <row r="2511" spans="1:17" hidden="1">
      <c r="A2511" t="s">
        <v>2616</v>
      </c>
      <c r="B2511" s="1">
        <v>45259</v>
      </c>
      <c r="C2511">
        <v>2023</v>
      </c>
      <c r="D2511">
        <v>11</v>
      </c>
      <c r="E2511" t="s">
        <v>23</v>
      </c>
      <c r="F2511" t="s">
        <v>14</v>
      </c>
      <c r="G2511" t="s">
        <v>25</v>
      </c>
      <c r="H2511" t="s">
        <v>35</v>
      </c>
      <c r="I2511">
        <v>5626.21</v>
      </c>
      <c r="J2511">
        <v>5955.38</v>
      </c>
      <c r="K2511" t="s">
        <v>17</v>
      </c>
      <c r="L2511" t="b">
        <v>0</v>
      </c>
      <c r="N2511" s="2" t="str">
        <f t="shared" si="223"/>
        <v/>
      </c>
      <c r="Q2511" t="str">
        <f t="shared" si="224"/>
        <v/>
      </c>
    </row>
    <row r="2512" spans="1:17" hidden="1">
      <c r="A2512" t="s">
        <v>2617</v>
      </c>
      <c r="B2512" s="1">
        <v>45260</v>
      </c>
      <c r="C2512">
        <v>2023</v>
      </c>
      <c r="D2512">
        <v>11</v>
      </c>
      <c r="E2512" t="s">
        <v>47</v>
      </c>
      <c r="F2512" t="s">
        <v>14</v>
      </c>
      <c r="G2512" t="s">
        <v>51</v>
      </c>
      <c r="H2512" t="s">
        <v>72</v>
      </c>
      <c r="I2512">
        <v>6467.62</v>
      </c>
      <c r="J2512">
        <v>5462.27</v>
      </c>
      <c r="K2512" t="s">
        <v>17</v>
      </c>
      <c r="L2512" t="b">
        <v>0</v>
      </c>
      <c r="N2512" s="2" t="b">
        <f t="shared" si="223"/>
        <v>1</v>
      </c>
      <c r="O2512" t="str">
        <f t="shared" ref="O2512:O2515" si="225">IF(AND(E2501="HR",K2501="EXPENSE"),I2501&lt;J2501,"")</f>
        <v/>
      </c>
      <c r="Q2512" t="str">
        <f t="shared" si="224"/>
        <v/>
      </c>
    </row>
    <row r="2513" spans="1:17" hidden="1">
      <c r="A2513" t="s">
        <v>2618</v>
      </c>
      <c r="B2513" s="1">
        <v>45260</v>
      </c>
      <c r="C2513">
        <v>2023</v>
      </c>
      <c r="D2513">
        <v>11</v>
      </c>
      <c r="E2513" t="s">
        <v>47</v>
      </c>
      <c r="F2513" t="s">
        <v>28</v>
      </c>
      <c r="G2513" t="s">
        <v>48</v>
      </c>
      <c r="H2513" t="s">
        <v>191</v>
      </c>
      <c r="I2513">
        <v>15901.15</v>
      </c>
      <c r="J2513">
        <v>13563.54</v>
      </c>
      <c r="K2513" t="s">
        <v>17</v>
      </c>
      <c r="L2513" t="b">
        <v>0</v>
      </c>
      <c r="N2513" s="2" t="b">
        <f t="shared" si="223"/>
        <v>1</v>
      </c>
      <c r="O2513" t="str">
        <f t="shared" si="225"/>
        <v/>
      </c>
      <c r="Q2513" t="str">
        <f t="shared" si="224"/>
        <v/>
      </c>
    </row>
    <row r="2514" spans="1:17" hidden="1">
      <c r="A2514" t="s">
        <v>2619</v>
      </c>
      <c r="B2514" s="1">
        <v>45260</v>
      </c>
      <c r="C2514">
        <v>2023</v>
      </c>
      <c r="D2514">
        <v>11</v>
      </c>
      <c r="E2514" t="s">
        <v>47</v>
      </c>
      <c r="F2514" t="s">
        <v>24</v>
      </c>
      <c r="G2514" t="s">
        <v>77</v>
      </c>
      <c r="H2514" t="s">
        <v>78</v>
      </c>
      <c r="I2514">
        <v>18475.04</v>
      </c>
      <c r="J2514">
        <v>15534.23</v>
      </c>
      <c r="K2514" t="s">
        <v>17</v>
      </c>
      <c r="L2514" t="b">
        <v>0</v>
      </c>
      <c r="N2514" s="2" t="b">
        <f t="shared" si="223"/>
        <v>1</v>
      </c>
      <c r="O2514" t="str">
        <f t="shared" si="225"/>
        <v/>
      </c>
      <c r="Q2514" t="str">
        <f t="shared" si="224"/>
        <v/>
      </c>
    </row>
    <row r="2515" spans="1:17" hidden="1">
      <c r="A2515" t="s">
        <v>2620</v>
      </c>
      <c r="B2515" s="1">
        <v>45260</v>
      </c>
      <c r="C2515">
        <v>2023</v>
      </c>
      <c r="D2515">
        <v>11</v>
      </c>
      <c r="E2515" t="s">
        <v>47</v>
      </c>
      <c r="F2515" t="s">
        <v>24</v>
      </c>
      <c r="G2515" t="s">
        <v>48</v>
      </c>
      <c r="H2515" t="s">
        <v>75</v>
      </c>
      <c r="I2515">
        <v>15592.81</v>
      </c>
      <c r="J2515">
        <v>13086.22</v>
      </c>
      <c r="K2515" t="s">
        <v>17</v>
      </c>
      <c r="L2515" t="b">
        <v>0</v>
      </c>
      <c r="N2515" s="2" t="b">
        <f t="shared" si="223"/>
        <v>1</v>
      </c>
      <c r="O2515" t="str">
        <f t="shared" si="225"/>
        <v/>
      </c>
      <c r="Q2515" t="str">
        <f t="shared" si="224"/>
        <v/>
      </c>
    </row>
    <row r="2516" spans="1:17" hidden="1">
      <c r="A2516" t="s">
        <v>2621</v>
      </c>
      <c r="B2516" s="1">
        <v>45260</v>
      </c>
      <c r="C2516">
        <v>2023</v>
      </c>
      <c r="D2516">
        <v>11</v>
      </c>
      <c r="E2516" t="s">
        <v>19</v>
      </c>
      <c r="F2516" t="s">
        <v>14</v>
      </c>
      <c r="G2516" t="s">
        <v>54</v>
      </c>
      <c r="H2516" t="s">
        <v>57</v>
      </c>
      <c r="I2516">
        <v>6677.13</v>
      </c>
      <c r="J2516">
        <v>6288.93</v>
      </c>
      <c r="K2516" t="s">
        <v>17</v>
      </c>
      <c r="L2516" t="b">
        <v>0</v>
      </c>
      <c r="N2516" s="2" t="str">
        <f t="shared" si="223"/>
        <v/>
      </c>
      <c r="Q2516" t="str">
        <f t="shared" si="224"/>
        <v/>
      </c>
    </row>
    <row r="2517" spans="1:17" hidden="1">
      <c r="A2517" t="s">
        <v>2622</v>
      </c>
      <c r="B2517" s="1">
        <v>45260</v>
      </c>
      <c r="C2517">
        <v>2023</v>
      </c>
      <c r="D2517">
        <v>11</v>
      </c>
      <c r="E2517" t="s">
        <v>37</v>
      </c>
      <c r="F2517" t="s">
        <v>14</v>
      </c>
      <c r="G2517" t="s">
        <v>62</v>
      </c>
      <c r="H2517" t="s">
        <v>360</v>
      </c>
      <c r="I2517">
        <v>5887.24</v>
      </c>
      <c r="J2517">
        <v>5528.05</v>
      </c>
      <c r="K2517" t="s">
        <v>17</v>
      </c>
      <c r="L2517" t="b">
        <v>0</v>
      </c>
      <c r="N2517" s="2" t="str">
        <f t="shared" si="223"/>
        <v/>
      </c>
      <c r="Q2517" t="str">
        <f t="shared" si="224"/>
        <v/>
      </c>
    </row>
    <row r="2518" spans="1:17" hidden="1">
      <c r="A2518" t="s">
        <v>2623</v>
      </c>
      <c r="B2518" s="1">
        <v>45260</v>
      </c>
      <c r="C2518">
        <v>2023</v>
      </c>
      <c r="D2518">
        <v>11</v>
      </c>
      <c r="E2518" t="s">
        <v>37</v>
      </c>
      <c r="F2518" t="s">
        <v>28</v>
      </c>
      <c r="G2518" t="s">
        <v>41</v>
      </c>
      <c r="H2518" t="s">
        <v>42</v>
      </c>
      <c r="I2518">
        <v>5452.03</v>
      </c>
      <c r="J2518">
        <v>5478.48</v>
      </c>
      <c r="K2518" t="s">
        <v>17</v>
      </c>
      <c r="L2518" t="b">
        <v>0</v>
      </c>
      <c r="N2518" s="2" t="str">
        <f t="shared" si="223"/>
        <v/>
      </c>
      <c r="Q2518" t="str">
        <f t="shared" si="224"/>
        <v/>
      </c>
    </row>
    <row r="2519" spans="1:17" hidden="1">
      <c r="A2519" t="s">
        <v>2624</v>
      </c>
      <c r="B2519" s="1">
        <v>45260</v>
      </c>
      <c r="C2519">
        <v>2023</v>
      </c>
      <c r="D2519">
        <v>11</v>
      </c>
      <c r="E2519" t="s">
        <v>37</v>
      </c>
      <c r="F2519" t="s">
        <v>28</v>
      </c>
      <c r="G2519" t="s">
        <v>62</v>
      </c>
      <c r="H2519" t="s">
        <v>63</v>
      </c>
      <c r="I2519">
        <v>9153.01</v>
      </c>
      <c r="J2519">
        <v>8291.35</v>
      </c>
      <c r="K2519" t="s">
        <v>17</v>
      </c>
      <c r="L2519" t="b">
        <v>0</v>
      </c>
      <c r="N2519" s="2" t="str">
        <f t="shared" si="223"/>
        <v/>
      </c>
      <c r="Q2519" t="str">
        <f t="shared" si="224"/>
        <v/>
      </c>
    </row>
    <row r="2520" spans="1:17" hidden="1">
      <c r="A2520" t="s">
        <v>2625</v>
      </c>
      <c r="B2520" s="1">
        <v>45261</v>
      </c>
      <c r="C2520">
        <v>2023</v>
      </c>
      <c r="D2520">
        <v>12</v>
      </c>
      <c r="E2520" t="s">
        <v>13</v>
      </c>
      <c r="F2520" t="s">
        <v>14</v>
      </c>
      <c r="G2520" t="s">
        <v>102</v>
      </c>
      <c r="H2520" t="s">
        <v>278</v>
      </c>
      <c r="I2520">
        <v>2905.33</v>
      </c>
      <c r="J2520">
        <v>3104.37</v>
      </c>
      <c r="K2520" t="s">
        <v>17</v>
      </c>
      <c r="L2520" t="b">
        <v>0</v>
      </c>
      <c r="N2520" s="2" t="str">
        <f t="shared" si="223"/>
        <v/>
      </c>
      <c r="Q2520" t="str">
        <f t="shared" si="224"/>
        <v/>
      </c>
    </row>
    <row r="2521" spans="1:17" hidden="1">
      <c r="A2521" t="s">
        <v>2626</v>
      </c>
      <c r="B2521" s="1">
        <v>45261</v>
      </c>
      <c r="C2521">
        <v>2023</v>
      </c>
      <c r="D2521">
        <v>12</v>
      </c>
      <c r="E2521" t="s">
        <v>13</v>
      </c>
      <c r="F2521" t="s">
        <v>24</v>
      </c>
      <c r="G2521" t="s">
        <v>68</v>
      </c>
      <c r="H2521" t="s">
        <v>69</v>
      </c>
      <c r="I2521">
        <v>2178.5100000000002</v>
      </c>
      <c r="J2521">
        <v>2119.71</v>
      </c>
      <c r="K2521" t="s">
        <v>17</v>
      </c>
      <c r="L2521" t="b">
        <v>0</v>
      </c>
      <c r="N2521" s="2" t="str">
        <f t="shared" si="223"/>
        <v/>
      </c>
      <c r="Q2521" t="str">
        <f t="shared" si="224"/>
        <v/>
      </c>
    </row>
    <row r="2522" spans="1:17" hidden="1">
      <c r="A2522" t="s">
        <v>2627</v>
      </c>
      <c r="B2522" s="1">
        <v>45261</v>
      </c>
      <c r="C2522">
        <v>2023</v>
      </c>
      <c r="D2522">
        <v>12</v>
      </c>
      <c r="E2522" t="s">
        <v>13</v>
      </c>
      <c r="F2522" t="s">
        <v>24</v>
      </c>
      <c r="G2522" t="s">
        <v>102</v>
      </c>
      <c r="H2522" t="s">
        <v>145</v>
      </c>
      <c r="I2522">
        <v>2554.4499999999998</v>
      </c>
      <c r="J2522">
        <v>2583.42</v>
      </c>
      <c r="K2522" t="s">
        <v>17</v>
      </c>
      <c r="L2522" t="b">
        <v>0</v>
      </c>
      <c r="N2522" s="2" t="str">
        <f t="shared" si="223"/>
        <v/>
      </c>
      <c r="Q2522" t="str">
        <f t="shared" si="224"/>
        <v/>
      </c>
    </row>
    <row r="2523" spans="1:17" hidden="1">
      <c r="A2523" t="s">
        <v>2628</v>
      </c>
      <c r="B2523" s="1">
        <v>45261</v>
      </c>
      <c r="C2523">
        <v>2023</v>
      </c>
      <c r="D2523">
        <v>12</v>
      </c>
      <c r="E2523" t="s">
        <v>13</v>
      </c>
      <c r="F2523" t="s">
        <v>24</v>
      </c>
      <c r="G2523" t="s">
        <v>102</v>
      </c>
      <c r="H2523" t="s">
        <v>278</v>
      </c>
      <c r="I2523">
        <v>2539.35</v>
      </c>
      <c r="J2523">
        <v>2505.1999999999998</v>
      </c>
      <c r="K2523" t="s">
        <v>17</v>
      </c>
      <c r="L2523" t="b">
        <v>0</v>
      </c>
      <c r="N2523" s="2" t="str">
        <f t="shared" si="223"/>
        <v/>
      </c>
      <c r="Q2523" t="str">
        <f t="shared" si="224"/>
        <v/>
      </c>
    </row>
    <row r="2524" spans="1:17" hidden="1">
      <c r="A2524" t="s">
        <v>2629</v>
      </c>
      <c r="B2524" s="1">
        <v>45261</v>
      </c>
      <c r="C2524">
        <v>2023</v>
      </c>
      <c r="D2524">
        <v>12</v>
      </c>
      <c r="E2524" t="s">
        <v>47</v>
      </c>
      <c r="F2524" t="s">
        <v>28</v>
      </c>
      <c r="G2524" t="s">
        <v>91</v>
      </c>
      <c r="H2524" t="s">
        <v>128</v>
      </c>
      <c r="I2524">
        <v>8773.7199999999993</v>
      </c>
      <c r="J2524">
        <v>7250.24</v>
      </c>
      <c r="K2524" t="s">
        <v>17</v>
      </c>
      <c r="L2524" t="b">
        <v>0</v>
      </c>
      <c r="N2524" s="2" t="b">
        <f t="shared" si="223"/>
        <v>1</v>
      </c>
      <c r="O2524" t="str">
        <f t="shared" ref="O2524:O2525" si="226">IF(AND(E2513="HR",K2513="EXPENSE"),I2513&lt;J2513,"")</f>
        <v/>
      </c>
      <c r="Q2524" t="str">
        <f t="shared" si="224"/>
        <v/>
      </c>
    </row>
    <row r="2525" spans="1:17" hidden="1">
      <c r="A2525" t="s">
        <v>2630</v>
      </c>
      <c r="B2525" s="1">
        <v>45261</v>
      </c>
      <c r="C2525">
        <v>2023</v>
      </c>
      <c r="D2525">
        <v>12</v>
      </c>
      <c r="E2525" t="s">
        <v>47</v>
      </c>
      <c r="F2525" t="s">
        <v>28</v>
      </c>
      <c r="G2525" t="s">
        <v>48</v>
      </c>
      <c r="H2525" t="s">
        <v>191</v>
      </c>
      <c r="I2525">
        <v>15381.24</v>
      </c>
      <c r="J2525">
        <v>13269.73</v>
      </c>
      <c r="K2525" t="s">
        <v>17</v>
      </c>
      <c r="L2525" t="b">
        <v>0</v>
      </c>
      <c r="N2525" s="2" t="b">
        <f t="shared" si="223"/>
        <v>1</v>
      </c>
      <c r="O2525" t="str">
        <f t="shared" si="226"/>
        <v/>
      </c>
      <c r="Q2525" t="str">
        <f t="shared" si="224"/>
        <v/>
      </c>
    </row>
    <row r="2526" spans="1:17" hidden="1">
      <c r="A2526" t="s">
        <v>2631</v>
      </c>
      <c r="B2526" s="1">
        <v>45261</v>
      </c>
      <c r="C2526">
        <v>2023</v>
      </c>
      <c r="D2526">
        <v>12</v>
      </c>
      <c r="E2526" t="s">
        <v>19</v>
      </c>
      <c r="F2526" t="s">
        <v>14</v>
      </c>
      <c r="G2526" t="s">
        <v>80</v>
      </c>
      <c r="H2526" t="s">
        <v>81</v>
      </c>
      <c r="I2526">
        <v>7896.04</v>
      </c>
      <c r="J2526">
        <v>7112.48</v>
      </c>
      <c r="K2526" t="s">
        <v>17</v>
      </c>
      <c r="L2526" t="b">
        <v>0</v>
      </c>
      <c r="N2526" s="2" t="str">
        <f t="shared" si="223"/>
        <v/>
      </c>
      <c r="Q2526" t="str">
        <f t="shared" si="224"/>
        <v/>
      </c>
    </row>
    <row r="2527" spans="1:17" hidden="1">
      <c r="A2527" t="s">
        <v>2632</v>
      </c>
      <c r="B2527" s="1">
        <v>45261</v>
      </c>
      <c r="C2527">
        <v>2023</v>
      </c>
      <c r="D2527">
        <v>12</v>
      </c>
      <c r="E2527" t="s">
        <v>19</v>
      </c>
      <c r="F2527" t="s">
        <v>14</v>
      </c>
      <c r="G2527" t="s">
        <v>80</v>
      </c>
      <c r="H2527" t="s">
        <v>150</v>
      </c>
      <c r="I2527">
        <v>7523.79</v>
      </c>
      <c r="J2527">
        <v>7265.36</v>
      </c>
      <c r="K2527" t="s">
        <v>17</v>
      </c>
      <c r="L2527" t="b">
        <v>0</v>
      </c>
      <c r="N2527" s="2" t="str">
        <f t="shared" si="223"/>
        <v/>
      </c>
      <c r="Q2527" t="str">
        <f t="shared" si="224"/>
        <v/>
      </c>
    </row>
    <row r="2528" spans="1:17" hidden="1">
      <c r="A2528" t="s">
        <v>2633</v>
      </c>
      <c r="B2528" s="1">
        <v>45261</v>
      </c>
      <c r="C2528">
        <v>2023</v>
      </c>
      <c r="D2528">
        <v>12</v>
      </c>
      <c r="E2528" t="s">
        <v>19</v>
      </c>
      <c r="F2528" t="s">
        <v>24</v>
      </c>
      <c r="G2528" t="s">
        <v>132</v>
      </c>
      <c r="H2528" t="s">
        <v>138</v>
      </c>
      <c r="I2528">
        <v>6125.73</v>
      </c>
      <c r="J2528">
        <v>6035.46</v>
      </c>
      <c r="K2528" t="s">
        <v>17</v>
      </c>
      <c r="L2528" t="b">
        <v>0</v>
      </c>
      <c r="N2528" s="2" t="str">
        <f t="shared" si="223"/>
        <v/>
      </c>
      <c r="Q2528" t="str">
        <f t="shared" si="224"/>
        <v/>
      </c>
    </row>
    <row r="2529" spans="1:17" hidden="1">
      <c r="A2529" t="s">
        <v>2634</v>
      </c>
      <c r="B2529" s="1">
        <v>45261</v>
      </c>
      <c r="C2529">
        <v>2023</v>
      </c>
      <c r="D2529">
        <v>12</v>
      </c>
      <c r="E2529" t="s">
        <v>23</v>
      </c>
      <c r="F2529" t="s">
        <v>24</v>
      </c>
      <c r="G2529" t="s">
        <v>59</v>
      </c>
      <c r="H2529" t="s">
        <v>155</v>
      </c>
      <c r="I2529">
        <v>5753.06</v>
      </c>
      <c r="J2529">
        <v>5289.16</v>
      </c>
      <c r="K2529" t="s">
        <v>17</v>
      </c>
      <c r="L2529" t="b">
        <v>0</v>
      </c>
      <c r="N2529" s="2" t="str">
        <f t="shared" si="223"/>
        <v/>
      </c>
      <c r="Q2529" t="str">
        <f t="shared" si="224"/>
        <v/>
      </c>
    </row>
    <row r="2530" spans="1:17" hidden="1">
      <c r="A2530" t="s">
        <v>2635</v>
      </c>
      <c r="B2530" s="1">
        <v>45261</v>
      </c>
      <c r="C2530">
        <v>2023</v>
      </c>
      <c r="D2530">
        <v>12</v>
      </c>
      <c r="E2530" t="s">
        <v>37</v>
      </c>
      <c r="F2530" t="s">
        <v>14</v>
      </c>
      <c r="G2530" t="s">
        <v>62</v>
      </c>
      <c r="H2530" t="s">
        <v>66</v>
      </c>
      <c r="I2530">
        <v>2628.68</v>
      </c>
      <c r="J2530">
        <v>2844.02</v>
      </c>
      <c r="K2530" t="s">
        <v>17</v>
      </c>
      <c r="L2530" t="b">
        <v>0</v>
      </c>
      <c r="N2530" s="2" t="str">
        <f t="shared" si="223"/>
        <v/>
      </c>
      <c r="Q2530" t="str">
        <f t="shared" si="224"/>
        <v/>
      </c>
    </row>
    <row r="2531" spans="1:17" hidden="1">
      <c r="A2531" t="s">
        <v>2636</v>
      </c>
      <c r="B2531" s="1">
        <v>45261</v>
      </c>
      <c r="C2531">
        <v>2023</v>
      </c>
      <c r="D2531">
        <v>12</v>
      </c>
      <c r="E2531" t="s">
        <v>37</v>
      </c>
      <c r="F2531" t="s">
        <v>14</v>
      </c>
      <c r="G2531" t="s">
        <v>38</v>
      </c>
      <c r="H2531" t="s">
        <v>227</v>
      </c>
      <c r="I2531">
        <v>4484.96</v>
      </c>
      <c r="J2531">
        <v>4895.7700000000004</v>
      </c>
      <c r="K2531" t="s">
        <v>17</v>
      </c>
      <c r="L2531" t="b">
        <v>0</v>
      </c>
      <c r="N2531" s="2" t="str">
        <f t="shared" si="223"/>
        <v/>
      </c>
      <c r="Q2531" t="str">
        <f t="shared" si="224"/>
        <v/>
      </c>
    </row>
    <row r="2532" spans="1:17" hidden="1">
      <c r="A2532" t="s">
        <v>2637</v>
      </c>
      <c r="B2532" s="1">
        <v>45261</v>
      </c>
      <c r="C2532">
        <v>2023</v>
      </c>
      <c r="D2532">
        <v>12</v>
      </c>
      <c r="E2532" t="s">
        <v>37</v>
      </c>
      <c r="F2532" t="s">
        <v>24</v>
      </c>
      <c r="G2532" t="s">
        <v>38</v>
      </c>
      <c r="H2532" t="s">
        <v>39</v>
      </c>
      <c r="I2532">
        <v>5523.07</v>
      </c>
      <c r="J2532">
        <v>5324.86</v>
      </c>
      <c r="K2532" t="s">
        <v>17</v>
      </c>
      <c r="L2532" t="b">
        <v>0</v>
      </c>
      <c r="N2532" s="2" t="str">
        <f t="shared" si="223"/>
        <v/>
      </c>
      <c r="Q2532" t="str">
        <f t="shared" si="224"/>
        <v/>
      </c>
    </row>
    <row r="2533" spans="1:17" hidden="1">
      <c r="A2533" t="s">
        <v>2638</v>
      </c>
      <c r="B2533" s="1">
        <v>45261</v>
      </c>
      <c r="C2533">
        <v>2023</v>
      </c>
      <c r="D2533">
        <v>12</v>
      </c>
      <c r="E2533" t="s">
        <v>37</v>
      </c>
      <c r="F2533" t="s">
        <v>24</v>
      </c>
      <c r="G2533" t="s">
        <v>98</v>
      </c>
      <c r="H2533" t="s">
        <v>185</v>
      </c>
      <c r="I2533">
        <v>4457.09</v>
      </c>
      <c r="J2533">
        <v>4367.7</v>
      </c>
      <c r="K2533" t="s">
        <v>17</v>
      </c>
      <c r="L2533" t="b">
        <v>0</v>
      </c>
      <c r="N2533" s="2" t="str">
        <f t="shared" si="223"/>
        <v/>
      </c>
      <c r="Q2533" t="str">
        <f t="shared" si="224"/>
        <v/>
      </c>
    </row>
    <row r="2534" spans="1:17" hidden="1">
      <c r="A2534" t="s">
        <v>2639</v>
      </c>
      <c r="B2534" s="1">
        <v>45262</v>
      </c>
      <c r="C2534">
        <v>2023</v>
      </c>
      <c r="D2534">
        <v>12</v>
      </c>
      <c r="E2534" t="s">
        <v>13</v>
      </c>
      <c r="F2534" t="s">
        <v>14</v>
      </c>
      <c r="G2534" t="s">
        <v>102</v>
      </c>
      <c r="H2534" t="s">
        <v>103</v>
      </c>
      <c r="I2534">
        <v>5495.78</v>
      </c>
      <c r="J2534">
        <v>4988.8500000000004</v>
      </c>
      <c r="K2534" t="s">
        <v>17</v>
      </c>
      <c r="L2534" t="b">
        <v>0</v>
      </c>
      <c r="N2534" s="2" t="str">
        <f t="shared" si="223"/>
        <v/>
      </c>
      <c r="Q2534" t="str">
        <f t="shared" si="224"/>
        <v/>
      </c>
    </row>
    <row r="2535" spans="1:17" hidden="1">
      <c r="A2535" t="s">
        <v>2640</v>
      </c>
      <c r="B2535" s="1">
        <v>45262</v>
      </c>
      <c r="C2535">
        <v>2023</v>
      </c>
      <c r="D2535">
        <v>12</v>
      </c>
      <c r="E2535" t="s">
        <v>13</v>
      </c>
      <c r="F2535" t="s">
        <v>28</v>
      </c>
      <c r="G2535" t="s">
        <v>15</v>
      </c>
      <c r="H2535" t="s">
        <v>45</v>
      </c>
      <c r="I2535">
        <v>4631.6499999999996</v>
      </c>
      <c r="J2535">
        <v>4205.6000000000004</v>
      </c>
      <c r="K2535" t="s">
        <v>17</v>
      </c>
      <c r="L2535" t="b">
        <v>0</v>
      </c>
      <c r="N2535" s="2" t="str">
        <f t="shared" si="223"/>
        <v/>
      </c>
      <c r="Q2535" t="str">
        <f t="shared" si="224"/>
        <v/>
      </c>
    </row>
    <row r="2536" spans="1:17" hidden="1">
      <c r="A2536" t="s">
        <v>2641</v>
      </c>
      <c r="B2536" s="1">
        <v>45262</v>
      </c>
      <c r="C2536">
        <v>2023</v>
      </c>
      <c r="D2536">
        <v>12</v>
      </c>
      <c r="E2536" t="s">
        <v>47</v>
      </c>
      <c r="F2536" t="s">
        <v>28</v>
      </c>
      <c r="G2536" t="s">
        <v>48</v>
      </c>
      <c r="H2536" t="s">
        <v>191</v>
      </c>
      <c r="I2536">
        <v>9501.9500000000007</v>
      </c>
      <c r="J2536">
        <v>8005.48</v>
      </c>
      <c r="K2536" t="s">
        <v>17</v>
      </c>
      <c r="L2536" t="b">
        <v>0</v>
      </c>
      <c r="N2536" s="2" t="b">
        <f t="shared" si="223"/>
        <v>1</v>
      </c>
      <c r="O2536" t="str">
        <f>IF(AND(E2525="HR",K2525="EXPENSE"),I2525&lt;J2525,"")</f>
        <v/>
      </c>
      <c r="Q2536" t="str">
        <f t="shared" si="224"/>
        <v/>
      </c>
    </row>
    <row r="2537" spans="1:17" hidden="1">
      <c r="A2537" t="s">
        <v>2642</v>
      </c>
      <c r="B2537" s="1">
        <v>45262</v>
      </c>
      <c r="C2537">
        <v>2023</v>
      </c>
      <c r="D2537">
        <v>12</v>
      </c>
      <c r="E2537" t="s">
        <v>23</v>
      </c>
      <c r="F2537" t="s">
        <v>14</v>
      </c>
      <c r="G2537" t="s">
        <v>59</v>
      </c>
      <c r="H2537" t="s">
        <v>60</v>
      </c>
      <c r="I2537">
        <v>5577.67</v>
      </c>
      <c r="J2537">
        <v>5823.46</v>
      </c>
      <c r="K2537" t="s">
        <v>17</v>
      </c>
      <c r="L2537" t="b">
        <v>0</v>
      </c>
      <c r="N2537" s="2" t="str">
        <f t="shared" si="223"/>
        <v/>
      </c>
      <c r="Q2537" t="str">
        <f t="shared" si="224"/>
        <v/>
      </c>
    </row>
    <row r="2538" spans="1:17" hidden="1">
      <c r="A2538" t="s">
        <v>2643</v>
      </c>
      <c r="B2538" s="1">
        <v>45262</v>
      </c>
      <c r="C2538">
        <v>2023</v>
      </c>
      <c r="D2538">
        <v>12</v>
      </c>
      <c r="E2538" t="s">
        <v>37</v>
      </c>
      <c r="F2538" t="s">
        <v>14</v>
      </c>
      <c r="G2538" t="s">
        <v>41</v>
      </c>
      <c r="H2538" t="s">
        <v>42</v>
      </c>
      <c r="I2538">
        <v>3511.4</v>
      </c>
      <c r="J2538">
        <v>3798.64</v>
      </c>
      <c r="K2538" t="s">
        <v>17</v>
      </c>
      <c r="L2538" t="b">
        <v>0</v>
      </c>
      <c r="N2538" s="2" t="str">
        <f t="shared" si="223"/>
        <v/>
      </c>
      <c r="Q2538" t="str">
        <f t="shared" si="224"/>
        <v/>
      </c>
    </row>
    <row r="2539" spans="1:17" hidden="1">
      <c r="A2539" t="s">
        <v>2644</v>
      </c>
      <c r="B2539" s="1">
        <v>45262</v>
      </c>
      <c r="C2539">
        <v>2023</v>
      </c>
      <c r="D2539">
        <v>12</v>
      </c>
      <c r="E2539" t="s">
        <v>37</v>
      </c>
      <c r="F2539" t="s">
        <v>14</v>
      </c>
      <c r="G2539" t="s">
        <v>98</v>
      </c>
      <c r="H2539" t="s">
        <v>185</v>
      </c>
      <c r="I2539">
        <v>4371.6099999999997</v>
      </c>
      <c r="J2539">
        <v>4771.84</v>
      </c>
      <c r="K2539" t="s">
        <v>17</v>
      </c>
      <c r="L2539" t="b">
        <v>0</v>
      </c>
      <c r="N2539" s="2" t="str">
        <f t="shared" si="223"/>
        <v/>
      </c>
      <c r="Q2539" t="str">
        <f t="shared" si="224"/>
        <v/>
      </c>
    </row>
    <row r="2540" spans="1:17" hidden="1">
      <c r="A2540" t="s">
        <v>2645</v>
      </c>
      <c r="B2540" s="1">
        <v>45263</v>
      </c>
      <c r="C2540">
        <v>2023</v>
      </c>
      <c r="D2540">
        <v>12</v>
      </c>
      <c r="E2540" t="s">
        <v>13</v>
      </c>
      <c r="F2540" t="s">
        <v>24</v>
      </c>
      <c r="G2540" t="s">
        <v>68</v>
      </c>
      <c r="H2540" t="s">
        <v>87</v>
      </c>
      <c r="I2540">
        <v>4838.22</v>
      </c>
      <c r="J2540">
        <v>4481.17</v>
      </c>
      <c r="K2540" t="s">
        <v>17</v>
      </c>
      <c r="L2540" t="b">
        <v>0</v>
      </c>
      <c r="N2540" s="2" t="str">
        <f t="shared" si="223"/>
        <v/>
      </c>
      <c r="Q2540" t="str">
        <f t="shared" si="224"/>
        <v/>
      </c>
    </row>
    <row r="2541" spans="1:17" hidden="1">
      <c r="A2541" t="s">
        <v>2646</v>
      </c>
      <c r="B2541" s="1">
        <v>45263</v>
      </c>
      <c r="C2541">
        <v>2023</v>
      </c>
      <c r="D2541">
        <v>12</v>
      </c>
      <c r="E2541" t="s">
        <v>47</v>
      </c>
      <c r="F2541" t="s">
        <v>24</v>
      </c>
      <c r="G2541" t="s">
        <v>77</v>
      </c>
      <c r="H2541" t="s">
        <v>78</v>
      </c>
      <c r="I2541">
        <v>20346.990000000002</v>
      </c>
      <c r="J2541">
        <v>17256.990000000002</v>
      </c>
      <c r="K2541" t="s">
        <v>17</v>
      </c>
      <c r="L2541" t="b">
        <v>0</v>
      </c>
      <c r="N2541" s="2" t="b">
        <f t="shared" si="223"/>
        <v>1</v>
      </c>
      <c r="O2541" t="str">
        <f>IF(AND(E2530="HR",K2530="EXPENSE"),I2530&lt;J2530,"")</f>
        <v/>
      </c>
      <c r="Q2541" t="str">
        <f t="shared" si="224"/>
        <v/>
      </c>
    </row>
    <row r="2542" spans="1:17" hidden="1">
      <c r="A2542" t="s">
        <v>2647</v>
      </c>
      <c r="B2542" s="1">
        <v>45263</v>
      </c>
      <c r="C2542">
        <v>2023</v>
      </c>
      <c r="D2542">
        <v>12</v>
      </c>
      <c r="E2542" t="s">
        <v>19</v>
      </c>
      <c r="F2542" t="s">
        <v>14</v>
      </c>
      <c r="G2542" t="s">
        <v>80</v>
      </c>
      <c r="H2542" t="s">
        <v>217</v>
      </c>
      <c r="I2542">
        <v>6411.59</v>
      </c>
      <c r="J2542">
        <v>5976.86</v>
      </c>
      <c r="K2542" t="s">
        <v>17</v>
      </c>
      <c r="L2542" t="b">
        <v>0</v>
      </c>
      <c r="N2542" s="2" t="str">
        <f t="shared" si="223"/>
        <v/>
      </c>
      <c r="Q2542" t="str">
        <f t="shared" si="224"/>
        <v/>
      </c>
    </row>
    <row r="2543" spans="1:17" hidden="1">
      <c r="A2543" t="s">
        <v>2648</v>
      </c>
      <c r="B2543" s="1">
        <v>45263</v>
      </c>
      <c r="C2543">
        <v>2023</v>
      </c>
      <c r="D2543">
        <v>12</v>
      </c>
      <c r="E2543" t="s">
        <v>19</v>
      </c>
      <c r="F2543" t="s">
        <v>28</v>
      </c>
      <c r="G2543" t="s">
        <v>132</v>
      </c>
      <c r="H2543" t="s">
        <v>133</v>
      </c>
      <c r="I2543">
        <v>7312.09</v>
      </c>
      <c r="J2543">
        <v>6745.9</v>
      </c>
      <c r="K2543" t="s">
        <v>17</v>
      </c>
      <c r="L2543" t="b">
        <v>0</v>
      </c>
      <c r="N2543" s="2" t="str">
        <f t="shared" si="223"/>
        <v/>
      </c>
      <c r="Q2543" t="str">
        <f t="shared" si="224"/>
        <v/>
      </c>
    </row>
    <row r="2544" spans="1:17" hidden="1">
      <c r="A2544" t="s">
        <v>2649</v>
      </c>
      <c r="B2544" s="1">
        <v>45263</v>
      </c>
      <c r="C2544">
        <v>2023</v>
      </c>
      <c r="D2544">
        <v>12</v>
      </c>
      <c r="E2544" t="s">
        <v>37</v>
      </c>
      <c r="F2544" t="s">
        <v>14</v>
      </c>
      <c r="G2544" t="s">
        <v>38</v>
      </c>
      <c r="H2544" t="s">
        <v>39</v>
      </c>
      <c r="I2544">
        <v>3320.35</v>
      </c>
      <c r="J2544">
        <v>3249.19</v>
      </c>
      <c r="K2544" t="s">
        <v>17</v>
      </c>
      <c r="L2544" t="b">
        <v>0</v>
      </c>
      <c r="N2544" s="2" t="str">
        <f t="shared" si="223"/>
        <v/>
      </c>
      <c r="Q2544" t="str">
        <f t="shared" si="224"/>
        <v/>
      </c>
    </row>
    <row r="2545" spans="1:17" hidden="1">
      <c r="A2545" t="s">
        <v>2650</v>
      </c>
      <c r="B2545" s="1">
        <v>45263</v>
      </c>
      <c r="C2545">
        <v>2023</v>
      </c>
      <c r="D2545">
        <v>12</v>
      </c>
      <c r="E2545" t="s">
        <v>37</v>
      </c>
      <c r="F2545" t="s">
        <v>14</v>
      </c>
      <c r="G2545" t="s">
        <v>38</v>
      </c>
      <c r="H2545" t="s">
        <v>39</v>
      </c>
      <c r="I2545">
        <v>3413.4</v>
      </c>
      <c r="J2545">
        <v>3656.39</v>
      </c>
      <c r="K2545" t="s">
        <v>17</v>
      </c>
      <c r="L2545" t="b">
        <v>0</v>
      </c>
      <c r="N2545" s="2" t="str">
        <f t="shared" si="223"/>
        <v/>
      </c>
      <c r="Q2545" t="str">
        <f t="shared" si="224"/>
        <v/>
      </c>
    </row>
    <row r="2546" spans="1:17" hidden="1">
      <c r="A2546" t="s">
        <v>2651</v>
      </c>
      <c r="B2546" s="1">
        <v>45263</v>
      </c>
      <c r="C2546">
        <v>2023</v>
      </c>
      <c r="D2546">
        <v>12</v>
      </c>
      <c r="E2546" t="s">
        <v>37</v>
      </c>
      <c r="F2546" t="s">
        <v>24</v>
      </c>
      <c r="G2546" t="s">
        <v>62</v>
      </c>
      <c r="H2546" t="s">
        <v>63</v>
      </c>
      <c r="I2546">
        <v>4115.17</v>
      </c>
      <c r="J2546">
        <v>4113.4799999999996</v>
      </c>
      <c r="K2546" t="s">
        <v>17</v>
      </c>
      <c r="L2546" t="b">
        <v>0</v>
      </c>
      <c r="N2546" s="2" t="str">
        <f t="shared" si="223"/>
        <v/>
      </c>
      <c r="Q2546" t="str">
        <f t="shared" si="224"/>
        <v/>
      </c>
    </row>
    <row r="2547" spans="1:17" hidden="1">
      <c r="A2547" t="s">
        <v>2652</v>
      </c>
      <c r="B2547" s="1">
        <v>45263</v>
      </c>
      <c r="C2547">
        <v>2023</v>
      </c>
      <c r="D2547">
        <v>12</v>
      </c>
      <c r="E2547" t="s">
        <v>37</v>
      </c>
      <c r="F2547" t="s">
        <v>14</v>
      </c>
      <c r="G2547" t="s">
        <v>83</v>
      </c>
      <c r="H2547" t="s">
        <v>84</v>
      </c>
      <c r="I2547">
        <v>388915.5</v>
      </c>
      <c r="J2547">
        <v>369469.72</v>
      </c>
      <c r="K2547" t="s">
        <v>85</v>
      </c>
      <c r="L2547" t="b">
        <v>0</v>
      </c>
      <c r="N2547" s="2" t="str">
        <f t="shared" si="223"/>
        <v/>
      </c>
      <c r="Q2547" t="str">
        <f t="shared" si="224"/>
        <v/>
      </c>
    </row>
    <row r="2548" spans="1:17" hidden="1">
      <c r="A2548" t="s">
        <v>2653</v>
      </c>
      <c r="B2548" s="1">
        <v>45264</v>
      </c>
      <c r="C2548">
        <v>2023</v>
      </c>
      <c r="D2548">
        <v>12</v>
      </c>
      <c r="E2548" t="s">
        <v>13</v>
      </c>
      <c r="F2548" t="s">
        <v>24</v>
      </c>
      <c r="G2548" t="s">
        <v>108</v>
      </c>
      <c r="H2548" t="s">
        <v>123</v>
      </c>
      <c r="I2548">
        <v>3374.62</v>
      </c>
      <c r="J2548">
        <v>3060.31</v>
      </c>
      <c r="K2548" t="s">
        <v>17</v>
      </c>
      <c r="L2548" t="b">
        <v>0</v>
      </c>
      <c r="N2548" s="2" t="str">
        <f t="shared" si="223"/>
        <v/>
      </c>
      <c r="Q2548" t="str">
        <f t="shared" si="224"/>
        <v/>
      </c>
    </row>
    <row r="2549" spans="1:17" hidden="1">
      <c r="A2549" t="s">
        <v>2654</v>
      </c>
      <c r="B2549" s="1">
        <v>45264</v>
      </c>
      <c r="C2549">
        <v>2023</v>
      </c>
      <c r="D2549">
        <v>12</v>
      </c>
      <c r="E2549" t="s">
        <v>13</v>
      </c>
      <c r="F2549" t="s">
        <v>24</v>
      </c>
      <c r="G2549" t="s">
        <v>108</v>
      </c>
      <c r="H2549" t="s">
        <v>123</v>
      </c>
      <c r="I2549">
        <v>4003.27</v>
      </c>
      <c r="J2549">
        <v>4154.82</v>
      </c>
      <c r="K2549" t="s">
        <v>17</v>
      </c>
      <c r="L2549" t="b">
        <v>0</v>
      </c>
      <c r="N2549" s="2" t="str">
        <f t="shared" si="223"/>
        <v/>
      </c>
      <c r="Q2549" t="str">
        <f t="shared" si="224"/>
        <v/>
      </c>
    </row>
    <row r="2550" spans="1:17" hidden="1">
      <c r="A2550" t="s">
        <v>2655</v>
      </c>
      <c r="B2550" s="1">
        <v>45264</v>
      </c>
      <c r="C2550">
        <v>2023</v>
      </c>
      <c r="D2550">
        <v>12</v>
      </c>
      <c r="E2550" t="s">
        <v>19</v>
      </c>
      <c r="F2550" t="s">
        <v>24</v>
      </c>
      <c r="G2550" t="s">
        <v>132</v>
      </c>
      <c r="H2550" t="s">
        <v>138</v>
      </c>
      <c r="I2550">
        <v>4330.37</v>
      </c>
      <c r="J2550">
        <v>3908.43</v>
      </c>
      <c r="K2550" t="s">
        <v>17</v>
      </c>
      <c r="L2550" t="b">
        <v>0</v>
      </c>
      <c r="N2550" s="2" t="str">
        <f t="shared" si="223"/>
        <v/>
      </c>
      <c r="Q2550" t="str">
        <f t="shared" si="224"/>
        <v/>
      </c>
    </row>
    <row r="2551" spans="1:17" hidden="1">
      <c r="A2551" t="s">
        <v>2656</v>
      </c>
      <c r="B2551" s="1">
        <v>45264</v>
      </c>
      <c r="C2551">
        <v>2023</v>
      </c>
      <c r="D2551">
        <v>12</v>
      </c>
      <c r="E2551" t="s">
        <v>23</v>
      </c>
      <c r="F2551" t="s">
        <v>24</v>
      </c>
      <c r="G2551" t="s">
        <v>141</v>
      </c>
      <c r="H2551" t="s">
        <v>209</v>
      </c>
      <c r="I2551">
        <v>6238.1</v>
      </c>
      <c r="J2551">
        <v>5834.39</v>
      </c>
      <c r="K2551" t="s">
        <v>17</v>
      </c>
      <c r="L2551" t="b">
        <v>0</v>
      </c>
      <c r="N2551" s="2" t="str">
        <f t="shared" si="223"/>
        <v/>
      </c>
      <c r="Q2551" t="str">
        <f t="shared" si="224"/>
        <v/>
      </c>
    </row>
    <row r="2552" spans="1:17" hidden="1">
      <c r="A2552" t="s">
        <v>2657</v>
      </c>
      <c r="B2552" s="1">
        <v>45264</v>
      </c>
      <c r="C2552">
        <v>2023</v>
      </c>
      <c r="D2552">
        <v>12</v>
      </c>
      <c r="E2552" t="s">
        <v>37</v>
      </c>
      <c r="F2552" t="s">
        <v>14</v>
      </c>
      <c r="G2552" t="s">
        <v>62</v>
      </c>
      <c r="H2552" t="s">
        <v>360</v>
      </c>
      <c r="I2552">
        <v>4231.5200000000004</v>
      </c>
      <c r="J2552">
        <v>4065.11</v>
      </c>
      <c r="K2552" t="s">
        <v>17</v>
      </c>
      <c r="L2552" t="b">
        <v>0</v>
      </c>
      <c r="N2552" s="2" t="str">
        <f t="shared" si="223"/>
        <v/>
      </c>
      <c r="Q2552" t="str">
        <f t="shared" si="224"/>
        <v/>
      </c>
    </row>
    <row r="2553" spans="1:17" hidden="1">
      <c r="A2553" t="s">
        <v>2658</v>
      </c>
      <c r="B2553" s="1">
        <v>45264</v>
      </c>
      <c r="C2553">
        <v>2023</v>
      </c>
      <c r="D2553">
        <v>12</v>
      </c>
      <c r="E2553" t="s">
        <v>37</v>
      </c>
      <c r="F2553" t="s">
        <v>14</v>
      </c>
      <c r="G2553" t="s">
        <v>98</v>
      </c>
      <c r="H2553" t="s">
        <v>185</v>
      </c>
      <c r="I2553">
        <v>5081.4399999999996</v>
      </c>
      <c r="J2553">
        <v>4782.54</v>
      </c>
      <c r="K2553" t="s">
        <v>17</v>
      </c>
      <c r="L2553" t="b">
        <v>0</v>
      </c>
      <c r="N2553" s="2" t="str">
        <f t="shared" si="223"/>
        <v/>
      </c>
      <c r="Q2553" t="str">
        <f t="shared" si="224"/>
        <v/>
      </c>
    </row>
    <row r="2554" spans="1:17" hidden="1">
      <c r="A2554" t="s">
        <v>2659</v>
      </c>
      <c r="B2554" s="1">
        <v>45264</v>
      </c>
      <c r="C2554">
        <v>2023</v>
      </c>
      <c r="D2554">
        <v>12</v>
      </c>
      <c r="E2554" t="s">
        <v>37</v>
      </c>
      <c r="F2554" t="s">
        <v>28</v>
      </c>
      <c r="G2554" t="s">
        <v>62</v>
      </c>
      <c r="H2554" t="s">
        <v>121</v>
      </c>
      <c r="I2554">
        <v>3727.51</v>
      </c>
      <c r="J2554">
        <v>3382.92</v>
      </c>
      <c r="K2554" t="s">
        <v>17</v>
      </c>
      <c r="L2554" t="b">
        <v>0</v>
      </c>
      <c r="N2554" s="2" t="str">
        <f t="shared" si="223"/>
        <v/>
      </c>
      <c r="Q2554" t="str">
        <f t="shared" si="224"/>
        <v/>
      </c>
    </row>
    <row r="2555" spans="1:17" hidden="1">
      <c r="A2555" t="s">
        <v>2660</v>
      </c>
      <c r="B2555" s="1">
        <v>45264</v>
      </c>
      <c r="C2555">
        <v>2023</v>
      </c>
      <c r="D2555">
        <v>12</v>
      </c>
      <c r="E2555" t="s">
        <v>37</v>
      </c>
      <c r="F2555" t="s">
        <v>24</v>
      </c>
      <c r="G2555" t="s">
        <v>41</v>
      </c>
      <c r="H2555" t="s">
        <v>42</v>
      </c>
      <c r="I2555">
        <v>3462.23</v>
      </c>
      <c r="J2555">
        <v>3772.19</v>
      </c>
      <c r="K2555" t="s">
        <v>17</v>
      </c>
      <c r="L2555" t="b">
        <v>0</v>
      </c>
      <c r="N2555" s="2" t="str">
        <f t="shared" si="223"/>
        <v/>
      </c>
      <c r="Q2555" t="str">
        <f t="shared" si="224"/>
        <v/>
      </c>
    </row>
    <row r="2556" spans="1:17" hidden="1">
      <c r="A2556" t="s">
        <v>2661</v>
      </c>
      <c r="B2556" s="1">
        <v>45264</v>
      </c>
      <c r="C2556">
        <v>2023</v>
      </c>
      <c r="D2556">
        <v>12</v>
      </c>
      <c r="E2556" t="s">
        <v>37</v>
      </c>
      <c r="F2556" t="s">
        <v>24</v>
      </c>
      <c r="G2556" t="s">
        <v>98</v>
      </c>
      <c r="H2556" t="s">
        <v>99</v>
      </c>
      <c r="I2556">
        <v>3768.87</v>
      </c>
      <c r="J2556">
        <v>3899.28</v>
      </c>
      <c r="K2556" t="s">
        <v>17</v>
      </c>
      <c r="L2556" t="b">
        <v>0</v>
      </c>
      <c r="N2556" s="2" t="str">
        <f t="shared" si="223"/>
        <v/>
      </c>
      <c r="Q2556" t="str">
        <f t="shared" si="224"/>
        <v/>
      </c>
    </row>
    <row r="2557" spans="1:17" hidden="1">
      <c r="A2557" t="s">
        <v>2662</v>
      </c>
      <c r="B2557" s="1">
        <v>45264</v>
      </c>
      <c r="C2557">
        <v>2023</v>
      </c>
      <c r="D2557">
        <v>12</v>
      </c>
      <c r="E2557" t="s">
        <v>37</v>
      </c>
      <c r="F2557" t="s">
        <v>24</v>
      </c>
      <c r="G2557" t="s">
        <v>41</v>
      </c>
      <c r="H2557" t="s">
        <v>42</v>
      </c>
      <c r="I2557">
        <v>5095.25</v>
      </c>
      <c r="J2557">
        <v>5275.92</v>
      </c>
      <c r="K2557" t="s">
        <v>17</v>
      </c>
      <c r="L2557" t="b">
        <v>0</v>
      </c>
      <c r="N2557" s="2" t="str">
        <f t="shared" si="223"/>
        <v/>
      </c>
      <c r="Q2557" t="str">
        <f t="shared" si="224"/>
        <v/>
      </c>
    </row>
    <row r="2558" spans="1:17" hidden="1">
      <c r="A2558" t="s">
        <v>2663</v>
      </c>
      <c r="B2558" s="1">
        <v>45265</v>
      </c>
      <c r="C2558">
        <v>2023</v>
      </c>
      <c r="D2558">
        <v>12</v>
      </c>
      <c r="E2558" t="s">
        <v>13</v>
      </c>
      <c r="F2558" t="s">
        <v>28</v>
      </c>
      <c r="G2558" t="s">
        <v>102</v>
      </c>
      <c r="H2558" t="s">
        <v>145</v>
      </c>
      <c r="I2558">
        <v>3699.81</v>
      </c>
      <c r="J2558">
        <v>3724.64</v>
      </c>
      <c r="K2558" t="s">
        <v>17</v>
      </c>
      <c r="L2558" t="b">
        <v>0</v>
      </c>
      <c r="N2558" s="2" t="str">
        <f t="shared" si="223"/>
        <v/>
      </c>
      <c r="Q2558" t="str">
        <f t="shared" si="224"/>
        <v/>
      </c>
    </row>
    <row r="2559" spans="1:17" hidden="1">
      <c r="A2559" t="s">
        <v>2664</v>
      </c>
      <c r="B2559" s="1">
        <v>45265</v>
      </c>
      <c r="C2559">
        <v>2023</v>
      </c>
      <c r="D2559">
        <v>12</v>
      </c>
      <c r="E2559" t="s">
        <v>47</v>
      </c>
      <c r="F2559" t="s">
        <v>14</v>
      </c>
      <c r="G2559" t="s">
        <v>91</v>
      </c>
      <c r="H2559" t="s">
        <v>249</v>
      </c>
      <c r="I2559">
        <v>19947.16</v>
      </c>
      <c r="J2559">
        <v>17222.97</v>
      </c>
      <c r="K2559" t="s">
        <v>17</v>
      </c>
      <c r="L2559" t="b">
        <v>0</v>
      </c>
      <c r="N2559" s="2" t="b">
        <f t="shared" si="223"/>
        <v>1</v>
      </c>
      <c r="O2559" t="b">
        <f>IF(AND(E2548="HR",K2548="EXPENSE"),I2548&lt;J2548,"")</f>
        <v>0</v>
      </c>
      <c r="Q2559" t="str">
        <f t="shared" si="224"/>
        <v/>
      </c>
    </row>
    <row r="2560" spans="1:17" hidden="1">
      <c r="A2560" t="s">
        <v>2665</v>
      </c>
      <c r="B2560" s="1">
        <v>45265</v>
      </c>
      <c r="C2560">
        <v>2023</v>
      </c>
      <c r="D2560">
        <v>12</v>
      </c>
      <c r="E2560" t="s">
        <v>19</v>
      </c>
      <c r="F2560" t="s">
        <v>14</v>
      </c>
      <c r="G2560" t="s">
        <v>54</v>
      </c>
      <c r="H2560" t="s">
        <v>55</v>
      </c>
      <c r="I2560">
        <v>5079.92</v>
      </c>
      <c r="J2560">
        <v>4734.2299999999996</v>
      </c>
      <c r="K2560" t="s">
        <v>17</v>
      </c>
      <c r="L2560" t="b">
        <v>0</v>
      </c>
      <c r="N2560" s="2" t="str">
        <f t="shared" si="223"/>
        <v/>
      </c>
      <c r="Q2560" t="str">
        <f t="shared" si="224"/>
        <v/>
      </c>
    </row>
    <row r="2561" spans="1:17" hidden="1">
      <c r="A2561" t="s">
        <v>2666</v>
      </c>
      <c r="B2561" s="1">
        <v>45265</v>
      </c>
      <c r="C2561">
        <v>2023</v>
      </c>
      <c r="D2561">
        <v>12</v>
      </c>
      <c r="E2561" t="s">
        <v>23</v>
      </c>
      <c r="F2561" t="s">
        <v>28</v>
      </c>
      <c r="G2561" t="s">
        <v>59</v>
      </c>
      <c r="H2561" t="s">
        <v>60</v>
      </c>
      <c r="I2561">
        <v>6409.84</v>
      </c>
      <c r="J2561">
        <v>6336.82</v>
      </c>
      <c r="K2561" t="s">
        <v>17</v>
      </c>
      <c r="L2561" t="b">
        <v>0</v>
      </c>
      <c r="N2561" s="2" t="str">
        <f t="shared" si="223"/>
        <v/>
      </c>
      <c r="Q2561" t="str">
        <f t="shared" si="224"/>
        <v/>
      </c>
    </row>
    <row r="2562" spans="1:17" hidden="1">
      <c r="A2562" t="s">
        <v>2667</v>
      </c>
      <c r="B2562" s="1">
        <v>45265</v>
      </c>
      <c r="C2562">
        <v>2023</v>
      </c>
      <c r="D2562">
        <v>12</v>
      </c>
      <c r="E2562" t="s">
        <v>37</v>
      </c>
      <c r="F2562" t="s">
        <v>14</v>
      </c>
      <c r="G2562" t="s">
        <v>62</v>
      </c>
      <c r="H2562" t="s">
        <v>63</v>
      </c>
      <c r="I2562">
        <v>3093.6</v>
      </c>
      <c r="J2562">
        <v>2882.86</v>
      </c>
      <c r="K2562" t="s">
        <v>17</v>
      </c>
      <c r="L2562" t="b">
        <v>0</v>
      </c>
      <c r="N2562" s="2" t="str">
        <f t="shared" si="223"/>
        <v/>
      </c>
      <c r="Q2562" t="str">
        <f t="shared" si="224"/>
        <v/>
      </c>
    </row>
    <row r="2563" spans="1:17" hidden="1">
      <c r="A2563" t="s">
        <v>2668</v>
      </c>
      <c r="B2563" s="1">
        <v>45265</v>
      </c>
      <c r="C2563">
        <v>2023</v>
      </c>
      <c r="D2563">
        <v>12</v>
      </c>
      <c r="E2563" t="s">
        <v>37</v>
      </c>
      <c r="F2563" t="s">
        <v>14</v>
      </c>
      <c r="G2563" t="s">
        <v>98</v>
      </c>
      <c r="H2563" t="s">
        <v>185</v>
      </c>
      <c r="I2563">
        <v>2812.88</v>
      </c>
      <c r="J2563">
        <v>2868.58</v>
      </c>
      <c r="K2563" t="s">
        <v>17</v>
      </c>
      <c r="L2563" t="b">
        <v>0</v>
      </c>
      <c r="N2563" s="2" t="str">
        <f t="shared" ref="N2563:N2626" si="227">IF(AND(E2563="IT",K2563="EXPENSE"),I2563&gt;J2563,"")</f>
        <v/>
      </c>
      <c r="Q2563" t="str">
        <f t="shared" ref="Q2563:Q2626" si="228">IF(L2563=TRUE,OR(H2563="Apex Solutions Inc",H2563="Global Trade Partners",H2563="NovaTech Services"),"")</f>
        <v/>
      </c>
    </row>
    <row r="2564" spans="1:17" hidden="1">
      <c r="A2564" t="s">
        <v>2669</v>
      </c>
      <c r="B2564" s="1">
        <v>45266</v>
      </c>
      <c r="C2564">
        <v>2023</v>
      </c>
      <c r="D2564">
        <v>12</v>
      </c>
      <c r="E2564" t="s">
        <v>13</v>
      </c>
      <c r="F2564" t="s">
        <v>28</v>
      </c>
      <c r="G2564" t="s">
        <v>68</v>
      </c>
      <c r="H2564" t="s">
        <v>87</v>
      </c>
      <c r="I2564">
        <v>4667.1499999999996</v>
      </c>
      <c r="J2564">
        <v>4527.7299999999996</v>
      </c>
      <c r="K2564" t="s">
        <v>17</v>
      </c>
      <c r="L2564" t="b">
        <v>0</v>
      </c>
      <c r="N2564" s="2" t="str">
        <f t="shared" si="227"/>
        <v/>
      </c>
      <c r="Q2564" t="str">
        <f t="shared" si="228"/>
        <v/>
      </c>
    </row>
    <row r="2565" spans="1:17" hidden="1">
      <c r="A2565" t="s">
        <v>2670</v>
      </c>
      <c r="B2565" s="1">
        <v>45266</v>
      </c>
      <c r="C2565">
        <v>2023</v>
      </c>
      <c r="D2565">
        <v>12</v>
      </c>
      <c r="E2565" t="s">
        <v>47</v>
      </c>
      <c r="F2565" t="s">
        <v>14</v>
      </c>
      <c r="G2565" t="s">
        <v>91</v>
      </c>
      <c r="H2565" t="s">
        <v>128</v>
      </c>
      <c r="I2565">
        <v>13305.89</v>
      </c>
      <c r="J2565">
        <v>11081.01</v>
      </c>
      <c r="K2565" t="s">
        <v>17</v>
      </c>
      <c r="L2565" t="b">
        <v>0</v>
      </c>
      <c r="N2565" s="2" t="b">
        <f t="shared" si="227"/>
        <v>1</v>
      </c>
      <c r="O2565" t="str">
        <f t="shared" ref="O2565:O2566" si="229">IF(AND(E2554="HR",K2554="EXPENSE"),I2554&lt;J2554,"")</f>
        <v/>
      </c>
      <c r="Q2565" t="str">
        <f t="shared" si="228"/>
        <v/>
      </c>
    </row>
    <row r="2566" spans="1:17" hidden="1">
      <c r="A2566" t="s">
        <v>2671</v>
      </c>
      <c r="B2566" s="1">
        <v>45266</v>
      </c>
      <c r="C2566">
        <v>2023</v>
      </c>
      <c r="D2566">
        <v>12</v>
      </c>
      <c r="E2566" t="s">
        <v>47</v>
      </c>
      <c r="F2566" t="s">
        <v>24</v>
      </c>
      <c r="G2566" t="s">
        <v>77</v>
      </c>
      <c r="H2566" t="s">
        <v>130</v>
      </c>
      <c r="I2566">
        <v>12632.79</v>
      </c>
      <c r="J2566">
        <v>10706.32</v>
      </c>
      <c r="K2566" t="s">
        <v>17</v>
      </c>
      <c r="L2566" t="b">
        <v>0</v>
      </c>
      <c r="N2566" s="2" t="b">
        <f t="shared" si="227"/>
        <v>1</v>
      </c>
      <c r="O2566" t="str">
        <f t="shared" si="229"/>
        <v/>
      </c>
      <c r="Q2566" t="str">
        <f t="shared" si="228"/>
        <v/>
      </c>
    </row>
    <row r="2567" spans="1:17" hidden="1">
      <c r="A2567" t="s">
        <v>2672</v>
      </c>
      <c r="B2567" s="1">
        <v>45266</v>
      </c>
      <c r="C2567">
        <v>2023</v>
      </c>
      <c r="D2567">
        <v>12</v>
      </c>
      <c r="E2567" t="s">
        <v>19</v>
      </c>
      <c r="F2567" t="s">
        <v>14</v>
      </c>
      <c r="G2567" t="s">
        <v>20</v>
      </c>
      <c r="H2567" t="s">
        <v>174</v>
      </c>
      <c r="I2567">
        <v>5148.1899999999996</v>
      </c>
      <c r="J2567">
        <v>5124.62</v>
      </c>
      <c r="K2567" t="s">
        <v>17</v>
      </c>
      <c r="L2567" t="b">
        <v>0</v>
      </c>
      <c r="N2567" s="2" t="str">
        <f t="shared" si="227"/>
        <v/>
      </c>
      <c r="Q2567" t="str">
        <f t="shared" si="228"/>
        <v/>
      </c>
    </row>
    <row r="2568" spans="1:17" hidden="1">
      <c r="A2568" t="s">
        <v>2673</v>
      </c>
      <c r="B2568" s="1">
        <v>45266</v>
      </c>
      <c r="C2568">
        <v>2023</v>
      </c>
      <c r="D2568">
        <v>12</v>
      </c>
      <c r="E2568" t="s">
        <v>19</v>
      </c>
      <c r="F2568" t="s">
        <v>14</v>
      </c>
      <c r="G2568" t="s">
        <v>132</v>
      </c>
      <c r="H2568" t="s">
        <v>133</v>
      </c>
      <c r="I2568">
        <v>5651.01</v>
      </c>
      <c r="J2568">
        <v>6187.96</v>
      </c>
      <c r="K2568" t="s">
        <v>17</v>
      </c>
      <c r="L2568" t="b">
        <v>0</v>
      </c>
      <c r="N2568" s="2" t="str">
        <f t="shared" si="227"/>
        <v/>
      </c>
      <c r="Q2568" t="str">
        <f t="shared" si="228"/>
        <v/>
      </c>
    </row>
    <row r="2569" spans="1:17" hidden="1">
      <c r="A2569" t="s">
        <v>2674</v>
      </c>
      <c r="B2569" s="1">
        <v>45266</v>
      </c>
      <c r="C2569">
        <v>2023</v>
      </c>
      <c r="D2569">
        <v>12</v>
      </c>
      <c r="E2569" t="s">
        <v>19</v>
      </c>
      <c r="F2569" t="s">
        <v>28</v>
      </c>
      <c r="G2569" t="s">
        <v>54</v>
      </c>
      <c r="H2569" t="s">
        <v>57</v>
      </c>
      <c r="I2569">
        <v>6139.04</v>
      </c>
      <c r="J2569">
        <v>6739.78</v>
      </c>
      <c r="K2569" t="s">
        <v>17</v>
      </c>
      <c r="L2569" t="b">
        <v>0</v>
      </c>
      <c r="N2569" s="2" t="str">
        <f t="shared" si="227"/>
        <v/>
      </c>
      <c r="Q2569" t="str">
        <f t="shared" si="228"/>
        <v/>
      </c>
    </row>
    <row r="2570" spans="1:17" hidden="1">
      <c r="A2570" t="s">
        <v>2675</v>
      </c>
      <c r="B2570" s="1">
        <v>45266</v>
      </c>
      <c r="C2570">
        <v>2023</v>
      </c>
      <c r="D2570">
        <v>12</v>
      </c>
      <c r="E2570" t="s">
        <v>19</v>
      </c>
      <c r="F2570" t="s">
        <v>24</v>
      </c>
      <c r="G2570" t="s">
        <v>80</v>
      </c>
      <c r="H2570" t="s">
        <v>217</v>
      </c>
      <c r="I2570">
        <v>5078.34</v>
      </c>
      <c r="J2570">
        <v>5090.05</v>
      </c>
      <c r="K2570" t="s">
        <v>17</v>
      </c>
      <c r="L2570" t="b">
        <v>0</v>
      </c>
      <c r="N2570" s="2" t="str">
        <f t="shared" si="227"/>
        <v/>
      </c>
      <c r="Q2570" t="str">
        <f t="shared" si="228"/>
        <v/>
      </c>
    </row>
    <row r="2571" spans="1:17" hidden="1">
      <c r="A2571" t="s">
        <v>2676</v>
      </c>
      <c r="B2571" s="1">
        <v>45266</v>
      </c>
      <c r="C2571">
        <v>2023</v>
      </c>
      <c r="D2571">
        <v>12</v>
      </c>
      <c r="E2571" t="s">
        <v>23</v>
      </c>
      <c r="F2571" t="s">
        <v>24</v>
      </c>
      <c r="G2571" t="s">
        <v>25</v>
      </c>
      <c r="H2571" t="s">
        <v>95</v>
      </c>
      <c r="I2571">
        <v>4398.04</v>
      </c>
      <c r="J2571">
        <v>4617.7</v>
      </c>
      <c r="K2571" t="s">
        <v>17</v>
      </c>
      <c r="L2571" t="b">
        <v>0</v>
      </c>
      <c r="N2571" s="2" t="str">
        <f t="shared" si="227"/>
        <v/>
      </c>
      <c r="Q2571" t="str">
        <f t="shared" si="228"/>
        <v/>
      </c>
    </row>
    <row r="2572" spans="1:17" hidden="1">
      <c r="A2572" t="s">
        <v>2677</v>
      </c>
      <c r="B2572" s="1">
        <v>45266</v>
      </c>
      <c r="C2572">
        <v>2023</v>
      </c>
      <c r="D2572">
        <v>12</v>
      </c>
      <c r="E2572" t="s">
        <v>37</v>
      </c>
      <c r="F2572" t="s">
        <v>14</v>
      </c>
      <c r="G2572" t="s">
        <v>98</v>
      </c>
      <c r="H2572" t="s">
        <v>185</v>
      </c>
      <c r="I2572">
        <v>4383.3900000000003</v>
      </c>
      <c r="J2572">
        <v>4243.32</v>
      </c>
      <c r="K2572" t="s">
        <v>17</v>
      </c>
      <c r="L2572" t="b">
        <v>0</v>
      </c>
      <c r="N2572" s="2" t="str">
        <f t="shared" si="227"/>
        <v/>
      </c>
      <c r="Q2572" t="str">
        <f t="shared" si="228"/>
        <v/>
      </c>
    </row>
    <row r="2573" spans="1:17" hidden="1">
      <c r="A2573" t="s">
        <v>2678</v>
      </c>
      <c r="B2573" s="1">
        <v>45266</v>
      </c>
      <c r="C2573">
        <v>2023</v>
      </c>
      <c r="D2573">
        <v>12</v>
      </c>
      <c r="E2573" t="s">
        <v>37</v>
      </c>
      <c r="F2573" t="s">
        <v>14</v>
      </c>
      <c r="G2573" t="s">
        <v>38</v>
      </c>
      <c r="H2573" t="s">
        <v>118</v>
      </c>
      <c r="I2573">
        <v>3871.12</v>
      </c>
      <c r="J2573">
        <v>4079.2</v>
      </c>
      <c r="K2573" t="s">
        <v>17</v>
      </c>
      <c r="L2573" t="b">
        <v>0</v>
      </c>
      <c r="N2573" s="2" t="str">
        <f t="shared" si="227"/>
        <v/>
      </c>
      <c r="Q2573" t="str">
        <f t="shared" si="228"/>
        <v/>
      </c>
    </row>
    <row r="2574" spans="1:17" hidden="1">
      <c r="A2574" t="s">
        <v>2679</v>
      </c>
      <c r="B2574" s="1">
        <v>45266</v>
      </c>
      <c r="C2574">
        <v>2023</v>
      </c>
      <c r="D2574">
        <v>12</v>
      </c>
      <c r="E2574" t="s">
        <v>37</v>
      </c>
      <c r="F2574" t="s">
        <v>14</v>
      </c>
      <c r="G2574" t="s">
        <v>98</v>
      </c>
      <c r="H2574" t="s">
        <v>99</v>
      </c>
      <c r="I2574">
        <v>4878.8599999999997</v>
      </c>
      <c r="J2574">
        <v>5300.14</v>
      </c>
      <c r="K2574" t="s">
        <v>17</v>
      </c>
      <c r="L2574" t="b">
        <v>0</v>
      </c>
      <c r="N2574" s="2" t="str">
        <f t="shared" si="227"/>
        <v/>
      </c>
      <c r="Q2574" t="str">
        <f t="shared" si="228"/>
        <v/>
      </c>
    </row>
    <row r="2575" spans="1:17" hidden="1">
      <c r="A2575" t="s">
        <v>2680</v>
      </c>
      <c r="B2575" s="1">
        <v>45267</v>
      </c>
      <c r="C2575">
        <v>2023</v>
      </c>
      <c r="D2575">
        <v>12</v>
      </c>
      <c r="E2575" t="s">
        <v>13</v>
      </c>
      <c r="F2575" t="s">
        <v>14</v>
      </c>
      <c r="G2575" t="s">
        <v>102</v>
      </c>
      <c r="H2575" t="s">
        <v>145</v>
      </c>
      <c r="I2575">
        <v>6370.44</v>
      </c>
      <c r="J2575">
        <v>6716.03</v>
      </c>
      <c r="K2575" t="s">
        <v>17</v>
      </c>
      <c r="L2575" t="b">
        <v>0</v>
      </c>
      <c r="N2575" s="2" t="str">
        <f t="shared" si="227"/>
        <v/>
      </c>
      <c r="Q2575" t="str">
        <f t="shared" si="228"/>
        <v/>
      </c>
    </row>
    <row r="2576" spans="1:17" hidden="1">
      <c r="A2576" t="s">
        <v>2681</v>
      </c>
      <c r="B2576" s="1">
        <v>45267</v>
      </c>
      <c r="C2576">
        <v>2023</v>
      </c>
      <c r="D2576">
        <v>12</v>
      </c>
      <c r="E2576" t="s">
        <v>47</v>
      </c>
      <c r="F2576" t="s">
        <v>14</v>
      </c>
      <c r="G2576" t="s">
        <v>91</v>
      </c>
      <c r="H2576" t="s">
        <v>128</v>
      </c>
      <c r="I2576">
        <v>18786.259999999998</v>
      </c>
      <c r="J2576">
        <v>16199.41</v>
      </c>
      <c r="K2576" t="s">
        <v>17</v>
      </c>
      <c r="L2576" t="b">
        <v>0</v>
      </c>
      <c r="N2576" s="2" t="b">
        <f t="shared" si="227"/>
        <v>1</v>
      </c>
      <c r="O2576" t="str">
        <f t="shared" ref="O2576:O2578" si="230">IF(AND(E2565="HR",K2565="EXPENSE"),I2565&lt;J2565,"")</f>
        <v/>
      </c>
      <c r="Q2576" t="str">
        <f t="shared" si="228"/>
        <v/>
      </c>
    </row>
    <row r="2577" spans="1:17" hidden="1">
      <c r="A2577" t="s">
        <v>2682</v>
      </c>
      <c r="B2577" s="1">
        <v>45267</v>
      </c>
      <c r="C2577">
        <v>2023</v>
      </c>
      <c r="D2577">
        <v>12</v>
      </c>
      <c r="E2577" t="s">
        <v>47</v>
      </c>
      <c r="F2577" t="s">
        <v>28</v>
      </c>
      <c r="G2577" t="s">
        <v>51</v>
      </c>
      <c r="H2577" t="s">
        <v>52</v>
      </c>
      <c r="I2577">
        <v>12909.52</v>
      </c>
      <c r="J2577">
        <v>11214.66</v>
      </c>
      <c r="K2577" t="s">
        <v>17</v>
      </c>
      <c r="L2577" t="b">
        <v>0</v>
      </c>
      <c r="N2577" s="2" t="b">
        <f t="shared" si="227"/>
        <v>1</v>
      </c>
      <c r="O2577" t="str">
        <f t="shared" si="230"/>
        <v/>
      </c>
      <c r="Q2577" t="str">
        <f t="shared" si="228"/>
        <v/>
      </c>
    </row>
    <row r="2578" spans="1:17" hidden="1">
      <c r="A2578" t="s">
        <v>2683</v>
      </c>
      <c r="B2578" s="1">
        <v>45267</v>
      </c>
      <c r="C2578">
        <v>2023</v>
      </c>
      <c r="D2578">
        <v>12</v>
      </c>
      <c r="E2578" t="s">
        <v>47</v>
      </c>
      <c r="F2578" t="s">
        <v>24</v>
      </c>
      <c r="G2578" t="s">
        <v>48</v>
      </c>
      <c r="H2578" t="s">
        <v>189</v>
      </c>
      <c r="I2578">
        <v>10475.14</v>
      </c>
      <c r="J2578">
        <v>8921.68</v>
      </c>
      <c r="K2578" t="s">
        <v>17</v>
      </c>
      <c r="L2578" t="b">
        <v>0</v>
      </c>
      <c r="N2578" s="2" t="b">
        <f t="shared" si="227"/>
        <v>1</v>
      </c>
      <c r="O2578" t="str">
        <f t="shared" si="230"/>
        <v/>
      </c>
      <c r="Q2578" t="str">
        <f t="shared" si="228"/>
        <v/>
      </c>
    </row>
    <row r="2579" spans="1:17" hidden="1">
      <c r="A2579" t="s">
        <v>2684</v>
      </c>
      <c r="B2579" s="1">
        <v>45267</v>
      </c>
      <c r="C2579">
        <v>2023</v>
      </c>
      <c r="D2579">
        <v>12</v>
      </c>
      <c r="E2579" t="s">
        <v>19</v>
      </c>
      <c r="F2579" t="s">
        <v>28</v>
      </c>
      <c r="G2579" t="s">
        <v>54</v>
      </c>
      <c r="H2579" t="s">
        <v>163</v>
      </c>
      <c r="I2579">
        <v>6275.72</v>
      </c>
      <c r="J2579">
        <v>6045.92</v>
      </c>
      <c r="K2579" t="s">
        <v>17</v>
      </c>
      <c r="L2579" t="b">
        <v>0</v>
      </c>
      <c r="N2579" s="2" t="str">
        <f t="shared" si="227"/>
        <v/>
      </c>
      <c r="Q2579" t="str">
        <f t="shared" si="228"/>
        <v/>
      </c>
    </row>
    <row r="2580" spans="1:17" hidden="1">
      <c r="A2580" t="s">
        <v>2685</v>
      </c>
      <c r="B2580" s="1">
        <v>45267</v>
      </c>
      <c r="C2580">
        <v>2023</v>
      </c>
      <c r="D2580">
        <v>12</v>
      </c>
      <c r="E2580" t="s">
        <v>23</v>
      </c>
      <c r="F2580" t="s">
        <v>14</v>
      </c>
      <c r="G2580" t="s">
        <v>59</v>
      </c>
      <c r="H2580" t="s">
        <v>60</v>
      </c>
      <c r="I2580">
        <v>3880.32</v>
      </c>
      <c r="J2580">
        <v>3544.27</v>
      </c>
      <c r="K2580" t="s">
        <v>17</v>
      </c>
      <c r="L2580" t="b">
        <v>0</v>
      </c>
      <c r="N2580" s="2" t="str">
        <f t="shared" si="227"/>
        <v/>
      </c>
      <c r="Q2580" t="str">
        <f t="shared" si="228"/>
        <v/>
      </c>
    </row>
    <row r="2581" spans="1:17" hidden="1">
      <c r="A2581" t="s">
        <v>2686</v>
      </c>
      <c r="B2581" s="1">
        <v>45267</v>
      </c>
      <c r="C2581">
        <v>2023</v>
      </c>
      <c r="D2581">
        <v>12</v>
      </c>
      <c r="E2581" t="s">
        <v>23</v>
      </c>
      <c r="F2581" t="s">
        <v>14</v>
      </c>
      <c r="G2581" t="s">
        <v>25</v>
      </c>
      <c r="H2581" t="s">
        <v>35</v>
      </c>
      <c r="I2581">
        <v>6809.36</v>
      </c>
      <c r="J2581">
        <v>6694.85</v>
      </c>
      <c r="K2581" t="s">
        <v>17</v>
      </c>
      <c r="L2581" t="b">
        <v>0</v>
      </c>
      <c r="N2581" s="2" t="str">
        <f t="shared" si="227"/>
        <v/>
      </c>
      <c r="Q2581" t="str">
        <f t="shared" si="228"/>
        <v/>
      </c>
    </row>
    <row r="2582" spans="1:17" hidden="1">
      <c r="A2582" t="s">
        <v>2687</v>
      </c>
      <c r="B2582" s="1">
        <v>45267</v>
      </c>
      <c r="C2582">
        <v>2023</v>
      </c>
      <c r="D2582">
        <v>12</v>
      </c>
      <c r="E2582" t="s">
        <v>23</v>
      </c>
      <c r="F2582" t="s">
        <v>14</v>
      </c>
      <c r="G2582" t="s">
        <v>30</v>
      </c>
      <c r="H2582" t="s">
        <v>31</v>
      </c>
      <c r="I2582">
        <v>4480.33</v>
      </c>
      <c r="J2582">
        <v>4399.71</v>
      </c>
      <c r="K2582" t="s">
        <v>17</v>
      </c>
      <c r="L2582" t="b">
        <v>0</v>
      </c>
      <c r="N2582" s="2" t="str">
        <f t="shared" si="227"/>
        <v/>
      </c>
      <c r="Q2582" t="str">
        <f t="shared" si="228"/>
        <v/>
      </c>
    </row>
    <row r="2583" spans="1:17" hidden="1">
      <c r="A2583" t="s">
        <v>2688</v>
      </c>
      <c r="B2583" s="1">
        <v>45267</v>
      </c>
      <c r="C2583">
        <v>2023</v>
      </c>
      <c r="D2583">
        <v>12</v>
      </c>
      <c r="E2583" t="s">
        <v>23</v>
      </c>
      <c r="F2583" t="s">
        <v>28</v>
      </c>
      <c r="G2583" t="s">
        <v>25</v>
      </c>
      <c r="H2583" t="s">
        <v>35</v>
      </c>
      <c r="I2583">
        <v>6578.73</v>
      </c>
      <c r="J2583">
        <v>6209.08</v>
      </c>
      <c r="K2583" t="s">
        <v>17</v>
      </c>
      <c r="L2583" t="b">
        <v>0</v>
      </c>
      <c r="N2583" s="2" t="str">
        <f t="shared" si="227"/>
        <v/>
      </c>
      <c r="Q2583" t="str">
        <f t="shared" si="228"/>
        <v/>
      </c>
    </row>
    <row r="2584" spans="1:17" hidden="1">
      <c r="A2584" t="s">
        <v>2689</v>
      </c>
      <c r="B2584" s="1">
        <v>45267</v>
      </c>
      <c r="C2584">
        <v>2023</v>
      </c>
      <c r="D2584">
        <v>12</v>
      </c>
      <c r="E2584" t="s">
        <v>23</v>
      </c>
      <c r="F2584" t="s">
        <v>28</v>
      </c>
      <c r="G2584" t="s">
        <v>25</v>
      </c>
      <c r="H2584" t="s">
        <v>95</v>
      </c>
      <c r="I2584">
        <v>7666.74</v>
      </c>
      <c r="J2584">
        <v>7972.36</v>
      </c>
      <c r="K2584" t="s">
        <v>17</v>
      </c>
      <c r="L2584" t="b">
        <v>0</v>
      </c>
      <c r="N2584" s="2" t="str">
        <f t="shared" si="227"/>
        <v/>
      </c>
      <c r="Q2584" t="str">
        <f t="shared" si="228"/>
        <v/>
      </c>
    </row>
    <row r="2585" spans="1:17" hidden="1">
      <c r="A2585" t="s">
        <v>2690</v>
      </c>
      <c r="B2585" s="1">
        <v>45268</v>
      </c>
      <c r="C2585">
        <v>2023</v>
      </c>
      <c r="D2585">
        <v>12</v>
      </c>
      <c r="E2585" t="s">
        <v>13</v>
      </c>
      <c r="F2585" t="s">
        <v>24</v>
      </c>
      <c r="G2585" t="s">
        <v>15</v>
      </c>
      <c r="H2585" t="s">
        <v>89</v>
      </c>
      <c r="I2585">
        <v>3021.21</v>
      </c>
      <c r="J2585">
        <v>3289.08</v>
      </c>
      <c r="K2585" t="s">
        <v>17</v>
      </c>
      <c r="L2585" t="b">
        <v>0</v>
      </c>
      <c r="N2585" s="2" t="str">
        <f t="shared" si="227"/>
        <v/>
      </c>
      <c r="Q2585" t="str">
        <f t="shared" si="228"/>
        <v/>
      </c>
    </row>
    <row r="2586" spans="1:17" hidden="1">
      <c r="A2586" t="s">
        <v>2691</v>
      </c>
      <c r="B2586" s="1">
        <v>45268</v>
      </c>
      <c r="C2586">
        <v>2023</v>
      </c>
      <c r="D2586">
        <v>12</v>
      </c>
      <c r="E2586" t="s">
        <v>47</v>
      </c>
      <c r="F2586" t="s">
        <v>14</v>
      </c>
      <c r="G2586" t="s">
        <v>51</v>
      </c>
      <c r="H2586" t="s">
        <v>189</v>
      </c>
      <c r="I2586">
        <v>14366.59</v>
      </c>
      <c r="J2586">
        <v>12094.53</v>
      </c>
      <c r="K2586" t="s">
        <v>17</v>
      </c>
      <c r="L2586" t="b">
        <v>0</v>
      </c>
      <c r="N2586" s="2" t="b">
        <f t="shared" si="227"/>
        <v>1</v>
      </c>
      <c r="O2586" t="b">
        <f>IF(AND(E2575="HR",K2575="EXPENSE"),I2575&lt;J2575,"")</f>
        <v>1</v>
      </c>
      <c r="Q2586" t="str">
        <f t="shared" si="228"/>
        <v/>
      </c>
    </row>
    <row r="2587" spans="1:17" hidden="1">
      <c r="A2587" t="s">
        <v>2692</v>
      </c>
      <c r="B2587" s="1">
        <v>45268</v>
      </c>
      <c r="C2587">
        <v>2023</v>
      </c>
      <c r="D2587">
        <v>12</v>
      </c>
      <c r="E2587" t="s">
        <v>19</v>
      </c>
      <c r="F2587" t="s">
        <v>14</v>
      </c>
      <c r="G2587" t="s">
        <v>80</v>
      </c>
      <c r="H2587" t="s">
        <v>113</v>
      </c>
      <c r="I2587">
        <v>6474.57</v>
      </c>
      <c r="J2587">
        <v>7121</v>
      </c>
      <c r="K2587" t="s">
        <v>17</v>
      </c>
      <c r="L2587" t="b">
        <v>0</v>
      </c>
      <c r="N2587" s="2" t="str">
        <f t="shared" si="227"/>
        <v/>
      </c>
      <c r="Q2587" t="str">
        <f t="shared" si="228"/>
        <v/>
      </c>
    </row>
    <row r="2588" spans="1:17" hidden="1">
      <c r="A2588" t="s">
        <v>2693</v>
      </c>
      <c r="B2588" s="1">
        <v>45268</v>
      </c>
      <c r="C2588">
        <v>2023</v>
      </c>
      <c r="D2588">
        <v>12</v>
      </c>
      <c r="E2588" t="s">
        <v>23</v>
      </c>
      <c r="F2588" t="s">
        <v>28</v>
      </c>
      <c r="G2588" t="s">
        <v>141</v>
      </c>
      <c r="H2588" t="s">
        <v>142</v>
      </c>
      <c r="I2588">
        <v>4784.9799999999996</v>
      </c>
      <c r="J2588">
        <v>5004.9799999999996</v>
      </c>
      <c r="K2588" t="s">
        <v>17</v>
      </c>
      <c r="L2588" t="b">
        <v>0</v>
      </c>
      <c r="N2588" s="2" t="str">
        <f t="shared" si="227"/>
        <v/>
      </c>
      <c r="Q2588" t="str">
        <f t="shared" si="228"/>
        <v/>
      </c>
    </row>
    <row r="2589" spans="1:17" hidden="1">
      <c r="A2589" t="s">
        <v>2694</v>
      </c>
      <c r="B2589" s="1">
        <v>45269</v>
      </c>
      <c r="C2589">
        <v>2023</v>
      </c>
      <c r="D2589">
        <v>12</v>
      </c>
      <c r="E2589" t="s">
        <v>13</v>
      </c>
      <c r="F2589" t="s">
        <v>14</v>
      </c>
      <c r="G2589" t="s">
        <v>102</v>
      </c>
      <c r="H2589" t="s">
        <v>278</v>
      </c>
      <c r="I2589">
        <v>5406.57</v>
      </c>
      <c r="J2589">
        <v>5776.95</v>
      </c>
      <c r="K2589" t="s">
        <v>17</v>
      </c>
      <c r="L2589" t="b">
        <v>0</v>
      </c>
      <c r="N2589" s="2" t="str">
        <f t="shared" si="227"/>
        <v/>
      </c>
      <c r="Q2589" t="str">
        <f t="shared" si="228"/>
        <v/>
      </c>
    </row>
    <row r="2590" spans="1:17" hidden="1">
      <c r="A2590" t="s">
        <v>2695</v>
      </c>
      <c r="B2590" s="1">
        <v>45269</v>
      </c>
      <c r="C2590">
        <v>2023</v>
      </c>
      <c r="D2590">
        <v>12</v>
      </c>
      <c r="E2590" t="s">
        <v>47</v>
      </c>
      <c r="F2590" t="s">
        <v>14</v>
      </c>
      <c r="G2590" t="s">
        <v>51</v>
      </c>
      <c r="H2590" t="s">
        <v>52</v>
      </c>
      <c r="I2590">
        <v>17579.71</v>
      </c>
      <c r="J2590">
        <v>14662.38</v>
      </c>
      <c r="K2590" t="s">
        <v>17</v>
      </c>
      <c r="L2590" t="b">
        <v>0</v>
      </c>
      <c r="N2590" s="2" t="b">
        <f t="shared" si="227"/>
        <v>1</v>
      </c>
      <c r="O2590" t="str">
        <f>IF(AND(E2579="HR",K2579="EXPENSE"),I2579&lt;J2579,"")</f>
        <v/>
      </c>
      <c r="Q2590" t="str">
        <f t="shared" si="228"/>
        <v/>
      </c>
    </row>
    <row r="2591" spans="1:17" hidden="1">
      <c r="A2591" t="s">
        <v>2696</v>
      </c>
      <c r="B2591" s="1">
        <v>45269</v>
      </c>
      <c r="C2591">
        <v>2023</v>
      </c>
      <c r="D2591">
        <v>12</v>
      </c>
      <c r="E2591" t="s">
        <v>19</v>
      </c>
      <c r="F2591" t="s">
        <v>28</v>
      </c>
      <c r="G2591" t="s">
        <v>20</v>
      </c>
      <c r="H2591" t="s">
        <v>174</v>
      </c>
      <c r="I2591">
        <v>10165.93</v>
      </c>
      <c r="J2591">
        <v>10927.86</v>
      </c>
      <c r="K2591" t="s">
        <v>17</v>
      </c>
      <c r="L2591" t="b">
        <v>0</v>
      </c>
      <c r="N2591" s="2" t="str">
        <f t="shared" si="227"/>
        <v/>
      </c>
      <c r="Q2591" t="str">
        <f t="shared" si="228"/>
        <v/>
      </c>
    </row>
    <row r="2592" spans="1:17" hidden="1">
      <c r="A2592" t="s">
        <v>2697</v>
      </c>
      <c r="B2592" s="1">
        <v>45269</v>
      </c>
      <c r="C2592">
        <v>2023</v>
      </c>
      <c r="D2592">
        <v>12</v>
      </c>
      <c r="E2592" t="s">
        <v>23</v>
      </c>
      <c r="F2592" t="s">
        <v>28</v>
      </c>
      <c r="G2592" t="s">
        <v>141</v>
      </c>
      <c r="H2592" t="s">
        <v>142</v>
      </c>
      <c r="I2592">
        <v>6033.5</v>
      </c>
      <c r="J2592">
        <v>6055.62</v>
      </c>
      <c r="K2592" t="s">
        <v>17</v>
      </c>
      <c r="L2592" t="b">
        <v>0</v>
      </c>
      <c r="N2592" s="2" t="str">
        <f t="shared" si="227"/>
        <v/>
      </c>
      <c r="Q2592" t="str">
        <f t="shared" si="228"/>
        <v/>
      </c>
    </row>
    <row r="2593" spans="1:17" hidden="1">
      <c r="A2593" t="s">
        <v>2698</v>
      </c>
      <c r="B2593" s="1">
        <v>45269</v>
      </c>
      <c r="C2593">
        <v>2023</v>
      </c>
      <c r="D2593">
        <v>12</v>
      </c>
      <c r="E2593" t="s">
        <v>23</v>
      </c>
      <c r="F2593" t="s">
        <v>28</v>
      </c>
      <c r="G2593" t="s">
        <v>59</v>
      </c>
      <c r="H2593" t="s">
        <v>155</v>
      </c>
      <c r="I2593">
        <v>2749.51</v>
      </c>
      <c r="J2593">
        <v>2794.04</v>
      </c>
      <c r="K2593" t="s">
        <v>17</v>
      </c>
      <c r="L2593" t="b">
        <v>0</v>
      </c>
      <c r="N2593" s="2" t="str">
        <f t="shared" si="227"/>
        <v/>
      </c>
      <c r="Q2593" t="str">
        <f t="shared" si="228"/>
        <v/>
      </c>
    </row>
    <row r="2594" spans="1:17" hidden="1">
      <c r="A2594" t="s">
        <v>2699</v>
      </c>
      <c r="B2594" s="1">
        <v>45270</v>
      </c>
      <c r="C2594">
        <v>2023</v>
      </c>
      <c r="D2594">
        <v>12</v>
      </c>
      <c r="E2594" t="s">
        <v>13</v>
      </c>
      <c r="F2594" t="s">
        <v>14</v>
      </c>
      <c r="G2594" t="s">
        <v>68</v>
      </c>
      <c r="H2594" t="s">
        <v>69</v>
      </c>
      <c r="I2594">
        <v>2925.5</v>
      </c>
      <c r="J2594">
        <v>2668.46</v>
      </c>
      <c r="K2594" t="s">
        <v>17</v>
      </c>
      <c r="L2594" t="b">
        <v>0</v>
      </c>
      <c r="N2594" s="2" t="str">
        <f t="shared" si="227"/>
        <v/>
      </c>
      <c r="Q2594" t="str">
        <f t="shared" si="228"/>
        <v/>
      </c>
    </row>
    <row r="2595" spans="1:17" hidden="1">
      <c r="A2595" t="s">
        <v>2700</v>
      </c>
      <c r="B2595" s="1">
        <v>45270</v>
      </c>
      <c r="C2595">
        <v>2023</v>
      </c>
      <c r="D2595">
        <v>12</v>
      </c>
      <c r="E2595" t="s">
        <v>47</v>
      </c>
      <c r="F2595" t="s">
        <v>14</v>
      </c>
      <c r="G2595" t="s">
        <v>51</v>
      </c>
      <c r="H2595" t="s">
        <v>72</v>
      </c>
      <c r="I2595">
        <v>15072.06</v>
      </c>
      <c r="J2595">
        <v>12501.82</v>
      </c>
      <c r="K2595" t="s">
        <v>17</v>
      </c>
      <c r="L2595" t="b">
        <v>0</v>
      </c>
      <c r="N2595" s="2" t="b">
        <f t="shared" si="227"/>
        <v>1</v>
      </c>
      <c r="O2595" t="str">
        <f t="shared" ref="O2595:O2597" si="231">IF(AND(E2584="HR",K2584="EXPENSE"),I2584&lt;J2584,"")</f>
        <v/>
      </c>
      <c r="Q2595" t="str">
        <f t="shared" si="228"/>
        <v/>
      </c>
    </row>
    <row r="2596" spans="1:17" hidden="1">
      <c r="A2596" t="s">
        <v>2701</v>
      </c>
      <c r="B2596" s="1">
        <v>45270</v>
      </c>
      <c r="C2596">
        <v>2023</v>
      </c>
      <c r="D2596">
        <v>12</v>
      </c>
      <c r="E2596" t="s">
        <v>47</v>
      </c>
      <c r="F2596" t="s">
        <v>24</v>
      </c>
      <c r="G2596" t="s">
        <v>91</v>
      </c>
      <c r="H2596" t="s">
        <v>249</v>
      </c>
      <c r="I2596">
        <v>16893.71</v>
      </c>
      <c r="J2596">
        <v>13924.58</v>
      </c>
      <c r="K2596" t="s">
        <v>17</v>
      </c>
      <c r="L2596" t="b">
        <v>0</v>
      </c>
      <c r="N2596" s="2" t="b">
        <f t="shared" si="227"/>
        <v>1</v>
      </c>
      <c r="O2596" t="b">
        <f t="shared" si="231"/>
        <v>1</v>
      </c>
      <c r="Q2596" t="str">
        <f t="shared" si="228"/>
        <v/>
      </c>
    </row>
    <row r="2597" spans="1:17" hidden="1">
      <c r="A2597" t="s">
        <v>2702</v>
      </c>
      <c r="B2597" s="1">
        <v>45270</v>
      </c>
      <c r="C2597">
        <v>2023</v>
      </c>
      <c r="D2597">
        <v>12</v>
      </c>
      <c r="E2597" t="s">
        <v>47</v>
      </c>
      <c r="F2597" t="s">
        <v>24</v>
      </c>
      <c r="G2597" t="s">
        <v>91</v>
      </c>
      <c r="H2597" t="s">
        <v>92</v>
      </c>
      <c r="I2597">
        <v>19057.419999999998</v>
      </c>
      <c r="J2597">
        <v>16340.83</v>
      </c>
      <c r="K2597" t="s">
        <v>17</v>
      </c>
      <c r="L2597" t="b">
        <v>0</v>
      </c>
      <c r="N2597" s="2" t="b">
        <f t="shared" si="227"/>
        <v>1</v>
      </c>
      <c r="O2597" t="str">
        <f t="shared" si="231"/>
        <v/>
      </c>
      <c r="Q2597" t="str">
        <f t="shared" si="228"/>
        <v/>
      </c>
    </row>
    <row r="2598" spans="1:17" hidden="1">
      <c r="A2598" t="s">
        <v>2703</v>
      </c>
      <c r="B2598" s="1">
        <v>45270</v>
      </c>
      <c r="C2598">
        <v>2023</v>
      </c>
      <c r="D2598">
        <v>12</v>
      </c>
      <c r="E2598" t="s">
        <v>19</v>
      </c>
      <c r="F2598" t="s">
        <v>14</v>
      </c>
      <c r="G2598" t="s">
        <v>132</v>
      </c>
      <c r="H2598" t="s">
        <v>171</v>
      </c>
      <c r="I2598">
        <v>8864.64</v>
      </c>
      <c r="J2598">
        <v>8992.85</v>
      </c>
      <c r="K2598" t="s">
        <v>17</v>
      </c>
      <c r="L2598" t="b">
        <v>0</v>
      </c>
      <c r="N2598" s="2" t="str">
        <f t="shared" si="227"/>
        <v/>
      </c>
      <c r="Q2598" t="str">
        <f t="shared" si="228"/>
        <v/>
      </c>
    </row>
    <row r="2599" spans="1:17" hidden="1">
      <c r="A2599" t="s">
        <v>2704</v>
      </c>
      <c r="B2599" s="1">
        <v>45270</v>
      </c>
      <c r="C2599">
        <v>2023</v>
      </c>
      <c r="D2599">
        <v>12</v>
      </c>
      <c r="E2599" t="s">
        <v>19</v>
      </c>
      <c r="F2599" t="s">
        <v>28</v>
      </c>
      <c r="G2599" t="s">
        <v>132</v>
      </c>
      <c r="H2599" t="s">
        <v>138</v>
      </c>
      <c r="I2599">
        <v>8724.08</v>
      </c>
      <c r="J2599">
        <v>8812.27</v>
      </c>
      <c r="K2599" t="s">
        <v>17</v>
      </c>
      <c r="L2599" t="b">
        <v>0</v>
      </c>
      <c r="N2599" s="2" t="str">
        <f t="shared" si="227"/>
        <v/>
      </c>
      <c r="Q2599" t="str">
        <f t="shared" si="228"/>
        <v/>
      </c>
    </row>
    <row r="2600" spans="1:17" hidden="1">
      <c r="A2600" t="s">
        <v>2705</v>
      </c>
      <c r="B2600" s="1">
        <v>45270</v>
      </c>
      <c r="C2600">
        <v>2023</v>
      </c>
      <c r="D2600">
        <v>12</v>
      </c>
      <c r="E2600" t="s">
        <v>19</v>
      </c>
      <c r="F2600" t="s">
        <v>24</v>
      </c>
      <c r="G2600" t="s">
        <v>20</v>
      </c>
      <c r="H2600" t="s">
        <v>136</v>
      </c>
      <c r="I2600">
        <v>6338.95</v>
      </c>
      <c r="J2600">
        <v>6128.12</v>
      </c>
      <c r="K2600" t="s">
        <v>17</v>
      </c>
      <c r="L2600" t="b">
        <v>0</v>
      </c>
      <c r="N2600" s="2" t="str">
        <f t="shared" si="227"/>
        <v/>
      </c>
      <c r="Q2600" t="str">
        <f t="shared" si="228"/>
        <v/>
      </c>
    </row>
    <row r="2601" spans="1:17" hidden="1">
      <c r="A2601" t="s">
        <v>2706</v>
      </c>
      <c r="B2601" s="1">
        <v>45270</v>
      </c>
      <c r="C2601">
        <v>2023</v>
      </c>
      <c r="D2601">
        <v>12</v>
      </c>
      <c r="E2601" t="s">
        <v>37</v>
      </c>
      <c r="F2601" t="s">
        <v>14</v>
      </c>
      <c r="G2601" t="s">
        <v>98</v>
      </c>
      <c r="H2601" t="s">
        <v>185</v>
      </c>
      <c r="I2601">
        <v>3796.75</v>
      </c>
      <c r="J2601">
        <v>3757.91</v>
      </c>
      <c r="K2601" t="s">
        <v>17</v>
      </c>
      <c r="L2601" t="b">
        <v>0</v>
      </c>
      <c r="N2601" s="2" t="str">
        <f t="shared" si="227"/>
        <v/>
      </c>
      <c r="Q2601" t="str">
        <f t="shared" si="228"/>
        <v/>
      </c>
    </row>
    <row r="2602" spans="1:17" hidden="1">
      <c r="A2602" t="s">
        <v>2707</v>
      </c>
      <c r="B2602" s="1">
        <v>45270</v>
      </c>
      <c r="C2602">
        <v>2023</v>
      </c>
      <c r="D2602">
        <v>12</v>
      </c>
      <c r="E2602" t="s">
        <v>37</v>
      </c>
      <c r="F2602" t="s">
        <v>28</v>
      </c>
      <c r="G2602" t="s">
        <v>38</v>
      </c>
      <c r="H2602" t="s">
        <v>227</v>
      </c>
      <c r="I2602">
        <v>4602.68</v>
      </c>
      <c r="J2602">
        <v>4587.09</v>
      </c>
      <c r="K2602" t="s">
        <v>17</v>
      </c>
      <c r="L2602" t="b">
        <v>0</v>
      </c>
      <c r="N2602" s="2" t="str">
        <f t="shared" si="227"/>
        <v/>
      </c>
      <c r="Q2602" t="str">
        <f t="shared" si="228"/>
        <v/>
      </c>
    </row>
    <row r="2603" spans="1:17" hidden="1">
      <c r="A2603" t="s">
        <v>2708</v>
      </c>
      <c r="B2603" s="1">
        <v>45271</v>
      </c>
      <c r="C2603">
        <v>2023</v>
      </c>
      <c r="D2603">
        <v>12</v>
      </c>
      <c r="E2603" t="s">
        <v>13</v>
      </c>
      <c r="F2603" t="s">
        <v>28</v>
      </c>
      <c r="G2603" t="s">
        <v>68</v>
      </c>
      <c r="H2603" t="s">
        <v>213</v>
      </c>
      <c r="I2603">
        <v>3211.87</v>
      </c>
      <c r="J2603">
        <v>3177.01</v>
      </c>
      <c r="K2603" t="s">
        <v>17</v>
      </c>
      <c r="L2603" t="b">
        <v>0</v>
      </c>
      <c r="N2603" s="2" t="str">
        <f t="shared" si="227"/>
        <v/>
      </c>
      <c r="Q2603" t="str">
        <f t="shared" si="228"/>
        <v/>
      </c>
    </row>
    <row r="2604" spans="1:17" hidden="1">
      <c r="A2604" t="s">
        <v>2709</v>
      </c>
      <c r="B2604" s="1">
        <v>45271</v>
      </c>
      <c r="C2604">
        <v>2023</v>
      </c>
      <c r="D2604">
        <v>12</v>
      </c>
      <c r="E2604" t="s">
        <v>13</v>
      </c>
      <c r="F2604" t="s">
        <v>24</v>
      </c>
      <c r="G2604" t="s">
        <v>108</v>
      </c>
      <c r="H2604" t="s">
        <v>109</v>
      </c>
      <c r="I2604">
        <v>2226.5700000000002</v>
      </c>
      <c r="J2604">
        <v>2328.7800000000002</v>
      </c>
      <c r="K2604" t="s">
        <v>17</v>
      </c>
      <c r="L2604" t="b">
        <v>0</v>
      </c>
      <c r="N2604" s="2" t="str">
        <f t="shared" si="227"/>
        <v/>
      </c>
      <c r="Q2604" t="str">
        <f t="shared" si="228"/>
        <v/>
      </c>
    </row>
    <row r="2605" spans="1:17" hidden="1">
      <c r="A2605" t="s">
        <v>2710</v>
      </c>
      <c r="B2605" s="1">
        <v>45271</v>
      </c>
      <c r="C2605">
        <v>2023</v>
      </c>
      <c r="D2605">
        <v>12</v>
      </c>
      <c r="E2605" t="s">
        <v>47</v>
      </c>
      <c r="F2605" t="s">
        <v>14</v>
      </c>
      <c r="G2605" t="s">
        <v>48</v>
      </c>
      <c r="H2605" t="s">
        <v>49</v>
      </c>
      <c r="I2605">
        <v>11918.01</v>
      </c>
      <c r="J2605">
        <v>10256.31</v>
      </c>
      <c r="K2605" t="s">
        <v>17</v>
      </c>
      <c r="L2605" t="b">
        <v>0</v>
      </c>
      <c r="N2605" s="2" t="b">
        <f t="shared" si="227"/>
        <v>1</v>
      </c>
      <c r="O2605" t="b">
        <f>IF(AND(E2594="HR",K2594="EXPENSE"),I2594&lt;J2594,"")</f>
        <v>0</v>
      </c>
      <c r="Q2605" t="str">
        <f t="shared" si="228"/>
        <v/>
      </c>
    </row>
    <row r="2606" spans="1:17" hidden="1">
      <c r="A2606" t="s">
        <v>2711</v>
      </c>
      <c r="B2606" s="1">
        <v>45271</v>
      </c>
      <c r="C2606">
        <v>2023</v>
      </c>
      <c r="D2606">
        <v>12</v>
      </c>
      <c r="E2606" t="s">
        <v>19</v>
      </c>
      <c r="F2606" t="s">
        <v>28</v>
      </c>
      <c r="G2606" t="s">
        <v>54</v>
      </c>
      <c r="H2606" t="s">
        <v>55</v>
      </c>
      <c r="I2606">
        <v>7602.83</v>
      </c>
      <c r="J2606">
        <v>7575.31</v>
      </c>
      <c r="K2606" t="s">
        <v>17</v>
      </c>
      <c r="L2606" t="b">
        <v>0</v>
      </c>
      <c r="N2606" s="2" t="str">
        <f t="shared" si="227"/>
        <v/>
      </c>
      <c r="Q2606" t="str">
        <f t="shared" si="228"/>
        <v/>
      </c>
    </row>
    <row r="2607" spans="1:17" hidden="1">
      <c r="A2607" t="s">
        <v>2712</v>
      </c>
      <c r="B2607" s="1">
        <v>45271</v>
      </c>
      <c r="C2607">
        <v>2023</v>
      </c>
      <c r="D2607">
        <v>12</v>
      </c>
      <c r="E2607" t="s">
        <v>19</v>
      </c>
      <c r="F2607" t="s">
        <v>24</v>
      </c>
      <c r="G2607" t="s">
        <v>20</v>
      </c>
      <c r="H2607" t="s">
        <v>136</v>
      </c>
      <c r="I2607">
        <v>4448.53</v>
      </c>
      <c r="J2607">
        <v>4472.3900000000003</v>
      </c>
      <c r="K2607" t="s">
        <v>17</v>
      </c>
      <c r="L2607" t="b">
        <v>0</v>
      </c>
      <c r="N2607" s="2" t="str">
        <f t="shared" si="227"/>
        <v/>
      </c>
      <c r="Q2607" t="str">
        <f t="shared" si="228"/>
        <v/>
      </c>
    </row>
    <row r="2608" spans="1:17" hidden="1">
      <c r="A2608" t="s">
        <v>2713</v>
      </c>
      <c r="B2608" s="1">
        <v>45271</v>
      </c>
      <c r="C2608">
        <v>2023</v>
      </c>
      <c r="D2608">
        <v>12</v>
      </c>
      <c r="E2608" t="s">
        <v>23</v>
      </c>
      <c r="F2608" t="s">
        <v>14</v>
      </c>
      <c r="G2608" t="s">
        <v>25</v>
      </c>
      <c r="H2608" t="s">
        <v>35</v>
      </c>
      <c r="I2608">
        <v>5442.44</v>
      </c>
      <c r="J2608">
        <v>5885.96</v>
      </c>
      <c r="K2608" t="s">
        <v>17</v>
      </c>
      <c r="L2608" t="b">
        <v>0</v>
      </c>
      <c r="N2608" s="2" t="str">
        <f t="shared" si="227"/>
        <v/>
      </c>
      <c r="Q2608" t="str">
        <f t="shared" si="228"/>
        <v/>
      </c>
    </row>
    <row r="2609" spans="1:17" hidden="1">
      <c r="A2609" t="s">
        <v>2714</v>
      </c>
      <c r="B2609" s="1">
        <v>45271</v>
      </c>
      <c r="C2609">
        <v>2023</v>
      </c>
      <c r="D2609">
        <v>12</v>
      </c>
      <c r="E2609" t="s">
        <v>23</v>
      </c>
      <c r="F2609" t="s">
        <v>24</v>
      </c>
      <c r="G2609" t="s">
        <v>25</v>
      </c>
      <c r="H2609" t="s">
        <v>26</v>
      </c>
      <c r="I2609">
        <v>4546.38</v>
      </c>
      <c r="J2609">
        <v>4214.97</v>
      </c>
      <c r="K2609" t="s">
        <v>17</v>
      </c>
      <c r="L2609" t="b">
        <v>0</v>
      </c>
      <c r="N2609" s="2" t="str">
        <f t="shared" si="227"/>
        <v/>
      </c>
      <c r="Q2609" t="str">
        <f t="shared" si="228"/>
        <v/>
      </c>
    </row>
    <row r="2610" spans="1:17" hidden="1">
      <c r="A2610" t="s">
        <v>2715</v>
      </c>
      <c r="B2610" s="1">
        <v>45271</v>
      </c>
      <c r="C2610">
        <v>2023</v>
      </c>
      <c r="D2610">
        <v>12</v>
      </c>
      <c r="E2610" t="s">
        <v>37</v>
      </c>
      <c r="F2610" t="s">
        <v>28</v>
      </c>
      <c r="G2610" t="s">
        <v>62</v>
      </c>
      <c r="H2610" t="s">
        <v>66</v>
      </c>
      <c r="I2610">
        <v>4541.18</v>
      </c>
      <c r="J2610">
        <v>4464.96</v>
      </c>
      <c r="K2610" t="s">
        <v>17</v>
      </c>
      <c r="L2610" t="b">
        <v>0</v>
      </c>
      <c r="N2610" s="2" t="str">
        <f t="shared" si="227"/>
        <v/>
      </c>
      <c r="Q2610" t="str">
        <f t="shared" si="228"/>
        <v/>
      </c>
    </row>
    <row r="2611" spans="1:17" hidden="1">
      <c r="A2611" t="s">
        <v>2716</v>
      </c>
      <c r="B2611" s="1">
        <v>45271</v>
      </c>
      <c r="C2611">
        <v>2023</v>
      </c>
      <c r="D2611">
        <v>12</v>
      </c>
      <c r="E2611" t="s">
        <v>37</v>
      </c>
      <c r="F2611" t="s">
        <v>24</v>
      </c>
      <c r="G2611" t="s">
        <v>38</v>
      </c>
      <c r="H2611" t="s">
        <v>39</v>
      </c>
      <c r="I2611">
        <v>5467.54</v>
      </c>
      <c r="J2611">
        <v>5869.02</v>
      </c>
      <c r="K2611" t="s">
        <v>17</v>
      </c>
      <c r="L2611" t="b">
        <v>0</v>
      </c>
      <c r="N2611" s="2" t="str">
        <f t="shared" si="227"/>
        <v/>
      </c>
      <c r="Q2611" t="str">
        <f t="shared" si="228"/>
        <v/>
      </c>
    </row>
    <row r="2612" spans="1:17" hidden="1">
      <c r="A2612" t="s">
        <v>2717</v>
      </c>
      <c r="B2612" s="1">
        <v>45272</v>
      </c>
      <c r="C2612">
        <v>2023</v>
      </c>
      <c r="D2612">
        <v>12</v>
      </c>
      <c r="E2612" t="s">
        <v>47</v>
      </c>
      <c r="F2612" t="s">
        <v>14</v>
      </c>
      <c r="G2612" t="s">
        <v>48</v>
      </c>
      <c r="H2612" t="s">
        <v>191</v>
      </c>
      <c r="I2612">
        <v>16543.32</v>
      </c>
      <c r="J2612">
        <v>14095.49</v>
      </c>
      <c r="K2612" t="s">
        <v>17</v>
      </c>
      <c r="L2612" t="b">
        <v>0</v>
      </c>
      <c r="N2612" s="2" t="b">
        <f t="shared" si="227"/>
        <v>1</v>
      </c>
      <c r="O2612" t="str">
        <f t="shared" ref="O2612:O2613" si="232">IF(AND(E2601="HR",K2601="EXPENSE"),I2601&lt;J2601,"")</f>
        <v/>
      </c>
      <c r="Q2612" t="str">
        <f t="shared" si="228"/>
        <v/>
      </c>
    </row>
    <row r="2613" spans="1:17" hidden="1">
      <c r="A2613" t="s">
        <v>2718</v>
      </c>
      <c r="B2613" s="1">
        <v>45272</v>
      </c>
      <c r="C2613">
        <v>2023</v>
      </c>
      <c r="D2613">
        <v>12</v>
      </c>
      <c r="E2613" t="s">
        <v>47</v>
      </c>
      <c r="F2613" t="s">
        <v>28</v>
      </c>
      <c r="G2613" t="s">
        <v>51</v>
      </c>
      <c r="H2613" t="s">
        <v>52</v>
      </c>
      <c r="I2613">
        <v>12005.21</v>
      </c>
      <c r="J2613">
        <v>9920.74</v>
      </c>
      <c r="K2613" t="s">
        <v>17</v>
      </c>
      <c r="L2613" t="b">
        <v>0</v>
      </c>
      <c r="N2613" s="2" t="b">
        <f t="shared" si="227"/>
        <v>1</v>
      </c>
      <c r="O2613" t="str">
        <f t="shared" si="232"/>
        <v/>
      </c>
      <c r="Q2613" t="str">
        <f t="shared" si="228"/>
        <v/>
      </c>
    </row>
    <row r="2614" spans="1:17" hidden="1">
      <c r="A2614" t="s">
        <v>2719</v>
      </c>
      <c r="B2614" s="1">
        <v>45272</v>
      </c>
      <c r="C2614">
        <v>2023</v>
      </c>
      <c r="D2614">
        <v>12</v>
      </c>
      <c r="E2614" t="s">
        <v>19</v>
      </c>
      <c r="F2614" t="s">
        <v>28</v>
      </c>
      <c r="G2614" t="s">
        <v>80</v>
      </c>
      <c r="H2614" t="s">
        <v>81</v>
      </c>
      <c r="I2614">
        <v>9895.27</v>
      </c>
      <c r="J2614">
        <v>9803.08</v>
      </c>
      <c r="K2614" t="s">
        <v>17</v>
      </c>
      <c r="L2614" t="b">
        <v>0</v>
      </c>
      <c r="N2614" s="2" t="str">
        <f t="shared" si="227"/>
        <v/>
      </c>
      <c r="Q2614" t="str">
        <f t="shared" si="228"/>
        <v/>
      </c>
    </row>
    <row r="2615" spans="1:17" hidden="1">
      <c r="A2615" t="s">
        <v>2720</v>
      </c>
      <c r="B2615" s="1">
        <v>45272</v>
      </c>
      <c r="C2615">
        <v>2023</v>
      </c>
      <c r="D2615">
        <v>12</v>
      </c>
      <c r="E2615" t="s">
        <v>19</v>
      </c>
      <c r="F2615" t="s">
        <v>28</v>
      </c>
      <c r="G2615" t="s">
        <v>80</v>
      </c>
      <c r="H2615" t="s">
        <v>150</v>
      </c>
      <c r="I2615">
        <v>6952.86</v>
      </c>
      <c r="J2615">
        <v>6957.22</v>
      </c>
      <c r="K2615" t="s">
        <v>17</v>
      </c>
      <c r="L2615" t="b">
        <v>0</v>
      </c>
      <c r="N2615" s="2" t="str">
        <f t="shared" si="227"/>
        <v/>
      </c>
      <c r="Q2615" t="str">
        <f t="shared" si="228"/>
        <v/>
      </c>
    </row>
    <row r="2616" spans="1:17" hidden="1">
      <c r="A2616" t="s">
        <v>2721</v>
      </c>
      <c r="B2616" s="1">
        <v>45272</v>
      </c>
      <c r="C2616">
        <v>2023</v>
      </c>
      <c r="D2616">
        <v>12</v>
      </c>
      <c r="E2616" t="s">
        <v>37</v>
      </c>
      <c r="F2616" t="s">
        <v>28</v>
      </c>
      <c r="G2616" t="s">
        <v>98</v>
      </c>
      <c r="H2616" t="s">
        <v>99</v>
      </c>
      <c r="I2616">
        <v>3146.08</v>
      </c>
      <c r="J2616">
        <v>3152.36</v>
      </c>
      <c r="K2616" t="s">
        <v>17</v>
      </c>
      <c r="L2616" t="b">
        <v>0</v>
      </c>
      <c r="N2616" s="2" t="str">
        <f t="shared" si="227"/>
        <v/>
      </c>
      <c r="Q2616" t="str">
        <f t="shared" si="228"/>
        <v/>
      </c>
    </row>
    <row r="2617" spans="1:17" hidden="1">
      <c r="A2617" t="s">
        <v>2722</v>
      </c>
      <c r="B2617" s="1">
        <v>45272</v>
      </c>
      <c r="C2617">
        <v>2023</v>
      </c>
      <c r="D2617">
        <v>12</v>
      </c>
      <c r="E2617" t="s">
        <v>37</v>
      </c>
      <c r="F2617" t="s">
        <v>24</v>
      </c>
      <c r="G2617" t="s">
        <v>83</v>
      </c>
      <c r="H2617" t="s">
        <v>84</v>
      </c>
      <c r="I2617">
        <v>143741.24</v>
      </c>
      <c r="J2617">
        <v>136554.18</v>
      </c>
      <c r="K2617" t="s">
        <v>85</v>
      </c>
      <c r="L2617" t="b">
        <v>0</v>
      </c>
      <c r="N2617" s="2" t="str">
        <f t="shared" si="227"/>
        <v/>
      </c>
      <c r="Q2617" t="str">
        <f t="shared" si="228"/>
        <v/>
      </c>
    </row>
    <row r="2618" spans="1:17" hidden="1">
      <c r="A2618" t="s">
        <v>2723</v>
      </c>
      <c r="B2618" s="1">
        <v>45273</v>
      </c>
      <c r="C2618">
        <v>2023</v>
      </c>
      <c r="D2618">
        <v>12</v>
      </c>
      <c r="E2618" t="s">
        <v>13</v>
      </c>
      <c r="F2618" t="s">
        <v>28</v>
      </c>
      <c r="G2618" t="s">
        <v>68</v>
      </c>
      <c r="H2618" t="s">
        <v>87</v>
      </c>
      <c r="I2618">
        <v>3507.05</v>
      </c>
      <c r="J2618">
        <v>3352.52</v>
      </c>
      <c r="K2618" t="s">
        <v>17</v>
      </c>
      <c r="L2618" t="b">
        <v>0</v>
      </c>
      <c r="N2618" s="2" t="str">
        <f t="shared" si="227"/>
        <v/>
      </c>
      <c r="Q2618" t="str">
        <f t="shared" si="228"/>
        <v/>
      </c>
    </row>
    <row r="2619" spans="1:17" hidden="1">
      <c r="A2619" t="s">
        <v>2724</v>
      </c>
      <c r="B2619" s="1">
        <v>45273</v>
      </c>
      <c r="C2619">
        <v>2023</v>
      </c>
      <c r="D2619">
        <v>12</v>
      </c>
      <c r="E2619" t="s">
        <v>47</v>
      </c>
      <c r="F2619" t="s">
        <v>14</v>
      </c>
      <c r="G2619" t="s">
        <v>48</v>
      </c>
      <c r="H2619" t="s">
        <v>49</v>
      </c>
      <c r="I2619">
        <v>12023.11</v>
      </c>
      <c r="J2619">
        <v>9914.8799999999992</v>
      </c>
      <c r="K2619" t="s">
        <v>17</v>
      </c>
      <c r="L2619" t="b">
        <v>0</v>
      </c>
      <c r="N2619" s="2" t="b">
        <f t="shared" si="227"/>
        <v>1</v>
      </c>
      <c r="O2619" t="str">
        <f t="shared" ref="O2619:O2622" si="233">IF(AND(E2608="HR",K2608="EXPENSE"),I2608&lt;J2608,"")</f>
        <v/>
      </c>
      <c r="Q2619" t="str">
        <f t="shared" si="228"/>
        <v/>
      </c>
    </row>
    <row r="2620" spans="1:17" hidden="1">
      <c r="A2620" t="s">
        <v>2725</v>
      </c>
      <c r="B2620" s="1">
        <v>45273</v>
      </c>
      <c r="C2620">
        <v>2023</v>
      </c>
      <c r="D2620">
        <v>12</v>
      </c>
      <c r="E2620" t="s">
        <v>47</v>
      </c>
      <c r="F2620" t="s">
        <v>28</v>
      </c>
      <c r="G2620" t="s">
        <v>48</v>
      </c>
      <c r="H2620" t="s">
        <v>111</v>
      </c>
      <c r="I2620">
        <v>14652.36</v>
      </c>
      <c r="J2620">
        <v>12147.29</v>
      </c>
      <c r="K2620" t="s">
        <v>17</v>
      </c>
      <c r="L2620" t="b">
        <v>0</v>
      </c>
      <c r="N2620" s="2" t="b">
        <f t="shared" si="227"/>
        <v>1</v>
      </c>
      <c r="O2620" t="str">
        <f t="shared" si="233"/>
        <v/>
      </c>
      <c r="Q2620" t="str">
        <f t="shared" si="228"/>
        <v/>
      </c>
    </row>
    <row r="2621" spans="1:17" hidden="1">
      <c r="A2621" t="s">
        <v>2726</v>
      </c>
      <c r="B2621" s="1">
        <v>45273</v>
      </c>
      <c r="C2621">
        <v>2023</v>
      </c>
      <c r="D2621">
        <v>12</v>
      </c>
      <c r="E2621" t="s">
        <v>47</v>
      </c>
      <c r="F2621" t="s">
        <v>24</v>
      </c>
      <c r="G2621" t="s">
        <v>48</v>
      </c>
      <c r="H2621" t="s">
        <v>191</v>
      </c>
      <c r="I2621">
        <v>18443.86</v>
      </c>
      <c r="J2621">
        <v>15755.51</v>
      </c>
      <c r="K2621" t="s">
        <v>17</v>
      </c>
      <c r="L2621" t="b">
        <v>0</v>
      </c>
      <c r="N2621" s="2" t="b">
        <f t="shared" si="227"/>
        <v>1</v>
      </c>
      <c r="O2621" t="str">
        <f t="shared" si="233"/>
        <v/>
      </c>
      <c r="Q2621" t="str">
        <f t="shared" si="228"/>
        <v/>
      </c>
    </row>
    <row r="2622" spans="1:17" hidden="1">
      <c r="A2622" t="s">
        <v>2727</v>
      </c>
      <c r="B2622" s="1">
        <v>45273</v>
      </c>
      <c r="C2622">
        <v>2023</v>
      </c>
      <c r="D2622">
        <v>12</v>
      </c>
      <c r="E2622" t="s">
        <v>47</v>
      </c>
      <c r="F2622" t="s">
        <v>24</v>
      </c>
      <c r="G2622" t="s">
        <v>77</v>
      </c>
      <c r="H2622" t="s">
        <v>130</v>
      </c>
      <c r="I2622">
        <v>18237.09</v>
      </c>
      <c r="J2622">
        <v>15106.21</v>
      </c>
      <c r="K2622" t="s">
        <v>17</v>
      </c>
      <c r="L2622" t="b">
        <v>0</v>
      </c>
      <c r="N2622" s="2" t="b">
        <f t="shared" si="227"/>
        <v>1</v>
      </c>
      <c r="O2622" t="str">
        <f t="shared" si="233"/>
        <v/>
      </c>
      <c r="Q2622" t="str">
        <f t="shared" si="228"/>
        <v/>
      </c>
    </row>
    <row r="2623" spans="1:17" hidden="1">
      <c r="A2623" t="s">
        <v>2728</v>
      </c>
      <c r="B2623" s="1">
        <v>45273</v>
      </c>
      <c r="C2623">
        <v>2023</v>
      </c>
      <c r="D2623">
        <v>12</v>
      </c>
      <c r="E2623" t="s">
        <v>37</v>
      </c>
      <c r="F2623" t="s">
        <v>28</v>
      </c>
      <c r="G2623" t="s">
        <v>41</v>
      </c>
      <c r="H2623" t="s">
        <v>42</v>
      </c>
      <c r="I2623">
        <v>3439.98</v>
      </c>
      <c r="J2623">
        <v>3214.84</v>
      </c>
      <c r="K2623" t="s">
        <v>17</v>
      </c>
      <c r="L2623" t="b">
        <v>0</v>
      </c>
      <c r="N2623" s="2" t="str">
        <f t="shared" si="227"/>
        <v/>
      </c>
      <c r="Q2623" t="str">
        <f t="shared" si="228"/>
        <v/>
      </c>
    </row>
    <row r="2624" spans="1:17" hidden="1">
      <c r="A2624" t="s">
        <v>2729</v>
      </c>
      <c r="B2624" s="1">
        <v>45273</v>
      </c>
      <c r="C2624">
        <v>2023</v>
      </c>
      <c r="D2624">
        <v>12</v>
      </c>
      <c r="E2624" t="s">
        <v>37</v>
      </c>
      <c r="F2624" t="s">
        <v>24</v>
      </c>
      <c r="G2624" t="s">
        <v>41</v>
      </c>
      <c r="H2624" t="s">
        <v>42</v>
      </c>
      <c r="I2624">
        <v>4241.5</v>
      </c>
      <c r="J2624">
        <v>3926.57</v>
      </c>
      <c r="K2624" t="s">
        <v>17</v>
      </c>
      <c r="L2624" t="b">
        <v>0</v>
      </c>
      <c r="N2624" s="2" t="str">
        <f t="shared" si="227"/>
        <v/>
      </c>
      <c r="Q2624" t="str">
        <f t="shared" si="228"/>
        <v/>
      </c>
    </row>
    <row r="2625" spans="1:17" hidden="1">
      <c r="A2625" t="s">
        <v>2730</v>
      </c>
      <c r="B2625" s="1">
        <v>45273</v>
      </c>
      <c r="C2625">
        <v>2023</v>
      </c>
      <c r="D2625">
        <v>12</v>
      </c>
      <c r="E2625" t="s">
        <v>37</v>
      </c>
      <c r="F2625" t="s">
        <v>24</v>
      </c>
      <c r="G2625" t="s">
        <v>98</v>
      </c>
      <c r="H2625" t="s">
        <v>99</v>
      </c>
      <c r="I2625">
        <v>2228.8200000000002</v>
      </c>
      <c r="J2625">
        <v>2347.5300000000002</v>
      </c>
      <c r="K2625" t="s">
        <v>17</v>
      </c>
      <c r="L2625" t="b">
        <v>0</v>
      </c>
      <c r="N2625" s="2" t="str">
        <f t="shared" si="227"/>
        <v/>
      </c>
      <c r="Q2625" t="str">
        <f t="shared" si="228"/>
        <v/>
      </c>
    </row>
    <row r="2626" spans="1:17" hidden="1">
      <c r="A2626" t="s">
        <v>2731</v>
      </c>
      <c r="B2626" s="1">
        <v>45274</v>
      </c>
      <c r="C2626">
        <v>2023</v>
      </c>
      <c r="D2626">
        <v>12</v>
      </c>
      <c r="E2626" t="s">
        <v>13</v>
      </c>
      <c r="F2626" t="s">
        <v>14</v>
      </c>
      <c r="G2626" t="s">
        <v>108</v>
      </c>
      <c r="H2626" t="s">
        <v>126</v>
      </c>
      <c r="I2626">
        <v>3063.22</v>
      </c>
      <c r="J2626">
        <v>3337.01</v>
      </c>
      <c r="K2626" t="s">
        <v>17</v>
      </c>
      <c r="L2626" t="b">
        <v>0</v>
      </c>
      <c r="N2626" s="2" t="str">
        <f t="shared" si="227"/>
        <v/>
      </c>
      <c r="Q2626" t="str">
        <f t="shared" si="228"/>
        <v/>
      </c>
    </row>
    <row r="2627" spans="1:17" hidden="1">
      <c r="A2627" t="s">
        <v>2732</v>
      </c>
      <c r="B2627" s="1">
        <v>45274</v>
      </c>
      <c r="C2627">
        <v>2023</v>
      </c>
      <c r="D2627">
        <v>12</v>
      </c>
      <c r="E2627" t="s">
        <v>13</v>
      </c>
      <c r="F2627" t="s">
        <v>24</v>
      </c>
      <c r="G2627" t="s">
        <v>102</v>
      </c>
      <c r="H2627" t="s">
        <v>103</v>
      </c>
      <c r="I2627">
        <v>4018.95</v>
      </c>
      <c r="J2627">
        <v>4364.4799999999996</v>
      </c>
      <c r="K2627" t="s">
        <v>17</v>
      </c>
      <c r="L2627" t="b">
        <v>0</v>
      </c>
      <c r="N2627" s="2" t="str">
        <f t="shared" ref="N2627:N2690" si="234">IF(AND(E2627="IT",K2627="EXPENSE"),I2627&gt;J2627,"")</f>
        <v/>
      </c>
      <c r="Q2627" t="str">
        <f t="shared" ref="Q2627:Q2690" si="235">IF(L2627=TRUE,OR(H2627="Apex Solutions Inc",H2627="Global Trade Partners",H2627="NovaTech Services"),"")</f>
        <v/>
      </c>
    </row>
    <row r="2628" spans="1:17" hidden="1">
      <c r="A2628" t="s">
        <v>2733</v>
      </c>
      <c r="B2628" s="1">
        <v>45274</v>
      </c>
      <c r="C2628">
        <v>2023</v>
      </c>
      <c r="D2628">
        <v>12</v>
      </c>
      <c r="E2628" t="s">
        <v>13</v>
      </c>
      <c r="F2628" t="s">
        <v>24</v>
      </c>
      <c r="G2628" t="s">
        <v>68</v>
      </c>
      <c r="H2628" t="s">
        <v>213</v>
      </c>
      <c r="I2628">
        <v>3145.6</v>
      </c>
      <c r="J2628">
        <v>3139.59</v>
      </c>
      <c r="K2628" t="s">
        <v>17</v>
      </c>
      <c r="L2628" t="b">
        <v>0</v>
      </c>
      <c r="N2628" s="2" t="str">
        <f t="shared" si="234"/>
        <v/>
      </c>
      <c r="Q2628" t="str">
        <f t="shared" si="235"/>
        <v/>
      </c>
    </row>
    <row r="2629" spans="1:17" hidden="1">
      <c r="A2629" t="s">
        <v>2734</v>
      </c>
      <c r="B2629" s="1">
        <v>45274</v>
      </c>
      <c r="C2629">
        <v>2023</v>
      </c>
      <c r="D2629">
        <v>12</v>
      </c>
      <c r="E2629" t="s">
        <v>47</v>
      </c>
      <c r="F2629" t="s">
        <v>24</v>
      </c>
      <c r="G2629" t="s">
        <v>77</v>
      </c>
      <c r="H2629" t="s">
        <v>78</v>
      </c>
      <c r="I2629">
        <v>13508.27</v>
      </c>
      <c r="J2629">
        <v>11692.57</v>
      </c>
      <c r="K2629" t="s">
        <v>17</v>
      </c>
      <c r="L2629" t="b">
        <v>0</v>
      </c>
      <c r="N2629" s="2" t="b">
        <f t="shared" si="234"/>
        <v>1</v>
      </c>
      <c r="O2629" t="b">
        <f>IF(AND(E2618="HR",K2618="EXPENSE"),I2618&lt;J2618,"")</f>
        <v>0</v>
      </c>
      <c r="Q2629" t="str">
        <f t="shared" si="235"/>
        <v/>
      </c>
    </row>
    <row r="2630" spans="1:17">
      <c r="A2630" t="s">
        <v>2735</v>
      </c>
      <c r="B2630" s="1">
        <v>45274</v>
      </c>
      <c r="C2630">
        <v>2023</v>
      </c>
      <c r="D2630">
        <v>12</v>
      </c>
      <c r="E2630" t="s">
        <v>19</v>
      </c>
      <c r="F2630" t="s">
        <v>14</v>
      </c>
      <c r="G2630" t="s">
        <v>80</v>
      </c>
      <c r="H2630" t="s">
        <v>651</v>
      </c>
      <c r="I2630">
        <v>21706.52</v>
      </c>
      <c r="J2630">
        <v>6580.07</v>
      </c>
      <c r="K2630" t="s">
        <v>17</v>
      </c>
      <c r="L2630" t="b">
        <v>1</v>
      </c>
      <c r="N2630" s="2" t="str">
        <f t="shared" si="234"/>
        <v/>
      </c>
      <c r="Q2630" t="b">
        <f t="shared" si="235"/>
        <v>1</v>
      </c>
    </row>
    <row r="2631" spans="1:17" hidden="1">
      <c r="A2631" t="s">
        <v>2736</v>
      </c>
      <c r="B2631" s="1">
        <v>45274</v>
      </c>
      <c r="C2631">
        <v>2023</v>
      </c>
      <c r="D2631">
        <v>12</v>
      </c>
      <c r="E2631" t="s">
        <v>19</v>
      </c>
      <c r="F2631" t="s">
        <v>24</v>
      </c>
      <c r="G2631" t="s">
        <v>132</v>
      </c>
      <c r="H2631" t="s">
        <v>133</v>
      </c>
      <c r="I2631">
        <v>6692.18</v>
      </c>
      <c r="J2631">
        <v>6092.65</v>
      </c>
      <c r="K2631" t="s">
        <v>17</v>
      </c>
      <c r="L2631" t="b">
        <v>0</v>
      </c>
      <c r="N2631" s="2" t="str">
        <f t="shared" si="234"/>
        <v/>
      </c>
      <c r="Q2631" t="str">
        <f t="shared" si="235"/>
        <v/>
      </c>
    </row>
    <row r="2632" spans="1:17" hidden="1">
      <c r="A2632" t="s">
        <v>2737</v>
      </c>
      <c r="B2632" s="1">
        <v>45274</v>
      </c>
      <c r="C2632">
        <v>2023</v>
      </c>
      <c r="D2632">
        <v>12</v>
      </c>
      <c r="E2632" t="s">
        <v>23</v>
      </c>
      <c r="F2632" t="s">
        <v>14</v>
      </c>
      <c r="G2632" t="s">
        <v>59</v>
      </c>
      <c r="H2632" t="s">
        <v>60</v>
      </c>
      <c r="I2632">
        <v>6022.02</v>
      </c>
      <c r="J2632">
        <v>5810.66</v>
      </c>
      <c r="K2632" t="s">
        <v>17</v>
      </c>
      <c r="L2632" t="b">
        <v>0</v>
      </c>
      <c r="N2632" s="2" t="str">
        <f t="shared" si="234"/>
        <v/>
      </c>
      <c r="Q2632" t="str">
        <f t="shared" si="235"/>
        <v/>
      </c>
    </row>
    <row r="2633" spans="1:17" hidden="1">
      <c r="A2633" t="s">
        <v>2738</v>
      </c>
      <c r="B2633" s="1">
        <v>45274</v>
      </c>
      <c r="C2633">
        <v>2023</v>
      </c>
      <c r="D2633">
        <v>12</v>
      </c>
      <c r="E2633" t="s">
        <v>23</v>
      </c>
      <c r="F2633" t="s">
        <v>14</v>
      </c>
      <c r="G2633" t="s">
        <v>59</v>
      </c>
      <c r="H2633" t="s">
        <v>155</v>
      </c>
      <c r="I2633">
        <v>5942.62</v>
      </c>
      <c r="J2633">
        <v>5896.12</v>
      </c>
      <c r="K2633" t="s">
        <v>17</v>
      </c>
      <c r="L2633" t="b">
        <v>0</v>
      </c>
      <c r="N2633" s="2" t="str">
        <f t="shared" si="234"/>
        <v/>
      </c>
      <c r="Q2633" t="str">
        <f t="shared" si="235"/>
        <v/>
      </c>
    </row>
    <row r="2634" spans="1:17" hidden="1">
      <c r="A2634" t="s">
        <v>2739</v>
      </c>
      <c r="B2634" s="1">
        <v>45274</v>
      </c>
      <c r="C2634">
        <v>2023</v>
      </c>
      <c r="D2634">
        <v>12</v>
      </c>
      <c r="E2634" t="s">
        <v>23</v>
      </c>
      <c r="F2634" t="s">
        <v>28</v>
      </c>
      <c r="G2634" t="s">
        <v>59</v>
      </c>
      <c r="H2634" t="s">
        <v>60</v>
      </c>
      <c r="I2634">
        <v>6085.3</v>
      </c>
      <c r="J2634">
        <v>6648.03</v>
      </c>
      <c r="K2634" t="s">
        <v>17</v>
      </c>
      <c r="L2634" t="b">
        <v>0</v>
      </c>
      <c r="N2634" s="2" t="str">
        <f t="shared" si="234"/>
        <v/>
      </c>
      <c r="Q2634" t="str">
        <f t="shared" si="235"/>
        <v/>
      </c>
    </row>
    <row r="2635" spans="1:17" hidden="1">
      <c r="A2635" t="s">
        <v>2740</v>
      </c>
      <c r="B2635" s="1">
        <v>45274</v>
      </c>
      <c r="C2635">
        <v>2023</v>
      </c>
      <c r="D2635">
        <v>12</v>
      </c>
      <c r="E2635" t="s">
        <v>37</v>
      </c>
      <c r="F2635" t="s">
        <v>28</v>
      </c>
      <c r="G2635" t="s">
        <v>38</v>
      </c>
      <c r="H2635" t="s">
        <v>118</v>
      </c>
      <c r="I2635">
        <v>1660.17</v>
      </c>
      <c r="J2635">
        <v>1762.01</v>
      </c>
      <c r="K2635" t="s">
        <v>17</v>
      </c>
      <c r="L2635" t="b">
        <v>0</v>
      </c>
      <c r="N2635" s="2" t="str">
        <f t="shared" si="234"/>
        <v/>
      </c>
      <c r="Q2635" t="str">
        <f t="shared" si="235"/>
        <v/>
      </c>
    </row>
    <row r="2636" spans="1:17" hidden="1">
      <c r="A2636" t="s">
        <v>2741</v>
      </c>
      <c r="B2636" s="1">
        <v>45274</v>
      </c>
      <c r="C2636">
        <v>2023</v>
      </c>
      <c r="D2636">
        <v>12</v>
      </c>
      <c r="E2636" t="s">
        <v>37</v>
      </c>
      <c r="F2636" t="s">
        <v>28</v>
      </c>
      <c r="G2636" t="s">
        <v>98</v>
      </c>
      <c r="H2636" t="s">
        <v>185</v>
      </c>
      <c r="I2636">
        <v>2649.29</v>
      </c>
      <c r="J2636">
        <v>2490.11</v>
      </c>
      <c r="K2636" t="s">
        <v>17</v>
      </c>
      <c r="L2636" t="b">
        <v>0</v>
      </c>
      <c r="N2636" s="2" t="str">
        <f t="shared" si="234"/>
        <v/>
      </c>
      <c r="Q2636" t="str">
        <f t="shared" si="235"/>
        <v/>
      </c>
    </row>
    <row r="2637" spans="1:17" hidden="1">
      <c r="A2637" t="s">
        <v>2742</v>
      </c>
      <c r="B2637" s="1">
        <v>45275</v>
      </c>
      <c r="C2637">
        <v>2023</v>
      </c>
      <c r="D2637">
        <v>12</v>
      </c>
      <c r="E2637" t="s">
        <v>13</v>
      </c>
      <c r="F2637" t="s">
        <v>14</v>
      </c>
      <c r="G2637" t="s">
        <v>108</v>
      </c>
      <c r="H2637" t="s">
        <v>123</v>
      </c>
      <c r="I2637">
        <v>4332.2299999999996</v>
      </c>
      <c r="J2637">
        <v>4106.91</v>
      </c>
      <c r="K2637" t="s">
        <v>17</v>
      </c>
      <c r="L2637" t="b">
        <v>0</v>
      </c>
      <c r="N2637" s="2" t="str">
        <f t="shared" si="234"/>
        <v/>
      </c>
      <c r="Q2637" t="str">
        <f t="shared" si="235"/>
        <v/>
      </c>
    </row>
    <row r="2638" spans="1:17" hidden="1">
      <c r="A2638" t="s">
        <v>2743</v>
      </c>
      <c r="B2638" s="1">
        <v>45275</v>
      </c>
      <c r="C2638">
        <v>2023</v>
      </c>
      <c r="D2638">
        <v>12</v>
      </c>
      <c r="E2638" t="s">
        <v>13</v>
      </c>
      <c r="F2638" t="s">
        <v>14</v>
      </c>
      <c r="G2638" t="s">
        <v>68</v>
      </c>
      <c r="H2638" t="s">
        <v>213</v>
      </c>
      <c r="I2638">
        <v>6643.5</v>
      </c>
      <c r="J2638">
        <v>6438.37</v>
      </c>
      <c r="K2638" t="s">
        <v>17</v>
      </c>
      <c r="L2638" t="b">
        <v>0</v>
      </c>
      <c r="N2638" s="2" t="str">
        <f t="shared" si="234"/>
        <v/>
      </c>
      <c r="Q2638" t="str">
        <f t="shared" si="235"/>
        <v/>
      </c>
    </row>
    <row r="2639" spans="1:17" hidden="1">
      <c r="A2639" t="s">
        <v>2744</v>
      </c>
      <c r="B2639" s="1">
        <v>45275</v>
      </c>
      <c r="C2639">
        <v>2023</v>
      </c>
      <c r="D2639">
        <v>12</v>
      </c>
      <c r="E2639" t="s">
        <v>13</v>
      </c>
      <c r="F2639" t="s">
        <v>24</v>
      </c>
      <c r="G2639" t="s">
        <v>68</v>
      </c>
      <c r="H2639" t="s">
        <v>69</v>
      </c>
      <c r="I2639">
        <v>3160.14</v>
      </c>
      <c r="J2639">
        <v>3237.98</v>
      </c>
      <c r="K2639" t="s">
        <v>17</v>
      </c>
      <c r="L2639" t="b">
        <v>0</v>
      </c>
      <c r="N2639" s="2" t="str">
        <f t="shared" si="234"/>
        <v/>
      </c>
      <c r="Q2639" t="str">
        <f t="shared" si="235"/>
        <v/>
      </c>
    </row>
    <row r="2640" spans="1:17" hidden="1">
      <c r="A2640" t="s">
        <v>2745</v>
      </c>
      <c r="B2640" s="1">
        <v>45275</v>
      </c>
      <c r="C2640">
        <v>2023</v>
      </c>
      <c r="D2640">
        <v>12</v>
      </c>
      <c r="E2640" t="s">
        <v>47</v>
      </c>
      <c r="F2640" t="s">
        <v>14</v>
      </c>
      <c r="G2640" t="s">
        <v>91</v>
      </c>
      <c r="H2640" t="s">
        <v>92</v>
      </c>
      <c r="I2640">
        <v>16047.36</v>
      </c>
      <c r="J2640">
        <v>13697.14</v>
      </c>
      <c r="K2640" t="s">
        <v>17</v>
      </c>
      <c r="L2640" t="b">
        <v>0</v>
      </c>
      <c r="N2640" s="2" t="b">
        <f t="shared" si="234"/>
        <v>1</v>
      </c>
      <c r="O2640" t="str">
        <f t="shared" ref="O2640:O2641" si="236">IF(AND(E2629="HR",K2629="EXPENSE"),I2629&lt;J2629,"")</f>
        <v/>
      </c>
      <c r="Q2640" t="str">
        <f t="shared" si="235"/>
        <v/>
      </c>
    </row>
    <row r="2641" spans="1:17" hidden="1">
      <c r="A2641" t="s">
        <v>2746</v>
      </c>
      <c r="B2641" s="1">
        <v>45275</v>
      </c>
      <c r="C2641">
        <v>2023</v>
      </c>
      <c r="D2641">
        <v>12</v>
      </c>
      <c r="E2641" t="s">
        <v>47</v>
      </c>
      <c r="F2641" t="s">
        <v>14</v>
      </c>
      <c r="G2641" t="s">
        <v>51</v>
      </c>
      <c r="H2641" t="s">
        <v>52</v>
      </c>
      <c r="I2641">
        <v>23668.959999999999</v>
      </c>
      <c r="J2641">
        <v>19871.240000000002</v>
      </c>
      <c r="K2641" t="s">
        <v>17</v>
      </c>
      <c r="L2641" t="b">
        <v>0</v>
      </c>
      <c r="N2641" s="2" t="b">
        <f t="shared" si="234"/>
        <v>1</v>
      </c>
      <c r="O2641" t="str">
        <f t="shared" si="236"/>
        <v/>
      </c>
      <c r="Q2641" t="str">
        <f t="shared" si="235"/>
        <v/>
      </c>
    </row>
    <row r="2642" spans="1:17" hidden="1">
      <c r="A2642" t="s">
        <v>2747</v>
      </c>
      <c r="B2642" s="1">
        <v>45275</v>
      </c>
      <c r="C2642">
        <v>2023</v>
      </c>
      <c r="D2642">
        <v>12</v>
      </c>
      <c r="E2642" t="s">
        <v>19</v>
      </c>
      <c r="F2642" t="s">
        <v>14</v>
      </c>
      <c r="G2642" t="s">
        <v>20</v>
      </c>
      <c r="H2642" t="s">
        <v>136</v>
      </c>
      <c r="I2642">
        <v>7082.89</v>
      </c>
      <c r="J2642">
        <v>7595.47</v>
      </c>
      <c r="K2642" t="s">
        <v>17</v>
      </c>
      <c r="L2642" t="b">
        <v>0</v>
      </c>
      <c r="N2642" s="2" t="str">
        <f t="shared" si="234"/>
        <v/>
      </c>
      <c r="Q2642" t="str">
        <f t="shared" si="235"/>
        <v/>
      </c>
    </row>
    <row r="2643" spans="1:17" hidden="1">
      <c r="A2643" t="s">
        <v>2748</v>
      </c>
      <c r="B2643" s="1">
        <v>45275</v>
      </c>
      <c r="C2643">
        <v>2023</v>
      </c>
      <c r="D2643">
        <v>12</v>
      </c>
      <c r="E2643" t="s">
        <v>19</v>
      </c>
      <c r="F2643" t="s">
        <v>24</v>
      </c>
      <c r="G2643" t="s">
        <v>54</v>
      </c>
      <c r="H2643" t="s">
        <v>57</v>
      </c>
      <c r="I2643">
        <v>5070.58</v>
      </c>
      <c r="J2643">
        <v>5091.1899999999996</v>
      </c>
      <c r="K2643" t="s">
        <v>17</v>
      </c>
      <c r="L2643" t="b">
        <v>0</v>
      </c>
      <c r="N2643" s="2" t="str">
        <f t="shared" si="234"/>
        <v/>
      </c>
      <c r="Q2643" t="str">
        <f t="shared" si="235"/>
        <v/>
      </c>
    </row>
    <row r="2644" spans="1:17" hidden="1">
      <c r="A2644" t="s">
        <v>2749</v>
      </c>
      <c r="B2644" s="1">
        <v>45276</v>
      </c>
      <c r="C2644">
        <v>2023</v>
      </c>
      <c r="D2644">
        <v>12</v>
      </c>
      <c r="E2644" t="s">
        <v>13</v>
      </c>
      <c r="F2644" t="s">
        <v>14</v>
      </c>
      <c r="G2644" t="s">
        <v>68</v>
      </c>
      <c r="H2644" t="s">
        <v>87</v>
      </c>
      <c r="I2644">
        <v>3959.64</v>
      </c>
      <c r="J2644">
        <v>3717.41</v>
      </c>
      <c r="K2644" t="s">
        <v>17</v>
      </c>
      <c r="L2644" t="b">
        <v>0</v>
      </c>
      <c r="N2644" s="2" t="str">
        <f t="shared" si="234"/>
        <v/>
      </c>
      <c r="Q2644" t="str">
        <f t="shared" si="235"/>
        <v/>
      </c>
    </row>
    <row r="2645" spans="1:17" hidden="1">
      <c r="A2645" t="s">
        <v>2750</v>
      </c>
      <c r="B2645" s="1">
        <v>45276</v>
      </c>
      <c r="C2645">
        <v>2023</v>
      </c>
      <c r="D2645">
        <v>12</v>
      </c>
      <c r="E2645" t="s">
        <v>13</v>
      </c>
      <c r="F2645" t="s">
        <v>28</v>
      </c>
      <c r="G2645" t="s">
        <v>102</v>
      </c>
      <c r="H2645" t="s">
        <v>145</v>
      </c>
      <c r="I2645">
        <v>5623.32</v>
      </c>
      <c r="J2645">
        <v>5492.27</v>
      </c>
      <c r="K2645" t="s">
        <v>17</v>
      </c>
      <c r="L2645" t="b">
        <v>0</v>
      </c>
      <c r="N2645" s="2" t="str">
        <f t="shared" si="234"/>
        <v/>
      </c>
      <c r="Q2645" t="str">
        <f t="shared" si="235"/>
        <v/>
      </c>
    </row>
    <row r="2646" spans="1:17" hidden="1">
      <c r="A2646" t="s">
        <v>2751</v>
      </c>
      <c r="B2646" s="1">
        <v>45276</v>
      </c>
      <c r="C2646">
        <v>2023</v>
      </c>
      <c r="D2646">
        <v>12</v>
      </c>
      <c r="E2646" t="s">
        <v>13</v>
      </c>
      <c r="F2646" t="s">
        <v>24</v>
      </c>
      <c r="G2646" t="s">
        <v>15</v>
      </c>
      <c r="H2646" t="s">
        <v>16</v>
      </c>
      <c r="I2646">
        <v>2918.54</v>
      </c>
      <c r="J2646">
        <v>3114.42</v>
      </c>
      <c r="K2646" t="s">
        <v>17</v>
      </c>
      <c r="L2646" t="b">
        <v>0</v>
      </c>
      <c r="N2646" s="2" t="str">
        <f t="shared" si="234"/>
        <v/>
      </c>
      <c r="Q2646" t="str">
        <f t="shared" si="235"/>
        <v/>
      </c>
    </row>
    <row r="2647" spans="1:17" hidden="1">
      <c r="A2647" t="s">
        <v>2752</v>
      </c>
      <c r="B2647" s="1">
        <v>45276</v>
      </c>
      <c r="C2647">
        <v>2023</v>
      </c>
      <c r="D2647">
        <v>12</v>
      </c>
      <c r="E2647" t="s">
        <v>47</v>
      </c>
      <c r="F2647" t="s">
        <v>28</v>
      </c>
      <c r="G2647" t="s">
        <v>91</v>
      </c>
      <c r="H2647" t="s">
        <v>92</v>
      </c>
      <c r="I2647">
        <v>10620.57</v>
      </c>
      <c r="J2647">
        <v>9006.15</v>
      </c>
      <c r="K2647" t="s">
        <v>17</v>
      </c>
      <c r="L2647" t="b">
        <v>0</v>
      </c>
      <c r="N2647" s="2" t="b">
        <f t="shared" si="234"/>
        <v>1</v>
      </c>
      <c r="O2647" t="str">
        <f>IF(AND(E2636="HR",K2636="EXPENSE"),I2636&lt;J2636,"")</f>
        <v/>
      </c>
      <c r="Q2647" t="str">
        <f t="shared" si="235"/>
        <v/>
      </c>
    </row>
    <row r="2648" spans="1:17" hidden="1">
      <c r="A2648" t="s">
        <v>2753</v>
      </c>
      <c r="B2648" s="1">
        <v>45276</v>
      </c>
      <c r="C2648">
        <v>2023</v>
      </c>
      <c r="D2648">
        <v>12</v>
      </c>
      <c r="E2648" t="s">
        <v>19</v>
      </c>
      <c r="F2648" t="s">
        <v>28</v>
      </c>
      <c r="G2648" t="s">
        <v>132</v>
      </c>
      <c r="H2648" t="s">
        <v>171</v>
      </c>
      <c r="I2648">
        <v>8582.73</v>
      </c>
      <c r="J2648">
        <v>8007.23</v>
      </c>
      <c r="K2648" t="s">
        <v>17</v>
      </c>
      <c r="L2648" t="b">
        <v>0</v>
      </c>
      <c r="N2648" s="2" t="str">
        <f t="shared" si="234"/>
        <v/>
      </c>
      <c r="Q2648" t="str">
        <f t="shared" si="235"/>
        <v/>
      </c>
    </row>
    <row r="2649" spans="1:17" hidden="1">
      <c r="A2649" t="s">
        <v>2754</v>
      </c>
      <c r="B2649" s="1">
        <v>45276</v>
      </c>
      <c r="C2649">
        <v>2023</v>
      </c>
      <c r="D2649">
        <v>12</v>
      </c>
      <c r="E2649" t="s">
        <v>19</v>
      </c>
      <c r="F2649" t="s">
        <v>24</v>
      </c>
      <c r="G2649" t="s">
        <v>20</v>
      </c>
      <c r="H2649" t="s">
        <v>174</v>
      </c>
      <c r="I2649">
        <v>4585.91</v>
      </c>
      <c r="J2649">
        <v>4323.18</v>
      </c>
      <c r="K2649" t="s">
        <v>17</v>
      </c>
      <c r="L2649" t="b">
        <v>0</v>
      </c>
      <c r="N2649" s="2" t="str">
        <f t="shared" si="234"/>
        <v/>
      </c>
      <c r="Q2649" t="str">
        <f t="shared" si="235"/>
        <v/>
      </c>
    </row>
    <row r="2650" spans="1:17" hidden="1">
      <c r="A2650" t="s">
        <v>2755</v>
      </c>
      <c r="B2650" s="1">
        <v>45276</v>
      </c>
      <c r="C2650">
        <v>2023</v>
      </c>
      <c r="D2650">
        <v>12</v>
      </c>
      <c r="E2650" t="s">
        <v>23</v>
      </c>
      <c r="F2650" t="s">
        <v>28</v>
      </c>
      <c r="G2650" t="s">
        <v>141</v>
      </c>
      <c r="H2650" t="s">
        <v>153</v>
      </c>
      <c r="I2650">
        <v>7289.27</v>
      </c>
      <c r="J2650">
        <v>6744.45</v>
      </c>
      <c r="K2650" t="s">
        <v>17</v>
      </c>
      <c r="L2650" t="b">
        <v>0</v>
      </c>
      <c r="N2650" s="2" t="str">
        <f t="shared" si="234"/>
        <v/>
      </c>
      <c r="Q2650" t="str">
        <f t="shared" si="235"/>
        <v/>
      </c>
    </row>
    <row r="2651" spans="1:17" hidden="1">
      <c r="A2651" t="s">
        <v>2756</v>
      </c>
      <c r="B2651" s="1">
        <v>45276</v>
      </c>
      <c r="C2651">
        <v>2023</v>
      </c>
      <c r="D2651">
        <v>12</v>
      </c>
      <c r="E2651" t="s">
        <v>23</v>
      </c>
      <c r="F2651" t="s">
        <v>24</v>
      </c>
      <c r="G2651" t="s">
        <v>59</v>
      </c>
      <c r="H2651" t="s">
        <v>60</v>
      </c>
      <c r="I2651">
        <v>2736.85</v>
      </c>
      <c r="J2651">
        <v>2595.5</v>
      </c>
      <c r="K2651" t="s">
        <v>17</v>
      </c>
      <c r="L2651" t="b">
        <v>0</v>
      </c>
      <c r="N2651" s="2" t="str">
        <f t="shared" si="234"/>
        <v/>
      </c>
      <c r="Q2651" t="str">
        <f t="shared" si="235"/>
        <v/>
      </c>
    </row>
    <row r="2652" spans="1:17" hidden="1">
      <c r="A2652" t="s">
        <v>2757</v>
      </c>
      <c r="B2652" s="1">
        <v>45276</v>
      </c>
      <c r="C2652">
        <v>2023</v>
      </c>
      <c r="D2652">
        <v>12</v>
      </c>
      <c r="E2652" t="s">
        <v>23</v>
      </c>
      <c r="F2652" t="s">
        <v>24</v>
      </c>
      <c r="G2652" t="s">
        <v>25</v>
      </c>
      <c r="H2652" t="s">
        <v>35</v>
      </c>
      <c r="I2652">
        <v>2848.64</v>
      </c>
      <c r="J2652">
        <v>2797.12</v>
      </c>
      <c r="K2652" t="s">
        <v>17</v>
      </c>
      <c r="L2652" t="b">
        <v>0</v>
      </c>
      <c r="N2652" s="2" t="str">
        <f t="shared" si="234"/>
        <v/>
      </c>
      <c r="Q2652" t="str">
        <f t="shared" si="235"/>
        <v/>
      </c>
    </row>
    <row r="2653" spans="1:17" hidden="1">
      <c r="A2653" t="s">
        <v>2758</v>
      </c>
      <c r="B2653" s="1">
        <v>45276</v>
      </c>
      <c r="C2653">
        <v>2023</v>
      </c>
      <c r="D2653">
        <v>12</v>
      </c>
      <c r="E2653" t="s">
        <v>37</v>
      </c>
      <c r="F2653" t="s">
        <v>24</v>
      </c>
      <c r="G2653" t="s">
        <v>41</v>
      </c>
      <c r="H2653" t="s">
        <v>42</v>
      </c>
      <c r="I2653">
        <v>4088.65</v>
      </c>
      <c r="J2653">
        <v>4295.32</v>
      </c>
      <c r="K2653" t="s">
        <v>17</v>
      </c>
      <c r="L2653" t="b">
        <v>0</v>
      </c>
      <c r="N2653" s="2" t="str">
        <f t="shared" si="234"/>
        <v/>
      </c>
      <c r="Q2653" t="str">
        <f t="shared" si="235"/>
        <v/>
      </c>
    </row>
    <row r="2654" spans="1:17" hidden="1">
      <c r="A2654" t="s">
        <v>2759</v>
      </c>
      <c r="B2654" s="1">
        <v>45276</v>
      </c>
      <c r="C2654">
        <v>2023</v>
      </c>
      <c r="D2654">
        <v>12</v>
      </c>
      <c r="E2654" t="s">
        <v>37</v>
      </c>
      <c r="F2654" t="s">
        <v>24</v>
      </c>
      <c r="G2654" t="s">
        <v>38</v>
      </c>
      <c r="H2654" t="s">
        <v>118</v>
      </c>
      <c r="I2654">
        <v>2061.58</v>
      </c>
      <c r="J2654">
        <v>2145.12</v>
      </c>
      <c r="K2654" t="s">
        <v>17</v>
      </c>
      <c r="L2654" t="b">
        <v>0</v>
      </c>
      <c r="N2654" s="2" t="str">
        <f t="shared" si="234"/>
        <v/>
      </c>
      <c r="Q2654" t="str">
        <f t="shared" si="235"/>
        <v/>
      </c>
    </row>
    <row r="2655" spans="1:17" hidden="1">
      <c r="A2655" t="s">
        <v>2760</v>
      </c>
      <c r="B2655" s="1">
        <v>45277</v>
      </c>
      <c r="C2655">
        <v>2023</v>
      </c>
      <c r="D2655">
        <v>12</v>
      </c>
      <c r="E2655" t="s">
        <v>13</v>
      </c>
      <c r="F2655" t="s">
        <v>24</v>
      </c>
      <c r="G2655" t="s">
        <v>102</v>
      </c>
      <c r="H2655" t="s">
        <v>278</v>
      </c>
      <c r="I2655">
        <v>3137.12</v>
      </c>
      <c r="J2655">
        <v>3183.53</v>
      </c>
      <c r="K2655" t="s">
        <v>17</v>
      </c>
      <c r="L2655" t="b">
        <v>0</v>
      </c>
      <c r="N2655" s="2" t="str">
        <f t="shared" si="234"/>
        <v/>
      </c>
      <c r="Q2655" t="str">
        <f t="shared" si="235"/>
        <v/>
      </c>
    </row>
    <row r="2656" spans="1:17" hidden="1">
      <c r="A2656" t="s">
        <v>2761</v>
      </c>
      <c r="B2656" s="1">
        <v>45277</v>
      </c>
      <c r="C2656">
        <v>2023</v>
      </c>
      <c r="D2656">
        <v>12</v>
      </c>
      <c r="E2656" t="s">
        <v>47</v>
      </c>
      <c r="F2656" t="s">
        <v>28</v>
      </c>
      <c r="G2656" t="s">
        <v>51</v>
      </c>
      <c r="H2656" t="s">
        <v>72</v>
      </c>
      <c r="I2656">
        <v>16948.509999999998</v>
      </c>
      <c r="J2656">
        <v>14531.57</v>
      </c>
      <c r="K2656" t="s">
        <v>17</v>
      </c>
      <c r="L2656" t="b">
        <v>0</v>
      </c>
      <c r="N2656" s="2" t="b">
        <f t="shared" si="234"/>
        <v>1</v>
      </c>
      <c r="O2656" t="b">
        <f>IF(AND(E2645="HR",K2645="EXPENSE"),I2645&lt;J2645,"")</f>
        <v>0</v>
      </c>
      <c r="Q2656" t="str">
        <f t="shared" si="235"/>
        <v/>
      </c>
    </row>
    <row r="2657" spans="1:17" hidden="1">
      <c r="A2657" t="s">
        <v>2762</v>
      </c>
      <c r="B2657" s="1">
        <v>45277</v>
      </c>
      <c r="C2657">
        <v>2023</v>
      </c>
      <c r="D2657">
        <v>12</v>
      </c>
      <c r="E2657" t="s">
        <v>19</v>
      </c>
      <c r="F2657" t="s">
        <v>24</v>
      </c>
      <c r="G2657" t="s">
        <v>20</v>
      </c>
      <c r="H2657" t="s">
        <v>174</v>
      </c>
      <c r="I2657">
        <v>5130.67</v>
      </c>
      <c r="J2657">
        <v>4751.91</v>
      </c>
      <c r="K2657" t="s">
        <v>17</v>
      </c>
      <c r="L2657" t="b">
        <v>0</v>
      </c>
      <c r="N2657" s="2" t="str">
        <f t="shared" si="234"/>
        <v/>
      </c>
      <c r="Q2657" t="str">
        <f t="shared" si="235"/>
        <v/>
      </c>
    </row>
    <row r="2658" spans="1:17" hidden="1">
      <c r="A2658" t="s">
        <v>2763</v>
      </c>
      <c r="B2658" s="1">
        <v>45277</v>
      </c>
      <c r="C2658">
        <v>2023</v>
      </c>
      <c r="D2658">
        <v>12</v>
      </c>
      <c r="E2658" t="s">
        <v>37</v>
      </c>
      <c r="F2658" t="s">
        <v>28</v>
      </c>
      <c r="G2658" t="s">
        <v>41</v>
      </c>
      <c r="H2658" t="s">
        <v>42</v>
      </c>
      <c r="I2658">
        <v>2797.74</v>
      </c>
      <c r="J2658">
        <v>2547.2600000000002</v>
      </c>
      <c r="K2658" t="s">
        <v>17</v>
      </c>
      <c r="L2658" t="b">
        <v>0</v>
      </c>
      <c r="N2658" s="2" t="str">
        <f t="shared" si="234"/>
        <v/>
      </c>
      <c r="Q2658" t="str">
        <f t="shared" si="235"/>
        <v/>
      </c>
    </row>
    <row r="2659" spans="1:17" hidden="1">
      <c r="A2659" t="s">
        <v>2764</v>
      </c>
      <c r="B2659" s="1">
        <v>45277</v>
      </c>
      <c r="C2659">
        <v>2023</v>
      </c>
      <c r="D2659">
        <v>12</v>
      </c>
      <c r="E2659" t="s">
        <v>37</v>
      </c>
      <c r="F2659" t="s">
        <v>24</v>
      </c>
      <c r="G2659" t="s">
        <v>41</v>
      </c>
      <c r="H2659" t="s">
        <v>42</v>
      </c>
      <c r="I2659">
        <v>1522.99</v>
      </c>
      <c r="J2659">
        <v>1372.86</v>
      </c>
      <c r="K2659" t="s">
        <v>17</v>
      </c>
      <c r="L2659" t="b">
        <v>0</v>
      </c>
      <c r="N2659" s="2" t="str">
        <f t="shared" si="234"/>
        <v/>
      </c>
      <c r="Q2659" t="str">
        <f t="shared" si="235"/>
        <v/>
      </c>
    </row>
    <row r="2660" spans="1:17" hidden="1">
      <c r="A2660" t="s">
        <v>2765</v>
      </c>
      <c r="B2660" s="1">
        <v>45278</v>
      </c>
      <c r="C2660">
        <v>2023</v>
      </c>
      <c r="D2660">
        <v>12</v>
      </c>
      <c r="E2660" t="s">
        <v>13</v>
      </c>
      <c r="F2660" t="s">
        <v>14</v>
      </c>
      <c r="G2660" t="s">
        <v>68</v>
      </c>
      <c r="H2660" t="s">
        <v>87</v>
      </c>
      <c r="I2660">
        <v>4529.68</v>
      </c>
      <c r="J2660">
        <v>4465.76</v>
      </c>
      <c r="K2660" t="s">
        <v>17</v>
      </c>
      <c r="L2660" t="b">
        <v>0</v>
      </c>
      <c r="N2660" s="2" t="str">
        <f t="shared" si="234"/>
        <v/>
      </c>
      <c r="Q2660" t="str">
        <f t="shared" si="235"/>
        <v/>
      </c>
    </row>
    <row r="2661" spans="1:17" hidden="1">
      <c r="A2661" t="s">
        <v>2766</v>
      </c>
      <c r="B2661" s="1">
        <v>45278</v>
      </c>
      <c r="C2661">
        <v>2023</v>
      </c>
      <c r="D2661">
        <v>12</v>
      </c>
      <c r="E2661" t="s">
        <v>13</v>
      </c>
      <c r="F2661" t="s">
        <v>28</v>
      </c>
      <c r="G2661" t="s">
        <v>102</v>
      </c>
      <c r="H2661" t="s">
        <v>278</v>
      </c>
      <c r="I2661">
        <v>3685.54</v>
      </c>
      <c r="J2661">
        <v>3579.69</v>
      </c>
      <c r="K2661" t="s">
        <v>17</v>
      </c>
      <c r="L2661" t="b">
        <v>0</v>
      </c>
      <c r="N2661" s="2" t="str">
        <f t="shared" si="234"/>
        <v/>
      </c>
      <c r="Q2661" t="str">
        <f t="shared" si="235"/>
        <v/>
      </c>
    </row>
    <row r="2662" spans="1:17" hidden="1">
      <c r="A2662" t="s">
        <v>2767</v>
      </c>
      <c r="B2662" s="1">
        <v>45278</v>
      </c>
      <c r="C2662">
        <v>2023</v>
      </c>
      <c r="D2662">
        <v>12</v>
      </c>
      <c r="E2662" t="s">
        <v>13</v>
      </c>
      <c r="F2662" t="s">
        <v>28</v>
      </c>
      <c r="G2662" t="s">
        <v>102</v>
      </c>
      <c r="H2662" t="s">
        <v>145</v>
      </c>
      <c r="I2662">
        <v>4768.33</v>
      </c>
      <c r="J2662">
        <v>4816.67</v>
      </c>
      <c r="K2662" t="s">
        <v>17</v>
      </c>
      <c r="L2662" t="b">
        <v>0</v>
      </c>
      <c r="N2662" s="2" t="str">
        <f t="shared" si="234"/>
        <v/>
      </c>
      <c r="Q2662" t="str">
        <f t="shared" si="235"/>
        <v/>
      </c>
    </row>
    <row r="2663" spans="1:17" hidden="1">
      <c r="A2663" t="s">
        <v>2768</v>
      </c>
      <c r="B2663" s="1">
        <v>45278</v>
      </c>
      <c r="C2663">
        <v>2023</v>
      </c>
      <c r="D2663">
        <v>12</v>
      </c>
      <c r="E2663" t="s">
        <v>47</v>
      </c>
      <c r="F2663" t="s">
        <v>14</v>
      </c>
      <c r="G2663" t="s">
        <v>51</v>
      </c>
      <c r="H2663" t="s">
        <v>72</v>
      </c>
      <c r="I2663">
        <v>16054.02</v>
      </c>
      <c r="J2663">
        <v>13651.5</v>
      </c>
      <c r="K2663" t="s">
        <v>17</v>
      </c>
      <c r="L2663" t="b">
        <v>0</v>
      </c>
      <c r="N2663" s="2" t="b">
        <f t="shared" si="234"/>
        <v>1</v>
      </c>
      <c r="O2663" t="str">
        <f t="shared" ref="O2663:O2664" si="237">IF(AND(E2652="HR",K2652="EXPENSE"),I2652&lt;J2652,"")</f>
        <v/>
      </c>
      <c r="Q2663" t="str">
        <f t="shared" si="235"/>
        <v/>
      </c>
    </row>
    <row r="2664" spans="1:17" hidden="1">
      <c r="A2664" t="s">
        <v>2769</v>
      </c>
      <c r="B2664" s="1">
        <v>45278</v>
      </c>
      <c r="C2664">
        <v>2023</v>
      </c>
      <c r="D2664">
        <v>12</v>
      </c>
      <c r="E2664" t="s">
        <v>47</v>
      </c>
      <c r="F2664" t="s">
        <v>28</v>
      </c>
      <c r="G2664" t="s">
        <v>48</v>
      </c>
      <c r="H2664" t="s">
        <v>49</v>
      </c>
      <c r="I2664">
        <v>16876.919999999998</v>
      </c>
      <c r="J2664">
        <v>14367.99</v>
      </c>
      <c r="K2664" t="s">
        <v>17</v>
      </c>
      <c r="L2664" t="b">
        <v>0</v>
      </c>
      <c r="N2664" s="2" t="b">
        <f t="shared" si="234"/>
        <v>1</v>
      </c>
      <c r="O2664" t="str">
        <f t="shared" si="237"/>
        <v/>
      </c>
      <c r="Q2664" t="str">
        <f t="shared" si="235"/>
        <v/>
      </c>
    </row>
    <row r="2665" spans="1:17" hidden="1">
      <c r="A2665" t="s">
        <v>2770</v>
      </c>
      <c r="B2665" s="1">
        <v>45278</v>
      </c>
      <c r="C2665">
        <v>2023</v>
      </c>
      <c r="D2665">
        <v>12</v>
      </c>
      <c r="E2665" t="s">
        <v>19</v>
      </c>
      <c r="F2665" t="s">
        <v>14</v>
      </c>
      <c r="G2665" t="s">
        <v>80</v>
      </c>
      <c r="H2665" t="s">
        <v>217</v>
      </c>
      <c r="I2665">
        <v>4055.28</v>
      </c>
      <c r="J2665">
        <v>4102.22</v>
      </c>
      <c r="K2665" t="s">
        <v>17</v>
      </c>
      <c r="L2665" t="b">
        <v>0</v>
      </c>
      <c r="N2665" s="2" t="str">
        <f t="shared" si="234"/>
        <v/>
      </c>
      <c r="Q2665" t="str">
        <f t="shared" si="235"/>
        <v/>
      </c>
    </row>
    <row r="2666" spans="1:17" hidden="1">
      <c r="A2666" t="s">
        <v>2771</v>
      </c>
      <c r="B2666" s="1">
        <v>45278</v>
      </c>
      <c r="C2666">
        <v>2023</v>
      </c>
      <c r="D2666">
        <v>12</v>
      </c>
      <c r="E2666" t="s">
        <v>19</v>
      </c>
      <c r="F2666" t="s">
        <v>24</v>
      </c>
      <c r="G2666" t="s">
        <v>132</v>
      </c>
      <c r="H2666" t="s">
        <v>138</v>
      </c>
      <c r="I2666">
        <v>4845.41</v>
      </c>
      <c r="J2666">
        <v>4780.7299999999996</v>
      </c>
      <c r="K2666" t="s">
        <v>17</v>
      </c>
      <c r="L2666" t="b">
        <v>0</v>
      </c>
      <c r="N2666" s="2" t="str">
        <f t="shared" si="234"/>
        <v/>
      </c>
      <c r="Q2666" t="str">
        <f t="shared" si="235"/>
        <v/>
      </c>
    </row>
    <row r="2667" spans="1:17" hidden="1">
      <c r="A2667" t="s">
        <v>2772</v>
      </c>
      <c r="B2667" s="1">
        <v>45278</v>
      </c>
      <c r="C2667">
        <v>2023</v>
      </c>
      <c r="D2667">
        <v>12</v>
      </c>
      <c r="E2667" t="s">
        <v>37</v>
      </c>
      <c r="F2667" t="s">
        <v>28</v>
      </c>
      <c r="G2667" t="s">
        <v>41</v>
      </c>
      <c r="H2667" t="s">
        <v>42</v>
      </c>
      <c r="I2667">
        <v>4965.16</v>
      </c>
      <c r="J2667">
        <v>5396.54</v>
      </c>
      <c r="K2667" t="s">
        <v>17</v>
      </c>
      <c r="L2667" t="b">
        <v>0</v>
      </c>
      <c r="N2667" s="2" t="str">
        <f t="shared" si="234"/>
        <v/>
      </c>
      <c r="Q2667" t="str">
        <f t="shared" si="235"/>
        <v/>
      </c>
    </row>
    <row r="2668" spans="1:17" hidden="1">
      <c r="A2668" t="s">
        <v>2773</v>
      </c>
      <c r="B2668" s="1">
        <v>45279</v>
      </c>
      <c r="C2668">
        <v>2023</v>
      </c>
      <c r="D2668">
        <v>12</v>
      </c>
      <c r="E2668" t="s">
        <v>13</v>
      </c>
      <c r="F2668" t="s">
        <v>28</v>
      </c>
      <c r="G2668" t="s">
        <v>102</v>
      </c>
      <c r="H2668" t="s">
        <v>103</v>
      </c>
      <c r="I2668">
        <v>3296.7</v>
      </c>
      <c r="J2668">
        <v>3299.51</v>
      </c>
      <c r="K2668" t="s">
        <v>17</v>
      </c>
      <c r="L2668" t="b">
        <v>0</v>
      </c>
      <c r="N2668" s="2" t="str">
        <f t="shared" si="234"/>
        <v/>
      </c>
      <c r="Q2668" t="str">
        <f t="shared" si="235"/>
        <v/>
      </c>
    </row>
    <row r="2669" spans="1:17" hidden="1">
      <c r="A2669" t="s">
        <v>2774</v>
      </c>
      <c r="B2669" s="1">
        <v>45279</v>
      </c>
      <c r="C2669">
        <v>2023</v>
      </c>
      <c r="D2669">
        <v>12</v>
      </c>
      <c r="E2669" t="s">
        <v>13</v>
      </c>
      <c r="F2669" t="s">
        <v>28</v>
      </c>
      <c r="G2669" t="s">
        <v>108</v>
      </c>
      <c r="H2669" t="s">
        <v>126</v>
      </c>
      <c r="I2669">
        <v>3615.83</v>
      </c>
      <c r="J2669">
        <v>3643.09</v>
      </c>
      <c r="K2669" t="s">
        <v>17</v>
      </c>
      <c r="L2669" t="b">
        <v>0</v>
      </c>
      <c r="N2669" s="2" t="str">
        <f t="shared" si="234"/>
        <v/>
      </c>
      <c r="Q2669" t="str">
        <f t="shared" si="235"/>
        <v/>
      </c>
    </row>
    <row r="2670" spans="1:17" hidden="1">
      <c r="A2670" t="s">
        <v>2775</v>
      </c>
      <c r="B2670" s="1">
        <v>45279</v>
      </c>
      <c r="C2670">
        <v>2023</v>
      </c>
      <c r="D2670">
        <v>12</v>
      </c>
      <c r="E2670" t="s">
        <v>13</v>
      </c>
      <c r="F2670" t="s">
        <v>24</v>
      </c>
      <c r="G2670" t="s">
        <v>68</v>
      </c>
      <c r="H2670" t="s">
        <v>213</v>
      </c>
      <c r="I2670">
        <v>4139.97</v>
      </c>
      <c r="J2670">
        <v>4262.6000000000004</v>
      </c>
      <c r="K2670" t="s">
        <v>17</v>
      </c>
      <c r="L2670" t="b">
        <v>0</v>
      </c>
      <c r="N2670" s="2" t="str">
        <f t="shared" si="234"/>
        <v/>
      </c>
      <c r="Q2670" t="str">
        <f t="shared" si="235"/>
        <v/>
      </c>
    </row>
    <row r="2671" spans="1:17" hidden="1">
      <c r="A2671" t="s">
        <v>2776</v>
      </c>
      <c r="B2671" s="1">
        <v>45279</v>
      </c>
      <c r="C2671">
        <v>2023</v>
      </c>
      <c r="D2671">
        <v>12</v>
      </c>
      <c r="E2671" t="s">
        <v>13</v>
      </c>
      <c r="F2671" t="s">
        <v>24</v>
      </c>
      <c r="G2671" t="s">
        <v>102</v>
      </c>
      <c r="H2671" t="s">
        <v>145</v>
      </c>
      <c r="I2671">
        <v>1932.95</v>
      </c>
      <c r="J2671">
        <v>1774.81</v>
      </c>
      <c r="K2671" t="s">
        <v>17</v>
      </c>
      <c r="L2671" t="b">
        <v>0</v>
      </c>
      <c r="N2671" s="2" t="str">
        <f t="shared" si="234"/>
        <v/>
      </c>
      <c r="Q2671" t="str">
        <f t="shared" si="235"/>
        <v/>
      </c>
    </row>
    <row r="2672" spans="1:17" hidden="1">
      <c r="A2672" t="s">
        <v>2777</v>
      </c>
      <c r="B2672" s="1">
        <v>45279</v>
      </c>
      <c r="C2672">
        <v>2023</v>
      </c>
      <c r="D2672">
        <v>12</v>
      </c>
      <c r="E2672" t="s">
        <v>23</v>
      </c>
      <c r="F2672" t="s">
        <v>14</v>
      </c>
      <c r="G2672" t="s">
        <v>59</v>
      </c>
      <c r="H2672" t="s">
        <v>155</v>
      </c>
      <c r="I2672">
        <v>6214.88</v>
      </c>
      <c r="J2672">
        <v>6686.54</v>
      </c>
      <c r="K2672" t="s">
        <v>17</v>
      </c>
      <c r="L2672" t="b">
        <v>0</v>
      </c>
      <c r="N2672" s="2" t="str">
        <f t="shared" si="234"/>
        <v/>
      </c>
      <c r="Q2672" t="str">
        <f t="shared" si="235"/>
        <v/>
      </c>
    </row>
    <row r="2673" spans="1:17" hidden="1">
      <c r="A2673" t="s">
        <v>2778</v>
      </c>
      <c r="B2673" s="1">
        <v>45279</v>
      </c>
      <c r="C2673">
        <v>2023</v>
      </c>
      <c r="D2673">
        <v>12</v>
      </c>
      <c r="E2673" t="s">
        <v>37</v>
      </c>
      <c r="F2673" t="s">
        <v>28</v>
      </c>
      <c r="G2673" t="s">
        <v>83</v>
      </c>
      <c r="H2673" t="s">
        <v>84</v>
      </c>
      <c r="I2673">
        <v>227659.88</v>
      </c>
      <c r="J2673">
        <v>216276.89</v>
      </c>
      <c r="K2673" t="s">
        <v>85</v>
      </c>
      <c r="L2673" t="b">
        <v>0</v>
      </c>
      <c r="N2673" s="2" t="str">
        <f t="shared" si="234"/>
        <v/>
      </c>
      <c r="Q2673" t="str">
        <f t="shared" si="235"/>
        <v/>
      </c>
    </row>
    <row r="2674" spans="1:17" hidden="1">
      <c r="A2674" t="s">
        <v>2779</v>
      </c>
      <c r="B2674" s="1">
        <v>45280</v>
      </c>
      <c r="C2674">
        <v>2023</v>
      </c>
      <c r="D2674">
        <v>12</v>
      </c>
      <c r="E2674" t="s">
        <v>13</v>
      </c>
      <c r="F2674" t="s">
        <v>14</v>
      </c>
      <c r="G2674" t="s">
        <v>15</v>
      </c>
      <c r="H2674" t="s">
        <v>16</v>
      </c>
      <c r="I2674">
        <v>5553.95</v>
      </c>
      <c r="J2674">
        <v>5732.2</v>
      </c>
      <c r="K2674" t="s">
        <v>17</v>
      </c>
      <c r="L2674" t="b">
        <v>0</v>
      </c>
      <c r="N2674" s="2" t="str">
        <f t="shared" si="234"/>
        <v/>
      </c>
      <c r="Q2674" t="str">
        <f t="shared" si="235"/>
        <v/>
      </c>
    </row>
    <row r="2675" spans="1:17" hidden="1">
      <c r="A2675" t="s">
        <v>2780</v>
      </c>
      <c r="B2675" s="1">
        <v>45280</v>
      </c>
      <c r="C2675">
        <v>2023</v>
      </c>
      <c r="D2675">
        <v>12</v>
      </c>
      <c r="E2675" t="s">
        <v>13</v>
      </c>
      <c r="F2675" t="s">
        <v>24</v>
      </c>
      <c r="G2675" t="s">
        <v>68</v>
      </c>
      <c r="H2675" t="s">
        <v>69</v>
      </c>
      <c r="I2675">
        <v>2423.9</v>
      </c>
      <c r="J2675">
        <v>2296.23</v>
      </c>
      <c r="K2675" t="s">
        <v>17</v>
      </c>
      <c r="L2675" t="b">
        <v>0</v>
      </c>
      <c r="N2675" s="2" t="str">
        <f t="shared" si="234"/>
        <v/>
      </c>
      <c r="Q2675" t="str">
        <f t="shared" si="235"/>
        <v/>
      </c>
    </row>
    <row r="2676" spans="1:17" hidden="1">
      <c r="A2676" t="s">
        <v>2781</v>
      </c>
      <c r="B2676" s="1">
        <v>45280</v>
      </c>
      <c r="C2676">
        <v>2023</v>
      </c>
      <c r="D2676">
        <v>12</v>
      </c>
      <c r="E2676" t="s">
        <v>47</v>
      </c>
      <c r="F2676" t="s">
        <v>24</v>
      </c>
      <c r="G2676" t="s">
        <v>77</v>
      </c>
      <c r="H2676" t="s">
        <v>130</v>
      </c>
      <c r="I2676">
        <v>23268.2</v>
      </c>
      <c r="J2676">
        <v>19804.63</v>
      </c>
      <c r="K2676" t="s">
        <v>17</v>
      </c>
      <c r="L2676" t="b">
        <v>0</v>
      </c>
      <c r="N2676" s="2" t="b">
        <f t="shared" si="234"/>
        <v>1</v>
      </c>
      <c r="O2676" t="str">
        <f>IF(AND(E2665="HR",K2665="EXPENSE"),I2665&lt;J2665,"")</f>
        <v/>
      </c>
      <c r="Q2676" t="str">
        <f t="shared" si="235"/>
        <v/>
      </c>
    </row>
    <row r="2677" spans="1:17" hidden="1">
      <c r="A2677" t="s">
        <v>2782</v>
      </c>
      <c r="B2677" s="1">
        <v>45280</v>
      </c>
      <c r="C2677">
        <v>2023</v>
      </c>
      <c r="D2677">
        <v>12</v>
      </c>
      <c r="E2677" t="s">
        <v>19</v>
      </c>
      <c r="F2677" t="s">
        <v>24</v>
      </c>
      <c r="G2677" t="s">
        <v>20</v>
      </c>
      <c r="H2677" t="s">
        <v>174</v>
      </c>
      <c r="I2677">
        <v>3160.39</v>
      </c>
      <c r="J2677">
        <v>3139.78</v>
      </c>
      <c r="K2677" t="s">
        <v>17</v>
      </c>
      <c r="L2677" t="b">
        <v>0</v>
      </c>
      <c r="N2677" s="2" t="str">
        <f t="shared" si="234"/>
        <v/>
      </c>
      <c r="Q2677" t="str">
        <f t="shared" si="235"/>
        <v/>
      </c>
    </row>
    <row r="2678" spans="1:17" hidden="1">
      <c r="A2678" t="s">
        <v>2783</v>
      </c>
      <c r="B2678" s="1">
        <v>45280</v>
      </c>
      <c r="C2678">
        <v>2023</v>
      </c>
      <c r="D2678">
        <v>12</v>
      </c>
      <c r="E2678" t="s">
        <v>23</v>
      </c>
      <c r="F2678" t="s">
        <v>14</v>
      </c>
      <c r="G2678" t="s">
        <v>30</v>
      </c>
      <c r="H2678" t="s">
        <v>31</v>
      </c>
      <c r="I2678">
        <v>6335.23</v>
      </c>
      <c r="J2678">
        <v>6552.28</v>
      </c>
      <c r="K2678" t="s">
        <v>17</v>
      </c>
      <c r="L2678" t="b">
        <v>0</v>
      </c>
      <c r="N2678" s="2" t="str">
        <f t="shared" si="234"/>
        <v/>
      </c>
      <c r="Q2678" t="str">
        <f t="shared" si="235"/>
        <v/>
      </c>
    </row>
    <row r="2679" spans="1:17" hidden="1">
      <c r="A2679" t="s">
        <v>2784</v>
      </c>
      <c r="B2679" s="1">
        <v>45280</v>
      </c>
      <c r="C2679">
        <v>2023</v>
      </c>
      <c r="D2679">
        <v>12</v>
      </c>
      <c r="E2679" t="s">
        <v>23</v>
      </c>
      <c r="F2679" t="s">
        <v>24</v>
      </c>
      <c r="G2679" t="s">
        <v>25</v>
      </c>
      <c r="H2679" t="s">
        <v>26</v>
      </c>
      <c r="I2679">
        <v>3863.58</v>
      </c>
      <c r="J2679">
        <v>4189.84</v>
      </c>
      <c r="K2679" t="s">
        <v>17</v>
      </c>
      <c r="L2679" t="b">
        <v>0</v>
      </c>
      <c r="N2679" s="2" t="str">
        <f t="shared" si="234"/>
        <v/>
      </c>
      <c r="Q2679" t="str">
        <f t="shared" si="235"/>
        <v/>
      </c>
    </row>
    <row r="2680" spans="1:17" hidden="1">
      <c r="A2680" t="s">
        <v>2785</v>
      </c>
      <c r="B2680" s="1">
        <v>45280</v>
      </c>
      <c r="C2680">
        <v>2023</v>
      </c>
      <c r="D2680">
        <v>12</v>
      </c>
      <c r="E2680" t="s">
        <v>23</v>
      </c>
      <c r="F2680" t="s">
        <v>24</v>
      </c>
      <c r="G2680" t="s">
        <v>25</v>
      </c>
      <c r="H2680" t="s">
        <v>95</v>
      </c>
      <c r="I2680">
        <v>4867.1099999999997</v>
      </c>
      <c r="J2680">
        <v>5288.07</v>
      </c>
      <c r="K2680" t="s">
        <v>17</v>
      </c>
      <c r="L2680" t="b">
        <v>0</v>
      </c>
      <c r="N2680" s="2" t="str">
        <f t="shared" si="234"/>
        <v/>
      </c>
      <c r="Q2680" t="str">
        <f t="shared" si="235"/>
        <v/>
      </c>
    </row>
    <row r="2681" spans="1:17" hidden="1">
      <c r="A2681" t="s">
        <v>2786</v>
      </c>
      <c r="B2681" s="1">
        <v>45280</v>
      </c>
      <c r="C2681">
        <v>2023</v>
      </c>
      <c r="D2681">
        <v>12</v>
      </c>
      <c r="E2681" t="s">
        <v>37</v>
      </c>
      <c r="F2681" t="s">
        <v>28</v>
      </c>
      <c r="G2681" t="s">
        <v>38</v>
      </c>
      <c r="H2681" t="s">
        <v>118</v>
      </c>
      <c r="I2681">
        <v>3172.86</v>
      </c>
      <c r="J2681">
        <v>3096.31</v>
      </c>
      <c r="K2681" t="s">
        <v>17</v>
      </c>
      <c r="L2681" t="b">
        <v>0</v>
      </c>
      <c r="N2681" s="2" t="str">
        <f t="shared" si="234"/>
        <v/>
      </c>
      <c r="Q2681" t="str">
        <f t="shared" si="235"/>
        <v/>
      </c>
    </row>
    <row r="2682" spans="1:17" hidden="1">
      <c r="A2682" t="s">
        <v>2787</v>
      </c>
      <c r="B2682" s="1">
        <v>45281</v>
      </c>
      <c r="C2682">
        <v>2023</v>
      </c>
      <c r="D2682">
        <v>12</v>
      </c>
      <c r="E2682" t="s">
        <v>19</v>
      </c>
      <c r="F2682" t="s">
        <v>14</v>
      </c>
      <c r="G2682" t="s">
        <v>80</v>
      </c>
      <c r="H2682" t="s">
        <v>81</v>
      </c>
      <c r="I2682">
        <v>8332.57</v>
      </c>
      <c r="J2682">
        <v>9008.77</v>
      </c>
      <c r="K2682" t="s">
        <v>17</v>
      </c>
      <c r="L2682" t="b">
        <v>0</v>
      </c>
      <c r="N2682" s="2" t="str">
        <f t="shared" si="234"/>
        <v/>
      </c>
      <c r="Q2682" t="str">
        <f t="shared" si="235"/>
        <v/>
      </c>
    </row>
    <row r="2683" spans="1:17" hidden="1">
      <c r="A2683" t="s">
        <v>2788</v>
      </c>
      <c r="B2683" s="1">
        <v>45281</v>
      </c>
      <c r="C2683">
        <v>2023</v>
      </c>
      <c r="D2683">
        <v>12</v>
      </c>
      <c r="E2683" t="s">
        <v>19</v>
      </c>
      <c r="F2683" t="s">
        <v>28</v>
      </c>
      <c r="G2683" t="s">
        <v>80</v>
      </c>
      <c r="H2683" t="s">
        <v>217</v>
      </c>
      <c r="I2683">
        <v>9727.4699999999993</v>
      </c>
      <c r="J2683">
        <v>9590.9599999999991</v>
      </c>
      <c r="K2683" t="s">
        <v>17</v>
      </c>
      <c r="L2683" t="b">
        <v>0</v>
      </c>
      <c r="N2683" s="2" t="str">
        <f t="shared" si="234"/>
        <v/>
      </c>
      <c r="Q2683" t="str">
        <f t="shared" si="235"/>
        <v/>
      </c>
    </row>
    <row r="2684" spans="1:17" hidden="1">
      <c r="A2684" t="s">
        <v>2789</v>
      </c>
      <c r="B2684" s="1">
        <v>45281</v>
      </c>
      <c r="C2684">
        <v>2023</v>
      </c>
      <c r="D2684">
        <v>12</v>
      </c>
      <c r="E2684" t="s">
        <v>19</v>
      </c>
      <c r="F2684" t="s">
        <v>28</v>
      </c>
      <c r="G2684" t="s">
        <v>132</v>
      </c>
      <c r="H2684" t="s">
        <v>133</v>
      </c>
      <c r="I2684">
        <v>6110.66</v>
      </c>
      <c r="J2684">
        <v>6646.83</v>
      </c>
      <c r="K2684" t="s">
        <v>17</v>
      </c>
      <c r="L2684" t="b">
        <v>0</v>
      </c>
      <c r="N2684" s="2" t="str">
        <f t="shared" si="234"/>
        <v/>
      </c>
      <c r="Q2684" t="str">
        <f t="shared" si="235"/>
        <v/>
      </c>
    </row>
    <row r="2685" spans="1:17" hidden="1">
      <c r="A2685" t="s">
        <v>2790</v>
      </c>
      <c r="B2685" s="1">
        <v>45281</v>
      </c>
      <c r="C2685">
        <v>2023</v>
      </c>
      <c r="D2685">
        <v>12</v>
      </c>
      <c r="E2685" t="s">
        <v>19</v>
      </c>
      <c r="F2685" t="s">
        <v>28</v>
      </c>
      <c r="G2685" t="s">
        <v>132</v>
      </c>
      <c r="H2685" t="s">
        <v>171</v>
      </c>
      <c r="I2685">
        <v>8619.32</v>
      </c>
      <c r="J2685">
        <v>9181.11</v>
      </c>
      <c r="K2685" t="s">
        <v>17</v>
      </c>
      <c r="L2685" t="b">
        <v>0</v>
      </c>
      <c r="N2685" s="2" t="str">
        <f t="shared" si="234"/>
        <v/>
      </c>
      <c r="Q2685" t="str">
        <f t="shared" si="235"/>
        <v/>
      </c>
    </row>
    <row r="2686" spans="1:17" hidden="1">
      <c r="A2686" t="s">
        <v>2791</v>
      </c>
      <c r="B2686" s="1">
        <v>45281</v>
      </c>
      <c r="C2686">
        <v>2023</v>
      </c>
      <c r="D2686">
        <v>12</v>
      </c>
      <c r="E2686" t="s">
        <v>23</v>
      </c>
      <c r="F2686" t="s">
        <v>14</v>
      </c>
      <c r="G2686" t="s">
        <v>59</v>
      </c>
      <c r="H2686" t="s">
        <v>155</v>
      </c>
      <c r="I2686">
        <v>4892.76</v>
      </c>
      <c r="J2686">
        <v>4675.66</v>
      </c>
      <c r="K2686" t="s">
        <v>17</v>
      </c>
      <c r="L2686" t="b">
        <v>0</v>
      </c>
      <c r="N2686" s="2" t="str">
        <f t="shared" si="234"/>
        <v/>
      </c>
      <c r="Q2686" t="str">
        <f t="shared" si="235"/>
        <v/>
      </c>
    </row>
    <row r="2687" spans="1:17" hidden="1">
      <c r="A2687" t="s">
        <v>2792</v>
      </c>
      <c r="B2687" s="1">
        <v>45281</v>
      </c>
      <c r="C2687">
        <v>2023</v>
      </c>
      <c r="D2687">
        <v>12</v>
      </c>
      <c r="E2687" t="s">
        <v>23</v>
      </c>
      <c r="F2687" t="s">
        <v>28</v>
      </c>
      <c r="G2687" t="s">
        <v>141</v>
      </c>
      <c r="H2687" t="s">
        <v>209</v>
      </c>
      <c r="I2687">
        <v>3652.25</v>
      </c>
      <c r="J2687">
        <v>3920.22</v>
      </c>
      <c r="K2687" t="s">
        <v>17</v>
      </c>
      <c r="L2687" t="b">
        <v>0</v>
      </c>
      <c r="N2687" s="2" t="str">
        <f t="shared" si="234"/>
        <v/>
      </c>
      <c r="Q2687" t="str">
        <f t="shared" si="235"/>
        <v/>
      </c>
    </row>
    <row r="2688" spans="1:17" hidden="1">
      <c r="A2688" t="s">
        <v>2793</v>
      </c>
      <c r="B2688" s="1">
        <v>45281</v>
      </c>
      <c r="C2688">
        <v>2023</v>
      </c>
      <c r="D2688">
        <v>12</v>
      </c>
      <c r="E2688" t="s">
        <v>23</v>
      </c>
      <c r="F2688" t="s">
        <v>28</v>
      </c>
      <c r="G2688" t="s">
        <v>59</v>
      </c>
      <c r="H2688" t="s">
        <v>155</v>
      </c>
      <c r="I2688">
        <v>4888.18</v>
      </c>
      <c r="J2688">
        <v>5203.72</v>
      </c>
      <c r="K2688" t="s">
        <v>17</v>
      </c>
      <c r="L2688" t="b">
        <v>0</v>
      </c>
      <c r="N2688" s="2" t="str">
        <f t="shared" si="234"/>
        <v/>
      </c>
      <c r="Q2688" t="str">
        <f t="shared" si="235"/>
        <v/>
      </c>
    </row>
    <row r="2689" spans="1:17" hidden="1">
      <c r="A2689" t="s">
        <v>2794</v>
      </c>
      <c r="B2689" s="1">
        <v>45281</v>
      </c>
      <c r="C2689">
        <v>2023</v>
      </c>
      <c r="D2689">
        <v>12</v>
      </c>
      <c r="E2689" t="s">
        <v>23</v>
      </c>
      <c r="F2689" t="s">
        <v>24</v>
      </c>
      <c r="G2689" t="s">
        <v>30</v>
      </c>
      <c r="H2689" t="s">
        <v>31</v>
      </c>
      <c r="I2689">
        <v>4373.37</v>
      </c>
      <c r="J2689">
        <v>4358.51</v>
      </c>
      <c r="K2689" t="s">
        <v>17</v>
      </c>
      <c r="L2689" t="b">
        <v>0</v>
      </c>
      <c r="N2689" s="2" t="str">
        <f t="shared" si="234"/>
        <v/>
      </c>
      <c r="Q2689" t="str">
        <f t="shared" si="235"/>
        <v/>
      </c>
    </row>
    <row r="2690" spans="1:17" hidden="1">
      <c r="A2690" t="s">
        <v>2795</v>
      </c>
      <c r="B2690" s="1">
        <v>45282</v>
      </c>
      <c r="C2690">
        <v>2023</v>
      </c>
      <c r="D2690">
        <v>12</v>
      </c>
      <c r="E2690" t="s">
        <v>13</v>
      </c>
      <c r="F2690" t="s">
        <v>14</v>
      </c>
      <c r="G2690" t="s">
        <v>108</v>
      </c>
      <c r="H2690" t="s">
        <v>126</v>
      </c>
      <c r="I2690">
        <v>4329.3599999999997</v>
      </c>
      <c r="J2690">
        <v>4369.7299999999996</v>
      </c>
      <c r="K2690" t="s">
        <v>17</v>
      </c>
      <c r="L2690" t="b">
        <v>0</v>
      </c>
      <c r="N2690" s="2" t="str">
        <f t="shared" si="234"/>
        <v/>
      </c>
      <c r="Q2690" t="str">
        <f t="shared" si="235"/>
        <v/>
      </c>
    </row>
    <row r="2691" spans="1:17" hidden="1">
      <c r="A2691" t="s">
        <v>2796</v>
      </c>
      <c r="B2691" s="1">
        <v>45282</v>
      </c>
      <c r="C2691">
        <v>2023</v>
      </c>
      <c r="D2691">
        <v>12</v>
      </c>
      <c r="E2691" t="s">
        <v>13</v>
      </c>
      <c r="F2691" t="s">
        <v>28</v>
      </c>
      <c r="G2691" t="s">
        <v>102</v>
      </c>
      <c r="H2691" t="s">
        <v>278</v>
      </c>
      <c r="I2691">
        <v>4567.1000000000004</v>
      </c>
      <c r="J2691">
        <v>4645.45</v>
      </c>
      <c r="K2691" t="s">
        <v>17</v>
      </c>
      <c r="L2691" t="b">
        <v>0</v>
      </c>
      <c r="N2691" s="2" t="str">
        <f t="shared" ref="N2691:N2754" si="238">IF(AND(E2691="IT",K2691="EXPENSE"),I2691&gt;J2691,"")</f>
        <v/>
      </c>
      <c r="Q2691" t="str">
        <f t="shared" ref="Q2691:Q2754" si="239">IF(L2691=TRUE,OR(H2691="Apex Solutions Inc",H2691="Global Trade Partners",H2691="NovaTech Services"),"")</f>
        <v/>
      </c>
    </row>
    <row r="2692" spans="1:17" hidden="1">
      <c r="A2692" t="s">
        <v>2797</v>
      </c>
      <c r="B2692" s="1">
        <v>45282</v>
      </c>
      <c r="C2692">
        <v>2023</v>
      </c>
      <c r="D2692">
        <v>12</v>
      </c>
      <c r="E2692" t="s">
        <v>13</v>
      </c>
      <c r="F2692" t="s">
        <v>24</v>
      </c>
      <c r="G2692" t="s">
        <v>68</v>
      </c>
      <c r="H2692" t="s">
        <v>69</v>
      </c>
      <c r="I2692">
        <v>3305.57</v>
      </c>
      <c r="J2692">
        <v>3569.76</v>
      </c>
      <c r="K2692" t="s">
        <v>17</v>
      </c>
      <c r="L2692" t="b">
        <v>0</v>
      </c>
      <c r="N2692" s="2" t="str">
        <f t="shared" si="238"/>
        <v/>
      </c>
      <c r="Q2692" t="str">
        <f t="shared" si="239"/>
        <v/>
      </c>
    </row>
    <row r="2693" spans="1:17" hidden="1">
      <c r="A2693" t="s">
        <v>2798</v>
      </c>
      <c r="B2693" s="1">
        <v>45282</v>
      </c>
      <c r="C2693">
        <v>2023</v>
      </c>
      <c r="D2693">
        <v>12</v>
      </c>
      <c r="E2693" t="s">
        <v>47</v>
      </c>
      <c r="F2693" t="s">
        <v>28</v>
      </c>
      <c r="G2693" t="s">
        <v>48</v>
      </c>
      <c r="H2693" t="s">
        <v>189</v>
      </c>
      <c r="I2693">
        <v>15037.73</v>
      </c>
      <c r="J2693">
        <v>12509.43</v>
      </c>
      <c r="K2693" t="s">
        <v>17</v>
      </c>
      <c r="L2693" t="b">
        <v>0</v>
      </c>
      <c r="N2693" s="2" t="b">
        <f t="shared" si="238"/>
        <v>1</v>
      </c>
      <c r="O2693" t="str">
        <f t="shared" ref="O2693:O2694" si="240">IF(AND(E2682="HR",K2682="EXPENSE"),I2682&lt;J2682,"")</f>
        <v/>
      </c>
      <c r="Q2693" t="str">
        <f t="shared" si="239"/>
        <v/>
      </c>
    </row>
    <row r="2694" spans="1:17" hidden="1">
      <c r="A2694" t="s">
        <v>2799</v>
      </c>
      <c r="B2694" s="1">
        <v>45282</v>
      </c>
      <c r="C2694">
        <v>2023</v>
      </c>
      <c r="D2694">
        <v>12</v>
      </c>
      <c r="E2694" t="s">
        <v>47</v>
      </c>
      <c r="F2694" t="s">
        <v>28</v>
      </c>
      <c r="G2694" t="s">
        <v>77</v>
      </c>
      <c r="H2694" t="s">
        <v>78</v>
      </c>
      <c r="I2694">
        <v>11658.2</v>
      </c>
      <c r="J2694">
        <v>10004.94</v>
      </c>
      <c r="K2694" t="s">
        <v>17</v>
      </c>
      <c r="L2694" t="b">
        <v>0</v>
      </c>
      <c r="N2694" s="2" t="b">
        <f t="shared" si="238"/>
        <v>1</v>
      </c>
      <c r="O2694" t="str">
        <f t="shared" si="240"/>
        <v/>
      </c>
      <c r="Q2694" t="str">
        <f t="shared" si="239"/>
        <v/>
      </c>
    </row>
    <row r="2695" spans="1:17" hidden="1">
      <c r="A2695" t="s">
        <v>2800</v>
      </c>
      <c r="B2695" s="1">
        <v>45282</v>
      </c>
      <c r="C2695">
        <v>2023</v>
      </c>
      <c r="D2695">
        <v>12</v>
      </c>
      <c r="E2695" t="s">
        <v>19</v>
      </c>
      <c r="F2695" t="s">
        <v>24</v>
      </c>
      <c r="G2695" t="s">
        <v>132</v>
      </c>
      <c r="H2695" t="s">
        <v>133</v>
      </c>
      <c r="I2695">
        <v>4966.25</v>
      </c>
      <c r="J2695">
        <v>4930.84</v>
      </c>
      <c r="K2695" t="s">
        <v>17</v>
      </c>
      <c r="L2695" t="b">
        <v>0</v>
      </c>
      <c r="N2695" s="2" t="str">
        <f t="shared" si="238"/>
        <v/>
      </c>
      <c r="Q2695" t="str">
        <f t="shared" si="239"/>
        <v/>
      </c>
    </row>
    <row r="2696" spans="1:17" hidden="1">
      <c r="A2696" t="s">
        <v>2801</v>
      </c>
      <c r="B2696" s="1">
        <v>45282</v>
      </c>
      <c r="C2696">
        <v>2023</v>
      </c>
      <c r="D2696">
        <v>12</v>
      </c>
      <c r="E2696" t="s">
        <v>23</v>
      </c>
      <c r="F2696" t="s">
        <v>24</v>
      </c>
      <c r="G2696" t="s">
        <v>59</v>
      </c>
      <c r="H2696" t="s">
        <v>60</v>
      </c>
      <c r="I2696">
        <v>5016.62</v>
      </c>
      <c r="J2696">
        <v>5287.95</v>
      </c>
      <c r="K2696" t="s">
        <v>17</v>
      </c>
      <c r="L2696" t="b">
        <v>0</v>
      </c>
      <c r="N2696" s="2" t="str">
        <f t="shared" si="238"/>
        <v/>
      </c>
      <c r="Q2696" t="str">
        <f t="shared" si="239"/>
        <v/>
      </c>
    </row>
    <row r="2697" spans="1:17" hidden="1">
      <c r="A2697" t="s">
        <v>2802</v>
      </c>
      <c r="B2697" s="1">
        <v>45282</v>
      </c>
      <c r="C2697">
        <v>2023</v>
      </c>
      <c r="D2697">
        <v>12</v>
      </c>
      <c r="E2697" t="s">
        <v>23</v>
      </c>
      <c r="F2697" t="s">
        <v>24</v>
      </c>
      <c r="G2697" t="s">
        <v>30</v>
      </c>
      <c r="H2697" t="s">
        <v>31</v>
      </c>
      <c r="I2697">
        <v>4767.67</v>
      </c>
      <c r="J2697">
        <v>4867.8599999999997</v>
      </c>
      <c r="K2697" t="s">
        <v>17</v>
      </c>
      <c r="L2697" t="b">
        <v>0</v>
      </c>
      <c r="N2697" s="2" t="str">
        <f t="shared" si="238"/>
        <v/>
      </c>
      <c r="Q2697" t="str">
        <f t="shared" si="239"/>
        <v/>
      </c>
    </row>
    <row r="2698" spans="1:17" hidden="1">
      <c r="A2698" t="s">
        <v>2803</v>
      </c>
      <c r="B2698" s="1">
        <v>45282</v>
      </c>
      <c r="C2698">
        <v>2023</v>
      </c>
      <c r="D2698">
        <v>12</v>
      </c>
      <c r="E2698" t="s">
        <v>23</v>
      </c>
      <c r="F2698" t="s">
        <v>24</v>
      </c>
      <c r="G2698" t="s">
        <v>25</v>
      </c>
      <c r="H2698" t="s">
        <v>35</v>
      </c>
      <c r="I2698">
        <v>544.4</v>
      </c>
      <c r="J2698">
        <v>578.45000000000005</v>
      </c>
      <c r="K2698" t="s">
        <v>17</v>
      </c>
      <c r="L2698" t="b">
        <v>0</v>
      </c>
      <c r="N2698" s="2" t="str">
        <f t="shared" si="238"/>
        <v/>
      </c>
      <c r="Q2698" t="str">
        <f t="shared" si="239"/>
        <v/>
      </c>
    </row>
    <row r="2699" spans="1:17" hidden="1">
      <c r="A2699" t="s">
        <v>2804</v>
      </c>
      <c r="B2699" s="1">
        <v>45282</v>
      </c>
      <c r="C2699">
        <v>2023</v>
      </c>
      <c r="D2699">
        <v>12</v>
      </c>
      <c r="E2699" t="s">
        <v>37</v>
      </c>
      <c r="F2699" t="s">
        <v>28</v>
      </c>
      <c r="G2699" t="s">
        <v>98</v>
      </c>
      <c r="H2699" t="s">
        <v>99</v>
      </c>
      <c r="I2699">
        <v>3753.95</v>
      </c>
      <c r="J2699">
        <v>3724.35</v>
      </c>
      <c r="K2699" t="s">
        <v>17</v>
      </c>
      <c r="L2699" t="b">
        <v>0</v>
      </c>
      <c r="N2699" s="2" t="str">
        <f t="shared" si="238"/>
        <v/>
      </c>
      <c r="Q2699" t="str">
        <f t="shared" si="239"/>
        <v/>
      </c>
    </row>
    <row r="2700" spans="1:17" hidden="1">
      <c r="A2700" t="s">
        <v>2805</v>
      </c>
      <c r="B2700" s="1">
        <v>45283</v>
      </c>
      <c r="C2700">
        <v>2023</v>
      </c>
      <c r="D2700">
        <v>12</v>
      </c>
      <c r="E2700" t="s">
        <v>47</v>
      </c>
      <c r="F2700" t="s">
        <v>28</v>
      </c>
      <c r="G2700" t="s">
        <v>77</v>
      </c>
      <c r="H2700" t="s">
        <v>130</v>
      </c>
      <c r="I2700">
        <v>12808.09</v>
      </c>
      <c r="J2700">
        <v>10845.77</v>
      </c>
      <c r="K2700" t="s">
        <v>17</v>
      </c>
      <c r="L2700" t="b">
        <v>0</v>
      </c>
      <c r="N2700" s="2" t="b">
        <f t="shared" si="238"/>
        <v>1</v>
      </c>
      <c r="O2700" t="str">
        <f>IF(AND(E2689="HR",K2689="EXPENSE"),I2689&lt;J2689,"")</f>
        <v/>
      </c>
      <c r="Q2700" t="str">
        <f t="shared" si="239"/>
        <v/>
      </c>
    </row>
    <row r="2701" spans="1:17" hidden="1">
      <c r="A2701" t="s">
        <v>2806</v>
      </c>
      <c r="B2701" s="1">
        <v>45283</v>
      </c>
      <c r="C2701">
        <v>2023</v>
      </c>
      <c r="D2701">
        <v>12</v>
      </c>
      <c r="E2701" t="s">
        <v>19</v>
      </c>
      <c r="F2701" t="s">
        <v>24</v>
      </c>
      <c r="G2701" t="s">
        <v>132</v>
      </c>
      <c r="H2701" t="s">
        <v>133</v>
      </c>
      <c r="I2701">
        <v>5988.72</v>
      </c>
      <c r="J2701">
        <v>6199.63</v>
      </c>
      <c r="K2701" t="s">
        <v>17</v>
      </c>
      <c r="L2701" t="b">
        <v>0</v>
      </c>
      <c r="N2701" s="2" t="str">
        <f t="shared" si="238"/>
        <v/>
      </c>
      <c r="Q2701" t="str">
        <f t="shared" si="239"/>
        <v/>
      </c>
    </row>
    <row r="2702" spans="1:17" hidden="1">
      <c r="A2702" t="s">
        <v>2807</v>
      </c>
      <c r="B2702" s="1">
        <v>45283</v>
      </c>
      <c r="C2702">
        <v>2023</v>
      </c>
      <c r="D2702">
        <v>12</v>
      </c>
      <c r="E2702" t="s">
        <v>37</v>
      </c>
      <c r="F2702" t="s">
        <v>14</v>
      </c>
      <c r="G2702" t="s">
        <v>62</v>
      </c>
      <c r="H2702" t="s">
        <v>360</v>
      </c>
      <c r="I2702">
        <v>5304.27</v>
      </c>
      <c r="J2702">
        <v>5065.78</v>
      </c>
      <c r="K2702" t="s">
        <v>17</v>
      </c>
      <c r="L2702" t="b">
        <v>0</v>
      </c>
      <c r="N2702" s="2" t="str">
        <f t="shared" si="238"/>
        <v/>
      </c>
      <c r="Q2702" t="str">
        <f t="shared" si="239"/>
        <v/>
      </c>
    </row>
    <row r="2703" spans="1:17" hidden="1">
      <c r="A2703" t="s">
        <v>2808</v>
      </c>
      <c r="B2703" s="1">
        <v>45283</v>
      </c>
      <c r="C2703">
        <v>2023</v>
      </c>
      <c r="D2703">
        <v>12</v>
      </c>
      <c r="E2703" t="s">
        <v>37</v>
      </c>
      <c r="F2703" t="s">
        <v>14</v>
      </c>
      <c r="G2703" t="s">
        <v>62</v>
      </c>
      <c r="H2703" t="s">
        <v>63</v>
      </c>
      <c r="I2703">
        <v>3364.24</v>
      </c>
      <c r="J2703">
        <v>3244.27</v>
      </c>
      <c r="K2703" t="s">
        <v>17</v>
      </c>
      <c r="L2703" t="b">
        <v>0</v>
      </c>
      <c r="N2703" s="2" t="str">
        <f t="shared" si="238"/>
        <v/>
      </c>
      <c r="Q2703" t="str">
        <f t="shared" si="239"/>
        <v/>
      </c>
    </row>
    <row r="2704" spans="1:17" hidden="1">
      <c r="A2704" t="s">
        <v>2809</v>
      </c>
      <c r="B2704" s="1">
        <v>45284</v>
      </c>
      <c r="C2704">
        <v>2023</v>
      </c>
      <c r="D2704">
        <v>12</v>
      </c>
      <c r="E2704" t="s">
        <v>19</v>
      </c>
      <c r="F2704" t="s">
        <v>24</v>
      </c>
      <c r="G2704" t="s">
        <v>132</v>
      </c>
      <c r="H2704" t="s">
        <v>138</v>
      </c>
      <c r="I2704">
        <v>4750.0200000000004</v>
      </c>
      <c r="J2704">
        <v>4863.1899999999996</v>
      </c>
      <c r="K2704" t="s">
        <v>17</v>
      </c>
      <c r="L2704" t="b">
        <v>0</v>
      </c>
      <c r="N2704" s="2" t="str">
        <f t="shared" si="238"/>
        <v/>
      </c>
      <c r="Q2704" t="str">
        <f t="shared" si="239"/>
        <v/>
      </c>
    </row>
    <row r="2705" spans="1:17" hidden="1">
      <c r="A2705" t="s">
        <v>2810</v>
      </c>
      <c r="B2705" s="1">
        <v>45284</v>
      </c>
      <c r="C2705">
        <v>2023</v>
      </c>
      <c r="D2705">
        <v>12</v>
      </c>
      <c r="E2705" t="s">
        <v>23</v>
      </c>
      <c r="F2705" t="s">
        <v>14</v>
      </c>
      <c r="G2705" t="s">
        <v>141</v>
      </c>
      <c r="H2705" t="s">
        <v>153</v>
      </c>
      <c r="I2705">
        <v>7238.13</v>
      </c>
      <c r="J2705">
        <v>7262.91</v>
      </c>
      <c r="K2705" t="s">
        <v>17</v>
      </c>
      <c r="L2705" t="b">
        <v>0</v>
      </c>
      <c r="N2705" s="2" t="str">
        <f t="shared" si="238"/>
        <v/>
      </c>
      <c r="Q2705" t="str">
        <f t="shared" si="239"/>
        <v/>
      </c>
    </row>
    <row r="2706" spans="1:17" hidden="1">
      <c r="A2706" t="s">
        <v>2811</v>
      </c>
      <c r="B2706" s="1">
        <v>45284</v>
      </c>
      <c r="C2706">
        <v>2023</v>
      </c>
      <c r="D2706">
        <v>12</v>
      </c>
      <c r="E2706" t="s">
        <v>23</v>
      </c>
      <c r="F2706" t="s">
        <v>28</v>
      </c>
      <c r="G2706" t="s">
        <v>30</v>
      </c>
      <c r="H2706" t="s">
        <v>106</v>
      </c>
      <c r="I2706">
        <v>4688.1899999999996</v>
      </c>
      <c r="J2706">
        <v>5094.74</v>
      </c>
      <c r="K2706" t="s">
        <v>17</v>
      </c>
      <c r="L2706" t="b">
        <v>0</v>
      </c>
      <c r="N2706" s="2" t="str">
        <f t="shared" si="238"/>
        <v/>
      </c>
      <c r="Q2706" t="str">
        <f t="shared" si="239"/>
        <v/>
      </c>
    </row>
    <row r="2707" spans="1:17" hidden="1">
      <c r="A2707" t="s">
        <v>2812</v>
      </c>
      <c r="B2707" s="1">
        <v>45284</v>
      </c>
      <c r="C2707">
        <v>2023</v>
      </c>
      <c r="D2707">
        <v>12</v>
      </c>
      <c r="E2707" t="s">
        <v>23</v>
      </c>
      <c r="F2707" t="s">
        <v>28</v>
      </c>
      <c r="G2707" t="s">
        <v>141</v>
      </c>
      <c r="H2707" t="s">
        <v>209</v>
      </c>
      <c r="I2707">
        <v>7083.41</v>
      </c>
      <c r="J2707">
        <v>6522.34</v>
      </c>
      <c r="K2707" t="s">
        <v>17</v>
      </c>
      <c r="L2707" t="b">
        <v>0</v>
      </c>
      <c r="N2707" s="2" t="str">
        <f t="shared" si="238"/>
        <v/>
      </c>
      <c r="Q2707" t="str">
        <f t="shared" si="239"/>
        <v/>
      </c>
    </row>
    <row r="2708" spans="1:17" hidden="1">
      <c r="A2708" t="s">
        <v>2813</v>
      </c>
      <c r="B2708" s="1">
        <v>45284</v>
      </c>
      <c r="C2708">
        <v>2023</v>
      </c>
      <c r="D2708">
        <v>12</v>
      </c>
      <c r="E2708" t="s">
        <v>23</v>
      </c>
      <c r="F2708" t="s">
        <v>24</v>
      </c>
      <c r="G2708" t="s">
        <v>30</v>
      </c>
      <c r="H2708" t="s">
        <v>106</v>
      </c>
      <c r="I2708">
        <v>5322.72</v>
      </c>
      <c r="J2708">
        <v>5342.31</v>
      </c>
      <c r="K2708" t="s">
        <v>17</v>
      </c>
      <c r="L2708" t="b">
        <v>0</v>
      </c>
      <c r="N2708" s="2" t="str">
        <f t="shared" si="238"/>
        <v/>
      </c>
      <c r="Q2708" t="str">
        <f t="shared" si="239"/>
        <v/>
      </c>
    </row>
    <row r="2709" spans="1:17" hidden="1">
      <c r="A2709" t="s">
        <v>2814</v>
      </c>
      <c r="B2709" s="1">
        <v>45284</v>
      </c>
      <c r="C2709">
        <v>2023</v>
      </c>
      <c r="D2709">
        <v>12</v>
      </c>
      <c r="E2709" t="s">
        <v>37</v>
      </c>
      <c r="F2709" t="s">
        <v>24</v>
      </c>
      <c r="G2709" t="s">
        <v>98</v>
      </c>
      <c r="H2709" t="s">
        <v>99</v>
      </c>
      <c r="I2709">
        <v>4506.57</v>
      </c>
      <c r="J2709">
        <v>4743.88</v>
      </c>
      <c r="K2709" t="s">
        <v>17</v>
      </c>
      <c r="L2709" t="b">
        <v>0</v>
      </c>
      <c r="N2709" s="2" t="str">
        <f t="shared" si="238"/>
        <v/>
      </c>
      <c r="Q2709" t="str">
        <f t="shared" si="239"/>
        <v/>
      </c>
    </row>
    <row r="2710" spans="1:17" hidden="1">
      <c r="A2710" t="s">
        <v>2815</v>
      </c>
      <c r="B2710" s="1">
        <v>45285</v>
      </c>
      <c r="C2710">
        <v>2023</v>
      </c>
      <c r="D2710">
        <v>12</v>
      </c>
      <c r="E2710" t="s">
        <v>23</v>
      </c>
      <c r="F2710" t="s">
        <v>28</v>
      </c>
      <c r="G2710" t="s">
        <v>30</v>
      </c>
      <c r="H2710" t="s">
        <v>106</v>
      </c>
      <c r="I2710">
        <v>5245.87</v>
      </c>
      <c r="J2710">
        <v>5496.14</v>
      </c>
      <c r="K2710" t="s">
        <v>17</v>
      </c>
      <c r="L2710" t="b">
        <v>0</v>
      </c>
      <c r="N2710" s="2" t="str">
        <f t="shared" si="238"/>
        <v/>
      </c>
      <c r="Q2710" t="str">
        <f t="shared" si="239"/>
        <v/>
      </c>
    </row>
    <row r="2711" spans="1:17" hidden="1">
      <c r="A2711" t="s">
        <v>2816</v>
      </c>
      <c r="B2711" s="1">
        <v>45285</v>
      </c>
      <c r="C2711">
        <v>2023</v>
      </c>
      <c r="D2711">
        <v>12</v>
      </c>
      <c r="E2711" t="s">
        <v>37</v>
      </c>
      <c r="F2711" t="s">
        <v>28</v>
      </c>
      <c r="G2711" t="s">
        <v>98</v>
      </c>
      <c r="H2711" t="s">
        <v>99</v>
      </c>
      <c r="I2711">
        <v>4993.07</v>
      </c>
      <c r="J2711">
        <v>4724.42</v>
      </c>
      <c r="K2711" t="s">
        <v>17</v>
      </c>
      <c r="L2711" t="b">
        <v>0</v>
      </c>
      <c r="N2711" s="2" t="str">
        <f t="shared" si="238"/>
        <v/>
      </c>
      <c r="Q2711" t="str">
        <f t="shared" si="239"/>
        <v/>
      </c>
    </row>
    <row r="2712" spans="1:17" hidden="1">
      <c r="A2712" t="s">
        <v>2817</v>
      </c>
      <c r="B2712" s="1">
        <v>45285</v>
      </c>
      <c r="C2712">
        <v>2023</v>
      </c>
      <c r="D2712">
        <v>12</v>
      </c>
      <c r="E2712" t="s">
        <v>37</v>
      </c>
      <c r="F2712" t="s">
        <v>24</v>
      </c>
      <c r="G2712" t="s">
        <v>41</v>
      </c>
      <c r="H2712" t="s">
        <v>42</v>
      </c>
      <c r="I2712">
        <v>3764.17</v>
      </c>
      <c r="J2712">
        <v>3490.52</v>
      </c>
      <c r="K2712" t="s">
        <v>17</v>
      </c>
      <c r="L2712" t="b">
        <v>0</v>
      </c>
      <c r="N2712" s="2" t="str">
        <f t="shared" si="238"/>
        <v/>
      </c>
      <c r="Q2712" t="str">
        <f t="shared" si="239"/>
        <v/>
      </c>
    </row>
    <row r="2713" spans="1:17" hidden="1">
      <c r="A2713" t="s">
        <v>2818</v>
      </c>
      <c r="B2713" s="1">
        <v>45285</v>
      </c>
      <c r="C2713">
        <v>2023</v>
      </c>
      <c r="D2713">
        <v>12</v>
      </c>
      <c r="E2713" t="s">
        <v>37</v>
      </c>
      <c r="F2713" t="s">
        <v>24</v>
      </c>
      <c r="G2713" t="s">
        <v>38</v>
      </c>
      <c r="H2713" t="s">
        <v>39</v>
      </c>
      <c r="I2713">
        <v>2988.39</v>
      </c>
      <c r="J2713">
        <v>3179.29</v>
      </c>
      <c r="K2713" t="s">
        <v>17</v>
      </c>
      <c r="L2713" t="b">
        <v>0</v>
      </c>
      <c r="N2713" s="2" t="str">
        <f t="shared" si="238"/>
        <v/>
      </c>
      <c r="Q2713" t="str">
        <f t="shared" si="239"/>
        <v/>
      </c>
    </row>
    <row r="2714" spans="1:17" hidden="1">
      <c r="A2714" t="s">
        <v>2819</v>
      </c>
      <c r="B2714" s="1">
        <v>45286</v>
      </c>
      <c r="C2714">
        <v>2023</v>
      </c>
      <c r="D2714">
        <v>12</v>
      </c>
      <c r="E2714" t="s">
        <v>13</v>
      </c>
      <c r="F2714" t="s">
        <v>28</v>
      </c>
      <c r="G2714" t="s">
        <v>68</v>
      </c>
      <c r="H2714" t="s">
        <v>213</v>
      </c>
      <c r="I2714">
        <v>5766.38</v>
      </c>
      <c r="J2714">
        <v>6265.34</v>
      </c>
      <c r="K2714" t="s">
        <v>17</v>
      </c>
      <c r="L2714" t="b">
        <v>0</v>
      </c>
      <c r="N2714" s="2" t="str">
        <f t="shared" si="238"/>
        <v/>
      </c>
      <c r="Q2714" t="str">
        <f t="shared" si="239"/>
        <v/>
      </c>
    </row>
    <row r="2715" spans="1:17" hidden="1">
      <c r="A2715" t="s">
        <v>2820</v>
      </c>
      <c r="B2715" s="1">
        <v>45286</v>
      </c>
      <c r="C2715">
        <v>2023</v>
      </c>
      <c r="D2715">
        <v>12</v>
      </c>
      <c r="E2715" t="s">
        <v>47</v>
      </c>
      <c r="F2715" t="s">
        <v>28</v>
      </c>
      <c r="G2715" t="s">
        <v>91</v>
      </c>
      <c r="H2715" t="s">
        <v>128</v>
      </c>
      <c r="I2715">
        <v>12124.51</v>
      </c>
      <c r="J2715">
        <v>10341.27</v>
      </c>
      <c r="K2715" t="s">
        <v>17</v>
      </c>
      <c r="L2715" t="b">
        <v>0</v>
      </c>
      <c r="N2715" s="2" t="b">
        <f t="shared" si="238"/>
        <v>1</v>
      </c>
      <c r="O2715" t="str">
        <f>IF(AND(E2704="HR",K2704="EXPENSE"),I2704&lt;J2704,"")</f>
        <v/>
      </c>
      <c r="Q2715" t="str">
        <f t="shared" si="239"/>
        <v/>
      </c>
    </row>
    <row r="2716" spans="1:17" hidden="1">
      <c r="A2716" t="s">
        <v>2821</v>
      </c>
      <c r="B2716" s="1">
        <v>45286</v>
      </c>
      <c r="C2716">
        <v>2023</v>
      </c>
      <c r="D2716">
        <v>12</v>
      </c>
      <c r="E2716" t="s">
        <v>19</v>
      </c>
      <c r="F2716" t="s">
        <v>24</v>
      </c>
      <c r="G2716" t="s">
        <v>132</v>
      </c>
      <c r="H2716" t="s">
        <v>171</v>
      </c>
      <c r="I2716">
        <v>4891.67</v>
      </c>
      <c r="J2716">
        <v>4458.3599999999997</v>
      </c>
      <c r="K2716" t="s">
        <v>17</v>
      </c>
      <c r="L2716" t="b">
        <v>0</v>
      </c>
      <c r="N2716" s="2" t="str">
        <f t="shared" si="238"/>
        <v/>
      </c>
      <c r="Q2716" t="str">
        <f t="shared" si="239"/>
        <v/>
      </c>
    </row>
    <row r="2717" spans="1:17" hidden="1">
      <c r="A2717" t="s">
        <v>2822</v>
      </c>
      <c r="B2717" s="1">
        <v>45286</v>
      </c>
      <c r="C2717">
        <v>2023</v>
      </c>
      <c r="D2717">
        <v>12</v>
      </c>
      <c r="E2717" t="s">
        <v>19</v>
      </c>
      <c r="F2717" t="s">
        <v>24</v>
      </c>
      <c r="G2717" t="s">
        <v>20</v>
      </c>
      <c r="H2717" t="s">
        <v>174</v>
      </c>
      <c r="I2717">
        <v>7180.16</v>
      </c>
      <c r="J2717">
        <v>6800.42</v>
      </c>
      <c r="K2717" t="s">
        <v>17</v>
      </c>
      <c r="L2717" t="b">
        <v>0</v>
      </c>
      <c r="N2717" s="2" t="str">
        <f t="shared" si="238"/>
        <v/>
      </c>
      <c r="Q2717" t="str">
        <f t="shared" si="239"/>
        <v/>
      </c>
    </row>
    <row r="2718" spans="1:17" hidden="1">
      <c r="A2718" t="s">
        <v>2823</v>
      </c>
      <c r="B2718" s="1">
        <v>45286</v>
      </c>
      <c r="C2718">
        <v>2023</v>
      </c>
      <c r="D2718">
        <v>12</v>
      </c>
      <c r="E2718" t="s">
        <v>23</v>
      </c>
      <c r="F2718" t="s">
        <v>14</v>
      </c>
      <c r="G2718" t="s">
        <v>59</v>
      </c>
      <c r="H2718" t="s">
        <v>60</v>
      </c>
      <c r="I2718">
        <v>5814.93</v>
      </c>
      <c r="J2718">
        <v>5455.89</v>
      </c>
      <c r="K2718" t="s">
        <v>17</v>
      </c>
      <c r="L2718" t="b">
        <v>0</v>
      </c>
      <c r="N2718" s="2" t="str">
        <f t="shared" si="238"/>
        <v/>
      </c>
      <c r="Q2718" t="str">
        <f t="shared" si="239"/>
        <v/>
      </c>
    </row>
    <row r="2719" spans="1:17" hidden="1">
      <c r="A2719" t="s">
        <v>2824</v>
      </c>
      <c r="B2719" s="1">
        <v>45286</v>
      </c>
      <c r="C2719">
        <v>2023</v>
      </c>
      <c r="D2719">
        <v>12</v>
      </c>
      <c r="E2719" t="s">
        <v>23</v>
      </c>
      <c r="F2719" t="s">
        <v>28</v>
      </c>
      <c r="G2719" t="s">
        <v>25</v>
      </c>
      <c r="H2719" t="s">
        <v>95</v>
      </c>
      <c r="I2719">
        <v>3689.79</v>
      </c>
      <c r="J2719">
        <v>3845.59</v>
      </c>
      <c r="K2719" t="s">
        <v>17</v>
      </c>
      <c r="L2719" t="b">
        <v>0</v>
      </c>
      <c r="N2719" s="2" t="str">
        <f t="shared" si="238"/>
        <v/>
      </c>
      <c r="Q2719" t="str">
        <f t="shared" si="239"/>
        <v/>
      </c>
    </row>
    <row r="2720" spans="1:17" hidden="1">
      <c r="A2720" t="s">
        <v>2825</v>
      </c>
      <c r="B2720" s="1">
        <v>45287</v>
      </c>
      <c r="C2720">
        <v>2023</v>
      </c>
      <c r="D2720">
        <v>12</v>
      </c>
      <c r="E2720" t="s">
        <v>13</v>
      </c>
      <c r="F2720" t="s">
        <v>28</v>
      </c>
      <c r="G2720" t="s">
        <v>108</v>
      </c>
      <c r="H2720" t="s">
        <v>126</v>
      </c>
      <c r="I2720">
        <v>4947.1400000000003</v>
      </c>
      <c r="J2720">
        <v>5228.1099999999997</v>
      </c>
      <c r="K2720" t="s">
        <v>17</v>
      </c>
      <c r="L2720" t="b">
        <v>0</v>
      </c>
      <c r="N2720" s="2" t="str">
        <f t="shared" si="238"/>
        <v/>
      </c>
      <c r="Q2720" t="str">
        <f t="shared" si="239"/>
        <v/>
      </c>
    </row>
    <row r="2721" spans="1:17" hidden="1">
      <c r="A2721" t="s">
        <v>2826</v>
      </c>
      <c r="B2721" s="1">
        <v>45287</v>
      </c>
      <c r="C2721">
        <v>2023</v>
      </c>
      <c r="D2721">
        <v>12</v>
      </c>
      <c r="E2721" t="s">
        <v>47</v>
      </c>
      <c r="F2721" t="s">
        <v>28</v>
      </c>
      <c r="G2721" t="s">
        <v>77</v>
      </c>
      <c r="H2721" t="s">
        <v>78</v>
      </c>
      <c r="I2721">
        <v>17831.2</v>
      </c>
      <c r="J2721">
        <v>15445.92</v>
      </c>
      <c r="K2721" t="s">
        <v>17</v>
      </c>
      <c r="L2721" t="b">
        <v>0</v>
      </c>
      <c r="N2721" s="2" t="b">
        <f t="shared" si="238"/>
        <v>1</v>
      </c>
      <c r="O2721" t="str">
        <f t="shared" ref="O2721:O2722" si="241">IF(AND(E2710="HR",K2710="EXPENSE"),I2710&lt;J2710,"")</f>
        <v/>
      </c>
      <c r="Q2721" t="str">
        <f t="shared" si="239"/>
        <v/>
      </c>
    </row>
    <row r="2722" spans="1:17" hidden="1">
      <c r="A2722" t="s">
        <v>2827</v>
      </c>
      <c r="B2722" s="1">
        <v>45287</v>
      </c>
      <c r="C2722">
        <v>2023</v>
      </c>
      <c r="D2722">
        <v>12</v>
      </c>
      <c r="E2722" t="s">
        <v>47</v>
      </c>
      <c r="F2722" t="s">
        <v>24</v>
      </c>
      <c r="G2722" t="s">
        <v>77</v>
      </c>
      <c r="H2722" t="s">
        <v>147</v>
      </c>
      <c r="I2722">
        <v>17649.23</v>
      </c>
      <c r="J2722">
        <v>14628.35</v>
      </c>
      <c r="K2722" t="s">
        <v>17</v>
      </c>
      <c r="L2722" t="b">
        <v>0</v>
      </c>
      <c r="N2722" s="2" t="b">
        <f t="shared" si="238"/>
        <v>1</v>
      </c>
      <c r="O2722" t="str">
        <f t="shared" si="241"/>
        <v/>
      </c>
      <c r="Q2722" t="str">
        <f t="shared" si="239"/>
        <v/>
      </c>
    </row>
    <row r="2723" spans="1:17" hidden="1">
      <c r="A2723" t="s">
        <v>2828</v>
      </c>
      <c r="B2723" s="1">
        <v>45287</v>
      </c>
      <c r="C2723">
        <v>2023</v>
      </c>
      <c r="D2723">
        <v>12</v>
      </c>
      <c r="E2723" t="s">
        <v>19</v>
      </c>
      <c r="F2723" t="s">
        <v>14</v>
      </c>
      <c r="G2723" t="s">
        <v>80</v>
      </c>
      <c r="H2723" t="s">
        <v>81</v>
      </c>
      <c r="I2723">
        <v>5602.78</v>
      </c>
      <c r="J2723">
        <v>5383.49</v>
      </c>
      <c r="K2723" t="s">
        <v>17</v>
      </c>
      <c r="L2723" t="b">
        <v>0</v>
      </c>
      <c r="N2723" s="2" t="str">
        <f t="shared" si="238"/>
        <v/>
      </c>
      <c r="Q2723" t="str">
        <f t="shared" si="239"/>
        <v/>
      </c>
    </row>
    <row r="2724" spans="1:17" hidden="1">
      <c r="A2724" t="s">
        <v>2829</v>
      </c>
      <c r="B2724" s="1">
        <v>45287</v>
      </c>
      <c r="C2724">
        <v>2023</v>
      </c>
      <c r="D2724">
        <v>12</v>
      </c>
      <c r="E2724" t="s">
        <v>19</v>
      </c>
      <c r="F2724" t="s">
        <v>24</v>
      </c>
      <c r="G2724" t="s">
        <v>54</v>
      </c>
      <c r="H2724" t="s">
        <v>55</v>
      </c>
      <c r="I2724">
        <v>7723.25</v>
      </c>
      <c r="J2724">
        <v>8457.34</v>
      </c>
      <c r="K2724" t="s">
        <v>17</v>
      </c>
      <c r="L2724" t="b">
        <v>0</v>
      </c>
      <c r="N2724" s="2" t="str">
        <f t="shared" si="238"/>
        <v/>
      </c>
      <c r="Q2724" t="str">
        <f t="shared" si="239"/>
        <v/>
      </c>
    </row>
    <row r="2725" spans="1:17" hidden="1">
      <c r="A2725" t="s">
        <v>2830</v>
      </c>
      <c r="B2725" s="1">
        <v>45287</v>
      </c>
      <c r="C2725">
        <v>2023</v>
      </c>
      <c r="D2725">
        <v>12</v>
      </c>
      <c r="E2725" t="s">
        <v>19</v>
      </c>
      <c r="F2725" t="s">
        <v>24</v>
      </c>
      <c r="G2725" t="s">
        <v>132</v>
      </c>
      <c r="H2725" t="s">
        <v>138</v>
      </c>
      <c r="I2725">
        <v>6183.75</v>
      </c>
      <c r="J2725">
        <v>5675.45</v>
      </c>
      <c r="K2725" t="s">
        <v>17</v>
      </c>
      <c r="L2725" t="b">
        <v>0</v>
      </c>
      <c r="N2725" s="2" t="str">
        <f t="shared" si="238"/>
        <v/>
      </c>
      <c r="Q2725" t="str">
        <f t="shared" si="239"/>
        <v/>
      </c>
    </row>
    <row r="2726" spans="1:17" hidden="1">
      <c r="A2726" t="s">
        <v>2831</v>
      </c>
      <c r="B2726" s="1">
        <v>45287</v>
      </c>
      <c r="C2726">
        <v>2023</v>
      </c>
      <c r="D2726">
        <v>12</v>
      </c>
      <c r="E2726" t="s">
        <v>37</v>
      </c>
      <c r="F2726" t="s">
        <v>28</v>
      </c>
      <c r="G2726" t="s">
        <v>62</v>
      </c>
      <c r="H2726" t="s">
        <v>63</v>
      </c>
      <c r="I2726">
        <v>3988.81</v>
      </c>
      <c r="J2726">
        <v>4304.91</v>
      </c>
      <c r="K2726" t="s">
        <v>17</v>
      </c>
      <c r="L2726" t="b">
        <v>0</v>
      </c>
      <c r="N2726" s="2" t="str">
        <f t="shared" si="238"/>
        <v/>
      </c>
      <c r="Q2726" t="str">
        <f t="shared" si="239"/>
        <v/>
      </c>
    </row>
    <row r="2727" spans="1:17" hidden="1">
      <c r="A2727" t="s">
        <v>2832</v>
      </c>
      <c r="B2727" s="1">
        <v>45287</v>
      </c>
      <c r="C2727">
        <v>2023</v>
      </c>
      <c r="D2727">
        <v>12</v>
      </c>
      <c r="E2727" t="s">
        <v>37</v>
      </c>
      <c r="F2727" t="s">
        <v>28</v>
      </c>
      <c r="G2727" t="s">
        <v>38</v>
      </c>
      <c r="H2727" t="s">
        <v>227</v>
      </c>
      <c r="I2727">
        <v>4390.8500000000004</v>
      </c>
      <c r="J2727">
        <v>4313.53</v>
      </c>
      <c r="K2727" t="s">
        <v>17</v>
      </c>
      <c r="L2727" t="b">
        <v>0</v>
      </c>
      <c r="N2727" s="2" t="str">
        <f t="shared" si="238"/>
        <v/>
      </c>
      <c r="Q2727" t="str">
        <f t="shared" si="239"/>
        <v/>
      </c>
    </row>
    <row r="2728" spans="1:17" hidden="1">
      <c r="A2728" t="s">
        <v>2833</v>
      </c>
      <c r="B2728" s="1">
        <v>45287</v>
      </c>
      <c r="C2728">
        <v>2023</v>
      </c>
      <c r="D2728">
        <v>12</v>
      </c>
      <c r="E2728" t="s">
        <v>37</v>
      </c>
      <c r="F2728" t="s">
        <v>24</v>
      </c>
      <c r="G2728" t="s">
        <v>62</v>
      </c>
      <c r="H2728" t="s">
        <v>66</v>
      </c>
      <c r="I2728">
        <v>5071.25</v>
      </c>
      <c r="J2728">
        <v>5531.42</v>
      </c>
      <c r="K2728" t="s">
        <v>17</v>
      </c>
      <c r="L2728" t="b">
        <v>0</v>
      </c>
      <c r="N2728" s="2" t="str">
        <f t="shared" si="238"/>
        <v/>
      </c>
      <c r="Q2728" t="str">
        <f t="shared" si="239"/>
        <v/>
      </c>
    </row>
    <row r="2729" spans="1:17" hidden="1">
      <c r="A2729" t="s">
        <v>2834</v>
      </c>
      <c r="B2729" s="1">
        <v>45288</v>
      </c>
      <c r="C2729">
        <v>2023</v>
      </c>
      <c r="D2729">
        <v>12</v>
      </c>
      <c r="E2729" t="s">
        <v>47</v>
      </c>
      <c r="F2729" t="s">
        <v>24</v>
      </c>
      <c r="G2729" t="s">
        <v>51</v>
      </c>
      <c r="H2729" t="s">
        <v>72</v>
      </c>
      <c r="I2729">
        <v>22699.55</v>
      </c>
      <c r="J2729">
        <v>19381.55</v>
      </c>
      <c r="K2729" t="s">
        <v>17</v>
      </c>
      <c r="L2729" t="b">
        <v>0</v>
      </c>
      <c r="N2729" s="2" t="b">
        <f t="shared" si="238"/>
        <v>1</v>
      </c>
      <c r="O2729" t="str">
        <f>IF(AND(E2718="HR",K2718="EXPENSE"),I2718&lt;J2718,"")</f>
        <v/>
      </c>
      <c r="Q2729" t="str">
        <f t="shared" si="239"/>
        <v/>
      </c>
    </row>
    <row r="2730" spans="1:17" hidden="1">
      <c r="A2730" t="s">
        <v>2835</v>
      </c>
      <c r="B2730" s="1">
        <v>45288</v>
      </c>
      <c r="C2730">
        <v>2023</v>
      </c>
      <c r="D2730">
        <v>12</v>
      </c>
      <c r="E2730" t="s">
        <v>23</v>
      </c>
      <c r="F2730" t="s">
        <v>14</v>
      </c>
      <c r="G2730" t="s">
        <v>30</v>
      </c>
      <c r="H2730" t="s">
        <v>106</v>
      </c>
      <c r="I2730">
        <v>7114.01</v>
      </c>
      <c r="J2730">
        <v>6442.72</v>
      </c>
      <c r="K2730" t="s">
        <v>17</v>
      </c>
      <c r="L2730" t="b">
        <v>0</v>
      </c>
      <c r="N2730" s="2" t="str">
        <f t="shared" si="238"/>
        <v/>
      </c>
      <c r="Q2730" t="str">
        <f t="shared" si="239"/>
        <v/>
      </c>
    </row>
    <row r="2731" spans="1:17" hidden="1">
      <c r="A2731" t="s">
        <v>2836</v>
      </c>
      <c r="B2731" s="1">
        <v>45288</v>
      </c>
      <c r="C2731">
        <v>2023</v>
      </c>
      <c r="D2731">
        <v>12</v>
      </c>
      <c r="E2731" t="s">
        <v>23</v>
      </c>
      <c r="F2731" t="s">
        <v>14</v>
      </c>
      <c r="G2731" t="s">
        <v>25</v>
      </c>
      <c r="H2731" t="s">
        <v>35</v>
      </c>
      <c r="I2731">
        <v>6350.41</v>
      </c>
      <c r="J2731">
        <v>6441.73</v>
      </c>
      <c r="K2731" t="s">
        <v>17</v>
      </c>
      <c r="L2731" t="b">
        <v>0</v>
      </c>
      <c r="N2731" s="2" t="str">
        <f t="shared" si="238"/>
        <v/>
      </c>
      <c r="Q2731" t="str">
        <f t="shared" si="239"/>
        <v/>
      </c>
    </row>
    <row r="2732" spans="1:17" hidden="1">
      <c r="A2732" t="s">
        <v>2837</v>
      </c>
      <c r="B2732" s="1">
        <v>45288</v>
      </c>
      <c r="C2732">
        <v>2023</v>
      </c>
      <c r="D2732">
        <v>12</v>
      </c>
      <c r="E2732" t="s">
        <v>23</v>
      </c>
      <c r="F2732" t="s">
        <v>24</v>
      </c>
      <c r="G2732" t="s">
        <v>141</v>
      </c>
      <c r="H2732" t="s">
        <v>153</v>
      </c>
      <c r="I2732">
        <v>4707.8900000000003</v>
      </c>
      <c r="J2732">
        <v>4435.33</v>
      </c>
      <c r="K2732" t="s">
        <v>17</v>
      </c>
      <c r="L2732" t="b">
        <v>0</v>
      </c>
      <c r="N2732" s="2" t="str">
        <f t="shared" si="238"/>
        <v/>
      </c>
      <c r="Q2732" t="str">
        <f t="shared" si="239"/>
        <v/>
      </c>
    </row>
    <row r="2733" spans="1:17" hidden="1">
      <c r="A2733" t="s">
        <v>2838</v>
      </c>
      <c r="B2733" s="1">
        <v>45288</v>
      </c>
      <c r="C2733">
        <v>2023</v>
      </c>
      <c r="D2733">
        <v>12</v>
      </c>
      <c r="E2733" t="s">
        <v>23</v>
      </c>
      <c r="F2733" t="s">
        <v>24</v>
      </c>
      <c r="G2733" t="s">
        <v>25</v>
      </c>
      <c r="H2733" t="s">
        <v>95</v>
      </c>
      <c r="I2733">
        <v>4732.3599999999997</v>
      </c>
      <c r="J2733">
        <v>4997.45</v>
      </c>
      <c r="K2733" t="s">
        <v>17</v>
      </c>
      <c r="L2733" t="b">
        <v>0</v>
      </c>
      <c r="N2733" s="2" t="str">
        <f t="shared" si="238"/>
        <v/>
      </c>
      <c r="Q2733" t="str">
        <f t="shared" si="239"/>
        <v/>
      </c>
    </row>
    <row r="2734" spans="1:17" hidden="1">
      <c r="A2734" t="s">
        <v>2839</v>
      </c>
      <c r="B2734" s="1">
        <v>45288</v>
      </c>
      <c r="C2734">
        <v>2023</v>
      </c>
      <c r="D2734">
        <v>12</v>
      </c>
      <c r="E2734" t="s">
        <v>37</v>
      </c>
      <c r="F2734" t="s">
        <v>28</v>
      </c>
      <c r="G2734" t="s">
        <v>41</v>
      </c>
      <c r="H2734" t="s">
        <v>42</v>
      </c>
      <c r="I2734">
        <v>6249.21</v>
      </c>
      <c r="J2734">
        <v>5673.73</v>
      </c>
      <c r="K2734" t="s">
        <v>17</v>
      </c>
      <c r="L2734" t="b">
        <v>0</v>
      </c>
      <c r="N2734" s="2" t="str">
        <f t="shared" si="238"/>
        <v/>
      </c>
      <c r="Q2734" t="str">
        <f t="shared" si="239"/>
        <v/>
      </c>
    </row>
    <row r="2735" spans="1:17" hidden="1">
      <c r="A2735" t="s">
        <v>2840</v>
      </c>
      <c r="B2735" s="1">
        <v>45288</v>
      </c>
      <c r="C2735">
        <v>2023</v>
      </c>
      <c r="D2735">
        <v>12</v>
      </c>
      <c r="E2735" t="s">
        <v>37</v>
      </c>
      <c r="F2735" t="s">
        <v>28</v>
      </c>
      <c r="G2735" t="s">
        <v>41</v>
      </c>
      <c r="H2735" t="s">
        <v>42</v>
      </c>
      <c r="I2735">
        <v>5354.14</v>
      </c>
      <c r="J2735">
        <v>5250.31</v>
      </c>
      <c r="K2735" t="s">
        <v>17</v>
      </c>
      <c r="L2735" t="b">
        <v>0</v>
      </c>
      <c r="N2735" s="2" t="str">
        <f t="shared" si="238"/>
        <v/>
      </c>
      <c r="Q2735" t="str">
        <f t="shared" si="239"/>
        <v/>
      </c>
    </row>
    <row r="2736" spans="1:17" hidden="1">
      <c r="A2736" t="s">
        <v>2841</v>
      </c>
      <c r="B2736" s="1">
        <v>45289</v>
      </c>
      <c r="C2736">
        <v>2023</v>
      </c>
      <c r="D2736">
        <v>12</v>
      </c>
      <c r="E2736" t="s">
        <v>47</v>
      </c>
      <c r="F2736" t="s">
        <v>28</v>
      </c>
      <c r="G2736" t="s">
        <v>48</v>
      </c>
      <c r="H2736" t="s">
        <v>75</v>
      </c>
      <c r="I2736">
        <v>11488.95</v>
      </c>
      <c r="J2736">
        <v>9556.2000000000007</v>
      </c>
      <c r="K2736" t="s">
        <v>17</v>
      </c>
      <c r="L2736" t="b">
        <v>0</v>
      </c>
      <c r="N2736" s="2" t="b">
        <f t="shared" si="238"/>
        <v>1</v>
      </c>
      <c r="O2736" t="str">
        <f t="shared" ref="O2736:O2738" si="242">IF(AND(E2725="HR",K2725="EXPENSE"),I2725&lt;J2725,"")</f>
        <v/>
      </c>
      <c r="Q2736" t="str">
        <f t="shared" si="239"/>
        <v/>
      </c>
    </row>
    <row r="2737" spans="1:17" hidden="1">
      <c r="A2737" t="s">
        <v>2842</v>
      </c>
      <c r="B2737" s="1">
        <v>45289</v>
      </c>
      <c r="C2737">
        <v>2023</v>
      </c>
      <c r="D2737">
        <v>12</v>
      </c>
      <c r="E2737" t="s">
        <v>47</v>
      </c>
      <c r="F2737" t="s">
        <v>24</v>
      </c>
      <c r="G2737" t="s">
        <v>51</v>
      </c>
      <c r="H2737" t="s">
        <v>72</v>
      </c>
      <c r="I2737">
        <v>18225.28</v>
      </c>
      <c r="J2737">
        <v>15436.72</v>
      </c>
      <c r="K2737" t="s">
        <v>17</v>
      </c>
      <c r="L2737" t="b">
        <v>0</v>
      </c>
      <c r="N2737" s="2" t="b">
        <f t="shared" si="238"/>
        <v>1</v>
      </c>
      <c r="O2737" t="str">
        <f t="shared" si="242"/>
        <v/>
      </c>
      <c r="Q2737" t="str">
        <f t="shared" si="239"/>
        <v/>
      </c>
    </row>
    <row r="2738" spans="1:17" hidden="1">
      <c r="A2738" t="s">
        <v>2843</v>
      </c>
      <c r="B2738" s="1">
        <v>45289</v>
      </c>
      <c r="C2738">
        <v>2023</v>
      </c>
      <c r="D2738">
        <v>12</v>
      </c>
      <c r="E2738" t="s">
        <v>47</v>
      </c>
      <c r="F2738" t="s">
        <v>24</v>
      </c>
      <c r="G2738" t="s">
        <v>77</v>
      </c>
      <c r="H2738" t="s">
        <v>78</v>
      </c>
      <c r="I2738">
        <v>12979.35</v>
      </c>
      <c r="J2738">
        <v>11225.1</v>
      </c>
      <c r="K2738" t="s">
        <v>17</v>
      </c>
      <c r="L2738" t="b">
        <v>0</v>
      </c>
      <c r="N2738" s="2" t="b">
        <f t="shared" si="238"/>
        <v>1</v>
      </c>
      <c r="O2738" t="str">
        <f t="shared" si="242"/>
        <v/>
      </c>
      <c r="Q2738" t="str">
        <f t="shared" si="239"/>
        <v/>
      </c>
    </row>
    <row r="2739" spans="1:17" hidden="1">
      <c r="A2739" t="s">
        <v>2844</v>
      </c>
      <c r="B2739" s="1">
        <v>45289</v>
      </c>
      <c r="C2739">
        <v>2023</v>
      </c>
      <c r="D2739">
        <v>12</v>
      </c>
      <c r="E2739" t="s">
        <v>23</v>
      </c>
      <c r="F2739" t="s">
        <v>24</v>
      </c>
      <c r="G2739" t="s">
        <v>59</v>
      </c>
      <c r="H2739" t="s">
        <v>155</v>
      </c>
      <c r="I2739">
        <v>5578.73</v>
      </c>
      <c r="J2739">
        <v>5682.02</v>
      </c>
      <c r="K2739" t="s">
        <v>17</v>
      </c>
      <c r="L2739" t="b">
        <v>0</v>
      </c>
      <c r="N2739" s="2" t="str">
        <f t="shared" si="238"/>
        <v/>
      </c>
      <c r="Q2739" t="str">
        <f t="shared" si="239"/>
        <v/>
      </c>
    </row>
    <row r="2740" spans="1:17" hidden="1">
      <c r="A2740" t="s">
        <v>2845</v>
      </c>
      <c r="B2740" s="1">
        <v>45289</v>
      </c>
      <c r="C2740">
        <v>2023</v>
      </c>
      <c r="D2740">
        <v>12</v>
      </c>
      <c r="E2740" t="s">
        <v>23</v>
      </c>
      <c r="F2740" t="s">
        <v>24</v>
      </c>
      <c r="G2740" t="s">
        <v>59</v>
      </c>
      <c r="H2740" t="s">
        <v>60</v>
      </c>
      <c r="I2740">
        <v>3442.21</v>
      </c>
      <c r="J2740">
        <v>3625.45</v>
      </c>
      <c r="K2740" t="s">
        <v>17</v>
      </c>
      <c r="L2740" t="b">
        <v>0</v>
      </c>
      <c r="N2740" s="2" t="str">
        <f t="shared" si="238"/>
        <v/>
      </c>
      <c r="Q2740" t="str">
        <f t="shared" si="239"/>
        <v/>
      </c>
    </row>
    <row r="2741" spans="1:17" hidden="1">
      <c r="A2741" t="s">
        <v>2846</v>
      </c>
      <c r="B2741" s="1">
        <v>45290</v>
      </c>
      <c r="C2741">
        <v>2023</v>
      </c>
      <c r="D2741">
        <v>12</v>
      </c>
      <c r="E2741" t="s">
        <v>47</v>
      </c>
      <c r="F2741" t="s">
        <v>14</v>
      </c>
      <c r="G2741" t="s">
        <v>51</v>
      </c>
      <c r="H2741" t="s">
        <v>72</v>
      </c>
      <c r="I2741">
        <v>11370.65</v>
      </c>
      <c r="J2741">
        <v>9448.09</v>
      </c>
      <c r="K2741" t="s">
        <v>17</v>
      </c>
      <c r="L2741" t="b">
        <v>0</v>
      </c>
      <c r="N2741" s="2" t="b">
        <f t="shared" si="238"/>
        <v>1</v>
      </c>
      <c r="O2741" t="str">
        <f>IF(AND(E2730="HR",K2730="EXPENSE"),I2730&lt;J2730,"")</f>
        <v/>
      </c>
      <c r="Q2741" t="str">
        <f t="shared" si="239"/>
        <v/>
      </c>
    </row>
    <row r="2742" spans="1:17" hidden="1">
      <c r="A2742" t="s">
        <v>2847</v>
      </c>
      <c r="B2742" s="1">
        <v>45290</v>
      </c>
      <c r="C2742">
        <v>2023</v>
      </c>
      <c r="D2742">
        <v>12</v>
      </c>
      <c r="E2742" t="s">
        <v>23</v>
      </c>
      <c r="F2742" t="s">
        <v>28</v>
      </c>
      <c r="G2742" t="s">
        <v>30</v>
      </c>
      <c r="H2742" t="s">
        <v>31</v>
      </c>
      <c r="I2742">
        <v>5779.21</v>
      </c>
      <c r="J2742">
        <v>5507.38</v>
      </c>
      <c r="K2742" t="s">
        <v>17</v>
      </c>
      <c r="L2742" t="b">
        <v>0</v>
      </c>
      <c r="N2742" s="2" t="str">
        <f t="shared" si="238"/>
        <v/>
      </c>
      <c r="Q2742" t="str">
        <f t="shared" si="239"/>
        <v/>
      </c>
    </row>
    <row r="2743" spans="1:17" hidden="1">
      <c r="A2743" t="s">
        <v>2848</v>
      </c>
      <c r="B2743" s="1">
        <v>45290</v>
      </c>
      <c r="C2743">
        <v>2023</v>
      </c>
      <c r="D2743">
        <v>12</v>
      </c>
      <c r="E2743" t="s">
        <v>37</v>
      </c>
      <c r="F2743" t="s">
        <v>14</v>
      </c>
      <c r="G2743" t="s">
        <v>62</v>
      </c>
      <c r="H2743" t="s">
        <v>66</v>
      </c>
      <c r="I2743">
        <v>2860.62</v>
      </c>
      <c r="J2743">
        <v>2862.38</v>
      </c>
      <c r="K2743" t="s">
        <v>17</v>
      </c>
      <c r="L2743" t="b">
        <v>0</v>
      </c>
      <c r="N2743" s="2" t="str">
        <f t="shared" si="238"/>
        <v/>
      </c>
      <c r="Q2743" t="str">
        <f t="shared" si="239"/>
        <v/>
      </c>
    </row>
    <row r="2744" spans="1:17" hidden="1">
      <c r="A2744" t="s">
        <v>2849</v>
      </c>
      <c r="B2744" s="1">
        <v>45290</v>
      </c>
      <c r="C2744">
        <v>2023</v>
      </c>
      <c r="D2744">
        <v>12</v>
      </c>
      <c r="E2744" t="s">
        <v>37</v>
      </c>
      <c r="F2744" t="s">
        <v>28</v>
      </c>
      <c r="G2744" t="s">
        <v>62</v>
      </c>
      <c r="H2744" t="s">
        <v>66</v>
      </c>
      <c r="I2744">
        <v>4111.21</v>
      </c>
      <c r="J2744">
        <v>3870.18</v>
      </c>
      <c r="K2744" t="s">
        <v>17</v>
      </c>
      <c r="L2744" t="b">
        <v>0</v>
      </c>
      <c r="N2744" s="2" t="str">
        <f t="shared" si="238"/>
        <v/>
      </c>
      <c r="Q2744" t="str">
        <f t="shared" si="239"/>
        <v/>
      </c>
    </row>
    <row r="2745" spans="1:17" hidden="1">
      <c r="A2745" t="s">
        <v>2850</v>
      </c>
      <c r="B2745" s="1">
        <v>45291</v>
      </c>
      <c r="C2745">
        <v>2023</v>
      </c>
      <c r="D2745">
        <v>12</v>
      </c>
      <c r="E2745" t="s">
        <v>47</v>
      </c>
      <c r="F2745" t="s">
        <v>14</v>
      </c>
      <c r="G2745" t="s">
        <v>77</v>
      </c>
      <c r="H2745" t="s">
        <v>147</v>
      </c>
      <c r="I2745">
        <v>13255.98</v>
      </c>
      <c r="J2745">
        <v>10930.62</v>
      </c>
      <c r="K2745" t="s">
        <v>17</v>
      </c>
      <c r="L2745" t="b">
        <v>0</v>
      </c>
      <c r="N2745" s="2" t="b">
        <f t="shared" si="238"/>
        <v>1</v>
      </c>
      <c r="O2745" t="str">
        <f>IF(AND(E2734="HR",K2734="EXPENSE"),I2734&lt;J2734,"")</f>
        <v/>
      </c>
      <c r="Q2745" t="str">
        <f t="shared" si="239"/>
        <v/>
      </c>
    </row>
    <row r="2746" spans="1:17" hidden="1">
      <c r="A2746" t="s">
        <v>2851</v>
      </c>
      <c r="B2746" s="1">
        <v>45291</v>
      </c>
      <c r="C2746">
        <v>2023</v>
      </c>
      <c r="D2746">
        <v>12</v>
      </c>
      <c r="E2746" t="s">
        <v>19</v>
      </c>
      <c r="F2746" t="s">
        <v>14</v>
      </c>
      <c r="G2746" t="s">
        <v>132</v>
      </c>
      <c r="H2746" t="s">
        <v>133</v>
      </c>
      <c r="I2746">
        <v>5129.58</v>
      </c>
      <c r="J2746">
        <v>4784.9399999999996</v>
      </c>
      <c r="K2746" t="s">
        <v>17</v>
      </c>
      <c r="L2746" t="b">
        <v>0</v>
      </c>
      <c r="N2746" s="2" t="str">
        <f t="shared" si="238"/>
        <v/>
      </c>
      <c r="Q2746" t="str">
        <f t="shared" si="239"/>
        <v/>
      </c>
    </row>
    <row r="2747" spans="1:17" hidden="1">
      <c r="A2747" t="s">
        <v>2852</v>
      </c>
      <c r="B2747" s="1">
        <v>45291</v>
      </c>
      <c r="C2747">
        <v>2023</v>
      </c>
      <c r="D2747">
        <v>12</v>
      </c>
      <c r="E2747" t="s">
        <v>23</v>
      </c>
      <c r="F2747" t="s">
        <v>28</v>
      </c>
      <c r="G2747" t="s">
        <v>141</v>
      </c>
      <c r="H2747" t="s">
        <v>153</v>
      </c>
      <c r="I2747">
        <v>6788.87</v>
      </c>
      <c r="J2747">
        <v>7394.14</v>
      </c>
      <c r="K2747" t="s">
        <v>17</v>
      </c>
      <c r="L2747" t="b">
        <v>0</v>
      </c>
      <c r="N2747" s="2" t="str">
        <f t="shared" si="238"/>
        <v/>
      </c>
      <c r="Q2747" t="str">
        <f t="shared" si="239"/>
        <v/>
      </c>
    </row>
    <row r="2748" spans="1:17" hidden="1">
      <c r="A2748" t="s">
        <v>2853</v>
      </c>
      <c r="B2748" s="1">
        <v>45291</v>
      </c>
      <c r="C2748">
        <v>2023</v>
      </c>
      <c r="D2748">
        <v>12</v>
      </c>
      <c r="E2748" t="s">
        <v>23</v>
      </c>
      <c r="F2748" t="s">
        <v>24</v>
      </c>
      <c r="G2748" t="s">
        <v>25</v>
      </c>
      <c r="H2748" t="s">
        <v>26</v>
      </c>
      <c r="I2748">
        <v>1902.71</v>
      </c>
      <c r="J2748">
        <v>1925.5</v>
      </c>
      <c r="K2748" t="s">
        <v>17</v>
      </c>
      <c r="L2748" t="b">
        <v>0</v>
      </c>
      <c r="N2748" s="2" t="str">
        <f t="shared" si="238"/>
        <v/>
      </c>
      <c r="Q2748" t="str">
        <f t="shared" si="239"/>
        <v/>
      </c>
    </row>
    <row r="2749" spans="1:17" hidden="1">
      <c r="A2749" t="s">
        <v>2854</v>
      </c>
      <c r="B2749" s="1">
        <v>45291</v>
      </c>
      <c r="C2749">
        <v>2023</v>
      </c>
      <c r="D2749">
        <v>12</v>
      </c>
      <c r="E2749" t="s">
        <v>37</v>
      </c>
      <c r="F2749" t="s">
        <v>14</v>
      </c>
      <c r="G2749" t="s">
        <v>98</v>
      </c>
      <c r="H2749" t="s">
        <v>99</v>
      </c>
      <c r="I2749">
        <v>2776.92</v>
      </c>
      <c r="J2749">
        <v>2605.36</v>
      </c>
      <c r="K2749" t="s">
        <v>17</v>
      </c>
      <c r="L2749" t="b">
        <v>0</v>
      </c>
      <c r="N2749" s="2" t="str">
        <f t="shared" si="238"/>
        <v/>
      </c>
      <c r="Q2749" t="str">
        <f t="shared" si="239"/>
        <v/>
      </c>
    </row>
    <row r="2750" spans="1:17" hidden="1">
      <c r="A2750" t="s">
        <v>2855</v>
      </c>
      <c r="B2750" s="1">
        <v>45291</v>
      </c>
      <c r="C2750">
        <v>2023</v>
      </c>
      <c r="D2750">
        <v>12</v>
      </c>
      <c r="E2750" t="s">
        <v>37</v>
      </c>
      <c r="F2750" t="s">
        <v>28</v>
      </c>
      <c r="G2750" t="s">
        <v>62</v>
      </c>
      <c r="H2750" t="s">
        <v>360</v>
      </c>
      <c r="I2750">
        <v>5560.44</v>
      </c>
      <c r="J2750">
        <v>5714.07</v>
      </c>
      <c r="K2750" t="s">
        <v>17</v>
      </c>
      <c r="L2750" t="b">
        <v>0</v>
      </c>
      <c r="N2750" s="2" t="str">
        <f t="shared" si="238"/>
        <v/>
      </c>
      <c r="Q2750" t="str">
        <f t="shared" si="239"/>
        <v/>
      </c>
    </row>
    <row r="2751" spans="1:17" hidden="1">
      <c r="A2751" t="s">
        <v>2856</v>
      </c>
      <c r="B2751" s="1">
        <v>45291</v>
      </c>
      <c r="C2751">
        <v>2023</v>
      </c>
      <c r="D2751">
        <v>12</v>
      </c>
      <c r="E2751" t="s">
        <v>37</v>
      </c>
      <c r="F2751" t="s">
        <v>24</v>
      </c>
      <c r="G2751" t="s">
        <v>38</v>
      </c>
      <c r="H2751" t="s">
        <v>227</v>
      </c>
      <c r="I2751">
        <v>4867.26</v>
      </c>
      <c r="J2751">
        <v>4400.12</v>
      </c>
      <c r="K2751" t="s">
        <v>17</v>
      </c>
      <c r="L2751" t="b">
        <v>0</v>
      </c>
      <c r="N2751" s="2" t="str">
        <f t="shared" si="238"/>
        <v/>
      </c>
      <c r="Q2751" t="str">
        <f t="shared" si="239"/>
        <v/>
      </c>
    </row>
    <row r="2752" spans="1:17" hidden="1">
      <c r="A2752" t="s">
        <v>2857</v>
      </c>
      <c r="B2752" s="1">
        <v>45292</v>
      </c>
      <c r="C2752">
        <v>2024</v>
      </c>
      <c r="D2752">
        <v>1</v>
      </c>
      <c r="E2752" t="s">
        <v>13</v>
      </c>
      <c r="F2752" t="s">
        <v>14</v>
      </c>
      <c r="G2752" t="s">
        <v>108</v>
      </c>
      <c r="H2752" t="s">
        <v>109</v>
      </c>
      <c r="I2752">
        <v>4271.12</v>
      </c>
      <c r="J2752">
        <v>4651.83</v>
      </c>
      <c r="K2752" t="s">
        <v>17</v>
      </c>
      <c r="L2752" t="b">
        <v>0</v>
      </c>
      <c r="N2752" s="2" t="str">
        <f t="shared" si="238"/>
        <v/>
      </c>
      <c r="Q2752" t="str">
        <f t="shared" si="239"/>
        <v/>
      </c>
    </row>
    <row r="2753" spans="1:17" hidden="1">
      <c r="A2753" t="s">
        <v>2858</v>
      </c>
      <c r="B2753" s="1">
        <v>45292</v>
      </c>
      <c r="C2753">
        <v>2024</v>
      </c>
      <c r="D2753">
        <v>1</v>
      </c>
      <c r="E2753" t="s">
        <v>13</v>
      </c>
      <c r="F2753" t="s">
        <v>14</v>
      </c>
      <c r="G2753" t="s">
        <v>102</v>
      </c>
      <c r="H2753" t="s">
        <v>278</v>
      </c>
      <c r="I2753">
        <v>2694.62</v>
      </c>
      <c r="J2753">
        <v>2706.4</v>
      </c>
      <c r="K2753" t="s">
        <v>17</v>
      </c>
      <c r="L2753" t="b">
        <v>0</v>
      </c>
      <c r="N2753" s="2" t="str">
        <f t="shared" si="238"/>
        <v/>
      </c>
      <c r="Q2753" t="str">
        <f t="shared" si="239"/>
        <v/>
      </c>
    </row>
    <row r="2754" spans="1:17" hidden="1">
      <c r="A2754" t="s">
        <v>2859</v>
      </c>
      <c r="B2754" s="1">
        <v>45292</v>
      </c>
      <c r="C2754">
        <v>2024</v>
      </c>
      <c r="D2754">
        <v>1</v>
      </c>
      <c r="E2754" t="s">
        <v>13</v>
      </c>
      <c r="F2754" t="s">
        <v>28</v>
      </c>
      <c r="G2754" t="s">
        <v>15</v>
      </c>
      <c r="H2754" t="s">
        <v>89</v>
      </c>
      <c r="I2754">
        <v>2878.61</v>
      </c>
      <c r="J2754">
        <v>2775.29</v>
      </c>
      <c r="K2754" t="s">
        <v>17</v>
      </c>
      <c r="L2754" t="b">
        <v>0</v>
      </c>
      <c r="N2754" s="2" t="str">
        <f t="shared" si="238"/>
        <v/>
      </c>
      <c r="Q2754" t="str">
        <f t="shared" si="239"/>
        <v/>
      </c>
    </row>
    <row r="2755" spans="1:17" hidden="1">
      <c r="A2755" t="s">
        <v>2860</v>
      </c>
      <c r="B2755" s="1">
        <v>45292</v>
      </c>
      <c r="C2755">
        <v>2024</v>
      </c>
      <c r="D2755">
        <v>1</v>
      </c>
      <c r="E2755" t="s">
        <v>13</v>
      </c>
      <c r="F2755" t="s">
        <v>24</v>
      </c>
      <c r="G2755" t="s">
        <v>108</v>
      </c>
      <c r="H2755" t="s">
        <v>109</v>
      </c>
      <c r="I2755">
        <v>4339.51</v>
      </c>
      <c r="J2755">
        <v>4555.8900000000003</v>
      </c>
      <c r="K2755" t="s">
        <v>17</v>
      </c>
      <c r="L2755" t="b">
        <v>0</v>
      </c>
      <c r="N2755" s="2" t="str">
        <f t="shared" ref="N2755:N2818" si="243">IF(AND(E2755="IT",K2755="EXPENSE"),I2755&gt;J2755,"")</f>
        <v/>
      </c>
      <c r="Q2755" t="str">
        <f t="shared" ref="Q2755:Q2818" si="244">IF(L2755=TRUE,OR(H2755="Apex Solutions Inc",H2755="Global Trade Partners",H2755="NovaTech Services"),"")</f>
        <v/>
      </c>
    </row>
    <row r="2756" spans="1:17" hidden="1">
      <c r="A2756" t="s">
        <v>2861</v>
      </c>
      <c r="B2756" s="1">
        <v>45292</v>
      </c>
      <c r="C2756">
        <v>2024</v>
      </c>
      <c r="D2756">
        <v>1</v>
      </c>
      <c r="E2756" t="s">
        <v>47</v>
      </c>
      <c r="F2756" t="s">
        <v>14</v>
      </c>
      <c r="G2756" t="s">
        <v>91</v>
      </c>
      <c r="H2756" t="s">
        <v>92</v>
      </c>
      <c r="I2756">
        <v>15688.45</v>
      </c>
      <c r="J2756">
        <v>13603.99</v>
      </c>
      <c r="K2756" t="s">
        <v>17</v>
      </c>
      <c r="L2756" t="b">
        <v>0</v>
      </c>
      <c r="N2756" s="2" t="b">
        <f t="shared" si="243"/>
        <v>1</v>
      </c>
      <c r="O2756" t="str">
        <f>IF(AND(E2745="HR",K2745="EXPENSE"),I2745&lt;J2745,"")</f>
        <v/>
      </c>
      <c r="Q2756" t="str">
        <f t="shared" si="244"/>
        <v/>
      </c>
    </row>
    <row r="2757" spans="1:17" hidden="1">
      <c r="A2757" t="s">
        <v>2862</v>
      </c>
      <c r="B2757" s="1">
        <v>45292</v>
      </c>
      <c r="C2757">
        <v>2024</v>
      </c>
      <c r="D2757">
        <v>1</v>
      </c>
      <c r="E2757" t="s">
        <v>19</v>
      </c>
      <c r="F2757" t="s">
        <v>14</v>
      </c>
      <c r="G2757" t="s">
        <v>80</v>
      </c>
      <c r="H2757" t="s">
        <v>150</v>
      </c>
      <c r="I2757">
        <v>6425.22</v>
      </c>
      <c r="J2757">
        <v>6649.06</v>
      </c>
      <c r="K2757" t="s">
        <v>17</v>
      </c>
      <c r="L2757" t="b">
        <v>0</v>
      </c>
      <c r="N2757" s="2" t="str">
        <f t="shared" si="243"/>
        <v/>
      </c>
      <c r="Q2757" t="str">
        <f t="shared" si="244"/>
        <v/>
      </c>
    </row>
    <row r="2758" spans="1:17" hidden="1">
      <c r="A2758" t="s">
        <v>2863</v>
      </c>
      <c r="B2758" s="1">
        <v>45292</v>
      </c>
      <c r="C2758">
        <v>2024</v>
      </c>
      <c r="D2758">
        <v>1</v>
      </c>
      <c r="E2758" t="s">
        <v>19</v>
      </c>
      <c r="F2758" t="s">
        <v>14</v>
      </c>
      <c r="G2758" t="s">
        <v>80</v>
      </c>
      <c r="H2758" t="s">
        <v>81</v>
      </c>
      <c r="I2758">
        <v>6016.49</v>
      </c>
      <c r="J2758">
        <v>5899.51</v>
      </c>
      <c r="K2758" t="s">
        <v>17</v>
      </c>
      <c r="L2758" t="b">
        <v>0</v>
      </c>
      <c r="N2758" s="2" t="str">
        <f t="shared" si="243"/>
        <v/>
      </c>
      <c r="Q2758" t="str">
        <f t="shared" si="244"/>
        <v/>
      </c>
    </row>
    <row r="2759" spans="1:17" hidden="1">
      <c r="A2759" t="s">
        <v>2864</v>
      </c>
      <c r="B2759" s="1">
        <v>45292</v>
      </c>
      <c r="C2759">
        <v>2024</v>
      </c>
      <c r="D2759">
        <v>1</v>
      </c>
      <c r="E2759" t="s">
        <v>37</v>
      </c>
      <c r="F2759" t="s">
        <v>28</v>
      </c>
      <c r="G2759" t="s">
        <v>41</v>
      </c>
      <c r="H2759" t="s">
        <v>42</v>
      </c>
      <c r="I2759">
        <v>6983.72</v>
      </c>
      <c r="J2759">
        <v>6438.09</v>
      </c>
      <c r="K2759" t="s">
        <v>17</v>
      </c>
      <c r="L2759" t="b">
        <v>0</v>
      </c>
      <c r="N2759" s="2" t="str">
        <f t="shared" si="243"/>
        <v/>
      </c>
      <c r="Q2759" t="str">
        <f t="shared" si="244"/>
        <v/>
      </c>
    </row>
    <row r="2760" spans="1:17" hidden="1">
      <c r="A2760" t="s">
        <v>2865</v>
      </c>
      <c r="B2760" s="1">
        <v>45293</v>
      </c>
      <c r="C2760">
        <v>2024</v>
      </c>
      <c r="D2760">
        <v>1</v>
      </c>
      <c r="E2760" t="s">
        <v>13</v>
      </c>
      <c r="F2760" t="s">
        <v>14</v>
      </c>
      <c r="G2760" t="s">
        <v>15</v>
      </c>
      <c r="H2760" t="s">
        <v>16</v>
      </c>
      <c r="I2760">
        <v>3066.16</v>
      </c>
      <c r="J2760">
        <v>3083.69</v>
      </c>
      <c r="K2760" t="s">
        <v>17</v>
      </c>
      <c r="L2760" t="b">
        <v>0</v>
      </c>
      <c r="N2760" s="2" t="str">
        <f t="shared" si="243"/>
        <v/>
      </c>
      <c r="Q2760" t="str">
        <f t="shared" si="244"/>
        <v/>
      </c>
    </row>
    <row r="2761" spans="1:17" hidden="1">
      <c r="A2761" t="s">
        <v>2866</v>
      </c>
      <c r="B2761" s="1">
        <v>45293</v>
      </c>
      <c r="C2761">
        <v>2024</v>
      </c>
      <c r="D2761">
        <v>1</v>
      </c>
      <c r="E2761" t="s">
        <v>23</v>
      </c>
      <c r="F2761" t="s">
        <v>28</v>
      </c>
      <c r="G2761" t="s">
        <v>25</v>
      </c>
      <c r="H2761" t="s">
        <v>35</v>
      </c>
      <c r="I2761">
        <v>6800.89</v>
      </c>
      <c r="J2761">
        <v>6295.16</v>
      </c>
      <c r="K2761" t="s">
        <v>17</v>
      </c>
      <c r="L2761" t="b">
        <v>0</v>
      </c>
      <c r="N2761" s="2" t="str">
        <f t="shared" si="243"/>
        <v/>
      </c>
      <c r="Q2761" t="str">
        <f t="shared" si="244"/>
        <v/>
      </c>
    </row>
    <row r="2762" spans="1:17" hidden="1">
      <c r="A2762" t="s">
        <v>2867</v>
      </c>
      <c r="B2762" s="1">
        <v>45293</v>
      </c>
      <c r="C2762">
        <v>2024</v>
      </c>
      <c r="D2762">
        <v>1</v>
      </c>
      <c r="E2762" t="s">
        <v>23</v>
      </c>
      <c r="F2762" t="s">
        <v>28</v>
      </c>
      <c r="G2762" t="s">
        <v>25</v>
      </c>
      <c r="H2762" t="s">
        <v>35</v>
      </c>
      <c r="I2762">
        <v>4801.01</v>
      </c>
      <c r="J2762">
        <v>5167.54</v>
      </c>
      <c r="K2762" t="s">
        <v>17</v>
      </c>
      <c r="L2762" t="b">
        <v>0</v>
      </c>
      <c r="N2762" s="2" t="str">
        <f t="shared" si="243"/>
        <v/>
      </c>
      <c r="Q2762" t="str">
        <f t="shared" si="244"/>
        <v/>
      </c>
    </row>
    <row r="2763" spans="1:17" hidden="1">
      <c r="A2763" t="s">
        <v>2868</v>
      </c>
      <c r="B2763" s="1">
        <v>45293</v>
      </c>
      <c r="C2763">
        <v>2024</v>
      </c>
      <c r="D2763">
        <v>1</v>
      </c>
      <c r="E2763" t="s">
        <v>37</v>
      </c>
      <c r="F2763" t="s">
        <v>24</v>
      </c>
      <c r="G2763" t="s">
        <v>41</v>
      </c>
      <c r="H2763" t="s">
        <v>42</v>
      </c>
      <c r="I2763">
        <v>7178.86</v>
      </c>
      <c r="J2763">
        <v>7507.1</v>
      </c>
      <c r="K2763" t="s">
        <v>17</v>
      </c>
      <c r="L2763" t="b">
        <v>0</v>
      </c>
      <c r="N2763" s="2" t="str">
        <f t="shared" si="243"/>
        <v/>
      </c>
      <c r="Q2763" t="str">
        <f t="shared" si="244"/>
        <v/>
      </c>
    </row>
    <row r="2764" spans="1:17" hidden="1">
      <c r="A2764" t="s">
        <v>2869</v>
      </c>
      <c r="B2764" s="1">
        <v>45294</v>
      </c>
      <c r="C2764">
        <v>2024</v>
      </c>
      <c r="D2764">
        <v>1</v>
      </c>
      <c r="E2764" t="s">
        <v>13</v>
      </c>
      <c r="F2764" t="s">
        <v>28</v>
      </c>
      <c r="G2764" t="s">
        <v>102</v>
      </c>
      <c r="H2764" t="s">
        <v>145</v>
      </c>
      <c r="I2764">
        <v>5063.42</v>
      </c>
      <c r="J2764">
        <v>4874.2299999999996</v>
      </c>
      <c r="K2764" t="s">
        <v>17</v>
      </c>
      <c r="L2764" t="b">
        <v>0</v>
      </c>
      <c r="N2764" s="2" t="str">
        <f t="shared" si="243"/>
        <v/>
      </c>
      <c r="Q2764" t="str">
        <f t="shared" si="244"/>
        <v/>
      </c>
    </row>
    <row r="2765" spans="1:17" hidden="1">
      <c r="A2765" t="s">
        <v>2870</v>
      </c>
      <c r="B2765" s="1">
        <v>45294</v>
      </c>
      <c r="C2765">
        <v>2024</v>
      </c>
      <c r="D2765">
        <v>1</v>
      </c>
      <c r="E2765" t="s">
        <v>47</v>
      </c>
      <c r="F2765" t="s">
        <v>28</v>
      </c>
      <c r="G2765" t="s">
        <v>91</v>
      </c>
      <c r="H2765" t="s">
        <v>92</v>
      </c>
      <c r="I2765">
        <v>13102.81</v>
      </c>
      <c r="J2765">
        <v>11175.62</v>
      </c>
      <c r="K2765" t="s">
        <v>17</v>
      </c>
      <c r="L2765" t="b">
        <v>0</v>
      </c>
      <c r="N2765" s="2" t="b">
        <f t="shared" si="243"/>
        <v>1</v>
      </c>
      <c r="O2765" t="b">
        <f>IF(AND(E2754="HR",K2754="EXPENSE"),I2754&lt;J2754,"")</f>
        <v>0</v>
      </c>
      <c r="Q2765" t="str">
        <f t="shared" si="244"/>
        <v/>
      </c>
    </row>
    <row r="2766" spans="1:17" hidden="1">
      <c r="A2766" t="s">
        <v>2871</v>
      </c>
      <c r="B2766" s="1">
        <v>45294</v>
      </c>
      <c r="C2766">
        <v>2024</v>
      </c>
      <c r="D2766">
        <v>1</v>
      </c>
      <c r="E2766" t="s">
        <v>19</v>
      </c>
      <c r="F2766" t="s">
        <v>28</v>
      </c>
      <c r="G2766" t="s">
        <v>80</v>
      </c>
      <c r="H2766" t="s">
        <v>150</v>
      </c>
      <c r="I2766">
        <v>7909.09</v>
      </c>
      <c r="J2766">
        <v>8653.61</v>
      </c>
      <c r="K2766" t="s">
        <v>17</v>
      </c>
      <c r="L2766" t="b">
        <v>0</v>
      </c>
      <c r="N2766" s="2" t="str">
        <f t="shared" si="243"/>
        <v/>
      </c>
      <c r="Q2766" t="str">
        <f t="shared" si="244"/>
        <v/>
      </c>
    </row>
    <row r="2767" spans="1:17" hidden="1">
      <c r="A2767" t="s">
        <v>2872</v>
      </c>
      <c r="B2767" s="1">
        <v>45294</v>
      </c>
      <c r="C2767">
        <v>2024</v>
      </c>
      <c r="D2767">
        <v>1</v>
      </c>
      <c r="E2767" t="s">
        <v>37</v>
      </c>
      <c r="F2767" t="s">
        <v>24</v>
      </c>
      <c r="G2767" t="s">
        <v>41</v>
      </c>
      <c r="H2767" t="s">
        <v>42</v>
      </c>
      <c r="I2767">
        <v>3802.24</v>
      </c>
      <c r="J2767">
        <v>3512.71</v>
      </c>
      <c r="K2767" t="s">
        <v>17</v>
      </c>
      <c r="L2767" t="b">
        <v>0</v>
      </c>
      <c r="N2767" s="2" t="str">
        <f t="shared" si="243"/>
        <v/>
      </c>
      <c r="Q2767" t="str">
        <f t="shared" si="244"/>
        <v/>
      </c>
    </row>
    <row r="2768" spans="1:17" hidden="1">
      <c r="A2768" t="s">
        <v>2873</v>
      </c>
      <c r="B2768" s="1">
        <v>45295</v>
      </c>
      <c r="C2768">
        <v>2024</v>
      </c>
      <c r="D2768">
        <v>1</v>
      </c>
      <c r="E2768" t="s">
        <v>13</v>
      </c>
      <c r="F2768" t="s">
        <v>14</v>
      </c>
      <c r="G2768" t="s">
        <v>68</v>
      </c>
      <c r="H2768" t="s">
        <v>87</v>
      </c>
      <c r="I2768">
        <v>3713.53</v>
      </c>
      <c r="J2768">
        <v>3652.22</v>
      </c>
      <c r="K2768" t="s">
        <v>17</v>
      </c>
      <c r="L2768" t="b">
        <v>0</v>
      </c>
      <c r="N2768" s="2" t="str">
        <f t="shared" si="243"/>
        <v/>
      </c>
      <c r="Q2768" t="str">
        <f t="shared" si="244"/>
        <v/>
      </c>
    </row>
    <row r="2769" spans="1:17" hidden="1">
      <c r="A2769" t="s">
        <v>2874</v>
      </c>
      <c r="B2769" s="1">
        <v>45295</v>
      </c>
      <c r="C2769">
        <v>2024</v>
      </c>
      <c r="D2769">
        <v>1</v>
      </c>
      <c r="E2769" t="s">
        <v>13</v>
      </c>
      <c r="F2769" t="s">
        <v>14</v>
      </c>
      <c r="G2769" t="s">
        <v>108</v>
      </c>
      <c r="H2769" t="s">
        <v>123</v>
      </c>
      <c r="I2769">
        <v>4119.78</v>
      </c>
      <c r="J2769">
        <v>3804.66</v>
      </c>
      <c r="K2769" t="s">
        <v>17</v>
      </c>
      <c r="L2769" t="b">
        <v>0</v>
      </c>
      <c r="N2769" s="2" t="str">
        <f t="shared" si="243"/>
        <v/>
      </c>
      <c r="Q2769" t="str">
        <f t="shared" si="244"/>
        <v/>
      </c>
    </row>
    <row r="2770" spans="1:17" hidden="1">
      <c r="A2770" t="s">
        <v>2875</v>
      </c>
      <c r="B2770" s="1">
        <v>45295</v>
      </c>
      <c r="C2770">
        <v>2024</v>
      </c>
      <c r="D2770">
        <v>1</v>
      </c>
      <c r="E2770" t="s">
        <v>13</v>
      </c>
      <c r="F2770" t="s">
        <v>24</v>
      </c>
      <c r="G2770" t="s">
        <v>102</v>
      </c>
      <c r="H2770" t="s">
        <v>103</v>
      </c>
      <c r="I2770">
        <v>2530.62</v>
      </c>
      <c r="J2770">
        <v>2505.33</v>
      </c>
      <c r="K2770" t="s">
        <v>17</v>
      </c>
      <c r="L2770" t="b">
        <v>0</v>
      </c>
      <c r="N2770" s="2" t="str">
        <f t="shared" si="243"/>
        <v/>
      </c>
      <c r="Q2770" t="str">
        <f t="shared" si="244"/>
        <v/>
      </c>
    </row>
    <row r="2771" spans="1:17" hidden="1">
      <c r="A2771" t="s">
        <v>2876</v>
      </c>
      <c r="B2771" s="1">
        <v>45295</v>
      </c>
      <c r="C2771">
        <v>2024</v>
      </c>
      <c r="D2771">
        <v>1</v>
      </c>
      <c r="E2771" t="s">
        <v>13</v>
      </c>
      <c r="F2771" t="s">
        <v>24</v>
      </c>
      <c r="G2771" t="s">
        <v>102</v>
      </c>
      <c r="H2771" t="s">
        <v>145</v>
      </c>
      <c r="I2771">
        <v>3493.75</v>
      </c>
      <c r="J2771">
        <v>3666.49</v>
      </c>
      <c r="K2771" t="s">
        <v>17</v>
      </c>
      <c r="L2771" t="b">
        <v>0</v>
      </c>
      <c r="N2771" s="2" t="str">
        <f t="shared" si="243"/>
        <v/>
      </c>
      <c r="Q2771" t="str">
        <f t="shared" si="244"/>
        <v/>
      </c>
    </row>
    <row r="2772" spans="1:17" hidden="1">
      <c r="A2772" t="s">
        <v>2877</v>
      </c>
      <c r="B2772" s="1">
        <v>45295</v>
      </c>
      <c r="C2772">
        <v>2024</v>
      </c>
      <c r="D2772">
        <v>1</v>
      </c>
      <c r="E2772" t="s">
        <v>47</v>
      </c>
      <c r="F2772" t="s">
        <v>28</v>
      </c>
      <c r="G2772" t="s">
        <v>91</v>
      </c>
      <c r="H2772" t="s">
        <v>249</v>
      </c>
      <c r="I2772">
        <v>9138.01</v>
      </c>
      <c r="J2772">
        <v>7815.42</v>
      </c>
      <c r="K2772" t="s">
        <v>17</v>
      </c>
      <c r="L2772" t="b">
        <v>0</v>
      </c>
      <c r="N2772" s="2" t="b">
        <f t="shared" si="243"/>
        <v>1</v>
      </c>
      <c r="O2772" t="str">
        <f>IF(AND(E2761="HR",K2761="EXPENSE"),I2761&lt;J2761,"")</f>
        <v/>
      </c>
      <c r="Q2772" t="str">
        <f t="shared" si="244"/>
        <v/>
      </c>
    </row>
    <row r="2773" spans="1:17" hidden="1">
      <c r="A2773" t="s">
        <v>2878</v>
      </c>
      <c r="B2773" s="1">
        <v>45295</v>
      </c>
      <c r="C2773">
        <v>2024</v>
      </c>
      <c r="D2773">
        <v>1</v>
      </c>
      <c r="E2773" t="s">
        <v>19</v>
      </c>
      <c r="F2773" t="s">
        <v>28</v>
      </c>
      <c r="G2773" t="s">
        <v>132</v>
      </c>
      <c r="H2773" t="s">
        <v>138</v>
      </c>
      <c r="I2773">
        <v>9897.31</v>
      </c>
      <c r="J2773">
        <v>9551.73</v>
      </c>
      <c r="K2773" t="s">
        <v>17</v>
      </c>
      <c r="L2773" t="b">
        <v>0</v>
      </c>
      <c r="N2773" s="2" t="str">
        <f t="shared" si="243"/>
        <v/>
      </c>
      <c r="Q2773" t="str">
        <f t="shared" si="244"/>
        <v/>
      </c>
    </row>
    <row r="2774" spans="1:17" hidden="1">
      <c r="A2774" t="s">
        <v>2879</v>
      </c>
      <c r="B2774" s="1">
        <v>45295</v>
      </c>
      <c r="C2774">
        <v>2024</v>
      </c>
      <c r="D2774">
        <v>1</v>
      </c>
      <c r="E2774" t="s">
        <v>19</v>
      </c>
      <c r="F2774" t="s">
        <v>24</v>
      </c>
      <c r="G2774" t="s">
        <v>20</v>
      </c>
      <c r="H2774" t="s">
        <v>21</v>
      </c>
      <c r="I2774">
        <v>4027.07</v>
      </c>
      <c r="J2774">
        <v>3984.13</v>
      </c>
      <c r="K2774" t="s">
        <v>17</v>
      </c>
      <c r="L2774" t="b">
        <v>0</v>
      </c>
      <c r="N2774" s="2" t="str">
        <f t="shared" si="243"/>
        <v/>
      </c>
      <c r="Q2774" t="str">
        <f t="shared" si="244"/>
        <v/>
      </c>
    </row>
    <row r="2775" spans="1:17" hidden="1">
      <c r="A2775" t="s">
        <v>2880</v>
      </c>
      <c r="B2775" s="1">
        <v>45295</v>
      </c>
      <c r="C2775">
        <v>2024</v>
      </c>
      <c r="D2775">
        <v>1</v>
      </c>
      <c r="E2775" t="s">
        <v>19</v>
      </c>
      <c r="F2775" t="s">
        <v>24</v>
      </c>
      <c r="G2775" t="s">
        <v>80</v>
      </c>
      <c r="H2775" t="s">
        <v>113</v>
      </c>
      <c r="I2775">
        <v>6082.14</v>
      </c>
      <c r="J2775">
        <v>5750.7</v>
      </c>
      <c r="K2775" t="s">
        <v>17</v>
      </c>
      <c r="L2775" t="b">
        <v>0</v>
      </c>
      <c r="N2775" s="2" t="str">
        <f t="shared" si="243"/>
        <v/>
      </c>
      <c r="Q2775" t="str">
        <f t="shared" si="244"/>
        <v/>
      </c>
    </row>
    <row r="2776" spans="1:17" hidden="1">
      <c r="A2776" t="s">
        <v>2881</v>
      </c>
      <c r="B2776" s="1">
        <v>45295</v>
      </c>
      <c r="C2776">
        <v>2024</v>
      </c>
      <c r="D2776">
        <v>1</v>
      </c>
      <c r="E2776" t="s">
        <v>37</v>
      </c>
      <c r="F2776" t="s">
        <v>14</v>
      </c>
      <c r="G2776" t="s">
        <v>41</v>
      </c>
      <c r="H2776" t="s">
        <v>42</v>
      </c>
      <c r="I2776">
        <v>3880.01</v>
      </c>
      <c r="J2776">
        <v>3596.15</v>
      </c>
      <c r="K2776" t="s">
        <v>17</v>
      </c>
      <c r="L2776" t="b">
        <v>0</v>
      </c>
      <c r="N2776" s="2" t="str">
        <f t="shared" si="243"/>
        <v/>
      </c>
      <c r="Q2776" t="str">
        <f t="shared" si="244"/>
        <v/>
      </c>
    </row>
    <row r="2777" spans="1:17" hidden="1">
      <c r="A2777" t="s">
        <v>2882</v>
      </c>
      <c r="B2777" s="1">
        <v>45296</v>
      </c>
      <c r="C2777">
        <v>2024</v>
      </c>
      <c r="D2777">
        <v>1</v>
      </c>
      <c r="E2777" t="s">
        <v>47</v>
      </c>
      <c r="F2777" t="s">
        <v>14</v>
      </c>
      <c r="G2777" t="s">
        <v>77</v>
      </c>
      <c r="H2777" t="s">
        <v>147</v>
      </c>
      <c r="I2777">
        <v>13965.07</v>
      </c>
      <c r="J2777">
        <v>11866.77</v>
      </c>
      <c r="K2777" t="s">
        <v>17</v>
      </c>
      <c r="L2777" t="b">
        <v>0</v>
      </c>
      <c r="N2777" s="2" t="b">
        <f t="shared" si="243"/>
        <v>1</v>
      </c>
      <c r="O2777" t="str">
        <f t="shared" ref="O2777:O2778" si="245">IF(AND(E2766="HR",K2766="EXPENSE"),I2766&lt;J2766,"")</f>
        <v/>
      </c>
      <c r="Q2777" t="str">
        <f t="shared" si="244"/>
        <v/>
      </c>
    </row>
    <row r="2778" spans="1:17" hidden="1">
      <c r="A2778" t="s">
        <v>2883</v>
      </c>
      <c r="B2778" s="1">
        <v>45296</v>
      </c>
      <c r="C2778">
        <v>2024</v>
      </c>
      <c r="D2778">
        <v>1</v>
      </c>
      <c r="E2778" t="s">
        <v>47</v>
      </c>
      <c r="F2778" t="s">
        <v>24</v>
      </c>
      <c r="G2778" t="s">
        <v>77</v>
      </c>
      <c r="H2778" t="s">
        <v>78</v>
      </c>
      <c r="I2778">
        <v>14406.54</v>
      </c>
      <c r="J2778">
        <v>12497.54</v>
      </c>
      <c r="K2778" t="s">
        <v>17</v>
      </c>
      <c r="L2778" t="b">
        <v>0</v>
      </c>
      <c r="N2778" s="2" t="b">
        <f t="shared" si="243"/>
        <v>1</v>
      </c>
      <c r="O2778" t="str">
        <f t="shared" si="245"/>
        <v/>
      </c>
      <c r="Q2778" t="str">
        <f t="shared" si="244"/>
        <v/>
      </c>
    </row>
    <row r="2779" spans="1:17" hidden="1">
      <c r="A2779" t="s">
        <v>2884</v>
      </c>
      <c r="B2779" s="1">
        <v>45296</v>
      </c>
      <c r="C2779">
        <v>2024</v>
      </c>
      <c r="D2779">
        <v>1</v>
      </c>
      <c r="E2779" t="s">
        <v>19</v>
      </c>
      <c r="F2779" t="s">
        <v>14</v>
      </c>
      <c r="G2779" t="s">
        <v>80</v>
      </c>
      <c r="H2779" t="s">
        <v>217</v>
      </c>
      <c r="I2779">
        <v>5448.39</v>
      </c>
      <c r="J2779">
        <v>5416.56</v>
      </c>
      <c r="K2779" t="s">
        <v>17</v>
      </c>
      <c r="L2779" t="b">
        <v>0</v>
      </c>
      <c r="N2779" s="2" t="str">
        <f t="shared" si="243"/>
        <v/>
      </c>
      <c r="Q2779" t="str">
        <f t="shared" si="244"/>
        <v/>
      </c>
    </row>
    <row r="2780" spans="1:17" hidden="1">
      <c r="A2780" t="s">
        <v>2885</v>
      </c>
      <c r="B2780" s="1">
        <v>45296</v>
      </c>
      <c r="C2780">
        <v>2024</v>
      </c>
      <c r="D2780">
        <v>1</v>
      </c>
      <c r="E2780" t="s">
        <v>19</v>
      </c>
      <c r="F2780" t="s">
        <v>14</v>
      </c>
      <c r="G2780" t="s">
        <v>80</v>
      </c>
      <c r="H2780" t="s">
        <v>113</v>
      </c>
      <c r="I2780">
        <v>6969.7</v>
      </c>
      <c r="J2780">
        <v>7026.31</v>
      </c>
      <c r="K2780" t="s">
        <v>17</v>
      </c>
      <c r="L2780" t="b">
        <v>0</v>
      </c>
      <c r="N2780" s="2" t="str">
        <f t="shared" si="243"/>
        <v/>
      </c>
      <c r="Q2780" t="str">
        <f t="shared" si="244"/>
        <v/>
      </c>
    </row>
    <row r="2781" spans="1:17" hidden="1">
      <c r="A2781" t="s">
        <v>2886</v>
      </c>
      <c r="B2781" s="1">
        <v>45296</v>
      </c>
      <c r="C2781">
        <v>2024</v>
      </c>
      <c r="D2781">
        <v>1</v>
      </c>
      <c r="E2781" t="s">
        <v>19</v>
      </c>
      <c r="F2781" t="s">
        <v>24</v>
      </c>
      <c r="G2781" t="s">
        <v>132</v>
      </c>
      <c r="H2781" t="s">
        <v>138</v>
      </c>
      <c r="I2781">
        <v>9287.59</v>
      </c>
      <c r="J2781">
        <v>8830.91</v>
      </c>
      <c r="K2781" t="s">
        <v>17</v>
      </c>
      <c r="L2781" t="b">
        <v>0</v>
      </c>
      <c r="N2781" s="2" t="str">
        <f t="shared" si="243"/>
        <v/>
      </c>
      <c r="Q2781" t="str">
        <f t="shared" si="244"/>
        <v/>
      </c>
    </row>
    <row r="2782" spans="1:17" hidden="1">
      <c r="A2782" t="s">
        <v>2887</v>
      </c>
      <c r="B2782" s="1">
        <v>45296</v>
      </c>
      <c r="C2782">
        <v>2024</v>
      </c>
      <c r="D2782">
        <v>1</v>
      </c>
      <c r="E2782" t="s">
        <v>23</v>
      </c>
      <c r="F2782" t="s">
        <v>14</v>
      </c>
      <c r="G2782" t="s">
        <v>59</v>
      </c>
      <c r="H2782" t="s">
        <v>60</v>
      </c>
      <c r="I2782">
        <v>3329.29</v>
      </c>
      <c r="J2782">
        <v>3029.09</v>
      </c>
      <c r="K2782" t="s">
        <v>17</v>
      </c>
      <c r="L2782" t="b">
        <v>0</v>
      </c>
      <c r="N2782" s="2" t="str">
        <f t="shared" si="243"/>
        <v/>
      </c>
      <c r="Q2782" t="str">
        <f t="shared" si="244"/>
        <v/>
      </c>
    </row>
    <row r="2783" spans="1:17" hidden="1">
      <c r="A2783" t="s">
        <v>2888</v>
      </c>
      <c r="B2783" s="1">
        <v>45296</v>
      </c>
      <c r="C2783">
        <v>2024</v>
      </c>
      <c r="D2783">
        <v>1</v>
      </c>
      <c r="E2783" t="s">
        <v>23</v>
      </c>
      <c r="F2783" t="s">
        <v>24</v>
      </c>
      <c r="G2783" t="s">
        <v>30</v>
      </c>
      <c r="H2783" t="s">
        <v>33</v>
      </c>
      <c r="I2783">
        <v>7108.62</v>
      </c>
      <c r="J2783">
        <v>7711.74</v>
      </c>
      <c r="K2783" t="s">
        <v>17</v>
      </c>
      <c r="L2783" t="b">
        <v>0</v>
      </c>
      <c r="N2783" s="2" t="str">
        <f t="shared" si="243"/>
        <v/>
      </c>
      <c r="Q2783" t="str">
        <f t="shared" si="244"/>
        <v/>
      </c>
    </row>
    <row r="2784" spans="1:17" hidden="1">
      <c r="A2784" t="s">
        <v>2889</v>
      </c>
      <c r="B2784" s="1">
        <v>45296</v>
      </c>
      <c r="C2784">
        <v>2024</v>
      </c>
      <c r="D2784">
        <v>1</v>
      </c>
      <c r="E2784" t="s">
        <v>37</v>
      </c>
      <c r="F2784" t="s">
        <v>14</v>
      </c>
      <c r="G2784" t="s">
        <v>62</v>
      </c>
      <c r="H2784" t="s">
        <v>121</v>
      </c>
      <c r="I2784">
        <v>6375.83</v>
      </c>
      <c r="J2784">
        <v>6568.11</v>
      </c>
      <c r="K2784" t="s">
        <v>17</v>
      </c>
      <c r="L2784" t="b">
        <v>0</v>
      </c>
      <c r="N2784" s="2" t="str">
        <f t="shared" si="243"/>
        <v/>
      </c>
      <c r="Q2784" t="str">
        <f t="shared" si="244"/>
        <v/>
      </c>
    </row>
    <row r="2785" spans="1:17" hidden="1">
      <c r="A2785" t="s">
        <v>2890</v>
      </c>
      <c r="B2785" s="1">
        <v>45296</v>
      </c>
      <c r="C2785">
        <v>2024</v>
      </c>
      <c r="D2785">
        <v>1</v>
      </c>
      <c r="E2785" t="s">
        <v>37</v>
      </c>
      <c r="F2785" t="s">
        <v>24</v>
      </c>
      <c r="G2785" t="s">
        <v>41</v>
      </c>
      <c r="H2785" t="s">
        <v>42</v>
      </c>
      <c r="I2785">
        <v>3955.61</v>
      </c>
      <c r="J2785">
        <v>3737.72</v>
      </c>
      <c r="K2785" t="s">
        <v>17</v>
      </c>
      <c r="L2785" t="b">
        <v>0</v>
      </c>
      <c r="N2785" s="2" t="str">
        <f t="shared" si="243"/>
        <v/>
      </c>
      <c r="Q2785" t="str">
        <f t="shared" si="244"/>
        <v/>
      </c>
    </row>
    <row r="2786" spans="1:17" hidden="1">
      <c r="A2786" t="s">
        <v>2891</v>
      </c>
      <c r="B2786" s="1">
        <v>45297</v>
      </c>
      <c r="C2786">
        <v>2024</v>
      </c>
      <c r="D2786">
        <v>1</v>
      </c>
      <c r="E2786" t="s">
        <v>13</v>
      </c>
      <c r="F2786" t="s">
        <v>14</v>
      </c>
      <c r="G2786" t="s">
        <v>15</v>
      </c>
      <c r="H2786" t="s">
        <v>89</v>
      </c>
      <c r="I2786">
        <v>3900.47</v>
      </c>
      <c r="J2786">
        <v>4225.49</v>
      </c>
      <c r="K2786" t="s">
        <v>17</v>
      </c>
      <c r="L2786" t="b">
        <v>0</v>
      </c>
      <c r="N2786" s="2" t="str">
        <f t="shared" si="243"/>
        <v/>
      </c>
      <c r="Q2786" t="str">
        <f t="shared" si="244"/>
        <v/>
      </c>
    </row>
    <row r="2787" spans="1:17" hidden="1">
      <c r="A2787" t="s">
        <v>2892</v>
      </c>
      <c r="B2787" s="1">
        <v>45297</v>
      </c>
      <c r="C2787">
        <v>2024</v>
      </c>
      <c r="D2787">
        <v>1</v>
      </c>
      <c r="E2787" t="s">
        <v>19</v>
      </c>
      <c r="F2787" t="s">
        <v>14</v>
      </c>
      <c r="G2787" t="s">
        <v>54</v>
      </c>
      <c r="H2787" t="s">
        <v>57</v>
      </c>
      <c r="I2787">
        <v>3416.19</v>
      </c>
      <c r="J2787">
        <v>3557.37</v>
      </c>
      <c r="K2787" t="s">
        <v>17</v>
      </c>
      <c r="L2787" t="b">
        <v>0</v>
      </c>
      <c r="N2787" s="2" t="str">
        <f t="shared" si="243"/>
        <v/>
      </c>
      <c r="Q2787" t="str">
        <f t="shared" si="244"/>
        <v/>
      </c>
    </row>
    <row r="2788" spans="1:17" hidden="1">
      <c r="A2788" t="s">
        <v>2893</v>
      </c>
      <c r="B2788" s="1">
        <v>45297</v>
      </c>
      <c r="C2788">
        <v>2024</v>
      </c>
      <c r="D2788">
        <v>1</v>
      </c>
      <c r="E2788" t="s">
        <v>19</v>
      </c>
      <c r="F2788" t="s">
        <v>14</v>
      </c>
      <c r="G2788" t="s">
        <v>20</v>
      </c>
      <c r="H2788" t="s">
        <v>21</v>
      </c>
      <c r="I2788">
        <v>4021.11</v>
      </c>
      <c r="J2788">
        <v>4343.53</v>
      </c>
      <c r="K2788" t="s">
        <v>17</v>
      </c>
      <c r="L2788" t="b">
        <v>0</v>
      </c>
      <c r="N2788" s="2" t="str">
        <f t="shared" si="243"/>
        <v/>
      </c>
      <c r="Q2788" t="str">
        <f t="shared" si="244"/>
        <v/>
      </c>
    </row>
    <row r="2789" spans="1:17" hidden="1">
      <c r="A2789" t="s">
        <v>2894</v>
      </c>
      <c r="B2789" s="1">
        <v>45297</v>
      </c>
      <c r="C2789">
        <v>2024</v>
      </c>
      <c r="D2789">
        <v>1</v>
      </c>
      <c r="E2789" t="s">
        <v>19</v>
      </c>
      <c r="F2789" t="s">
        <v>28</v>
      </c>
      <c r="G2789" t="s">
        <v>54</v>
      </c>
      <c r="H2789" t="s">
        <v>163</v>
      </c>
      <c r="I2789">
        <v>7915.59</v>
      </c>
      <c r="J2789">
        <v>7227.89</v>
      </c>
      <c r="K2789" t="s">
        <v>17</v>
      </c>
      <c r="L2789" t="b">
        <v>0</v>
      </c>
      <c r="N2789" s="2" t="str">
        <f t="shared" si="243"/>
        <v/>
      </c>
      <c r="Q2789" t="str">
        <f t="shared" si="244"/>
        <v/>
      </c>
    </row>
    <row r="2790" spans="1:17" hidden="1">
      <c r="A2790" t="s">
        <v>2895</v>
      </c>
      <c r="B2790" s="1">
        <v>45297</v>
      </c>
      <c r="C2790">
        <v>2024</v>
      </c>
      <c r="D2790">
        <v>1</v>
      </c>
      <c r="E2790" t="s">
        <v>23</v>
      </c>
      <c r="F2790" t="s">
        <v>14</v>
      </c>
      <c r="G2790" t="s">
        <v>30</v>
      </c>
      <c r="H2790" t="s">
        <v>33</v>
      </c>
      <c r="I2790">
        <v>5720.56</v>
      </c>
      <c r="J2790">
        <v>6219.39</v>
      </c>
      <c r="K2790" t="s">
        <v>17</v>
      </c>
      <c r="L2790" t="b">
        <v>0</v>
      </c>
      <c r="N2790" s="2" t="str">
        <f t="shared" si="243"/>
        <v/>
      </c>
      <c r="Q2790" t="str">
        <f t="shared" si="244"/>
        <v/>
      </c>
    </row>
    <row r="2791" spans="1:17" hidden="1">
      <c r="A2791" t="s">
        <v>2896</v>
      </c>
      <c r="B2791" s="1">
        <v>45297</v>
      </c>
      <c r="C2791">
        <v>2024</v>
      </c>
      <c r="D2791">
        <v>1</v>
      </c>
      <c r="E2791" t="s">
        <v>23</v>
      </c>
      <c r="F2791" t="s">
        <v>14</v>
      </c>
      <c r="G2791" t="s">
        <v>30</v>
      </c>
      <c r="H2791" t="s">
        <v>33</v>
      </c>
      <c r="I2791">
        <v>5330.32</v>
      </c>
      <c r="J2791">
        <v>5387.95</v>
      </c>
      <c r="K2791" t="s">
        <v>17</v>
      </c>
      <c r="L2791" t="b">
        <v>0</v>
      </c>
      <c r="N2791" s="2" t="str">
        <f t="shared" si="243"/>
        <v/>
      </c>
      <c r="Q2791" t="str">
        <f t="shared" si="244"/>
        <v/>
      </c>
    </row>
    <row r="2792" spans="1:17" hidden="1">
      <c r="A2792" t="s">
        <v>2897</v>
      </c>
      <c r="B2792" s="1">
        <v>45297</v>
      </c>
      <c r="C2792">
        <v>2024</v>
      </c>
      <c r="D2792">
        <v>1</v>
      </c>
      <c r="E2792" t="s">
        <v>23</v>
      </c>
      <c r="F2792" t="s">
        <v>28</v>
      </c>
      <c r="G2792" t="s">
        <v>59</v>
      </c>
      <c r="H2792" t="s">
        <v>155</v>
      </c>
      <c r="I2792">
        <v>6425.15</v>
      </c>
      <c r="J2792">
        <v>6957.95</v>
      </c>
      <c r="K2792" t="s">
        <v>17</v>
      </c>
      <c r="L2792" t="b">
        <v>0</v>
      </c>
      <c r="N2792" s="2" t="str">
        <f t="shared" si="243"/>
        <v/>
      </c>
      <c r="Q2792" t="str">
        <f t="shared" si="244"/>
        <v/>
      </c>
    </row>
    <row r="2793" spans="1:17" hidden="1">
      <c r="A2793" t="s">
        <v>2898</v>
      </c>
      <c r="B2793" s="1">
        <v>45298</v>
      </c>
      <c r="C2793">
        <v>2024</v>
      </c>
      <c r="D2793">
        <v>1</v>
      </c>
      <c r="E2793" t="s">
        <v>13</v>
      </c>
      <c r="F2793" t="s">
        <v>28</v>
      </c>
      <c r="G2793" t="s">
        <v>108</v>
      </c>
      <c r="H2793" t="s">
        <v>109</v>
      </c>
      <c r="I2793">
        <v>5753.72</v>
      </c>
      <c r="J2793">
        <v>5359.28</v>
      </c>
      <c r="K2793" t="s">
        <v>17</v>
      </c>
      <c r="L2793" t="b">
        <v>0</v>
      </c>
      <c r="N2793" s="2" t="str">
        <f t="shared" si="243"/>
        <v/>
      </c>
      <c r="Q2793" t="str">
        <f t="shared" si="244"/>
        <v/>
      </c>
    </row>
    <row r="2794" spans="1:17" hidden="1">
      <c r="A2794" t="s">
        <v>2899</v>
      </c>
      <c r="B2794" s="1">
        <v>45298</v>
      </c>
      <c r="C2794">
        <v>2024</v>
      </c>
      <c r="D2794">
        <v>1</v>
      </c>
      <c r="E2794" t="s">
        <v>47</v>
      </c>
      <c r="F2794" t="s">
        <v>14</v>
      </c>
      <c r="G2794" t="s">
        <v>48</v>
      </c>
      <c r="H2794" t="s">
        <v>189</v>
      </c>
      <c r="I2794">
        <v>13613.55</v>
      </c>
      <c r="J2794">
        <v>11517.95</v>
      </c>
      <c r="K2794" t="s">
        <v>17</v>
      </c>
      <c r="L2794" t="b">
        <v>0</v>
      </c>
      <c r="N2794" s="2" t="b">
        <f t="shared" si="243"/>
        <v>1</v>
      </c>
      <c r="O2794" t="str">
        <f t="shared" ref="O2794:O2796" si="246">IF(AND(E2783="HR",K2783="EXPENSE"),I2783&lt;J2783,"")</f>
        <v/>
      </c>
      <c r="Q2794" t="str">
        <f t="shared" si="244"/>
        <v/>
      </c>
    </row>
    <row r="2795" spans="1:17" hidden="1">
      <c r="A2795" t="s">
        <v>2900</v>
      </c>
      <c r="B2795" s="1">
        <v>45298</v>
      </c>
      <c r="C2795">
        <v>2024</v>
      </c>
      <c r="D2795">
        <v>1</v>
      </c>
      <c r="E2795" t="s">
        <v>47</v>
      </c>
      <c r="F2795" t="s">
        <v>28</v>
      </c>
      <c r="G2795" t="s">
        <v>51</v>
      </c>
      <c r="H2795" t="s">
        <v>52</v>
      </c>
      <c r="I2795">
        <v>9722</v>
      </c>
      <c r="J2795">
        <v>8098.79</v>
      </c>
      <c r="K2795" t="s">
        <v>17</v>
      </c>
      <c r="L2795" t="b">
        <v>0</v>
      </c>
      <c r="N2795" s="2" t="b">
        <f t="shared" si="243"/>
        <v>1</v>
      </c>
      <c r="O2795" t="str">
        <f t="shared" si="246"/>
        <v/>
      </c>
      <c r="Q2795" t="str">
        <f t="shared" si="244"/>
        <v/>
      </c>
    </row>
    <row r="2796" spans="1:17" hidden="1">
      <c r="A2796" t="s">
        <v>2901</v>
      </c>
      <c r="B2796" s="1">
        <v>45298</v>
      </c>
      <c r="C2796">
        <v>2024</v>
      </c>
      <c r="D2796">
        <v>1</v>
      </c>
      <c r="E2796" t="s">
        <v>47</v>
      </c>
      <c r="F2796" t="s">
        <v>24</v>
      </c>
      <c r="G2796" t="s">
        <v>91</v>
      </c>
      <c r="H2796" t="s">
        <v>92</v>
      </c>
      <c r="I2796">
        <v>10136.629999999999</v>
      </c>
      <c r="J2796">
        <v>8778.1200000000008</v>
      </c>
      <c r="K2796" t="s">
        <v>17</v>
      </c>
      <c r="L2796" t="b">
        <v>0</v>
      </c>
      <c r="N2796" s="2" t="b">
        <f t="shared" si="243"/>
        <v>1</v>
      </c>
      <c r="O2796" t="str">
        <f t="shared" si="246"/>
        <v/>
      </c>
      <c r="Q2796" t="str">
        <f t="shared" si="244"/>
        <v/>
      </c>
    </row>
    <row r="2797" spans="1:17" hidden="1">
      <c r="A2797" t="s">
        <v>2902</v>
      </c>
      <c r="B2797" s="1">
        <v>45298</v>
      </c>
      <c r="C2797">
        <v>2024</v>
      </c>
      <c r="D2797">
        <v>1</v>
      </c>
      <c r="E2797" t="s">
        <v>19</v>
      </c>
      <c r="F2797" t="s">
        <v>24</v>
      </c>
      <c r="G2797" t="s">
        <v>80</v>
      </c>
      <c r="H2797" t="s">
        <v>81</v>
      </c>
      <c r="I2797">
        <v>8047.06</v>
      </c>
      <c r="J2797">
        <v>8313.8799999999992</v>
      </c>
      <c r="K2797" t="s">
        <v>17</v>
      </c>
      <c r="L2797" t="b">
        <v>0</v>
      </c>
      <c r="N2797" s="2" t="str">
        <f t="shared" si="243"/>
        <v/>
      </c>
      <c r="Q2797" t="str">
        <f t="shared" si="244"/>
        <v/>
      </c>
    </row>
    <row r="2798" spans="1:17" hidden="1">
      <c r="A2798" t="s">
        <v>2903</v>
      </c>
      <c r="B2798" s="1">
        <v>45298</v>
      </c>
      <c r="C2798">
        <v>2024</v>
      </c>
      <c r="D2798">
        <v>1</v>
      </c>
      <c r="E2798" t="s">
        <v>23</v>
      </c>
      <c r="F2798" t="s">
        <v>14</v>
      </c>
      <c r="G2798" t="s">
        <v>141</v>
      </c>
      <c r="H2798" t="s">
        <v>153</v>
      </c>
      <c r="I2798">
        <v>4881.1099999999997</v>
      </c>
      <c r="J2798">
        <v>4624.43</v>
      </c>
      <c r="K2798" t="s">
        <v>17</v>
      </c>
      <c r="L2798" t="b">
        <v>0</v>
      </c>
      <c r="N2798" s="2" t="str">
        <f t="shared" si="243"/>
        <v/>
      </c>
      <c r="Q2798" t="str">
        <f t="shared" si="244"/>
        <v/>
      </c>
    </row>
    <row r="2799" spans="1:17" hidden="1">
      <c r="A2799" t="s">
        <v>2904</v>
      </c>
      <c r="B2799" s="1">
        <v>45298</v>
      </c>
      <c r="C2799">
        <v>2024</v>
      </c>
      <c r="D2799">
        <v>1</v>
      </c>
      <c r="E2799" t="s">
        <v>37</v>
      </c>
      <c r="F2799" t="s">
        <v>14</v>
      </c>
      <c r="G2799" t="s">
        <v>83</v>
      </c>
      <c r="H2799" t="s">
        <v>84</v>
      </c>
      <c r="I2799">
        <v>235892.89</v>
      </c>
      <c r="J2799">
        <v>224098.24</v>
      </c>
      <c r="K2799" t="s">
        <v>85</v>
      </c>
      <c r="L2799" t="b">
        <v>0</v>
      </c>
      <c r="N2799" s="2" t="str">
        <f t="shared" si="243"/>
        <v/>
      </c>
      <c r="Q2799" t="str">
        <f t="shared" si="244"/>
        <v/>
      </c>
    </row>
    <row r="2800" spans="1:17" hidden="1">
      <c r="A2800" t="s">
        <v>2905</v>
      </c>
      <c r="B2800" s="1">
        <v>45299</v>
      </c>
      <c r="C2800">
        <v>2024</v>
      </c>
      <c r="D2800">
        <v>1</v>
      </c>
      <c r="E2800" t="s">
        <v>13</v>
      </c>
      <c r="F2800" t="s">
        <v>28</v>
      </c>
      <c r="G2800" t="s">
        <v>15</v>
      </c>
      <c r="H2800" t="s">
        <v>45</v>
      </c>
      <c r="I2800">
        <v>5375.29</v>
      </c>
      <c r="J2800">
        <v>5806.58</v>
      </c>
      <c r="K2800" t="s">
        <v>17</v>
      </c>
      <c r="L2800" t="b">
        <v>0</v>
      </c>
      <c r="N2800" s="2" t="str">
        <f t="shared" si="243"/>
        <v/>
      </c>
      <c r="Q2800" t="str">
        <f t="shared" si="244"/>
        <v/>
      </c>
    </row>
    <row r="2801" spans="1:17" hidden="1">
      <c r="A2801" t="s">
        <v>2906</v>
      </c>
      <c r="B2801" s="1">
        <v>45299</v>
      </c>
      <c r="C2801">
        <v>2024</v>
      </c>
      <c r="D2801">
        <v>1</v>
      </c>
      <c r="E2801" t="s">
        <v>47</v>
      </c>
      <c r="F2801" t="s">
        <v>24</v>
      </c>
      <c r="G2801" t="s">
        <v>77</v>
      </c>
      <c r="H2801" t="s">
        <v>78</v>
      </c>
      <c r="I2801">
        <v>19277.189999999999</v>
      </c>
      <c r="J2801">
        <v>15853.56</v>
      </c>
      <c r="K2801" t="s">
        <v>17</v>
      </c>
      <c r="L2801" t="b">
        <v>0</v>
      </c>
      <c r="N2801" s="2" t="b">
        <f t="shared" si="243"/>
        <v>1</v>
      </c>
      <c r="O2801" t="str">
        <f>IF(AND(E2790="HR",K2790="EXPENSE"),I2790&lt;J2790,"")</f>
        <v/>
      </c>
      <c r="Q2801" t="str">
        <f t="shared" si="244"/>
        <v/>
      </c>
    </row>
    <row r="2802" spans="1:17" hidden="1">
      <c r="A2802" t="s">
        <v>2907</v>
      </c>
      <c r="B2802" s="1">
        <v>45299</v>
      </c>
      <c r="C2802">
        <v>2024</v>
      </c>
      <c r="D2802">
        <v>1</v>
      </c>
      <c r="E2802" t="s">
        <v>19</v>
      </c>
      <c r="F2802" t="s">
        <v>14</v>
      </c>
      <c r="G2802" t="s">
        <v>80</v>
      </c>
      <c r="H2802" t="s">
        <v>81</v>
      </c>
      <c r="I2802">
        <v>4072.16</v>
      </c>
      <c r="J2802">
        <v>4284.3</v>
      </c>
      <c r="K2802" t="s">
        <v>17</v>
      </c>
      <c r="L2802" t="b">
        <v>0</v>
      </c>
      <c r="N2802" s="2" t="str">
        <f t="shared" si="243"/>
        <v/>
      </c>
      <c r="Q2802" t="str">
        <f t="shared" si="244"/>
        <v/>
      </c>
    </row>
    <row r="2803" spans="1:17" hidden="1">
      <c r="A2803" t="s">
        <v>2908</v>
      </c>
      <c r="B2803" s="1">
        <v>45299</v>
      </c>
      <c r="C2803">
        <v>2024</v>
      </c>
      <c r="D2803">
        <v>1</v>
      </c>
      <c r="E2803" t="s">
        <v>19</v>
      </c>
      <c r="F2803" t="s">
        <v>14</v>
      </c>
      <c r="G2803" t="s">
        <v>132</v>
      </c>
      <c r="H2803" t="s">
        <v>133</v>
      </c>
      <c r="I2803">
        <v>4778.1899999999996</v>
      </c>
      <c r="J2803">
        <v>4877.74</v>
      </c>
      <c r="K2803" t="s">
        <v>17</v>
      </c>
      <c r="L2803" t="b">
        <v>0</v>
      </c>
      <c r="N2803" s="2" t="str">
        <f t="shared" si="243"/>
        <v/>
      </c>
      <c r="Q2803" t="str">
        <f t="shared" si="244"/>
        <v/>
      </c>
    </row>
    <row r="2804" spans="1:17" hidden="1">
      <c r="A2804" t="s">
        <v>2909</v>
      </c>
      <c r="B2804" s="1">
        <v>45299</v>
      </c>
      <c r="C2804">
        <v>2024</v>
      </c>
      <c r="D2804">
        <v>1</v>
      </c>
      <c r="E2804" t="s">
        <v>19</v>
      </c>
      <c r="F2804" t="s">
        <v>24</v>
      </c>
      <c r="G2804" t="s">
        <v>20</v>
      </c>
      <c r="H2804" t="s">
        <v>174</v>
      </c>
      <c r="I2804">
        <v>4340.84</v>
      </c>
      <c r="J2804">
        <v>4155.25</v>
      </c>
      <c r="K2804" t="s">
        <v>17</v>
      </c>
      <c r="L2804" t="b">
        <v>0</v>
      </c>
      <c r="N2804" s="2" t="str">
        <f t="shared" si="243"/>
        <v/>
      </c>
      <c r="Q2804" t="str">
        <f t="shared" si="244"/>
        <v/>
      </c>
    </row>
    <row r="2805" spans="1:17" hidden="1">
      <c r="A2805" t="s">
        <v>2910</v>
      </c>
      <c r="B2805" s="1">
        <v>45299</v>
      </c>
      <c r="C2805">
        <v>2024</v>
      </c>
      <c r="D2805">
        <v>1</v>
      </c>
      <c r="E2805" t="s">
        <v>23</v>
      </c>
      <c r="F2805" t="s">
        <v>14</v>
      </c>
      <c r="G2805" t="s">
        <v>59</v>
      </c>
      <c r="H2805" t="s">
        <v>60</v>
      </c>
      <c r="I2805">
        <v>7134.16</v>
      </c>
      <c r="J2805">
        <v>6911.55</v>
      </c>
      <c r="K2805" t="s">
        <v>17</v>
      </c>
      <c r="L2805" t="b">
        <v>0</v>
      </c>
      <c r="N2805" s="2" t="str">
        <f t="shared" si="243"/>
        <v/>
      </c>
      <c r="Q2805" t="str">
        <f t="shared" si="244"/>
        <v/>
      </c>
    </row>
    <row r="2806" spans="1:17" hidden="1">
      <c r="A2806" t="s">
        <v>2911</v>
      </c>
      <c r="B2806" s="1">
        <v>45299</v>
      </c>
      <c r="C2806">
        <v>2024</v>
      </c>
      <c r="D2806">
        <v>1</v>
      </c>
      <c r="E2806" t="s">
        <v>37</v>
      </c>
      <c r="F2806" t="s">
        <v>28</v>
      </c>
      <c r="G2806" t="s">
        <v>38</v>
      </c>
      <c r="H2806" t="s">
        <v>39</v>
      </c>
      <c r="I2806">
        <v>6407.86</v>
      </c>
      <c r="J2806">
        <v>6801.92</v>
      </c>
      <c r="K2806" t="s">
        <v>17</v>
      </c>
      <c r="L2806" t="b">
        <v>0</v>
      </c>
      <c r="N2806" s="2" t="str">
        <f t="shared" si="243"/>
        <v/>
      </c>
      <c r="Q2806" t="str">
        <f t="shared" si="244"/>
        <v/>
      </c>
    </row>
    <row r="2807" spans="1:17" hidden="1">
      <c r="A2807" t="s">
        <v>2912</v>
      </c>
      <c r="B2807" s="1">
        <v>45300</v>
      </c>
      <c r="C2807">
        <v>2024</v>
      </c>
      <c r="D2807">
        <v>1</v>
      </c>
      <c r="E2807" t="s">
        <v>13</v>
      </c>
      <c r="F2807" t="s">
        <v>14</v>
      </c>
      <c r="G2807" t="s">
        <v>68</v>
      </c>
      <c r="H2807" t="s">
        <v>213</v>
      </c>
      <c r="I2807">
        <v>2955.75</v>
      </c>
      <c r="J2807">
        <v>3121</v>
      </c>
      <c r="K2807" t="s">
        <v>17</v>
      </c>
      <c r="L2807" t="b">
        <v>0</v>
      </c>
      <c r="N2807" s="2" t="str">
        <f t="shared" si="243"/>
        <v/>
      </c>
      <c r="Q2807" t="str">
        <f t="shared" si="244"/>
        <v/>
      </c>
    </row>
    <row r="2808" spans="1:17" hidden="1">
      <c r="A2808" t="s">
        <v>2913</v>
      </c>
      <c r="B2808" s="1">
        <v>45300</v>
      </c>
      <c r="C2808">
        <v>2024</v>
      </c>
      <c r="D2808">
        <v>1</v>
      </c>
      <c r="E2808" t="s">
        <v>47</v>
      </c>
      <c r="F2808" t="s">
        <v>28</v>
      </c>
      <c r="G2808" t="s">
        <v>51</v>
      </c>
      <c r="H2808" t="s">
        <v>72</v>
      </c>
      <c r="I2808">
        <v>10459.9</v>
      </c>
      <c r="J2808">
        <v>8694.2199999999993</v>
      </c>
      <c r="K2808" t="s">
        <v>17</v>
      </c>
      <c r="L2808" t="b">
        <v>0</v>
      </c>
      <c r="N2808" s="2" t="b">
        <f t="shared" si="243"/>
        <v>1</v>
      </c>
      <c r="O2808" t="str">
        <f>IF(AND(E2797="HR",K2797="EXPENSE"),I2797&lt;J2797,"")</f>
        <v/>
      </c>
      <c r="Q2808" t="str">
        <f t="shared" si="244"/>
        <v/>
      </c>
    </row>
    <row r="2809" spans="1:17" hidden="1">
      <c r="A2809" t="s">
        <v>2914</v>
      </c>
      <c r="B2809" s="1">
        <v>45300</v>
      </c>
      <c r="C2809">
        <v>2024</v>
      </c>
      <c r="D2809">
        <v>1</v>
      </c>
      <c r="E2809" t="s">
        <v>19</v>
      </c>
      <c r="F2809" t="s">
        <v>28</v>
      </c>
      <c r="G2809" t="s">
        <v>54</v>
      </c>
      <c r="H2809" t="s">
        <v>55</v>
      </c>
      <c r="I2809">
        <v>3792.45</v>
      </c>
      <c r="J2809">
        <v>3459.94</v>
      </c>
      <c r="K2809" t="s">
        <v>17</v>
      </c>
      <c r="L2809" t="b">
        <v>0</v>
      </c>
      <c r="N2809" s="2" t="str">
        <f t="shared" si="243"/>
        <v/>
      </c>
      <c r="Q2809" t="str">
        <f t="shared" si="244"/>
        <v/>
      </c>
    </row>
    <row r="2810" spans="1:17" hidden="1">
      <c r="A2810" t="s">
        <v>2915</v>
      </c>
      <c r="B2810" s="1">
        <v>45300</v>
      </c>
      <c r="C2810">
        <v>2024</v>
      </c>
      <c r="D2810">
        <v>1</v>
      </c>
      <c r="E2810" t="s">
        <v>23</v>
      </c>
      <c r="F2810" t="s">
        <v>28</v>
      </c>
      <c r="G2810" t="s">
        <v>141</v>
      </c>
      <c r="H2810" t="s">
        <v>142</v>
      </c>
      <c r="I2810">
        <v>4712.41</v>
      </c>
      <c r="J2810">
        <v>4677.91</v>
      </c>
      <c r="K2810" t="s">
        <v>17</v>
      </c>
      <c r="L2810" t="b">
        <v>0</v>
      </c>
      <c r="N2810" s="2" t="str">
        <f t="shared" si="243"/>
        <v/>
      </c>
      <c r="Q2810" t="str">
        <f t="shared" si="244"/>
        <v/>
      </c>
    </row>
    <row r="2811" spans="1:17" hidden="1">
      <c r="A2811" t="s">
        <v>2916</v>
      </c>
      <c r="B2811" s="1">
        <v>45300</v>
      </c>
      <c r="C2811">
        <v>2024</v>
      </c>
      <c r="D2811">
        <v>1</v>
      </c>
      <c r="E2811" t="s">
        <v>23</v>
      </c>
      <c r="F2811" t="s">
        <v>28</v>
      </c>
      <c r="G2811" t="s">
        <v>25</v>
      </c>
      <c r="H2811" t="s">
        <v>35</v>
      </c>
      <c r="I2811">
        <v>6882.28</v>
      </c>
      <c r="J2811">
        <v>6610.62</v>
      </c>
      <c r="K2811" t="s">
        <v>17</v>
      </c>
      <c r="L2811" t="b">
        <v>0</v>
      </c>
      <c r="N2811" s="2" t="str">
        <f t="shared" si="243"/>
        <v/>
      </c>
      <c r="Q2811" t="str">
        <f t="shared" si="244"/>
        <v/>
      </c>
    </row>
    <row r="2812" spans="1:17" hidden="1">
      <c r="A2812" t="s">
        <v>2917</v>
      </c>
      <c r="B2812" s="1">
        <v>45300</v>
      </c>
      <c r="C2812">
        <v>2024</v>
      </c>
      <c r="D2812">
        <v>1</v>
      </c>
      <c r="E2812" t="s">
        <v>23</v>
      </c>
      <c r="F2812" t="s">
        <v>24</v>
      </c>
      <c r="G2812" t="s">
        <v>141</v>
      </c>
      <c r="H2812" t="s">
        <v>209</v>
      </c>
      <c r="I2812">
        <v>5336.39</v>
      </c>
      <c r="J2812">
        <v>5741.11</v>
      </c>
      <c r="K2812" t="s">
        <v>17</v>
      </c>
      <c r="L2812" t="b">
        <v>0</v>
      </c>
      <c r="N2812" s="2" t="str">
        <f t="shared" si="243"/>
        <v/>
      </c>
      <c r="Q2812" t="str">
        <f t="shared" si="244"/>
        <v/>
      </c>
    </row>
    <row r="2813" spans="1:17" hidden="1">
      <c r="A2813" t="s">
        <v>2918</v>
      </c>
      <c r="B2813" s="1">
        <v>45300</v>
      </c>
      <c r="C2813">
        <v>2024</v>
      </c>
      <c r="D2813">
        <v>1</v>
      </c>
      <c r="E2813" t="s">
        <v>37</v>
      </c>
      <c r="F2813" t="s">
        <v>24</v>
      </c>
      <c r="G2813" t="s">
        <v>41</v>
      </c>
      <c r="H2813" t="s">
        <v>42</v>
      </c>
      <c r="I2813">
        <v>4430.9399999999996</v>
      </c>
      <c r="J2813">
        <v>4715.04</v>
      </c>
      <c r="K2813" t="s">
        <v>17</v>
      </c>
      <c r="L2813" t="b">
        <v>0</v>
      </c>
      <c r="N2813" s="2" t="str">
        <f t="shared" si="243"/>
        <v/>
      </c>
      <c r="Q2813" t="str">
        <f t="shared" si="244"/>
        <v/>
      </c>
    </row>
    <row r="2814" spans="1:17" hidden="1">
      <c r="A2814" t="s">
        <v>2919</v>
      </c>
      <c r="B2814" s="1">
        <v>45301</v>
      </c>
      <c r="C2814">
        <v>2024</v>
      </c>
      <c r="D2814">
        <v>1</v>
      </c>
      <c r="E2814" t="s">
        <v>13</v>
      </c>
      <c r="F2814" t="s">
        <v>28</v>
      </c>
      <c r="G2814" t="s">
        <v>15</v>
      </c>
      <c r="H2814" t="s">
        <v>89</v>
      </c>
      <c r="I2814">
        <v>2717.14</v>
      </c>
      <c r="J2814">
        <v>2808.09</v>
      </c>
      <c r="K2814" t="s">
        <v>17</v>
      </c>
      <c r="L2814" t="b">
        <v>0</v>
      </c>
      <c r="N2814" s="2" t="str">
        <f t="shared" si="243"/>
        <v/>
      </c>
      <c r="Q2814" t="str">
        <f t="shared" si="244"/>
        <v/>
      </c>
    </row>
    <row r="2815" spans="1:17" hidden="1">
      <c r="A2815" t="s">
        <v>2920</v>
      </c>
      <c r="B2815" s="1">
        <v>45301</v>
      </c>
      <c r="C2815">
        <v>2024</v>
      </c>
      <c r="D2815">
        <v>1</v>
      </c>
      <c r="E2815" t="s">
        <v>13</v>
      </c>
      <c r="F2815" t="s">
        <v>24</v>
      </c>
      <c r="G2815" t="s">
        <v>15</v>
      </c>
      <c r="H2815" t="s">
        <v>89</v>
      </c>
      <c r="I2815">
        <v>2425.52</v>
      </c>
      <c r="J2815">
        <v>2218.5</v>
      </c>
      <c r="K2815" t="s">
        <v>17</v>
      </c>
      <c r="L2815" t="b">
        <v>0</v>
      </c>
      <c r="N2815" s="2" t="str">
        <f t="shared" si="243"/>
        <v/>
      </c>
      <c r="Q2815" t="str">
        <f t="shared" si="244"/>
        <v/>
      </c>
    </row>
    <row r="2816" spans="1:17" hidden="1">
      <c r="A2816" t="s">
        <v>2921</v>
      </c>
      <c r="B2816" s="1">
        <v>45301</v>
      </c>
      <c r="C2816">
        <v>2024</v>
      </c>
      <c r="D2816">
        <v>1</v>
      </c>
      <c r="E2816" t="s">
        <v>47</v>
      </c>
      <c r="F2816" t="s">
        <v>28</v>
      </c>
      <c r="G2816" t="s">
        <v>51</v>
      </c>
      <c r="H2816" t="s">
        <v>72</v>
      </c>
      <c r="I2816">
        <v>11762.83</v>
      </c>
      <c r="J2816">
        <v>10006.76</v>
      </c>
      <c r="K2816" t="s">
        <v>17</v>
      </c>
      <c r="L2816" t="b">
        <v>0</v>
      </c>
      <c r="N2816" s="2" t="b">
        <f t="shared" si="243"/>
        <v>1</v>
      </c>
      <c r="O2816" t="str">
        <f>IF(AND(E2805="HR",K2805="EXPENSE"),I2805&lt;J2805,"")</f>
        <v/>
      </c>
      <c r="Q2816" t="str">
        <f t="shared" si="244"/>
        <v/>
      </c>
    </row>
    <row r="2817" spans="1:17" hidden="1">
      <c r="A2817" t="s">
        <v>2922</v>
      </c>
      <c r="B2817" s="1">
        <v>45301</v>
      </c>
      <c r="C2817">
        <v>2024</v>
      </c>
      <c r="D2817">
        <v>1</v>
      </c>
      <c r="E2817" t="s">
        <v>19</v>
      </c>
      <c r="F2817" t="s">
        <v>24</v>
      </c>
      <c r="G2817" t="s">
        <v>132</v>
      </c>
      <c r="H2817" t="s">
        <v>133</v>
      </c>
      <c r="I2817">
        <v>8406.1299999999992</v>
      </c>
      <c r="J2817">
        <v>8077.89</v>
      </c>
      <c r="K2817" t="s">
        <v>17</v>
      </c>
      <c r="L2817" t="b">
        <v>0</v>
      </c>
      <c r="N2817" s="2" t="str">
        <f t="shared" si="243"/>
        <v/>
      </c>
      <c r="Q2817" t="str">
        <f t="shared" si="244"/>
        <v/>
      </c>
    </row>
    <row r="2818" spans="1:17" hidden="1">
      <c r="A2818" t="s">
        <v>2923</v>
      </c>
      <c r="B2818" s="1">
        <v>45301</v>
      </c>
      <c r="C2818">
        <v>2024</v>
      </c>
      <c r="D2818">
        <v>1</v>
      </c>
      <c r="E2818" t="s">
        <v>23</v>
      </c>
      <c r="F2818" t="s">
        <v>14</v>
      </c>
      <c r="G2818" t="s">
        <v>30</v>
      </c>
      <c r="H2818" t="s">
        <v>31</v>
      </c>
      <c r="I2818">
        <v>3911.01</v>
      </c>
      <c r="J2818">
        <v>3944.16</v>
      </c>
      <c r="K2818" t="s">
        <v>17</v>
      </c>
      <c r="L2818" t="b">
        <v>0</v>
      </c>
      <c r="N2818" s="2" t="str">
        <f t="shared" si="243"/>
        <v/>
      </c>
      <c r="Q2818" t="str">
        <f t="shared" si="244"/>
        <v/>
      </c>
    </row>
    <row r="2819" spans="1:17" hidden="1">
      <c r="A2819" t="s">
        <v>2924</v>
      </c>
      <c r="B2819" s="1">
        <v>45301</v>
      </c>
      <c r="C2819">
        <v>2024</v>
      </c>
      <c r="D2819">
        <v>1</v>
      </c>
      <c r="E2819" t="s">
        <v>23</v>
      </c>
      <c r="F2819" t="s">
        <v>24</v>
      </c>
      <c r="G2819" t="s">
        <v>141</v>
      </c>
      <c r="H2819" t="s">
        <v>153</v>
      </c>
      <c r="I2819">
        <v>8394.26</v>
      </c>
      <c r="J2819">
        <v>8661.91</v>
      </c>
      <c r="K2819" t="s">
        <v>17</v>
      </c>
      <c r="L2819" t="b">
        <v>0</v>
      </c>
      <c r="N2819" s="2" t="str">
        <f t="shared" ref="N2819:N2882" si="247">IF(AND(E2819="IT",K2819="EXPENSE"),I2819&gt;J2819,"")</f>
        <v/>
      </c>
      <c r="Q2819" t="str">
        <f t="shared" ref="Q2819:Q2882" si="248">IF(L2819=TRUE,OR(H2819="Apex Solutions Inc",H2819="Global Trade Partners",H2819="NovaTech Services"),"")</f>
        <v/>
      </c>
    </row>
    <row r="2820" spans="1:17" hidden="1">
      <c r="A2820" t="s">
        <v>2925</v>
      </c>
      <c r="B2820" s="1">
        <v>45301</v>
      </c>
      <c r="C2820">
        <v>2024</v>
      </c>
      <c r="D2820">
        <v>1</v>
      </c>
      <c r="E2820" t="s">
        <v>23</v>
      </c>
      <c r="F2820" t="s">
        <v>24</v>
      </c>
      <c r="G2820" t="s">
        <v>30</v>
      </c>
      <c r="H2820" t="s">
        <v>31</v>
      </c>
      <c r="I2820">
        <v>5204.45</v>
      </c>
      <c r="J2820">
        <v>5223.42</v>
      </c>
      <c r="K2820" t="s">
        <v>17</v>
      </c>
      <c r="L2820" t="b">
        <v>0</v>
      </c>
      <c r="N2820" s="2" t="str">
        <f t="shared" si="247"/>
        <v/>
      </c>
      <c r="Q2820" t="str">
        <f t="shared" si="248"/>
        <v/>
      </c>
    </row>
    <row r="2821" spans="1:17" hidden="1">
      <c r="A2821" t="s">
        <v>2926</v>
      </c>
      <c r="B2821" s="1">
        <v>45301</v>
      </c>
      <c r="C2821">
        <v>2024</v>
      </c>
      <c r="D2821">
        <v>1</v>
      </c>
      <c r="E2821" t="s">
        <v>37</v>
      </c>
      <c r="F2821" t="s">
        <v>14</v>
      </c>
      <c r="G2821" t="s">
        <v>38</v>
      </c>
      <c r="H2821" t="s">
        <v>39</v>
      </c>
      <c r="I2821">
        <v>5891.47</v>
      </c>
      <c r="J2821">
        <v>5736.28</v>
      </c>
      <c r="K2821" t="s">
        <v>17</v>
      </c>
      <c r="L2821" t="b">
        <v>0</v>
      </c>
      <c r="N2821" s="2" t="str">
        <f t="shared" si="247"/>
        <v/>
      </c>
      <c r="Q2821" t="str">
        <f t="shared" si="248"/>
        <v/>
      </c>
    </row>
    <row r="2822" spans="1:17" hidden="1">
      <c r="A2822" t="s">
        <v>2927</v>
      </c>
      <c r="B2822" s="1">
        <v>45301</v>
      </c>
      <c r="C2822">
        <v>2024</v>
      </c>
      <c r="D2822">
        <v>1</v>
      </c>
      <c r="E2822" t="s">
        <v>37</v>
      </c>
      <c r="F2822" t="s">
        <v>28</v>
      </c>
      <c r="G2822" t="s">
        <v>98</v>
      </c>
      <c r="H2822" t="s">
        <v>185</v>
      </c>
      <c r="I2822">
        <v>5627.33</v>
      </c>
      <c r="J2822">
        <v>5817.26</v>
      </c>
      <c r="K2822" t="s">
        <v>17</v>
      </c>
      <c r="L2822" t="b">
        <v>0</v>
      </c>
      <c r="N2822" s="2" t="str">
        <f t="shared" si="247"/>
        <v/>
      </c>
      <c r="Q2822" t="str">
        <f t="shared" si="248"/>
        <v/>
      </c>
    </row>
    <row r="2823" spans="1:17" hidden="1">
      <c r="A2823" t="s">
        <v>2928</v>
      </c>
      <c r="B2823" s="1">
        <v>45301</v>
      </c>
      <c r="C2823">
        <v>2024</v>
      </c>
      <c r="D2823">
        <v>1</v>
      </c>
      <c r="E2823" t="s">
        <v>37</v>
      </c>
      <c r="F2823" t="s">
        <v>24</v>
      </c>
      <c r="G2823" t="s">
        <v>41</v>
      </c>
      <c r="H2823" t="s">
        <v>42</v>
      </c>
      <c r="I2823">
        <v>6032.99</v>
      </c>
      <c r="J2823">
        <v>6202.5</v>
      </c>
      <c r="K2823" t="s">
        <v>17</v>
      </c>
      <c r="L2823" t="b">
        <v>0</v>
      </c>
      <c r="N2823" s="2" t="str">
        <f t="shared" si="247"/>
        <v/>
      </c>
      <c r="Q2823" t="str">
        <f t="shared" si="248"/>
        <v/>
      </c>
    </row>
    <row r="2824" spans="1:17" hidden="1">
      <c r="A2824" t="s">
        <v>2929</v>
      </c>
      <c r="B2824" s="1">
        <v>45301</v>
      </c>
      <c r="C2824">
        <v>2024</v>
      </c>
      <c r="D2824">
        <v>1</v>
      </c>
      <c r="E2824" t="s">
        <v>37</v>
      </c>
      <c r="F2824" t="s">
        <v>24</v>
      </c>
      <c r="G2824" t="s">
        <v>98</v>
      </c>
      <c r="H2824" t="s">
        <v>99</v>
      </c>
      <c r="I2824">
        <v>4167.42</v>
      </c>
      <c r="J2824">
        <v>4408.33</v>
      </c>
      <c r="K2824" t="s">
        <v>17</v>
      </c>
      <c r="L2824" t="b">
        <v>0</v>
      </c>
      <c r="N2824" s="2" t="str">
        <f t="shared" si="247"/>
        <v/>
      </c>
      <c r="Q2824" t="str">
        <f t="shared" si="248"/>
        <v/>
      </c>
    </row>
    <row r="2825" spans="1:17" hidden="1">
      <c r="A2825" t="s">
        <v>2930</v>
      </c>
      <c r="B2825" s="1">
        <v>45302</v>
      </c>
      <c r="C2825">
        <v>2024</v>
      </c>
      <c r="D2825">
        <v>1</v>
      </c>
      <c r="E2825" t="s">
        <v>13</v>
      </c>
      <c r="F2825" t="s">
        <v>24</v>
      </c>
      <c r="G2825" t="s">
        <v>102</v>
      </c>
      <c r="H2825" t="s">
        <v>103</v>
      </c>
      <c r="I2825">
        <v>3158.25</v>
      </c>
      <c r="J2825">
        <v>3317.68</v>
      </c>
      <c r="K2825" t="s">
        <v>17</v>
      </c>
      <c r="L2825" t="b">
        <v>0</v>
      </c>
      <c r="N2825" s="2" t="str">
        <f t="shared" si="247"/>
        <v/>
      </c>
      <c r="Q2825" t="str">
        <f t="shared" si="248"/>
        <v/>
      </c>
    </row>
    <row r="2826" spans="1:17" hidden="1">
      <c r="A2826" t="s">
        <v>2931</v>
      </c>
      <c r="B2826" s="1">
        <v>45302</v>
      </c>
      <c r="C2826">
        <v>2024</v>
      </c>
      <c r="D2826">
        <v>1</v>
      </c>
      <c r="E2826" t="s">
        <v>13</v>
      </c>
      <c r="F2826" t="s">
        <v>24</v>
      </c>
      <c r="G2826" t="s">
        <v>102</v>
      </c>
      <c r="H2826" t="s">
        <v>278</v>
      </c>
      <c r="I2826">
        <v>5194.6499999999996</v>
      </c>
      <c r="J2826">
        <v>4751.6099999999997</v>
      </c>
      <c r="K2826" t="s">
        <v>17</v>
      </c>
      <c r="L2826" t="b">
        <v>0</v>
      </c>
      <c r="N2826" s="2" t="str">
        <f t="shared" si="247"/>
        <v/>
      </c>
      <c r="Q2826" t="str">
        <f t="shared" si="248"/>
        <v/>
      </c>
    </row>
    <row r="2827" spans="1:17" hidden="1">
      <c r="A2827" t="s">
        <v>2932</v>
      </c>
      <c r="B2827" s="1">
        <v>45302</v>
      </c>
      <c r="C2827">
        <v>2024</v>
      </c>
      <c r="D2827">
        <v>1</v>
      </c>
      <c r="E2827" t="s">
        <v>47</v>
      </c>
      <c r="F2827" t="s">
        <v>14</v>
      </c>
      <c r="G2827" t="s">
        <v>91</v>
      </c>
      <c r="H2827" t="s">
        <v>249</v>
      </c>
      <c r="I2827">
        <v>18006.46</v>
      </c>
      <c r="J2827">
        <v>14805.2</v>
      </c>
      <c r="K2827" t="s">
        <v>17</v>
      </c>
      <c r="L2827" t="b">
        <v>0</v>
      </c>
      <c r="N2827" s="2" t="b">
        <f t="shared" si="247"/>
        <v>1</v>
      </c>
      <c r="O2827" t="str">
        <f>IF(AND(E2816="HR",K2816="EXPENSE"),I2816&lt;J2816,"")</f>
        <v/>
      </c>
      <c r="Q2827" t="str">
        <f t="shared" si="248"/>
        <v/>
      </c>
    </row>
    <row r="2828" spans="1:17" hidden="1">
      <c r="A2828" t="s">
        <v>2933</v>
      </c>
      <c r="B2828" s="1">
        <v>45302</v>
      </c>
      <c r="C2828">
        <v>2024</v>
      </c>
      <c r="D2828">
        <v>1</v>
      </c>
      <c r="E2828" t="s">
        <v>19</v>
      </c>
      <c r="F2828" t="s">
        <v>28</v>
      </c>
      <c r="G2828" t="s">
        <v>54</v>
      </c>
      <c r="H2828" t="s">
        <v>55</v>
      </c>
      <c r="I2828">
        <v>7800.85</v>
      </c>
      <c r="J2828">
        <v>7168.58</v>
      </c>
      <c r="K2828" t="s">
        <v>17</v>
      </c>
      <c r="L2828" t="b">
        <v>0</v>
      </c>
      <c r="N2828" s="2" t="str">
        <f t="shared" si="247"/>
        <v/>
      </c>
      <c r="Q2828" t="str">
        <f t="shared" si="248"/>
        <v/>
      </c>
    </row>
    <row r="2829" spans="1:17" hidden="1">
      <c r="A2829" t="s">
        <v>2934</v>
      </c>
      <c r="B2829" s="1">
        <v>45302</v>
      </c>
      <c r="C2829">
        <v>2024</v>
      </c>
      <c r="D2829">
        <v>1</v>
      </c>
      <c r="E2829" t="s">
        <v>19</v>
      </c>
      <c r="F2829" t="s">
        <v>24</v>
      </c>
      <c r="G2829" t="s">
        <v>132</v>
      </c>
      <c r="H2829" t="s">
        <v>171</v>
      </c>
      <c r="I2829">
        <v>7327.05</v>
      </c>
      <c r="J2829">
        <v>7166.41</v>
      </c>
      <c r="K2829" t="s">
        <v>17</v>
      </c>
      <c r="L2829" t="b">
        <v>0</v>
      </c>
      <c r="N2829" s="2" t="str">
        <f t="shared" si="247"/>
        <v/>
      </c>
      <c r="Q2829" t="str">
        <f t="shared" si="248"/>
        <v/>
      </c>
    </row>
    <row r="2830" spans="1:17">
      <c r="A2830" t="s">
        <v>2935</v>
      </c>
      <c r="B2830" s="1">
        <v>45302</v>
      </c>
      <c r="C2830">
        <v>2024</v>
      </c>
      <c r="D2830">
        <v>1</v>
      </c>
      <c r="E2830" t="s">
        <v>19</v>
      </c>
      <c r="F2830" t="s">
        <v>24</v>
      </c>
      <c r="G2830" t="s">
        <v>80</v>
      </c>
      <c r="H2830" t="s">
        <v>322</v>
      </c>
      <c r="I2830">
        <v>16402.78</v>
      </c>
      <c r="J2830">
        <v>4776.97</v>
      </c>
      <c r="K2830" t="s">
        <v>17</v>
      </c>
      <c r="L2830" t="b">
        <v>1</v>
      </c>
      <c r="N2830" s="2" t="str">
        <f t="shared" si="247"/>
        <v/>
      </c>
      <c r="Q2830" t="b">
        <f t="shared" si="248"/>
        <v>1</v>
      </c>
    </row>
    <row r="2831" spans="1:17" hidden="1">
      <c r="A2831" t="s">
        <v>2936</v>
      </c>
      <c r="B2831" s="1">
        <v>45302</v>
      </c>
      <c r="C2831">
        <v>2024</v>
      </c>
      <c r="D2831">
        <v>1</v>
      </c>
      <c r="E2831" t="s">
        <v>23</v>
      </c>
      <c r="F2831" t="s">
        <v>28</v>
      </c>
      <c r="G2831" t="s">
        <v>25</v>
      </c>
      <c r="H2831" t="s">
        <v>95</v>
      </c>
      <c r="I2831">
        <v>4981.51</v>
      </c>
      <c r="J2831">
        <v>4691.24</v>
      </c>
      <c r="K2831" t="s">
        <v>17</v>
      </c>
      <c r="L2831" t="b">
        <v>0</v>
      </c>
      <c r="N2831" s="2" t="str">
        <f t="shared" si="247"/>
        <v/>
      </c>
      <c r="Q2831" t="str">
        <f t="shared" si="248"/>
        <v/>
      </c>
    </row>
    <row r="2832" spans="1:17" hidden="1">
      <c r="A2832" t="s">
        <v>2937</v>
      </c>
      <c r="B2832" s="1">
        <v>45302</v>
      </c>
      <c r="C2832">
        <v>2024</v>
      </c>
      <c r="D2832">
        <v>1</v>
      </c>
      <c r="E2832" t="s">
        <v>37</v>
      </c>
      <c r="F2832" t="s">
        <v>28</v>
      </c>
      <c r="G2832" t="s">
        <v>62</v>
      </c>
      <c r="H2832" t="s">
        <v>121</v>
      </c>
      <c r="I2832">
        <v>5195.5</v>
      </c>
      <c r="J2832">
        <v>5132.6000000000004</v>
      </c>
      <c r="K2832" t="s">
        <v>17</v>
      </c>
      <c r="L2832" t="b">
        <v>0</v>
      </c>
      <c r="N2832" s="2" t="str">
        <f t="shared" si="247"/>
        <v/>
      </c>
      <c r="Q2832" t="str">
        <f t="shared" si="248"/>
        <v/>
      </c>
    </row>
    <row r="2833" spans="1:17" hidden="1">
      <c r="A2833" t="s">
        <v>2938</v>
      </c>
      <c r="B2833" s="1">
        <v>45303</v>
      </c>
      <c r="C2833">
        <v>2024</v>
      </c>
      <c r="D2833">
        <v>1</v>
      </c>
      <c r="E2833" t="s">
        <v>47</v>
      </c>
      <c r="F2833" t="s">
        <v>24</v>
      </c>
      <c r="G2833" t="s">
        <v>48</v>
      </c>
      <c r="H2833" t="s">
        <v>75</v>
      </c>
      <c r="I2833">
        <v>27523.45</v>
      </c>
      <c r="J2833">
        <v>23624.880000000001</v>
      </c>
      <c r="K2833" t="s">
        <v>17</v>
      </c>
      <c r="L2833" t="b">
        <v>0</v>
      </c>
      <c r="N2833" s="2" t="b">
        <f t="shared" si="247"/>
        <v>1</v>
      </c>
      <c r="O2833" t="str">
        <f>IF(AND(E2822="HR",K2822="EXPENSE"),I2822&lt;J2822,"")</f>
        <v/>
      </c>
      <c r="Q2833" t="str">
        <f t="shared" si="248"/>
        <v/>
      </c>
    </row>
    <row r="2834" spans="1:17" hidden="1">
      <c r="A2834" t="s">
        <v>2939</v>
      </c>
      <c r="B2834" s="1">
        <v>45303</v>
      </c>
      <c r="C2834">
        <v>2024</v>
      </c>
      <c r="D2834">
        <v>1</v>
      </c>
      <c r="E2834" t="s">
        <v>19</v>
      </c>
      <c r="F2834" t="s">
        <v>14</v>
      </c>
      <c r="G2834" t="s">
        <v>80</v>
      </c>
      <c r="H2834" t="s">
        <v>150</v>
      </c>
      <c r="I2834">
        <v>6323.26</v>
      </c>
      <c r="J2834">
        <v>5843.91</v>
      </c>
      <c r="K2834" t="s">
        <v>17</v>
      </c>
      <c r="L2834" t="b">
        <v>0</v>
      </c>
      <c r="N2834" s="2" t="str">
        <f t="shared" si="247"/>
        <v/>
      </c>
      <c r="Q2834" t="str">
        <f t="shared" si="248"/>
        <v/>
      </c>
    </row>
    <row r="2835" spans="1:17" hidden="1">
      <c r="A2835" t="s">
        <v>2940</v>
      </c>
      <c r="B2835" s="1">
        <v>45303</v>
      </c>
      <c r="C2835">
        <v>2024</v>
      </c>
      <c r="D2835">
        <v>1</v>
      </c>
      <c r="E2835" t="s">
        <v>23</v>
      </c>
      <c r="F2835" t="s">
        <v>14</v>
      </c>
      <c r="G2835" t="s">
        <v>25</v>
      </c>
      <c r="H2835" t="s">
        <v>95</v>
      </c>
      <c r="I2835">
        <v>5109.34</v>
      </c>
      <c r="J2835">
        <v>5426.26</v>
      </c>
      <c r="K2835" t="s">
        <v>17</v>
      </c>
      <c r="L2835" t="b">
        <v>0</v>
      </c>
      <c r="N2835" s="2" t="str">
        <f t="shared" si="247"/>
        <v/>
      </c>
      <c r="Q2835" t="str">
        <f t="shared" si="248"/>
        <v/>
      </c>
    </row>
    <row r="2836" spans="1:17" hidden="1">
      <c r="A2836" t="s">
        <v>2941</v>
      </c>
      <c r="B2836" s="1">
        <v>45303</v>
      </c>
      <c r="C2836">
        <v>2024</v>
      </c>
      <c r="D2836">
        <v>1</v>
      </c>
      <c r="E2836" t="s">
        <v>23</v>
      </c>
      <c r="F2836" t="s">
        <v>24</v>
      </c>
      <c r="G2836" t="s">
        <v>59</v>
      </c>
      <c r="H2836" t="s">
        <v>60</v>
      </c>
      <c r="I2836">
        <v>6001.72</v>
      </c>
      <c r="J2836">
        <v>5417.16</v>
      </c>
      <c r="K2836" t="s">
        <v>17</v>
      </c>
      <c r="L2836" t="b">
        <v>0</v>
      </c>
      <c r="N2836" s="2" t="str">
        <f t="shared" si="247"/>
        <v/>
      </c>
      <c r="Q2836" t="str">
        <f t="shared" si="248"/>
        <v/>
      </c>
    </row>
    <row r="2837" spans="1:17" hidden="1">
      <c r="A2837" t="s">
        <v>2942</v>
      </c>
      <c r="B2837" s="1">
        <v>45303</v>
      </c>
      <c r="C2837">
        <v>2024</v>
      </c>
      <c r="D2837">
        <v>1</v>
      </c>
      <c r="E2837" t="s">
        <v>37</v>
      </c>
      <c r="F2837" t="s">
        <v>14</v>
      </c>
      <c r="G2837" t="s">
        <v>98</v>
      </c>
      <c r="H2837" t="s">
        <v>185</v>
      </c>
      <c r="I2837">
        <v>3300.04</v>
      </c>
      <c r="J2837">
        <v>3437.29</v>
      </c>
      <c r="K2837" t="s">
        <v>17</v>
      </c>
      <c r="L2837" t="b">
        <v>0</v>
      </c>
      <c r="N2837" s="2" t="str">
        <f t="shared" si="247"/>
        <v/>
      </c>
      <c r="Q2837" t="str">
        <f t="shared" si="248"/>
        <v/>
      </c>
    </row>
    <row r="2838" spans="1:17" hidden="1">
      <c r="A2838" t="s">
        <v>2943</v>
      </c>
      <c r="B2838" s="1">
        <v>45303</v>
      </c>
      <c r="C2838">
        <v>2024</v>
      </c>
      <c r="D2838">
        <v>1</v>
      </c>
      <c r="E2838" t="s">
        <v>37</v>
      </c>
      <c r="F2838" t="s">
        <v>14</v>
      </c>
      <c r="G2838" t="s">
        <v>62</v>
      </c>
      <c r="H2838" t="s">
        <v>360</v>
      </c>
      <c r="I2838">
        <v>4714.08</v>
      </c>
      <c r="J2838">
        <v>4594.76</v>
      </c>
      <c r="K2838" t="s">
        <v>17</v>
      </c>
      <c r="L2838" t="b">
        <v>0</v>
      </c>
      <c r="N2838" s="2" t="str">
        <f t="shared" si="247"/>
        <v/>
      </c>
      <c r="Q2838" t="str">
        <f t="shared" si="248"/>
        <v/>
      </c>
    </row>
    <row r="2839" spans="1:17" hidden="1">
      <c r="A2839" t="s">
        <v>2944</v>
      </c>
      <c r="B2839" s="1">
        <v>45304</v>
      </c>
      <c r="C2839">
        <v>2024</v>
      </c>
      <c r="D2839">
        <v>1</v>
      </c>
      <c r="E2839" t="s">
        <v>13</v>
      </c>
      <c r="F2839" t="s">
        <v>28</v>
      </c>
      <c r="G2839" t="s">
        <v>102</v>
      </c>
      <c r="H2839" t="s">
        <v>278</v>
      </c>
      <c r="I2839">
        <v>5476.23</v>
      </c>
      <c r="J2839">
        <v>5564.1</v>
      </c>
      <c r="K2839" t="s">
        <v>17</v>
      </c>
      <c r="L2839" t="b">
        <v>0</v>
      </c>
      <c r="N2839" s="2" t="str">
        <f t="shared" si="247"/>
        <v/>
      </c>
      <c r="Q2839" t="str">
        <f t="shared" si="248"/>
        <v/>
      </c>
    </row>
    <row r="2840" spans="1:17" hidden="1">
      <c r="A2840" t="s">
        <v>2945</v>
      </c>
      <c r="B2840" s="1">
        <v>45304</v>
      </c>
      <c r="C2840">
        <v>2024</v>
      </c>
      <c r="D2840">
        <v>1</v>
      </c>
      <c r="E2840" t="s">
        <v>47</v>
      </c>
      <c r="F2840" t="s">
        <v>28</v>
      </c>
      <c r="G2840" t="s">
        <v>51</v>
      </c>
      <c r="H2840" t="s">
        <v>52</v>
      </c>
      <c r="I2840">
        <v>12912.58</v>
      </c>
      <c r="J2840">
        <v>11118.09</v>
      </c>
      <c r="K2840" t="s">
        <v>17</v>
      </c>
      <c r="L2840" t="b">
        <v>0</v>
      </c>
      <c r="N2840" s="2" t="b">
        <f t="shared" si="247"/>
        <v>1</v>
      </c>
      <c r="O2840" t="str">
        <f t="shared" ref="O2840:O2842" si="249">IF(AND(E2829="HR",K2829="EXPENSE"),I2829&lt;J2829,"")</f>
        <v/>
      </c>
      <c r="Q2840" t="str">
        <f t="shared" si="248"/>
        <v/>
      </c>
    </row>
    <row r="2841" spans="1:17" hidden="1">
      <c r="A2841" t="s">
        <v>2946</v>
      </c>
      <c r="B2841" s="1">
        <v>45304</v>
      </c>
      <c r="C2841">
        <v>2024</v>
      </c>
      <c r="D2841">
        <v>1</v>
      </c>
      <c r="E2841" t="s">
        <v>47</v>
      </c>
      <c r="F2841" t="s">
        <v>28</v>
      </c>
      <c r="G2841" t="s">
        <v>51</v>
      </c>
      <c r="H2841" t="s">
        <v>189</v>
      </c>
      <c r="I2841">
        <v>8392.98</v>
      </c>
      <c r="J2841">
        <v>7228.5</v>
      </c>
      <c r="K2841" t="s">
        <v>17</v>
      </c>
      <c r="L2841" t="b">
        <v>0</v>
      </c>
      <c r="N2841" s="2" t="b">
        <f t="shared" si="247"/>
        <v>1</v>
      </c>
      <c r="O2841" t="str">
        <f t="shared" si="249"/>
        <v/>
      </c>
      <c r="Q2841" t="str">
        <f t="shared" si="248"/>
        <v/>
      </c>
    </row>
    <row r="2842" spans="1:17" hidden="1">
      <c r="A2842" t="s">
        <v>2947</v>
      </c>
      <c r="B2842" s="1">
        <v>45304</v>
      </c>
      <c r="C2842">
        <v>2024</v>
      </c>
      <c r="D2842">
        <v>1</v>
      </c>
      <c r="E2842" t="s">
        <v>47</v>
      </c>
      <c r="F2842" t="s">
        <v>24</v>
      </c>
      <c r="G2842" t="s">
        <v>51</v>
      </c>
      <c r="H2842" t="s">
        <v>189</v>
      </c>
      <c r="I2842">
        <v>16607.990000000002</v>
      </c>
      <c r="J2842">
        <v>14004.78</v>
      </c>
      <c r="K2842" t="s">
        <v>17</v>
      </c>
      <c r="L2842" t="b">
        <v>0</v>
      </c>
      <c r="N2842" s="2" t="b">
        <f t="shared" si="247"/>
        <v>1</v>
      </c>
      <c r="O2842" t="str">
        <f t="shared" si="249"/>
        <v/>
      </c>
      <c r="Q2842" t="str">
        <f t="shared" si="248"/>
        <v/>
      </c>
    </row>
    <row r="2843" spans="1:17" hidden="1">
      <c r="A2843" t="s">
        <v>2948</v>
      </c>
      <c r="B2843" s="1">
        <v>45304</v>
      </c>
      <c r="C2843">
        <v>2024</v>
      </c>
      <c r="D2843">
        <v>1</v>
      </c>
      <c r="E2843" t="s">
        <v>19</v>
      </c>
      <c r="F2843" t="s">
        <v>28</v>
      </c>
      <c r="G2843" t="s">
        <v>80</v>
      </c>
      <c r="H2843" t="s">
        <v>217</v>
      </c>
      <c r="I2843">
        <v>7279.39</v>
      </c>
      <c r="J2843">
        <v>6788.03</v>
      </c>
      <c r="K2843" t="s">
        <v>17</v>
      </c>
      <c r="L2843" t="b">
        <v>0</v>
      </c>
      <c r="N2843" s="2" t="str">
        <f t="shared" si="247"/>
        <v/>
      </c>
      <c r="Q2843" t="str">
        <f t="shared" si="248"/>
        <v/>
      </c>
    </row>
    <row r="2844" spans="1:17" hidden="1">
      <c r="A2844" t="s">
        <v>2949</v>
      </c>
      <c r="B2844" s="1">
        <v>45304</v>
      </c>
      <c r="C2844">
        <v>2024</v>
      </c>
      <c r="D2844">
        <v>1</v>
      </c>
      <c r="E2844" t="s">
        <v>37</v>
      </c>
      <c r="F2844" t="s">
        <v>28</v>
      </c>
      <c r="G2844" t="s">
        <v>41</v>
      </c>
      <c r="H2844" t="s">
        <v>42</v>
      </c>
      <c r="I2844">
        <v>6097.11</v>
      </c>
      <c r="J2844">
        <v>6000.65</v>
      </c>
      <c r="K2844" t="s">
        <v>17</v>
      </c>
      <c r="L2844" t="b">
        <v>0</v>
      </c>
      <c r="N2844" s="2" t="str">
        <f t="shared" si="247"/>
        <v/>
      </c>
      <c r="Q2844" t="str">
        <f t="shared" si="248"/>
        <v/>
      </c>
    </row>
    <row r="2845" spans="1:17" hidden="1">
      <c r="A2845" t="s">
        <v>2950</v>
      </c>
      <c r="B2845" s="1">
        <v>45304</v>
      </c>
      <c r="C2845">
        <v>2024</v>
      </c>
      <c r="D2845">
        <v>1</v>
      </c>
      <c r="E2845" t="s">
        <v>37</v>
      </c>
      <c r="F2845" t="s">
        <v>28</v>
      </c>
      <c r="G2845" t="s">
        <v>98</v>
      </c>
      <c r="H2845" t="s">
        <v>185</v>
      </c>
      <c r="I2845">
        <v>3668.28</v>
      </c>
      <c r="J2845">
        <v>3719.26</v>
      </c>
      <c r="K2845" t="s">
        <v>17</v>
      </c>
      <c r="L2845" t="b">
        <v>0</v>
      </c>
      <c r="N2845" s="2" t="str">
        <f t="shared" si="247"/>
        <v/>
      </c>
      <c r="Q2845" t="str">
        <f t="shared" si="248"/>
        <v/>
      </c>
    </row>
    <row r="2846" spans="1:17" hidden="1">
      <c r="A2846" t="s">
        <v>2951</v>
      </c>
      <c r="B2846" s="1">
        <v>45305</v>
      </c>
      <c r="C2846">
        <v>2024</v>
      </c>
      <c r="D2846">
        <v>1</v>
      </c>
      <c r="E2846" t="s">
        <v>47</v>
      </c>
      <c r="F2846" t="s">
        <v>14</v>
      </c>
      <c r="G2846" t="s">
        <v>91</v>
      </c>
      <c r="H2846" t="s">
        <v>254</v>
      </c>
      <c r="I2846">
        <v>14218.53</v>
      </c>
      <c r="J2846">
        <v>12253.95</v>
      </c>
      <c r="K2846" t="s">
        <v>17</v>
      </c>
      <c r="L2846" t="b">
        <v>0</v>
      </c>
      <c r="N2846" s="2" t="b">
        <f t="shared" si="247"/>
        <v>1</v>
      </c>
      <c r="O2846" t="str">
        <f t="shared" ref="O2846:O2847" si="250">IF(AND(E2835="HR",K2835="EXPENSE"),I2835&lt;J2835,"")</f>
        <v/>
      </c>
      <c r="Q2846" t="str">
        <f t="shared" si="248"/>
        <v/>
      </c>
    </row>
    <row r="2847" spans="1:17" hidden="1">
      <c r="A2847" t="s">
        <v>2952</v>
      </c>
      <c r="B2847" s="1">
        <v>45305</v>
      </c>
      <c r="C2847">
        <v>2024</v>
      </c>
      <c r="D2847">
        <v>1</v>
      </c>
      <c r="E2847" t="s">
        <v>47</v>
      </c>
      <c r="F2847" t="s">
        <v>28</v>
      </c>
      <c r="G2847" t="s">
        <v>48</v>
      </c>
      <c r="H2847" t="s">
        <v>191</v>
      </c>
      <c r="I2847">
        <v>15267.87</v>
      </c>
      <c r="J2847">
        <v>13163.83</v>
      </c>
      <c r="K2847" t="s">
        <v>17</v>
      </c>
      <c r="L2847" t="b">
        <v>0</v>
      </c>
      <c r="N2847" s="2" t="b">
        <f t="shared" si="247"/>
        <v>1</v>
      </c>
      <c r="O2847" t="str">
        <f t="shared" si="250"/>
        <v/>
      </c>
      <c r="Q2847" t="str">
        <f t="shared" si="248"/>
        <v/>
      </c>
    </row>
    <row r="2848" spans="1:17" hidden="1">
      <c r="A2848" t="s">
        <v>2953</v>
      </c>
      <c r="B2848" s="1">
        <v>45305</v>
      </c>
      <c r="C2848">
        <v>2024</v>
      </c>
      <c r="D2848">
        <v>1</v>
      </c>
      <c r="E2848" t="s">
        <v>23</v>
      </c>
      <c r="F2848" t="s">
        <v>24</v>
      </c>
      <c r="G2848" t="s">
        <v>141</v>
      </c>
      <c r="H2848" t="s">
        <v>142</v>
      </c>
      <c r="I2848">
        <v>6124.26</v>
      </c>
      <c r="J2848">
        <v>5909.22</v>
      </c>
      <c r="K2848" t="s">
        <v>17</v>
      </c>
      <c r="L2848" t="b">
        <v>0</v>
      </c>
      <c r="N2848" s="2" t="str">
        <f t="shared" si="247"/>
        <v/>
      </c>
      <c r="Q2848" t="str">
        <f t="shared" si="248"/>
        <v/>
      </c>
    </row>
    <row r="2849" spans="1:17" hidden="1">
      <c r="A2849" t="s">
        <v>2954</v>
      </c>
      <c r="B2849" s="1">
        <v>45305</v>
      </c>
      <c r="C2849">
        <v>2024</v>
      </c>
      <c r="D2849">
        <v>1</v>
      </c>
      <c r="E2849" t="s">
        <v>37</v>
      </c>
      <c r="F2849" t="s">
        <v>28</v>
      </c>
      <c r="G2849" t="s">
        <v>83</v>
      </c>
      <c r="H2849" t="s">
        <v>84</v>
      </c>
      <c r="I2849">
        <v>147888.98000000001</v>
      </c>
      <c r="J2849">
        <v>140494.53</v>
      </c>
      <c r="K2849" t="s">
        <v>85</v>
      </c>
      <c r="L2849" t="b">
        <v>0</v>
      </c>
      <c r="N2849" s="2" t="str">
        <f t="shared" si="247"/>
        <v/>
      </c>
      <c r="Q2849" t="str">
        <f t="shared" si="248"/>
        <v/>
      </c>
    </row>
    <row r="2850" spans="1:17" hidden="1">
      <c r="A2850" t="s">
        <v>2955</v>
      </c>
      <c r="B2850" s="1">
        <v>45306</v>
      </c>
      <c r="C2850">
        <v>2024</v>
      </c>
      <c r="D2850">
        <v>1</v>
      </c>
      <c r="E2850" t="s">
        <v>13</v>
      </c>
      <c r="F2850" t="s">
        <v>14</v>
      </c>
      <c r="G2850" t="s">
        <v>102</v>
      </c>
      <c r="H2850" t="s">
        <v>103</v>
      </c>
      <c r="I2850">
        <v>3801.8</v>
      </c>
      <c r="J2850">
        <v>3548.47</v>
      </c>
      <c r="K2850" t="s">
        <v>17</v>
      </c>
      <c r="L2850" t="b">
        <v>0</v>
      </c>
      <c r="N2850" s="2" t="str">
        <f t="shared" si="247"/>
        <v/>
      </c>
      <c r="Q2850" t="str">
        <f t="shared" si="248"/>
        <v/>
      </c>
    </row>
    <row r="2851" spans="1:17" hidden="1">
      <c r="A2851" t="s">
        <v>2956</v>
      </c>
      <c r="B2851" s="1">
        <v>45306</v>
      </c>
      <c r="C2851">
        <v>2024</v>
      </c>
      <c r="D2851">
        <v>1</v>
      </c>
      <c r="E2851" t="s">
        <v>13</v>
      </c>
      <c r="F2851" t="s">
        <v>14</v>
      </c>
      <c r="G2851" t="s">
        <v>102</v>
      </c>
      <c r="H2851" t="s">
        <v>278</v>
      </c>
      <c r="I2851">
        <v>3508.77</v>
      </c>
      <c r="J2851">
        <v>3261.82</v>
      </c>
      <c r="K2851" t="s">
        <v>17</v>
      </c>
      <c r="L2851" t="b">
        <v>0</v>
      </c>
      <c r="N2851" s="2" t="str">
        <f t="shared" si="247"/>
        <v/>
      </c>
      <c r="Q2851" t="str">
        <f t="shared" si="248"/>
        <v/>
      </c>
    </row>
    <row r="2852" spans="1:17" hidden="1">
      <c r="A2852" t="s">
        <v>2957</v>
      </c>
      <c r="B2852" s="1">
        <v>45306</v>
      </c>
      <c r="C2852">
        <v>2024</v>
      </c>
      <c r="D2852">
        <v>1</v>
      </c>
      <c r="E2852" t="s">
        <v>47</v>
      </c>
      <c r="F2852" t="s">
        <v>28</v>
      </c>
      <c r="G2852" t="s">
        <v>51</v>
      </c>
      <c r="H2852" t="s">
        <v>72</v>
      </c>
      <c r="I2852">
        <v>12936.63</v>
      </c>
      <c r="J2852">
        <v>10775.44</v>
      </c>
      <c r="K2852" t="s">
        <v>17</v>
      </c>
      <c r="L2852" t="b">
        <v>0</v>
      </c>
      <c r="N2852" s="2" t="b">
        <f t="shared" si="247"/>
        <v>1</v>
      </c>
      <c r="O2852" t="str">
        <f t="shared" ref="O2852:O2854" si="251">IF(AND(E2841="HR",K2841="EXPENSE"),I2841&lt;J2841,"")</f>
        <v/>
      </c>
      <c r="Q2852" t="str">
        <f t="shared" si="248"/>
        <v/>
      </c>
    </row>
    <row r="2853" spans="1:17" hidden="1">
      <c r="A2853" t="s">
        <v>2958</v>
      </c>
      <c r="B2853" s="1">
        <v>45306</v>
      </c>
      <c r="C2853">
        <v>2024</v>
      </c>
      <c r="D2853">
        <v>1</v>
      </c>
      <c r="E2853" t="s">
        <v>47</v>
      </c>
      <c r="F2853" t="s">
        <v>24</v>
      </c>
      <c r="G2853" t="s">
        <v>77</v>
      </c>
      <c r="H2853" t="s">
        <v>130</v>
      </c>
      <c r="I2853">
        <v>13654.84</v>
      </c>
      <c r="J2853">
        <v>11658.55</v>
      </c>
      <c r="K2853" t="s">
        <v>17</v>
      </c>
      <c r="L2853" t="b">
        <v>0</v>
      </c>
      <c r="N2853" s="2" t="b">
        <f t="shared" si="247"/>
        <v>1</v>
      </c>
      <c r="O2853" t="str">
        <f t="shared" si="251"/>
        <v/>
      </c>
      <c r="Q2853" t="str">
        <f t="shared" si="248"/>
        <v/>
      </c>
    </row>
    <row r="2854" spans="1:17" hidden="1">
      <c r="A2854" t="s">
        <v>2959</v>
      </c>
      <c r="B2854" s="1">
        <v>45306</v>
      </c>
      <c r="C2854">
        <v>2024</v>
      </c>
      <c r="D2854">
        <v>1</v>
      </c>
      <c r="E2854" t="s">
        <v>47</v>
      </c>
      <c r="F2854" t="s">
        <v>24</v>
      </c>
      <c r="G2854" t="s">
        <v>51</v>
      </c>
      <c r="H2854" t="s">
        <v>189</v>
      </c>
      <c r="I2854">
        <v>17289.97</v>
      </c>
      <c r="J2854">
        <v>14458.95</v>
      </c>
      <c r="K2854" t="s">
        <v>17</v>
      </c>
      <c r="L2854" t="b">
        <v>0</v>
      </c>
      <c r="N2854" s="2" t="b">
        <f t="shared" si="247"/>
        <v>1</v>
      </c>
      <c r="O2854" t="str">
        <f t="shared" si="251"/>
        <v/>
      </c>
      <c r="Q2854" t="str">
        <f t="shared" si="248"/>
        <v/>
      </c>
    </row>
    <row r="2855" spans="1:17" hidden="1">
      <c r="A2855" t="s">
        <v>2960</v>
      </c>
      <c r="B2855" s="1">
        <v>45306</v>
      </c>
      <c r="C2855">
        <v>2024</v>
      </c>
      <c r="D2855">
        <v>1</v>
      </c>
      <c r="E2855" t="s">
        <v>19</v>
      </c>
      <c r="F2855" t="s">
        <v>24</v>
      </c>
      <c r="G2855" t="s">
        <v>80</v>
      </c>
      <c r="H2855" t="s">
        <v>81</v>
      </c>
      <c r="I2855">
        <v>6677.83</v>
      </c>
      <c r="J2855">
        <v>6383.48</v>
      </c>
      <c r="K2855" t="s">
        <v>17</v>
      </c>
      <c r="L2855" t="b">
        <v>0</v>
      </c>
      <c r="N2855" s="2" t="str">
        <f t="shared" si="247"/>
        <v/>
      </c>
      <c r="Q2855" t="str">
        <f t="shared" si="248"/>
        <v/>
      </c>
    </row>
    <row r="2856" spans="1:17" hidden="1">
      <c r="A2856" t="s">
        <v>2961</v>
      </c>
      <c r="B2856" s="1">
        <v>45306</v>
      </c>
      <c r="C2856">
        <v>2024</v>
      </c>
      <c r="D2856">
        <v>1</v>
      </c>
      <c r="E2856" t="s">
        <v>37</v>
      </c>
      <c r="F2856" t="s">
        <v>14</v>
      </c>
      <c r="G2856" t="s">
        <v>62</v>
      </c>
      <c r="H2856" t="s">
        <v>66</v>
      </c>
      <c r="I2856">
        <v>4523.9799999999996</v>
      </c>
      <c r="J2856">
        <v>4627.28</v>
      </c>
      <c r="K2856" t="s">
        <v>17</v>
      </c>
      <c r="L2856" t="b">
        <v>0</v>
      </c>
      <c r="N2856" s="2" t="str">
        <f t="shared" si="247"/>
        <v/>
      </c>
      <c r="Q2856" t="str">
        <f t="shared" si="248"/>
        <v/>
      </c>
    </row>
    <row r="2857" spans="1:17" hidden="1">
      <c r="A2857" t="s">
        <v>2962</v>
      </c>
      <c r="B2857" s="1">
        <v>45306</v>
      </c>
      <c r="C2857">
        <v>2024</v>
      </c>
      <c r="D2857">
        <v>1</v>
      </c>
      <c r="E2857" t="s">
        <v>37</v>
      </c>
      <c r="F2857" t="s">
        <v>24</v>
      </c>
      <c r="G2857" t="s">
        <v>98</v>
      </c>
      <c r="H2857" t="s">
        <v>99</v>
      </c>
      <c r="I2857">
        <v>2484.34</v>
      </c>
      <c r="J2857">
        <v>2651.75</v>
      </c>
      <c r="K2857" t="s">
        <v>17</v>
      </c>
      <c r="L2857" t="b">
        <v>0</v>
      </c>
      <c r="N2857" s="2" t="str">
        <f t="shared" si="247"/>
        <v/>
      </c>
      <c r="Q2857" t="str">
        <f t="shared" si="248"/>
        <v/>
      </c>
    </row>
    <row r="2858" spans="1:17" hidden="1">
      <c r="A2858" t="s">
        <v>2963</v>
      </c>
      <c r="B2858" s="1">
        <v>45307</v>
      </c>
      <c r="C2858">
        <v>2024</v>
      </c>
      <c r="D2858">
        <v>1</v>
      </c>
      <c r="E2858" t="s">
        <v>13</v>
      </c>
      <c r="F2858" t="s">
        <v>28</v>
      </c>
      <c r="G2858" t="s">
        <v>15</v>
      </c>
      <c r="H2858" t="s">
        <v>45</v>
      </c>
      <c r="I2858">
        <v>5464.47</v>
      </c>
      <c r="J2858">
        <v>5146.88</v>
      </c>
      <c r="K2858" t="s">
        <v>17</v>
      </c>
      <c r="L2858" t="b">
        <v>0</v>
      </c>
      <c r="N2858" s="2" t="str">
        <f t="shared" si="247"/>
        <v/>
      </c>
      <c r="Q2858" t="str">
        <f t="shared" si="248"/>
        <v/>
      </c>
    </row>
    <row r="2859" spans="1:17" hidden="1">
      <c r="A2859" t="s">
        <v>2964</v>
      </c>
      <c r="B2859" s="1">
        <v>45307</v>
      </c>
      <c r="C2859">
        <v>2024</v>
      </c>
      <c r="D2859">
        <v>1</v>
      </c>
      <c r="E2859" t="s">
        <v>13</v>
      </c>
      <c r="F2859" t="s">
        <v>28</v>
      </c>
      <c r="G2859" t="s">
        <v>108</v>
      </c>
      <c r="H2859" t="s">
        <v>126</v>
      </c>
      <c r="I2859">
        <v>4324.03</v>
      </c>
      <c r="J2859">
        <v>4335.6400000000003</v>
      </c>
      <c r="K2859" t="s">
        <v>17</v>
      </c>
      <c r="L2859" t="b">
        <v>0</v>
      </c>
      <c r="N2859" s="2" t="str">
        <f t="shared" si="247"/>
        <v/>
      </c>
      <c r="Q2859" t="str">
        <f t="shared" si="248"/>
        <v/>
      </c>
    </row>
    <row r="2860" spans="1:17" hidden="1">
      <c r="A2860" t="s">
        <v>2965</v>
      </c>
      <c r="B2860" s="1">
        <v>45307</v>
      </c>
      <c r="C2860">
        <v>2024</v>
      </c>
      <c r="D2860">
        <v>1</v>
      </c>
      <c r="E2860" t="s">
        <v>13</v>
      </c>
      <c r="F2860" t="s">
        <v>24</v>
      </c>
      <c r="G2860" t="s">
        <v>102</v>
      </c>
      <c r="H2860" t="s">
        <v>103</v>
      </c>
      <c r="I2860">
        <v>3650.42</v>
      </c>
      <c r="J2860">
        <v>3523.84</v>
      </c>
      <c r="K2860" t="s">
        <v>17</v>
      </c>
      <c r="L2860" t="b">
        <v>0</v>
      </c>
      <c r="N2860" s="2" t="str">
        <f t="shared" si="247"/>
        <v/>
      </c>
      <c r="Q2860" t="str">
        <f t="shared" si="248"/>
        <v/>
      </c>
    </row>
    <row r="2861" spans="1:17" hidden="1">
      <c r="A2861" t="s">
        <v>2966</v>
      </c>
      <c r="B2861" s="1">
        <v>45307</v>
      </c>
      <c r="C2861">
        <v>2024</v>
      </c>
      <c r="D2861">
        <v>1</v>
      </c>
      <c r="E2861" t="s">
        <v>13</v>
      </c>
      <c r="F2861" t="s">
        <v>24</v>
      </c>
      <c r="G2861" t="s">
        <v>102</v>
      </c>
      <c r="H2861" t="s">
        <v>145</v>
      </c>
      <c r="I2861">
        <v>2477.8000000000002</v>
      </c>
      <c r="J2861">
        <v>2485.02</v>
      </c>
      <c r="K2861" t="s">
        <v>17</v>
      </c>
      <c r="L2861" t="b">
        <v>0</v>
      </c>
      <c r="N2861" s="2" t="str">
        <f t="shared" si="247"/>
        <v/>
      </c>
      <c r="Q2861" t="str">
        <f t="shared" si="248"/>
        <v/>
      </c>
    </row>
    <row r="2862" spans="1:17" hidden="1">
      <c r="A2862" t="s">
        <v>2967</v>
      </c>
      <c r="B2862" s="1">
        <v>45307</v>
      </c>
      <c r="C2862">
        <v>2024</v>
      </c>
      <c r="D2862">
        <v>1</v>
      </c>
      <c r="E2862" t="s">
        <v>13</v>
      </c>
      <c r="F2862" t="s">
        <v>24</v>
      </c>
      <c r="G2862" t="s">
        <v>68</v>
      </c>
      <c r="H2862" t="s">
        <v>69</v>
      </c>
      <c r="I2862">
        <v>3390.94</v>
      </c>
      <c r="J2862">
        <v>3487.79</v>
      </c>
      <c r="K2862" t="s">
        <v>17</v>
      </c>
      <c r="L2862" t="b">
        <v>0</v>
      </c>
      <c r="N2862" s="2" t="str">
        <f t="shared" si="247"/>
        <v/>
      </c>
      <c r="Q2862" t="str">
        <f t="shared" si="248"/>
        <v/>
      </c>
    </row>
    <row r="2863" spans="1:17" hidden="1">
      <c r="A2863" t="s">
        <v>2968</v>
      </c>
      <c r="B2863" s="1">
        <v>45307</v>
      </c>
      <c r="C2863">
        <v>2024</v>
      </c>
      <c r="D2863">
        <v>1</v>
      </c>
      <c r="E2863" t="s">
        <v>47</v>
      </c>
      <c r="F2863" t="s">
        <v>14</v>
      </c>
      <c r="G2863" t="s">
        <v>91</v>
      </c>
      <c r="H2863" t="s">
        <v>249</v>
      </c>
      <c r="I2863">
        <v>13388.5</v>
      </c>
      <c r="J2863">
        <v>11254.6</v>
      </c>
      <c r="K2863" t="s">
        <v>17</v>
      </c>
      <c r="L2863" t="b">
        <v>0</v>
      </c>
      <c r="N2863" s="2" t="b">
        <f t="shared" si="247"/>
        <v>1</v>
      </c>
      <c r="O2863" t="str">
        <f t="shared" ref="O2863:O2865" si="252">IF(AND(E2852="HR",K2852="EXPENSE"),I2852&lt;J2852,"")</f>
        <v/>
      </c>
      <c r="Q2863" t="str">
        <f t="shared" si="248"/>
        <v/>
      </c>
    </row>
    <row r="2864" spans="1:17" hidden="1">
      <c r="A2864" t="s">
        <v>2969</v>
      </c>
      <c r="B2864" s="1">
        <v>45307</v>
      </c>
      <c r="C2864">
        <v>2024</v>
      </c>
      <c r="D2864">
        <v>1</v>
      </c>
      <c r="E2864" t="s">
        <v>47</v>
      </c>
      <c r="F2864" t="s">
        <v>14</v>
      </c>
      <c r="G2864" t="s">
        <v>51</v>
      </c>
      <c r="H2864" t="s">
        <v>52</v>
      </c>
      <c r="I2864">
        <v>14767.87</v>
      </c>
      <c r="J2864">
        <v>12141.43</v>
      </c>
      <c r="K2864" t="s">
        <v>17</v>
      </c>
      <c r="L2864" t="b">
        <v>0</v>
      </c>
      <c r="N2864" s="2" t="b">
        <f t="shared" si="247"/>
        <v>1</v>
      </c>
      <c r="O2864" t="str">
        <f t="shared" si="252"/>
        <v/>
      </c>
      <c r="Q2864" t="str">
        <f t="shared" si="248"/>
        <v/>
      </c>
    </row>
    <row r="2865" spans="1:17" hidden="1">
      <c r="A2865" t="s">
        <v>2970</v>
      </c>
      <c r="B2865" s="1">
        <v>45307</v>
      </c>
      <c r="C2865">
        <v>2024</v>
      </c>
      <c r="D2865">
        <v>1</v>
      </c>
      <c r="E2865" t="s">
        <v>47</v>
      </c>
      <c r="F2865" t="s">
        <v>28</v>
      </c>
      <c r="G2865" t="s">
        <v>48</v>
      </c>
      <c r="H2865" t="s">
        <v>75</v>
      </c>
      <c r="I2865">
        <v>10808.32</v>
      </c>
      <c r="J2865">
        <v>9218.58</v>
      </c>
      <c r="K2865" t="s">
        <v>17</v>
      </c>
      <c r="L2865" t="b">
        <v>0</v>
      </c>
      <c r="N2865" s="2" t="b">
        <f t="shared" si="247"/>
        <v>1</v>
      </c>
      <c r="O2865" t="str">
        <f t="shared" si="252"/>
        <v/>
      </c>
      <c r="Q2865" t="str">
        <f t="shared" si="248"/>
        <v/>
      </c>
    </row>
    <row r="2866" spans="1:17" hidden="1">
      <c r="A2866" t="s">
        <v>2971</v>
      </c>
      <c r="B2866" s="1">
        <v>45307</v>
      </c>
      <c r="C2866">
        <v>2024</v>
      </c>
      <c r="D2866">
        <v>1</v>
      </c>
      <c r="E2866" t="s">
        <v>19</v>
      </c>
      <c r="F2866" t="s">
        <v>24</v>
      </c>
      <c r="G2866" t="s">
        <v>20</v>
      </c>
      <c r="H2866" t="s">
        <v>174</v>
      </c>
      <c r="I2866">
        <v>4155.8900000000003</v>
      </c>
      <c r="J2866">
        <v>3915.16</v>
      </c>
      <c r="K2866" t="s">
        <v>17</v>
      </c>
      <c r="L2866" t="b">
        <v>0</v>
      </c>
      <c r="N2866" s="2" t="str">
        <f t="shared" si="247"/>
        <v/>
      </c>
      <c r="Q2866" t="str">
        <f t="shared" si="248"/>
        <v/>
      </c>
    </row>
    <row r="2867" spans="1:17" hidden="1">
      <c r="A2867" t="s">
        <v>2972</v>
      </c>
      <c r="B2867" s="1">
        <v>45307</v>
      </c>
      <c r="C2867">
        <v>2024</v>
      </c>
      <c r="D2867">
        <v>1</v>
      </c>
      <c r="E2867" t="s">
        <v>23</v>
      </c>
      <c r="F2867" t="s">
        <v>14</v>
      </c>
      <c r="G2867" t="s">
        <v>59</v>
      </c>
      <c r="H2867" t="s">
        <v>155</v>
      </c>
      <c r="I2867">
        <v>3114.31</v>
      </c>
      <c r="J2867">
        <v>3225.25</v>
      </c>
      <c r="K2867" t="s">
        <v>17</v>
      </c>
      <c r="L2867" t="b">
        <v>0</v>
      </c>
      <c r="N2867" s="2" t="str">
        <f t="shared" si="247"/>
        <v/>
      </c>
      <c r="Q2867" t="str">
        <f t="shared" si="248"/>
        <v/>
      </c>
    </row>
    <row r="2868" spans="1:17" hidden="1">
      <c r="A2868" t="s">
        <v>2973</v>
      </c>
      <c r="B2868" s="1">
        <v>45307</v>
      </c>
      <c r="C2868">
        <v>2024</v>
      </c>
      <c r="D2868">
        <v>1</v>
      </c>
      <c r="E2868" t="s">
        <v>23</v>
      </c>
      <c r="F2868" t="s">
        <v>24</v>
      </c>
      <c r="G2868" t="s">
        <v>30</v>
      </c>
      <c r="H2868" t="s">
        <v>106</v>
      </c>
      <c r="I2868">
        <v>4890.3900000000003</v>
      </c>
      <c r="J2868">
        <v>5012.3599999999997</v>
      </c>
      <c r="K2868" t="s">
        <v>17</v>
      </c>
      <c r="L2868" t="b">
        <v>0</v>
      </c>
      <c r="N2868" s="2" t="str">
        <f t="shared" si="247"/>
        <v/>
      </c>
      <c r="Q2868" t="str">
        <f t="shared" si="248"/>
        <v/>
      </c>
    </row>
    <row r="2869" spans="1:17" hidden="1">
      <c r="A2869" t="s">
        <v>2974</v>
      </c>
      <c r="B2869" s="1">
        <v>45308</v>
      </c>
      <c r="C2869">
        <v>2024</v>
      </c>
      <c r="D2869">
        <v>1</v>
      </c>
      <c r="E2869" t="s">
        <v>13</v>
      </c>
      <c r="F2869" t="s">
        <v>24</v>
      </c>
      <c r="G2869" t="s">
        <v>102</v>
      </c>
      <c r="H2869" t="s">
        <v>145</v>
      </c>
      <c r="I2869">
        <v>3538.05</v>
      </c>
      <c r="J2869">
        <v>3728.95</v>
      </c>
      <c r="K2869" t="s">
        <v>17</v>
      </c>
      <c r="L2869" t="b">
        <v>0</v>
      </c>
      <c r="N2869" s="2" t="str">
        <f t="shared" si="247"/>
        <v/>
      </c>
      <c r="Q2869" t="str">
        <f t="shared" si="248"/>
        <v/>
      </c>
    </row>
    <row r="2870" spans="1:17" hidden="1">
      <c r="A2870" t="s">
        <v>2975</v>
      </c>
      <c r="B2870" s="1">
        <v>45308</v>
      </c>
      <c r="C2870">
        <v>2024</v>
      </c>
      <c r="D2870">
        <v>1</v>
      </c>
      <c r="E2870" t="s">
        <v>19</v>
      </c>
      <c r="F2870" t="s">
        <v>28</v>
      </c>
      <c r="G2870" t="s">
        <v>132</v>
      </c>
      <c r="H2870" t="s">
        <v>138</v>
      </c>
      <c r="I2870">
        <v>7926.78</v>
      </c>
      <c r="J2870">
        <v>7775.41</v>
      </c>
      <c r="K2870" t="s">
        <v>17</v>
      </c>
      <c r="L2870" t="b">
        <v>0</v>
      </c>
      <c r="N2870" s="2" t="str">
        <f t="shared" si="247"/>
        <v/>
      </c>
      <c r="Q2870" t="str">
        <f t="shared" si="248"/>
        <v/>
      </c>
    </row>
    <row r="2871" spans="1:17" hidden="1">
      <c r="A2871" t="s">
        <v>2976</v>
      </c>
      <c r="B2871" s="1">
        <v>45308</v>
      </c>
      <c r="C2871">
        <v>2024</v>
      </c>
      <c r="D2871">
        <v>1</v>
      </c>
      <c r="E2871" t="s">
        <v>19</v>
      </c>
      <c r="F2871" t="s">
        <v>28</v>
      </c>
      <c r="G2871" t="s">
        <v>132</v>
      </c>
      <c r="H2871" t="s">
        <v>171</v>
      </c>
      <c r="I2871">
        <v>4910.1000000000004</v>
      </c>
      <c r="J2871">
        <v>4591.6499999999996</v>
      </c>
      <c r="K2871" t="s">
        <v>17</v>
      </c>
      <c r="L2871" t="b">
        <v>0</v>
      </c>
      <c r="N2871" s="2" t="str">
        <f t="shared" si="247"/>
        <v/>
      </c>
      <c r="Q2871" t="str">
        <f t="shared" si="248"/>
        <v/>
      </c>
    </row>
    <row r="2872" spans="1:17" hidden="1">
      <c r="A2872" t="s">
        <v>2977</v>
      </c>
      <c r="B2872" s="1">
        <v>45308</v>
      </c>
      <c r="C2872">
        <v>2024</v>
      </c>
      <c r="D2872">
        <v>1</v>
      </c>
      <c r="E2872" t="s">
        <v>37</v>
      </c>
      <c r="F2872" t="s">
        <v>14</v>
      </c>
      <c r="G2872" t="s">
        <v>98</v>
      </c>
      <c r="H2872" t="s">
        <v>185</v>
      </c>
      <c r="I2872">
        <v>2935.49</v>
      </c>
      <c r="J2872">
        <v>2996.55</v>
      </c>
      <c r="K2872" t="s">
        <v>17</v>
      </c>
      <c r="L2872" t="b">
        <v>0</v>
      </c>
      <c r="N2872" s="2" t="str">
        <f t="shared" si="247"/>
        <v/>
      </c>
      <c r="Q2872" t="str">
        <f t="shared" si="248"/>
        <v/>
      </c>
    </row>
    <row r="2873" spans="1:17" hidden="1">
      <c r="A2873" t="s">
        <v>2978</v>
      </c>
      <c r="B2873" s="1">
        <v>45308</v>
      </c>
      <c r="C2873">
        <v>2024</v>
      </c>
      <c r="D2873">
        <v>1</v>
      </c>
      <c r="E2873" t="s">
        <v>37</v>
      </c>
      <c r="F2873" t="s">
        <v>24</v>
      </c>
      <c r="G2873" t="s">
        <v>62</v>
      </c>
      <c r="H2873" t="s">
        <v>121</v>
      </c>
      <c r="I2873">
        <v>5203.8100000000004</v>
      </c>
      <c r="J2873">
        <v>5651.81</v>
      </c>
      <c r="K2873" t="s">
        <v>17</v>
      </c>
      <c r="L2873" t="b">
        <v>0</v>
      </c>
      <c r="N2873" s="2" t="str">
        <f t="shared" si="247"/>
        <v/>
      </c>
      <c r="Q2873" t="str">
        <f t="shared" si="248"/>
        <v/>
      </c>
    </row>
    <row r="2874" spans="1:17" hidden="1">
      <c r="A2874" t="s">
        <v>2979</v>
      </c>
      <c r="B2874" s="1">
        <v>45308</v>
      </c>
      <c r="C2874">
        <v>2024</v>
      </c>
      <c r="D2874">
        <v>1</v>
      </c>
      <c r="E2874" t="s">
        <v>37</v>
      </c>
      <c r="F2874" t="s">
        <v>24</v>
      </c>
      <c r="G2874" t="s">
        <v>62</v>
      </c>
      <c r="H2874" t="s">
        <v>66</v>
      </c>
      <c r="I2874">
        <v>2377.94</v>
      </c>
      <c r="J2874">
        <v>2231.4</v>
      </c>
      <c r="K2874" t="s">
        <v>17</v>
      </c>
      <c r="L2874" t="b">
        <v>0</v>
      </c>
      <c r="N2874" s="2" t="str">
        <f t="shared" si="247"/>
        <v/>
      </c>
      <c r="Q2874" t="str">
        <f t="shared" si="248"/>
        <v/>
      </c>
    </row>
    <row r="2875" spans="1:17" hidden="1">
      <c r="A2875" t="s">
        <v>2980</v>
      </c>
      <c r="B2875" s="1">
        <v>45309</v>
      </c>
      <c r="C2875">
        <v>2024</v>
      </c>
      <c r="D2875">
        <v>1</v>
      </c>
      <c r="E2875" t="s">
        <v>47</v>
      </c>
      <c r="F2875" t="s">
        <v>14</v>
      </c>
      <c r="G2875" t="s">
        <v>51</v>
      </c>
      <c r="H2875" t="s">
        <v>52</v>
      </c>
      <c r="I2875">
        <v>26622.1</v>
      </c>
      <c r="J2875">
        <v>22253.08</v>
      </c>
      <c r="K2875" t="s">
        <v>17</v>
      </c>
      <c r="L2875" t="b">
        <v>0</v>
      </c>
      <c r="N2875" s="2" t="b">
        <f t="shared" si="247"/>
        <v>1</v>
      </c>
      <c r="O2875" t="str">
        <f t="shared" ref="O2875:O2876" si="253">IF(AND(E2864="HR",K2864="EXPENSE"),I2864&lt;J2864,"")</f>
        <v/>
      </c>
      <c r="Q2875" t="str">
        <f t="shared" si="248"/>
        <v/>
      </c>
    </row>
    <row r="2876" spans="1:17" hidden="1">
      <c r="A2876" t="s">
        <v>2981</v>
      </c>
      <c r="B2876" s="1">
        <v>45309</v>
      </c>
      <c r="C2876">
        <v>2024</v>
      </c>
      <c r="D2876">
        <v>1</v>
      </c>
      <c r="E2876" t="s">
        <v>47</v>
      </c>
      <c r="F2876" t="s">
        <v>14</v>
      </c>
      <c r="G2876" t="s">
        <v>91</v>
      </c>
      <c r="H2876" t="s">
        <v>249</v>
      </c>
      <c r="I2876">
        <v>8769.5400000000009</v>
      </c>
      <c r="J2876">
        <v>7327.5</v>
      </c>
      <c r="K2876" t="s">
        <v>17</v>
      </c>
      <c r="L2876" t="b">
        <v>0</v>
      </c>
      <c r="N2876" s="2" t="b">
        <f t="shared" si="247"/>
        <v>1</v>
      </c>
      <c r="O2876" t="str">
        <f t="shared" si="253"/>
        <v/>
      </c>
      <c r="Q2876" t="str">
        <f t="shared" si="248"/>
        <v/>
      </c>
    </row>
    <row r="2877" spans="1:17" hidden="1">
      <c r="A2877" t="s">
        <v>2982</v>
      </c>
      <c r="B2877" s="1">
        <v>45309</v>
      </c>
      <c r="C2877">
        <v>2024</v>
      </c>
      <c r="D2877">
        <v>1</v>
      </c>
      <c r="E2877" t="s">
        <v>19</v>
      </c>
      <c r="F2877" t="s">
        <v>24</v>
      </c>
      <c r="G2877" t="s">
        <v>80</v>
      </c>
      <c r="H2877" t="s">
        <v>150</v>
      </c>
      <c r="I2877">
        <v>2435.1999999999998</v>
      </c>
      <c r="J2877">
        <v>2240.6799999999998</v>
      </c>
      <c r="K2877" t="s">
        <v>17</v>
      </c>
      <c r="L2877" t="b">
        <v>0</v>
      </c>
      <c r="N2877" s="2" t="str">
        <f t="shared" si="247"/>
        <v/>
      </c>
      <c r="Q2877" t="str">
        <f t="shared" si="248"/>
        <v/>
      </c>
    </row>
    <row r="2878" spans="1:17" hidden="1">
      <c r="A2878" t="s">
        <v>2983</v>
      </c>
      <c r="B2878" s="1">
        <v>45309</v>
      </c>
      <c r="C2878">
        <v>2024</v>
      </c>
      <c r="D2878">
        <v>1</v>
      </c>
      <c r="E2878" t="s">
        <v>19</v>
      </c>
      <c r="F2878" t="s">
        <v>24</v>
      </c>
      <c r="G2878" t="s">
        <v>132</v>
      </c>
      <c r="H2878" t="s">
        <v>171</v>
      </c>
      <c r="I2878">
        <v>6863.58</v>
      </c>
      <c r="J2878">
        <v>6280.37</v>
      </c>
      <c r="K2878" t="s">
        <v>17</v>
      </c>
      <c r="L2878" t="b">
        <v>0</v>
      </c>
      <c r="N2878" s="2" t="str">
        <f t="shared" si="247"/>
        <v/>
      </c>
      <c r="Q2878" t="str">
        <f t="shared" si="248"/>
        <v/>
      </c>
    </row>
    <row r="2879" spans="1:17" hidden="1">
      <c r="A2879" t="s">
        <v>2984</v>
      </c>
      <c r="B2879" s="1">
        <v>45309</v>
      </c>
      <c r="C2879">
        <v>2024</v>
      </c>
      <c r="D2879">
        <v>1</v>
      </c>
      <c r="E2879" t="s">
        <v>23</v>
      </c>
      <c r="F2879" t="s">
        <v>14</v>
      </c>
      <c r="G2879" t="s">
        <v>141</v>
      </c>
      <c r="H2879" t="s">
        <v>209</v>
      </c>
      <c r="I2879">
        <v>3570.83</v>
      </c>
      <c r="J2879">
        <v>3214.31</v>
      </c>
      <c r="K2879" t="s">
        <v>17</v>
      </c>
      <c r="L2879" t="b">
        <v>0</v>
      </c>
      <c r="N2879" s="2" t="str">
        <f t="shared" si="247"/>
        <v/>
      </c>
      <c r="Q2879" t="str">
        <f t="shared" si="248"/>
        <v/>
      </c>
    </row>
    <row r="2880" spans="1:17" hidden="1">
      <c r="A2880" t="s">
        <v>2985</v>
      </c>
      <c r="B2880" s="1">
        <v>45309</v>
      </c>
      <c r="C2880">
        <v>2024</v>
      </c>
      <c r="D2880">
        <v>1</v>
      </c>
      <c r="E2880" t="s">
        <v>23</v>
      </c>
      <c r="F2880" t="s">
        <v>28</v>
      </c>
      <c r="G2880" t="s">
        <v>141</v>
      </c>
      <c r="H2880" t="s">
        <v>209</v>
      </c>
      <c r="I2880">
        <v>6421.46</v>
      </c>
      <c r="J2880">
        <v>5989.85</v>
      </c>
      <c r="K2880" t="s">
        <v>17</v>
      </c>
      <c r="L2880" t="b">
        <v>0</v>
      </c>
      <c r="N2880" s="2" t="str">
        <f t="shared" si="247"/>
        <v/>
      </c>
      <c r="Q2880" t="str">
        <f t="shared" si="248"/>
        <v/>
      </c>
    </row>
    <row r="2881" spans="1:17" hidden="1">
      <c r="A2881" t="s">
        <v>2986</v>
      </c>
      <c r="B2881" s="1">
        <v>45309</v>
      </c>
      <c r="C2881">
        <v>2024</v>
      </c>
      <c r="D2881">
        <v>1</v>
      </c>
      <c r="E2881" t="s">
        <v>37</v>
      </c>
      <c r="F2881" t="s">
        <v>28</v>
      </c>
      <c r="G2881" t="s">
        <v>62</v>
      </c>
      <c r="H2881" t="s">
        <v>66</v>
      </c>
      <c r="I2881">
        <v>2243.8200000000002</v>
      </c>
      <c r="J2881">
        <v>2324</v>
      </c>
      <c r="K2881" t="s">
        <v>17</v>
      </c>
      <c r="L2881" t="b">
        <v>0</v>
      </c>
      <c r="N2881" s="2" t="str">
        <f t="shared" si="247"/>
        <v/>
      </c>
      <c r="Q2881" t="str">
        <f t="shared" si="248"/>
        <v/>
      </c>
    </row>
    <row r="2882" spans="1:17" hidden="1">
      <c r="A2882" t="s">
        <v>2987</v>
      </c>
      <c r="B2882" s="1">
        <v>45310</v>
      </c>
      <c r="C2882">
        <v>2024</v>
      </c>
      <c r="D2882">
        <v>1</v>
      </c>
      <c r="E2882" t="s">
        <v>13</v>
      </c>
      <c r="F2882" t="s">
        <v>14</v>
      </c>
      <c r="G2882" t="s">
        <v>68</v>
      </c>
      <c r="H2882" t="s">
        <v>213</v>
      </c>
      <c r="I2882">
        <v>4357.9799999999996</v>
      </c>
      <c r="J2882">
        <v>4358.25</v>
      </c>
      <c r="K2882" t="s">
        <v>17</v>
      </c>
      <c r="L2882" t="b">
        <v>0</v>
      </c>
      <c r="N2882" s="2" t="str">
        <f t="shared" si="247"/>
        <v/>
      </c>
      <c r="Q2882" t="str">
        <f t="shared" si="248"/>
        <v/>
      </c>
    </row>
    <row r="2883" spans="1:17" hidden="1">
      <c r="A2883" t="s">
        <v>2988</v>
      </c>
      <c r="B2883" s="1">
        <v>45310</v>
      </c>
      <c r="C2883">
        <v>2024</v>
      </c>
      <c r="D2883">
        <v>1</v>
      </c>
      <c r="E2883" t="s">
        <v>13</v>
      </c>
      <c r="F2883" t="s">
        <v>24</v>
      </c>
      <c r="G2883" t="s">
        <v>108</v>
      </c>
      <c r="H2883" t="s">
        <v>123</v>
      </c>
      <c r="I2883">
        <v>2580.92</v>
      </c>
      <c r="J2883">
        <v>2487.79</v>
      </c>
      <c r="K2883" t="s">
        <v>17</v>
      </c>
      <c r="L2883" t="b">
        <v>0</v>
      </c>
      <c r="N2883" s="2" t="str">
        <f t="shared" ref="N2883:N2946" si="254">IF(AND(E2883="IT",K2883="EXPENSE"),I2883&gt;J2883,"")</f>
        <v/>
      </c>
      <c r="Q2883" t="str">
        <f t="shared" ref="Q2883:Q2946" si="255">IF(L2883=TRUE,OR(H2883="Apex Solutions Inc",H2883="Global Trade Partners",H2883="NovaTech Services"),"")</f>
        <v/>
      </c>
    </row>
    <row r="2884" spans="1:17" hidden="1">
      <c r="A2884" t="s">
        <v>2989</v>
      </c>
      <c r="B2884" s="1">
        <v>45310</v>
      </c>
      <c r="C2884">
        <v>2024</v>
      </c>
      <c r="D2884">
        <v>1</v>
      </c>
      <c r="E2884" t="s">
        <v>13</v>
      </c>
      <c r="F2884" t="s">
        <v>24</v>
      </c>
      <c r="G2884" t="s">
        <v>102</v>
      </c>
      <c r="H2884" t="s">
        <v>278</v>
      </c>
      <c r="I2884">
        <v>3971.93</v>
      </c>
      <c r="J2884">
        <v>3858.74</v>
      </c>
      <c r="K2884" t="s">
        <v>17</v>
      </c>
      <c r="L2884" t="b">
        <v>0</v>
      </c>
      <c r="N2884" s="2" t="str">
        <f t="shared" si="254"/>
        <v/>
      </c>
      <c r="Q2884" t="str">
        <f t="shared" si="255"/>
        <v/>
      </c>
    </row>
    <row r="2885" spans="1:17" hidden="1">
      <c r="A2885" t="s">
        <v>2990</v>
      </c>
      <c r="B2885" s="1">
        <v>45310</v>
      </c>
      <c r="C2885">
        <v>2024</v>
      </c>
      <c r="D2885">
        <v>1</v>
      </c>
      <c r="E2885" t="s">
        <v>37</v>
      </c>
      <c r="F2885" t="s">
        <v>14</v>
      </c>
      <c r="G2885" t="s">
        <v>98</v>
      </c>
      <c r="H2885" t="s">
        <v>99</v>
      </c>
      <c r="I2885">
        <v>3414.82</v>
      </c>
      <c r="J2885">
        <v>3439.69</v>
      </c>
      <c r="K2885" t="s">
        <v>17</v>
      </c>
      <c r="L2885" t="b">
        <v>0</v>
      </c>
      <c r="N2885" s="2" t="str">
        <f t="shared" si="254"/>
        <v/>
      </c>
      <c r="Q2885" t="str">
        <f t="shared" si="255"/>
        <v/>
      </c>
    </row>
    <row r="2886" spans="1:17" hidden="1">
      <c r="A2886" t="s">
        <v>2991</v>
      </c>
      <c r="B2886" s="1">
        <v>45311</v>
      </c>
      <c r="C2886">
        <v>2024</v>
      </c>
      <c r="D2886">
        <v>1</v>
      </c>
      <c r="E2886" t="s">
        <v>13</v>
      </c>
      <c r="F2886" t="s">
        <v>14</v>
      </c>
      <c r="G2886" t="s">
        <v>108</v>
      </c>
      <c r="H2886" t="s">
        <v>109</v>
      </c>
      <c r="I2886">
        <v>2541.5700000000002</v>
      </c>
      <c r="J2886">
        <v>2628.89</v>
      </c>
      <c r="K2886" t="s">
        <v>17</v>
      </c>
      <c r="L2886" t="b">
        <v>0</v>
      </c>
      <c r="N2886" s="2" t="str">
        <f t="shared" si="254"/>
        <v/>
      </c>
      <c r="Q2886" t="str">
        <f t="shared" si="255"/>
        <v/>
      </c>
    </row>
    <row r="2887" spans="1:17" hidden="1">
      <c r="A2887" t="s">
        <v>2992</v>
      </c>
      <c r="B2887" s="1">
        <v>45311</v>
      </c>
      <c r="C2887">
        <v>2024</v>
      </c>
      <c r="D2887">
        <v>1</v>
      </c>
      <c r="E2887" t="s">
        <v>13</v>
      </c>
      <c r="F2887" t="s">
        <v>28</v>
      </c>
      <c r="G2887" t="s">
        <v>102</v>
      </c>
      <c r="H2887" t="s">
        <v>145</v>
      </c>
      <c r="I2887">
        <v>3180.07</v>
      </c>
      <c r="J2887">
        <v>3065.7</v>
      </c>
      <c r="K2887" t="s">
        <v>17</v>
      </c>
      <c r="L2887" t="b">
        <v>0</v>
      </c>
      <c r="N2887" s="2" t="str">
        <f t="shared" si="254"/>
        <v/>
      </c>
      <c r="Q2887" t="str">
        <f t="shared" si="255"/>
        <v/>
      </c>
    </row>
    <row r="2888" spans="1:17" hidden="1">
      <c r="A2888" t="s">
        <v>2993</v>
      </c>
      <c r="B2888" s="1">
        <v>45311</v>
      </c>
      <c r="C2888">
        <v>2024</v>
      </c>
      <c r="D2888">
        <v>1</v>
      </c>
      <c r="E2888" t="s">
        <v>19</v>
      </c>
      <c r="F2888" t="s">
        <v>14</v>
      </c>
      <c r="G2888" t="s">
        <v>80</v>
      </c>
      <c r="H2888" t="s">
        <v>150</v>
      </c>
      <c r="I2888">
        <v>5836.98</v>
      </c>
      <c r="J2888">
        <v>5688.97</v>
      </c>
      <c r="K2888" t="s">
        <v>17</v>
      </c>
      <c r="L2888" t="b">
        <v>0</v>
      </c>
      <c r="N2888" s="2" t="str">
        <f t="shared" si="254"/>
        <v/>
      </c>
      <c r="Q2888" t="str">
        <f t="shared" si="255"/>
        <v/>
      </c>
    </row>
    <row r="2889" spans="1:17" hidden="1">
      <c r="A2889" t="s">
        <v>2994</v>
      </c>
      <c r="B2889" s="1">
        <v>45311</v>
      </c>
      <c r="C2889">
        <v>2024</v>
      </c>
      <c r="D2889">
        <v>1</v>
      </c>
      <c r="E2889" t="s">
        <v>23</v>
      </c>
      <c r="F2889" t="s">
        <v>14</v>
      </c>
      <c r="G2889" t="s">
        <v>141</v>
      </c>
      <c r="H2889" t="s">
        <v>209</v>
      </c>
      <c r="I2889">
        <v>4949.58</v>
      </c>
      <c r="J2889">
        <v>5376.07</v>
      </c>
      <c r="K2889" t="s">
        <v>17</v>
      </c>
      <c r="L2889" t="b">
        <v>0</v>
      </c>
      <c r="N2889" s="2" t="str">
        <f t="shared" si="254"/>
        <v/>
      </c>
      <c r="Q2889" t="str">
        <f t="shared" si="255"/>
        <v/>
      </c>
    </row>
    <row r="2890" spans="1:17" hidden="1">
      <c r="A2890" t="s">
        <v>2995</v>
      </c>
      <c r="B2890" s="1">
        <v>45311</v>
      </c>
      <c r="C2890">
        <v>2024</v>
      </c>
      <c r="D2890">
        <v>1</v>
      </c>
      <c r="E2890" t="s">
        <v>23</v>
      </c>
      <c r="F2890" t="s">
        <v>28</v>
      </c>
      <c r="G2890" t="s">
        <v>30</v>
      </c>
      <c r="H2890" t="s">
        <v>33</v>
      </c>
      <c r="I2890">
        <v>5179.1499999999996</v>
      </c>
      <c r="J2890">
        <v>5286.62</v>
      </c>
      <c r="K2890" t="s">
        <v>17</v>
      </c>
      <c r="L2890" t="b">
        <v>0</v>
      </c>
      <c r="N2890" s="2" t="str">
        <f t="shared" si="254"/>
        <v/>
      </c>
      <c r="Q2890" t="str">
        <f t="shared" si="255"/>
        <v/>
      </c>
    </row>
    <row r="2891" spans="1:17" hidden="1">
      <c r="A2891" t="s">
        <v>2996</v>
      </c>
      <c r="B2891" s="1">
        <v>45311</v>
      </c>
      <c r="C2891">
        <v>2024</v>
      </c>
      <c r="D2891">
        <v>1</v>
      </c>
      <c r="E2891" t="s">
        <v>37</v>
      </c>
      <c r="F2891" t="s">
        <v>24</v>
      </c>
      <c r="G2891" t="s">
        <v>38</v>
      </c>
      <c r="H2891" t="s">
        <v>227</v>
      </c>
      <c r="I2891">
        <v>4336.53</v>
      </c>
      <c r="J2891">
        <v>4723.67</v>
      </c>
      <c r="K2891" t="s">
        <v>17</v>
      </c>
      <c r="L2891" t="b">
        <v>0</v>
      </c>
      <c r="N2891" s="2" t="str">
        <f t="shared" si="254"/>
        <v/>
      </c>
      <c r="Q2891" t="str">
        <f t="shared" si="255"/>
        <v/>
      </c>
    </row>
    <row r="2892" spans="1:17" hidden="1">
      <c r="A2892" t="s">
        <v>2997</v>
      </c>
      <c r="B2892" s="1">
        <v>45311</v>
      </c>
      <c r="C2892">
        <v>2024</v>
      </c>
      <c r="D2892">
        <v>1</v>
      </c>
      <c r="E2892" t="s">
        <v>37</v>
      </c>
      <c r="F2892" t="s">
        <v>24</v>
      </c>
      <c r="G2892" t="s">
        <v>41</v>
      </c>
      <c r="H2892" t="s">
        <v>42</v>
      </c>
      <c r="I2892">
        <v>4944.01</v>
      </c>
      <c r="J2892">
        <v>4505.3599999999997</v>
      </c>
      <c r="K2892" t="s">
        <v>17</v>
      </c>
      <c r="L2892" t="b">
        <v>0</v>
      </c>
      <c r="N2892" s="2" t="str">
        <f t="shared" si="254"/>
        <v/>
      </c>
      <c r="Q2892" t="str">
        <f t="shared" si="255"/>
        <v/>
      </c>
    </row>
    <row r="2893" spans="1:17" hidden="1">
      <c r="A2893" t="s">
        <v>2998</v>
      </c>
      <c r="B2893" s="1">
        <v>45312</v>
      </c>
      <c r="C2893">
        <v>2024</v>
      </c>
      <c r="D2893">
        <v>1</v>
      </c>
      <c r="E2893" t="s">
        <v>13</v>
      </c>
      <c r="F2893" t="s">
        <v>24</v>
      </c>
      <c r="G2893" t="s">
        <v>108</v>
      </c>
      <c r="H2893" t="s">
        <v>126</v>
      </c>
      <c r="I2893">
        <v>3648.04</v>
      </c>
      <c r="J2893">
        <v>3631.25</v>
      </c>
      <c r="K2893" t="s">
        <v>17</v>
      </c>
      <c r="L2893" t="b">
        <v>0</v>
      </c>
      <c r="N2893" s="2" t="str">
        <f t="shared" si="254"/>
        <v/>
      </c>
      <c r="Q2893" t="str">
        <f t="shared" si="255"/>
        <v/>
      </c>
    </row>
    <row r="2894" spans="1:17" hidden="1">
      <c r="A2894" t="s">
        <v>2999</v>
      </c>
      <c r="B2894" s="1">
        <v>45312</v>
      </c>
      <c r="C2894">
        <v>2024</v>
      </c>
      <c r="D2894">
        <v>1</v>
      </c>
      <c r="E2894" t="s">
        <v>47</v>
      </c>
      <c r="F2894" t="s">
        <v>14</v>
      </c>
      <c r="G2894" t="s">
        <v>77</v>
      </c>
      <c r="H2894" t="s">
        <v>130</v>
      </c>
      <c r="I2894">
        <v>14088.15</v>
      </c>
      <c r="J2894">
        <v>11668.56</v>
      </c>
      <c r="K2894" t="s">
        <v>17</v>
      </c>
      <c r="L2894" t="b">
        <v>0</v>
      </c>
      <c r="N2894" s="2" t="b">
        <f t="shared" si="254"/>
        <v>1</v>
      </c>
      <c r="O2894" t="b">
        <f t="shared" ref="O2894:O2896" si="256">IF(AND(E2883="HR",K2883="EXPENSE"),I2883&lt;J2883,"")</f>
        <v>0</v>
      </c>
      <c r="Q2894" t="str">
        <f t="shared" si="255"/>
        <v/>
      </c>
    </row>
    <row r="2895" spans="1:17" hidden="1">
      <c r="A2895" t="s">
        <v>3000</v>
      </c>
      <c r="B2895" s="1">
        <v>45312</v>
      </c>
      <c r="C2895">
        <v>2024</v>
      </c>
      <c r="D2895">
        <v>1</v>
      </c>
      <c r="E2895" t="s">
        <v>47</v>
      </c>
      <c r="F2895" t="s">
        <v>28</v>
      </c>
      <c r="G2895" t="s">
        <v>51</v>
      </c>
      <c r="H2895" t="s">
        <v>52</v>
      </c>
      <c r="I2895">
        <v>12026.86</v>
      </c>
      <c r="J2895">
        <v>10297.49</v>
      </c>
      <c r="K2895" t="s">
        <v>17</v>
      </c>
      <c r="L2895" t="b">
        <v>0</v>
      </c>
      <c r="N2895" s="2" t="b">
        <f t="shared" si="254"/>
        <v>1</v>
      </c>
      <c r="O2895" t="b">
        <f t="shared" si="256"/>
        <v>0</v>
      </c>
      <c r="Q2895" t="str">
        <f t="shared" si="255"/>
        <v/>
      </c>
    </row>
    <row r="2896" spans="1:17" hidden="1">
      <c r="A2896" t="s">
        <v>3001</v>
      </c>
      <c r="B2896" s="1">
        <v>45312</v>
      </c>
      <c r="C2896">
        <v>2024</v>
      </c>
      <c r="D2896">
        <v>1</v>
      </c>
      <c r="E2896" t="s">
        <v>47</v>
      </c>
      <c r="F2896" t="s">
        <v>28</v>
      </c>
      <c r="G2896" t="s">
        <v>48</v>
      </c>
      <c r="H2896" t="s">
        <v>49</v>
      </c>
      <c r="I2896">
        <v>20735.189999999999</v>
      </c>
      <c r="J2896">
        <v>17046.5</v>
      </c>
      <c r="K2896" t="s">
        <v>17</v>
      </c>
      <c r="L2896" t="b">
        <v>0</v>
      </c>
      <c r="N2896" s="2" t="b">
        <f t="shared" si="254"/>
        <v>1</v>
      </c>
      <c r="O2896" t="str">
        <f t="shared" si="256"/>
        <v/>
      </c>
      <c r="Q2896" t="str">
        <f t="shared" si="255"/>
        <v/>
      </c>
    </row>
    <row r="2897" spans="1:17" hidden="1">
      <c r="A2897" t="s">
        <v>3002</v>
      </c>
      <c r="B2897" s="1">
        <v>45312</v>
      </c>
      <c r="C2897">
        <v>2024</v>
      </c>
      <c r="D2897">
        <v>1</v>
      </c>
      <c r="E2897" t="s">
        <v>23</v>
      </c>
      <c r="F2897" t="s">
        <v>14</v>
      </c>
      <c r="G2897" t="s">
        <v>30</v>
      </c>
      <c r="H2897" t="s">
        <v>106</v>
      </c>
      <c r="I2897">
        <v>6935.8</v>
      </c>
      <c r="J2897">
        <v>6987.65</v>
      </c>
      <c r="K2897" t="s">
        <v>17</v>
      </c>
      <c r="L2897" t="b">
        <v>0</v>
      </c>
      <c r="N2897" s="2" t="str">
        <f t="shared" si="254"/>
        <v/>
      </c>
      <c r="Q2897" t="str">
        <f t="shared" si="255"/>
        <v/>
      </c>
    </row>
    <row r="2898" spans="1:17" hidden="1">
      <c r="A2898" t="s">
        <v>3003</v>
      </c>
      <c r="B2898" s="1">
        <v>45312</v>
      </c>
      <c r="C2898">
        <v>2024</v>
      </c>
      <c r="D2898">
        <v>1</v>
      </c>
      <c r="E2898" t="s">
        <v>23</v>
      </c>
      <c r="F2898" t="s">
        <v>28</v>
      </c>
      <c r="G2898" t="s">
        <v>25</v>
      </c>
      <c r="H2898" t="s">
        <v>95</v>
      </c>
      <c r="I2898">
        <v>5897.68</v>
      </c>
      <c r="J2898">
        <v>6031.96</v>
      </c>
      <c r="K2898" t="s">
        <v>17</v>
      </c>
      <c r="L2898" t="b">
        <v>0</v>
      </c>
      <c r="N2898" s="2" t="str">
        <f t="shared" si="254"/>
        <v/>
      </c>
      <c r="Q2898" t="str">
        <f t="shared" si="255"/>
        <v/>
      </c>
    </row>
    <row r="2899" spans="1:17" hidden="1">
      <c r="A2899" t="s">
        <v>3004</v>
      </c>
      <c r="B2899" s="1">
        <v>45312</v>
      </c>
      <c r="C2899">
        <v>2024</v>
      </c>
      <c r="D2899">
        <v>1</v>
      </c>
      <c r="E2899" t="s">
        <v>23</v>
      </c>
      <c r="F2899" t="s">
        <v>24</v>
      </c>
      <c r="G2899" t="s">
        <v>25</v>
      </c>
      <c r="H2899" t="s">
        <v>95</v>
      </c>
      <c r="I2899">
        <v>4832.62</v>
      </c>
      <c r="J2899">
        <v>4448.8599999999997</v>
      </c>
      <c r="K2899" t="s">
        <v>17</v>
      </c>
      <c r="L2899" t="b">
        <v>0</v>
      </c>
      <c r="N2899" s="2" t="str">
        <f t="shared" si="254"/>
        <v/>
      </c>
      <c r="Q2899" t="str">
        <f t="shared" si="255"/>
        <v/>
      </c>
    </row>
    <row r="2900" spans="1:17" hidden="1">
      <c r="A2900" t="s">
        <v>3005</v>
      </c>
      <c r="B2900" s="1">
        <v>45312</v>
      </c>
      <c r="C2900">
        <v>2024</v>
      </c>
      <c r="D2900">
        <v>1</v>
      </c>
      <c r="E2900" t="s">
        <v>37</v>
      </c>
      <c r="F2900" t="s">
        <v>14</v>
      </c>
      <c r="G2900" t="s">
        <v>41</v>
      </c>
      <c r="H2900" t="s">
        <v>42</v>
      </c>
      <c r="I2900">
        <v>6278.06</v>
      </c>
      <c r="J2900">
        <v>5698.42</v>
      </c>
      <c r="K2900" t="s">
        <v>17</v>
      </c>
      <c r="L2900" t="b">
        <v>0</v>
      </c>
      <c r="N2900" s="2" t="str">
        <f t="shared" si="254"/>
        <v/>
      </c>
      <c r="Q2900" t="str">
        <f t="shared" si="255"/>
        <v/>
      </c>
    </row>
    <row r="2901" spans="1:17" hidden="1">
      <c r="A2901" t="s">
        <v>3006</v>
      </c>
      <c r="B2901" s="1">
        <v>45312</v>
      </c>
      <c r="C2901">
        <v>2024</v>
      </c>
      <c r="D2901">
        <v>1</v>
      </c>
      <c r="E2901" t="s">
        <v>37</v>
      </c>
      <c r="F2901" t="s">
        <v>28</v>
      </c>
      <c r="G2901" t="s">
        <v>38</v>
      </c>
      <c r="H2901" t="s">
        <v>39</v>
      </c>
      <c r="I2901">
        <v>2347.11</v>
      </c>
      <c r="J2901">
        <v>2345.7800000000002</v>
      </c>
      <c r="K2901" t="s">
        <v>17</v>
      </c>
      <c r="L2901" t="b">
        <v>0</v>
      </c>
      <c r="N2901" s="2" t="str">
        <f t="shared" si="254"/>
        <v/>
      </c>
      <c r="Q2901" t="str">
        <f t="shared" si="255"/>
        <v/>
      </c>
    </row>
    <row r="2902" spans="1:17" hidden="1">
      <c r="A2902" t="s">
        <v>3007</v>
      </c>
      <c r="B2902" s="1">
        <v>45312</v>
      </c>
      <c r="C2902">
        <v>2024</v>
      </c>
      <c r="D2902">
        <v>1</v>
      </c>
      <c r="E2902" t="s">
        <v>37</v>
      </c>
      <c r="F2902" t="s">
        <v>28</v>
      </c>
      <c r="G2902" t="s">
        <v>41</v>
      </c>
      <c r="H2902" t="s">
        <v>42</v>
      </c>
      <c r="I2902">
        <v>4624.74</v>
      </c>
      <c r="J2902">
        <v>4958.75</v>
      </c>
      <c r="K2902" t="s">
        <v>17</v>
      </c>
      <c r="L2902" t="b">
        <v>0</v>
      </c>
      <c r="N2902" s="2" t="str">
        <f t="shared" si="254"/>
        <v/>
      </c>
      <c r="Q2902" t="str">
        <f t="shared" si="255"/>
        <v/>
      </c>
    </row>
    <row r="2903" spans="1:17" hidden="1">
      <c r="A2903" t="s">
        <v>3008</v>
      </c>
      <c r="B2903" s="1">
        <v>45312</v>
      </c>
      <c r="C2903">
        <v>2024</v>
      </c>
      <c r="D2903">
        <v>1</v>
      </c>
      <c r="E2903" t="s">
        <v>37</v>
      </c>
      <c r="F2903" t="s">
        <v>24</v>
      </c>
      <c r="G2903" t="s">
        <v>98</v>
      </c>
      <c r="H2903" t="s">
        <v>99</v>
      </c>
      <c r="I2903">
        <v>3460.26</v>
      </c>
      <c r="J2903">
        <v>3369.86</v>
      </c>
      <c r="K2903" t="s">
        <v>17</v>
      </c>
      <c r="L2903" t="b">
        <v>0</v>
      </c>
      <c r="N2903" s="2" t="str">
        <f t="shared" si="254"/>
        <v/>
      </c>
      <c r="Q2903" t="str">
        <f t="shared" si="255"/>
        <v/>
      </c>
    </row>
    <row r="2904" spans="1:17" hidden="1">
      <c r="A2904" t="s">
        <v>3009</v>
      </c>
      <c r="B2904" s="1">
        <v>45313</v>
      </c>
      <c r="C2904">
        <v>2024</v>
      </c>
      <c r="D2904">
        <v>1</v>
      </c>
      <c r="E2904" t="s">
        <v>13</v>
      </c>
      <c r="F2904" t="s">
        <v>14</v>
      </c>
      <c r="G2904" t="s">
        <v>108</v>
      </c>
      <c r="H2904" t="s">
        <v>109</v>
      </c>
      <c r="I2904">
        <v>3112.43</v>
      </c>
      <c r="J2904">
        <v>3213.26</v>
      </c>
      <c r="K2904" t="s">
        <v>17</v>
      </c>
      <c r="L2904" t="b">
        <v>0</v>
      </c>
      <c r="N2904" s="2" t="str">
        <f t="shared" si="254"/>
        <v/>
      </c>
      <c r="Q2904" t="str">
        <f t="shared" si="255"/>
        <v/>
      </c>
    </row>
    <row r="2905" spans="1:17" hidden="1">
      <c r="A2905" t="s">
        <v>3010</v>
      </c>
      <c r="B2905" s="1">
        <v>45313</v>
      </c>
      <c r="C2905">
        <v>2024</v>
      </c>
      <c r="D2905">
        <v>1</v>
      </c>
      <c r="E2905" t="s">
        <v>13</v>
      </c>
      <c r="F2905" t="s">
        <v>28</v>
      </c>
      <c r="G2905" t="s">
        <v>68</v>
      </c>
      <c r="H2905" t="s">
        <v>87</v>
      </c>
      <c r="I2905">
        <v>3365.06</v>
      </c>
      <c r="J2905">
        <v>3254.99</v>
      </c>
      <c r="K2905" t="s">
        <v>17</v>
      </c>
      <c r="L2905" t="b">
        <v>0</v>
      </c>
      <c r="N2905" s="2" t="str">
        <f t="shared" si="254"/>
        <v/>
      </c>
      <c r="Q2905" t="str">
        <f t="shared" si="255"/>
        <v/>
      </c>
    </row>
    <row r="2906" spans="1:17" hidden="1">
      <c r="A2906" t="s">
        <v>3011</v>
      </c>
      <c r="B2906" s="1">
        <v>45313</v>
      </c>
      <c r="C2906">
        <v>2024</v>
      </c>
      <c r="D2906">
        <v>1</v>
      </c>
      <c r="E2906" t="s">
        <v>47</v>
      </c>
      <c r="F2906" t="s">
        <v>14</v>
      </c>
      <c r="G2906" t="s">
        <v>77</v>
      </c>
      <c r="H2906" t="s">
        <v>130</v>
      </c>
      <c r="I2906">
        <v>16725.849999999999</v>
      </c>
      <c r="J2906">
        <v>14428.67</v>
      </c>
      <c r="K2906" t="s">
        <v>17</v>
      </c>
      <c r="L2906" t="b">
        <v>0</v>
      </c>
      <c r="N2906" s="2" t="b">
        <f t="shared" si="254"/>
        <v>1</v>
      </c>
      <c r="O2906" t="str">
        <f t="shared" ref="O2906:O2908" si="257">IF(AND(E2895="HR",K2895="EXPENSE"),I2895&lt;J2895,"")</f>
        <v/>
      </c>
      <c r="Q2906" t="str">
        <f t="shared" si="255"/>
        <v/>
      </c>
    </row>
    <row r="2907" spans="1:17" hidden="1">
      <c r="A2907" t="s">
        <v>3012</v>
      </c>
      <c r="B2907" s="1">
        <v>45313</v>
      </c>
      <c r="C2907">
        <v>2024</v>
      </c>
      <c r="D2907">
        <v>1</v>
      </c>
      <c r="E2907" t="s">
        <v>47</v>
      </c>
      <c r="F2907" t="s">
        <v>24</v>
      </c>
      <c r="G2907" t="s">
        <v>51</v>
      </c>
      <c r="H2907" t="s">
        <v>72</v>
      </c>
      <c r="I2907">
        <v>19808.23</v>
      </c>
      <c r="J2907">
        <v>16267.18</v>
      </c>
      <c r="K2907" t="s">
        <v>17</v>
      </c>
      <c r="L2907" t="b">
        <v>0</v>
      </c>
      <c r="N2907" s="2" t="b">
        <f t="shared" si="254"/>
        <v>1</v>
      </c>
      <c r="O2907" t="str">
        <f t="shared" si="257"/>
        <v/>
      </c>
      <c r="Q2907" t="str">
        <f t="shared" si="255"/>
        <v/>
      </c>
    </row>
    <row r="2908" spans="1:17" hidden="1">
      <c r="A2908" t="s">
        <v>3013</v>
      </c>
      <c r="B2908" s="1">
        <v>45313</v>
      </c>
      <c r="C2908">
        <v>2024</v>
      </c>
      <c r="D2908">
        <v>1</v>
      </c>
      <c r="E2908" t="s">
        <v>47</v>
      </c>
      <c r="F2908" t="s">
        <v>24</v>
      </c>
      <c r="G2908" t="s">
        <v>91</v>
      </c>
      <c r="H2908" t="s">
        <v>128</v>
      </c>
      <c r="I2908">
        <v>15788.37</v>
      </c>
      <c r="J2908">
        <v>13368.74</v>
      </c>
      <c r="K2908" t="s">
        <v>17</v>
      </c>
      <c r="L2908" t="b">
        <v>0</v>
      </c>
      <c r="N2908" s="2" t="b">
        <f t="shared" si="254"/>
        <v>1</v>
      </c>
      <c r="O2908" t="str">
        <f t="shared" si="257"/>
        <v/>
      </c>
      <c r="Q2908" t="str">
        <f t="shared" si="255"/>
        <v/>
      </c>
    </row>
    <row r="2909" spans="1:17" hidden="1">
      <c r="A2909" t="s">
        <v>3014</v>
      </c>
      <c r="B2909" s="1">
        <v>45313</v>
      </c>
      <c r="C2909">
        <v>2024</v>
      </c>
      <c r="D2909">
        <v>1</v>
      </c>
      <c r="E2909" t="s">
        <v>23</v>
      </c>
      <c r="F2909" t="s">
        <v>14</v>
      </c>
      <c r="G2909" t="s">
        <v>59</v>
      </c>
      <c r="H2909" t="s">
        <v>155</v>
      </c>
      <c r="I2909">
        <v>4583.7</v>
      </c>
      <c r="J2909">
        <v>4535.37</v>
      </c>
      <c r="K2909" t="s">
        <v>17</v>
      </c>
      <c r="L2909" t="b">
        <v>0</v>
      </c>
      <c r="N2909" s="2" t="str">
        <f t="shared" si="254"/>
        <v/>
      </c>
      <c r="Q2909" t="str">
        <f t="shared" si="255"/>
        <v/>
      </c>
    </row>
    <row r="2910" spans="1:17" hidden="1">
      <c r="A2910" t="s">
        <v>3015</v>
      </c>
      <c r="B2910" s="1">
        <v>45313</v>
      </c>
      <c r="C2910">
        <v>2024</v>
      </c>
      <c r="D2910">
        <v>1</v>
      </c>
      <c r="E2910" t="s">
        <v>37</v>
      </c>
      <c r="F2910" t="s">
        <v>14</v>
      </c>
      <c r="G2910" t="s">
        <v>38</v>
      </c>
      <c r="H2910" t="s">
        <v>227</v>
      </c>
      <c r="I2910">
        <v>4333.21</v>
      </c>
      <c r="J2910">
        <v>4654.5600000000004</v>
      </c>
      <c r="K2910" t="s">
        <v>17</v>
      </c>
      <c r="L2910" t="b">
        <v>0</v>
      </c>
      <c r="N2910" s="2" t="str">
        <f t="shared" si="254"/>
        <v/>
      </c>
      <c r="Q2910" t="str">
        <f t="shared" si="255"/>
        <v/>
      </c>
    </row>
    <row r="2911" spans="1:17" hidden="1">
      <c r="A2911" t="s">
        <v>3016</v>
      </c>
      <c r="B2911" s="1">
        <v>45313</v>
      </c>
      <c r="C2911">
        <v>2024</v>
      </c>
      <c r="D2911">
        <v>1</v>
      </c>
      <c r="E2911" t="s">
        <v>37</v>
      </c>
      <c r="F2911" t="s">
        <v>24</v>
      </c>
      <c r="G2911" t="s">
        <v>98</v>
      </c>
      <c r="H2911" t="s">
        <v>99</v>
      </c>
      <c r="I2911">
        <v>3059.89</v>
      </c>
      <c r="J2911">
        <v>3007.87</v>
      </c>
      <c r="K2911" t="s">
        <v>17</v>
      </c>
      <c r="L2911" t="b">
        <v>0</v>
      </c>
      <c r="N2911" s="2" t="str">
        <f t="shared" si="254"/>
        <v/>
      </c>
      <c r="Q2911" t="str">
        <f t="shared" si="255"/>
        <v/>
      </c>
    </row>
    <row r="2912" spans="1:17" hidden="1">
      <c r="A2912" t="s">
        <v>3017</v>
      </c>
      <c r="B2912" s="1">
        <v>45313</v>
      </c>
      <c r="C2912">
        <v>2024</v>
      </c>
      <c r="D2912">
        <v>1</v>
      </c>
      <c r="E2912" t="s">
        <v>37</v>
      </c>
      <c r="F2912" t="s">
        <v>24</v>
      </c>
      <c r="G2912" t="s">
        <v>38</v>
      </c>
      <c r="H2912" t="s">
        <v>118</v>
      </c>
      <c r="I2912">
        <v>4456.62</v>
      </c>
      <c r="J2912">
        <v>4327.24</v>
      </c>
      <c r="K2912" t="s">
        <v>17</v>
      </c>
      <c r="L2912" t="b">
        <v>0</v>
      </c>
      <c r="N2912" s="2" t="str">
        <f t="shared" si="254"/>
        <v/>
      </c>
      <c r="Q2912" t="str">
        <f t="shared" si="255"/>
        <v/>
      </c>
    </row>
    <row r="2913" spans="1:17" hidden="1">
      <c r="A2913" t="s">
        <v>3018</v>
      </c>
      <c r="B2913" s="1">
        <v>45314</v>
      </c>
      <c r="C2913">
        <v>2024</v>
      </c>
      <c r="D2913">
        <v>1</v>
      </c>
      <c r="E2913" t="s">
        <v>13</v>
      </c>
      <c r="F2913" t="s">
        <v>24</v>
      </c>
      <c r="G2913" t="s">
        <v>102</v>
      </c>
      <c r="H2913" t="s">
        <v>103</v>
      </c>
      <c r="I2913">
        <v>3301.59</v>
      </c>
      <c r="J2913">
        <v>3554.39</v>
      </c>
      <c r="K2913" t="s">
        <v>17</v>
      </c>
      <c r="L2913" t="b">
        <v>0</v>
      </c>
      <c r="N2913" s="2" t="str">
        <f t="shared" si="254"/>
        <v/>
      </c>
      <c r="Q2913" t="str">
        <f t="shared" si="255"/>
        <v/>
      </c>
    </row>
    <row r="2914" spans="1:17" hidden="1">
      <c r="A2914" t="s">
        <v>3019</v>
      </c>
      <c r="B2914" s="1">
        <v>45314</v>
      </c>
      <c r="C2914">
        <v>2024</v>
      </c>
      <c r="D2914">
        <v>1</v>
      </c>
      <c r="E2914" t="s">
        <v>47</v>
      </c>
      <c r="F2914" t="s">
        <v>14</v>
      </c>
      <c r="G2914" t="s">
        <v>48</v>
      </c>
      <c r="H2914" t="s">
        <v>49</v>
      </c>
      <c r="I2914">
        <v>16345.98</v>
      </c>
      <c r="J2914">
        <v>13926.89</v>
      </c>
      <c r="K2914" t="s">
        <v>17</v>
      </c>
      <c r="L2914" t="b">
        <v>0</v>
      </c>
      <c r="N2914" s="2" t="b">
        <f t="shared" si="254"/>
        <v>1</v>
      </c>
      <c r="O2914" t="str">
        <f t="shared" ref="O2914:O2918" si="258">IF(AND(E2903="HR",K2903="EXPENSE"),I2903&lt;J2903,"")</f>
        <v/>
      </c>
      <c r="Q2914" t="str">
        <f t="shared" si="255"/>
        <v/>
      </c>
    </row>
    <row r="2915" spans="1:17" hidden="1">
      <c r="A2915" t="s">
        <v>3020</v>
      </c>
      <c r="B2915" s="1">
        <v>45314</v>
      </c>
      <c r="C2915">
        <v>2024</v>
      </c>
      <c r="D2915">
        <v>1</v>
      </c>
      <c r="E2915" t="s">
        <v>47</v>
      </c>
      <c r="F2915" t="s">
        <v>28</v>
      </c>
      <c r="G2915" t="s">
        <v>77</v>
      </c>
      <c r="H2915" t="s">
        <v>130</v>
      </c>
      <c r="I2915">
        <v>4854.47</v>
      </c>
      <c r="J2915">
        <v>4062.62</v>
      </c>
      <c r="K2915" t="s">
        <v>17</v>
      </c>
      <c r="L2915" t="b">
        <v>0</v>
      </c>
      <c r="N2915" s="2" t="b">
        <f t="shared" si="254"/>
        <v>1</v>
      </c>
      <c r="O2915" t="b">
        <f t="shared" si="258"/>
        <v>1</v>
      </c>
      <c r="Q2915" t="str">
        <f t="shared" si="255"/>
        <v/>
      </c>
    </row>
    <row r="2916" spans="1:17" hidden="1">
      <c r="A2916" t="s">
        <v>3021</v>
      </c>
      <c r="B2916" s="1">
        <v>45314</v>
      </c>
      <c r="C2916">
        <v>2024</v>
      </c>
      <c r="D2916">
        <v>1</v>
      </c>
      <c r="E2916" t="s">
        <v>47</v>
      </c>
      <c r="F2916" t="s">
        <v>28</v>
      </c>
      <c r="G2916" t="s">
        <v>91</v>
      </c>
      <c r="H2916" t="s">
        <v>254</v>
      </c>
      <c r="I2916">
        <v>17754.41</v>
      </c>
      <c r="J2916">
        <v>15245.75</v>
      </c>
      <c r="K2916" t="s">
        <v>17</v>
      </c>
      <c r="L2916" t="b">
        <v>0</v>
      </c>
      <c r="N2916" s="2" t="b">
        <f t="shared" si="254"/>
        <v>1</v>
      </c>
      <c r="O2916" t="b">
        <f t="shared" si="258"/>
        <v>0</v>
      </c>
      <c r="Q2916" t="str">
        <f t="shared" si="255"/>
        <v/>
      </c>
    </row>
    <row r="2917" spans="1:17" hidden="1">
      <c r="A2917" t="s">
        <v>3022</v>
      </c>
      <c r="B2917" s="1">
        <v>45314</v>
      </c>
      <c r="C2917">
        <v>2024</v>
      </c>
      <c r="D2917">
        <v>1</v>
      </c>
      <c r="E2917" t="s">
        <v>47</v>
      </c>
      <c r="F2917" t="s">
        <v>24</v>
      </c>
      <c r="G2917" t="s">
        <v>51</v>
      </c>
      <c r="H2917" t="s">
        <v>72</v>
      </c>
      <c r="I2917">
        <v>18206.66</v>
      </c>
      <c r="J2917">
        <v>15792.86</v>
      </c>
      <c r="K2917" t="s">
        <v>17</v>
      </c>
      <c r="L2917" t="b">
        <v>0</v>
      </c>
      <c r="N2917" s="2" t="b">
        <f t="shared" si="254"/>
        <v>1</v>
      </c>
      <c r="O2917" t="str">
        <f t="shared" si="258"/>
        <v/>
      </c>
      <c r="Q2917" t="str">
        <f t="shared" si="255"/>
        <v/>
      </c>
    </row>
    <row r="2918" spans="1:17" hidden="1">
      <c r="A2918" t="s">
        <v>3023</v>
      </c>
      <c r="B2918" s="1">
        <v>45314</v>
      </c>
      <c r="C2918">
        <v>2024</v>
      </c>
      <c r="D2918">
        <v>1</v>
      </c>
      <c r="E2918" t="s">
        <v>47</v>
      </c>
      <c r="F2918" t="s">
        <v>24</v>
      </c>
      <c r="G2918" t="s">
        <v>51</v>
      </c>
      <c r="H2918" t="s">
        <v>52</v>
      </c>
      <c r="I2918">
        <v>19074.25</v>
      </c>
      <c r="J2918">
        <v>15914.17</v>
      </c>
      <c r="K2918" t="s">
        <v>17</v>
      </c>
      <c r="L2918" t="b">
        <v>0</v>
      </c>
      <c r="N2918" s="2" t="b">
        <f t="shared" si="254"/>
        <v>1</v>
      </c>
      <c r="O2918" t="str">
        <f t="shared" si="258"/>
        <v/>
      </c>
      <c r="Q2918" t="str">
        <f t="shared" si="255"/>
        <v/>
      </c>
    </row>
    <row r="2919" spans="1:17" hidden="1">
      <c r="A2919" t="s">
        <v>3024</v>
      </c>
      <c r="B2919" s="1">
        <v>45314</v>
      </c>
      <c r="C2919">
        <v>2024</v>
      </c>
      <c r="D2919">
        <v>1</v>
      </c>
      <c r="E2919" t="s">
        <v>19</v>
      </c>
      <c r="F2919" t="s">
        <v>14</v>
      </c>
      <c r="G2919" t="s">
        <v>54</v>
      </c>
      <c r="H2919" t="s">
        <v>55</v>
      </c>
      <c r="I2919">
        <v>5682.65</v>
      </c>
      <c r="J2919">
        <v>5162.3500000000004</v>
      </c>
      <c r="K2919" t="s">
        <v>17</v>
      </c>
      <c r="L2919" t="b">
        <v>0</v>
      </c>
      <c r="N2919" s="2" t="str">
        <f t="shared" si="254"/>
        <v/>
      </c>
      <c r="Q2919" t="str">
        <f t="shared" si="255"/>
        <v/>
      </c>
    </row>
    <row r="2920" spans="1:17" hidden="1">
      <c r="A2920" t="s">
        <v>3025</v>
      </c>
      <c r="B2920" s="1">
        <v>45314</v>
      </c>
      <c r="C2920">
        <v>2024</v>
      </c>
      <c r="D2920">
        <v>1</v>
      </c>
      <c r="E2920" t="s">
        <v>19</v>
      </c>
      <c r="F2920" t="s">
        <v>28</v>
      </c>
      <c r="G2920" t="s">
        <v>80</v>
      </c>
      <c r="H2920" t="s">
        <v>150</v>
      </c>
      <c r="I2920">
        <v>6545.46</v>
      </c>
      <c r="J2920">
        <v>6119.73</v>
      </c>
      <c r="K2920" t="s">
        <v>17</v>
      </c>
      <c r="L2920" t="b">
        <v>0</v>
      </c>
      <c r="N2920" s="2" t="str">
        <f t="shared" si="254"/>
        <v/>
      </c>
      <c r="Q2920" t="str">
        <f t="shared" si="255"/>
        <v/>
      </c>
    </row>
    <row r="2921" spans="1:17" hidden="1">
      <c r="A2921" t="s">
        <v>3026</v>
      </c>
      <c r="B2921" s="1">
        <v>45314</v>
      </c>
      <c r="C2921">
        <v>2024</v>
      </c>
      <c r="D2921">
        <v>1</v>
      </c>
      <c r="E2921" t="s">
        <v>19</v>
      </c>
      <c r="F2921" t="s">
        <v>24</v>
      </c>
      <c r="G2921" t="s">
        <v>132</v>
      </c>
      <c r="H2921" t="s">
        <v>138</v>
      </c>
      <c r="I2921">
        <v>6049.94</v>
      </c>
      <c r="J2921">
        <v>5472.84</v>
      </c>
      <c r="K2921" t="s">
        <v>17</v>
      </c>
      <c r="L2921" t="b">
        <v>0</v>
      </c>
      <c r="N2921" s="2" t="str">
        <f t="shared" si="254"/>
        <v/>
      </c>
      <c r="Q2921" t="str">
        <f t="shared" si="255"/>
        <v/>
      </c>
    </row>
    <row r="2922" spans="1:17" hidden="1">
      <c r="A2922" t="s">
        <v>3027</v>
      </c>
      <c r="B2922" s="1">
        <v>45314</v>
      </c>
      <c r="C2922">
        <v>2024</v>
      </c>
      <c r="D2922">
        <v>1</v>
      </c>
      <c r="E2922" t="s">
        <v>23</v>
      </c>
      <c r="F2922" t="s">
        <v>14</v>
      </c>
      <c r="G2922" t="s">
        <v>59</v>
      </c>
      <c r="H2922" t="s">
        <v>60</v>
      </c>
      <c r="I2922">
        <v>3633.08</v>
      </c>
      <c r="J2922">
        <v>3910</v>
      </c>
      <c r="K2922" t="s">
        <v>17</v>
      </c>
      <c r="L2922" t="b">
        <v>0</v>
      </c>
      <c r="N2922" s="2" t="str">
        <f t="shared" si="254"/>
        <v/>
      </c>
      <c r="Q2922" t="str">
        <f t="shared" si="255"/>
        <v/>
      </c>
    </row>
    <row r="2923" spans="1:17" hidden="1">
      <c r="A2923" t="s">
        <v>3028</v>
      </c>
      <c r="B2923" s="1">
        <v>45315</v>
      </c>
      <c r="C2923">
        <v>2024</v>
      </c>
      <c r="D2923">
        <v>1</v>
      </c>
      <c r="E2923" t="s">
        <v>13</v>
      </c>
      <c r="F2923" t="s">
        <v>24</v>
      </c>
      <c r="G2923" t="s">
        <v>15</v>
      </c>
      <c r="H2923" t="s">
        <v>89</v>
      </c>
      <c r="I2923">
        <v>3092.09</v>
      </c>
      <c r="J2923">
        <v>3053.93</v>
      </c>
      <c r="K2923" t="s">
        <v>17</v>
      </c>
      <c r="L2923" t="b">
        <v>0</v>
      </c>
      <c r="N2923" s="2" t="str">
        <f t="shared" si="254"/>
        <v/>
      </c>
      <c r="Q2923" t="str">
        <f t="shared" si="255"/>
        <v/>
      </c>
    </row>
    <row r="2924" spans="1:17" hidden="1">
      <c r="A2924" t="s">
        <v>3029</v>
      </c>
      <c r="B2924" s="1">
        <v>45315</v>
      </c>
      <c r="C2924">
        <v>2024</v>
      </c>
      <c r="D2924">
        <v>1</v>
      </c>
      <c r="E2924" t="s">
        <v>19</v>
      </c>
      <c r="F2924" t="s">
        <v>14</v>
      </c>
      <c r="G2924" t="s">
        <v>132</v>
      </c>
      <c r="H2924" t="s">
        <v>133</v>
      </c>
      <c r="I2924">
        <v>6499.83</v>
      </c>
      <c r="J2924">
        <v>6439.83</v>
      </c>
      <c r="K2924" t="s">
        <v>17</v>
      </c>
      <c r="L2924" t="b">
        <v>0</v>
      </c>
      <c r="N2924" s="2" t="str">
        <f t="shared" si="254"/>
        <v/>
      </c>
      <c r="Q2924" t="str">
        <f t="shared" si="255"/>
        <v/>
      </c>
    </row>
    <row r="2925" spans="1:17" hidden="1">
      <c r="A2925" t="s">
        <v>3030</v>
      </c>
      <c r="B2925" s="1">
        <v>45315</v>
      </c>
      <c r="C2925">
        <v>2024</v>
      </c>
      <c r="D2925">
        <v>1</v>
      </c>
      <c r="E2925" t="s">
        <v>19</v>
      </c>
      <c r="F2925" t="s">
        <v>14</v>
      </c>
      <c r="G2925" t="s">
        <v>20</v>
      </c>
      <c r="H2925" t="s">
        <v>21</v>
      </c>
      <c r="I2925">
        <v>7706.49</v>
      </c>
      <c r="J2925">
        <v>7696.08</v>
      </c>
      <c r="K2925" t="s">
        <v>17</v>
      </c>
      <c r="L2925" t="b">
        <v>0</v>
      </c>
      <c r="N2925" s="2" t="str">
        <f t="shared" si="254"/>
        <v/>
      </c>
      <c r="Q2925" t="str">
        <f t="shared" si="255"/>
        <v/>
      </c>
    </row>
    <row r="2926" spans="1:17" hidden="1">
      <c r="A2926" t="s">
        <v>3031</v>
      </c>
      <c r="B2926" s="1">
        <v>45315</v>
      </c>
      <c r="C2926">
        <v>2024</v>
      </c>
      <c r="D2926">
        <v>1</v>
      </c>
      <c r="E2926" t="s">
        <v>19</v>
      </c>
      <c r="F2926" t="s">
        <v>28</v>
      </c>
      <c r="G2926" t="s">
        <v>80</v>
      </c>
      <c r="H2926" t="s">
        <v>113</v>
      </c>
      <c r="I2926">
        <v>5355.79</v>
      </c>
      <c r="J2926">
        <v>5877.55</v>
      </c>
      <c r="K2926" t="s">
        <v>17</v>
      </c>
      <c r="L2926" t="b">
        <v>0</v>
      </c>
      <c r="N2926" s="2" t="str">
        <f t="shared" si="254"/>
        <v/>
      </c>
      <c r="Q2926" t="str">
        <f t="shared" si="255"/>
        <v/>
      </c>
    </row>
    <row r="2927" spans="1:17" hidden="1">
      <c r="A2927" t="s">
        <v>3032</v>
      </c>
      <c r="B2927" s="1">
        <v>45315</v>
      </c>
      <c r="C2927">
        <v>2024</v>
      </c>
      <c r="D2927">
        <v>1</v>
      </c>
      <c r="E2927" t="s">
        <v>19</v>
      </c>
      <c r="F2927" t="s">
        <v>24</v>
      </c>
      <c r="G2927" t="s">
        <v>80</v>
      </c>
      <c r="H2927" t="s">
        <v>217</v>
      </c>
      <c r="I2927">
        <v>6239.33</v>
      </c>
      <c r="J2927">
        <v>6293.5</v>
      </c>
      <c r="K2927" t="s">
        <v>17</v>
      </c>
      <c r="L2927" t="b">
        <v>0</v>
      </c>
      <c r="N2927" s="2" t="str">
        <f t="shared" si="254"/>
        <v/>
      </c>
      <c r="Q2927" t="str">
        <f t="shared" si="255"/>
        <v/>
      </c>
    </row>
    <row r="2928" spans="1:17" hidden="1">
      <c r="A2928" t="s">
        <v>3033</v>
      </c>
      <c r="B2928" s="1">
        <v>45315</v>
      </c>
      <c r="C2928">
        <v>2024</v>
      </c>
      <c r="D2928">
        <v>1</v>
      </c>
      <c r="E2928" t="s">
        <v>37</v>
      </c>
      <c r="F2928" t="s">
        <v>28</v>
      </c>
      <c r="G2928" t="s">
        <v>41</v>
      </c>
      <c r="H2928" t="s">
        <v>42</v>
      </c>
      <c r="I2928">
        <v>7009.64</v>
      </c>
      <c r="J2928">
        <v>7069.75</v>
      </c>
      <c r="K2928" t="s">
        <v>17</v>
      </c>
      <c r="L2928" t="b">
        <v>0</v>
      </c>
      <c r="N2928" s="2" t="str">
        <f t="shared" si="254"/>
        <v/>
      </c>
      <c r="Q2928" t="str">
        <f t="shared" si="255"/>
        <v/>
      </c>
    </row>
    <row r="2929" spans="1:17" hidden="1">
      <c r="A2929" t="s">
        <v>3034</v>
      </c>
      <c r="B2929" s="1">
        <v>45316</v>
      </c>
      <c r="C2929">
        <v>2024</v>
      </c>
      <c r="D2929">
        <v>1</v>
      </c>
      <c r="E2929" t="s">
        <v>23</v>
      </c>
      <c r="F2929" t="s">
        <v>28</v>
      </c>
      <c r="G2929" t="s">
        <v>59</v>
      </c>
      <c r="H2929" t="s">
        <v>60</v>
      </c>
      <c r="I2929">
        <v>7684.69</v>
      </c>
      <c r="J2929">
        <v>7837.51</v>
      </c>
      <c r="K2929" t="s">
        <v>17</v>
      </c>
      <c r="L2929" t="b">
        <v>0</v>
      </c>
      <c r="N2929" s="2" t="str">
        <f t="shared" si="254"/>
        <v/>
      </c>
      <c r="Q2929" t="str">
        <f t="shared" si="255"/>
        <v/>
      </c>
    </row>
    <row r="2930" spans="1:17" hidden="1">
      <c r="A2930" t="s">
        <v>3035</v>
      </c>
      <c r="B2930" s="1">
        <v>45316</v>
      </c>
      <c r="C2930">
        <v>2024</v>
      </c>
      <c r="D2930">
        <v>1</v>
      </c>
      <c r="E2930" t="s">
        <v>23</v>
      </c>
      <c r="F2930" t="s">
        <v>24</v>
      </c>
      <c r="G2930" t="s">
        <v>141</v>
      </c>
      <c r="H2930" t="s">
        <v>209</v>
      </c>
      <c r="I2930">
        <v>6046.28</v>
      </c>
      <c r="J2930">
        <v>5855.14</v>
      </c>
      <c r="K2930" t="s">
        <v>17</v>
      </c>
      <c r="L2930" t="b">
        <v>0</v>
      </c>
      <c r="N2930" s="2" t="str">
        <f t="shared" si="254"/>
        <v/>
      </c>
      <c r="Q2930" t="str">
        <f t="shared" si="255"/>
        <v/>
      </c>
    </row>
    <row r="2931" spans="1:17" hidden="1">
      <c r="A2931" t="s">
        <v>3036</v>
      </c>
      <c r="B2931" s="1">
        <v>45316</v>
      </c>
      <c r="C2931">
        <v>2024</v>
      </c>
      <c r="D2931">
        <v>1</v>
      </c>
      <c r="E2931" t="s">
        <v>37</v>
      </c>
      <c r="F2931" t="s">
        <v>14</v>
      </c>
      <c r="G2931" t="s">
        <v>62</v>
      </c>
      <c r="H2931" t="s">
        <v>63</v>
      </c>
      <c r="I2931">
        <v>3261.38</v>
      </c>
      <c r="J2931">
        <v>3102.94</v>
      </c>
      <c r="K2931" t="s">
        <v>17</v>
      </c>
      <c r="L2931" t="b">
        <v>0</v>
      </c>
      <c r="N2931" s="2" t="str">
        <f t="shared" si="254"/>
        <v/>
      </c>
      <c r="Q2931" t="str">
        <f t="shared" si="255"/>
        <v/>
      </c>
    </row>
    <row r="2932" spans="1:17" hidden="1">
      <c r="A2932" t="s">
        <v>3037</v>
      </c>
      <c r="B2932" s="1">
        <v>45316</v>
      </c>
      <c r="C2932">
        <v>2024</v>
      </c>
      <c r="D2932">
        <v>1</v>
      </c>
      <c r="E2932" t="s">
        <v>37</v>
      </c>
      <c r="F2932" t="s">
        <v>24</v>
      </c>
      <c r="G2932" t="s">
        <v>41</v>
      </c>
      <c r="H2932" t="s">
        <v>42</v>
      </c>
      <c r="I2932">
        <v>3232.03</v>
      </c>
      <c r="J2932">
        <v>3093.21</v>
      </c>
      <c r="K2932" t="s">
        <v>17</v>
      </c>
      <c r="L2932" t="b">
        <v>0</v>
      </c>
      <c r="N2932" s="2" t="str">
        <f t="shared" si="254"/>
        <v/>
      </c>
      <c r="Q2932" t="str">
        <f t="shared" si="255"/>
        <v/>
      </c>
    </row>
    <row r="2933" spans="1:17" hidden="1">
      <c r="A2933" t="s">
        <v>3038</v>
      </c>
      <c r="B2933" s="1">
        <v>45317</v>
      </c>
      <c r="C2933">
        <v>2024</v>
      </c>
      <c r="D2933">
        <v>1</v>
      </c>
      <c r="E2933" t="s">
        <v>13</v>
      </c>
      <c r="F2933" t="s">
        <v>14</v>
      </c>
      <c r="G2933" t="s">
        <v>102</v>
      </c>
      <c r="H2933" t="s">
        <v>103</v>
      </c>
      <c r="I2933">
        <v>5575.06</v>
      </c>
      <c r="J2933">
        <v>5227.88</v>
      </c>
      <c r="K2933" t="s">
        <v>17</v>
      </c>
      <c r="L2933" t="b">
        <v>0</v>
      </c>
      <c r="N2933" s="2" t="str">
        <f t="shared" si="254"/>
        <v/>
      </c>
      <c r="Q2933" t="str">
        <f t="shared" si="255"/>
        <v/>
      </c>
    </row>
    <row r="2934" spans="1:17" hidden="1">
      <c r="A2934" t="s">
        <v>3039</v>
      </c>
      <c r="B2934" s="1">
        <v>45317</v>
      </c>
      <c r="C2934">
        <v>2024</v>
      </c>
      <c r="D2934">
        <v>1</v>
      </c>
      <c r="E2934" t="s">
        <v>47</v>
      </c>
      <c r="F2934" t="s">
        <v>28</v>
      </c>
      <c r="G2934" t="s">
        <v>91</v>
      </c>
      <c r="H2934" t="s">
        <v>254</v>
      </c>
      <c r="I2934">
        <v>13131.85</v>
      </c>
      <c r="J2934">
        <v>10885.04</v>
      </c>
      <c r="K2934" t="s">
        <v>17</v>
      </c>
      <c r="L2934" t="b">
        <v>0</v>
      </c>
      <c r="N2934" s="2" t="b">
        <f t="shared" si="254"/>
        <v>1</v>
      </c>
      <c r="O2934" t="b">
        <f>IF(AND(E2923="HR",K2923="EXPENSE"),I2923&lt;J2923,"")</f>
        <v>0</v>
      </c>
      <c r="Q2934" t="str">
        <f t="shared" si="255"/>
        <v/>
      </c>
    </row>
    <row r="2935" spans="1:17" hidden="1">
      <c r="A2935" t="s">
        <v>3040</v>
      </c>
      <c r="B2935" s="1">
        <v>45317</v>
      </c>
      <c r="C2935">
        <v>2024</v>
      </c>
      <c r="D2935">
        <v>1</v>
      </c>
      <c r="E2935" t="s">
        <v>23</v>
      </c>
      <c r="F2935" t="s">
        <v>14</v>
      </c>
      <c r="G2935" t="s">
        <v>59</v>
      </c>
      <c r="H2935" t="s">
        <v>60</v>
      </c>
      <c r="I2935">
        <v>5400.27</v>
      </c>
      <c r="J2935">
        <v>5768.34</v>
      </c>
      <c r="K2935" t="s">
        <v>17</v>
      </c>
      <c r="L2935" t="b">
        <v>0</v>
      </c>
      <c r="N2935" s="2" t="str">
        <f t="shared" si="254"/>
        <v/>
      </c>
      <c r="Q2935" t="str">
        <f t="shared" si="255"/>
        <v/>
      </c>
    </row>
    <row r="2936" spans="1:17" hidden="1">
      <c r="A2936" t="s">
        <v>3041</v>
      </c>
      <c r="B2936" s="1">
        <v>45317</v>
      </c>
      <c r="C2936">
        <v>2024</v>
      </c>
      <c r="D2936">
        <v>1</v>
      </c>
      <c r="E2936" t="s">
        <v>23</v>
      </c>
      <c r="F2936" t="s">
        <v>14</v>
      </c>
      <c r="G2936" t="s">
        <v>30</v>
      </c>
      <c r="H2936" t="s">
        <v>33</v>
      </c>
      <c r="I2936">
        <v>4796.62</v>
      </c>
      <c r="J2936">
        <v>5212.66</v>
      </c>
      <c r="K2936" t="s">
        <v>17</v>
      </c>
      <c r="L2936" t="b">
        <v>0</v>
      </c>
      <c r="N2936" s="2" t="str">
        <f t="shared" si="254"/>
        <v/>
      </c>
      <c r="Q2936" t="str">
        <f t="shared" si="255"/>
        <v/>
      </c>
    </row>
    <row r="2937" spans="1:17" hidden="1">
      <c r="A2937" t="s">
        <v>3042</v>
      </c>
      <c r="B2937" s="1">
        <v>45317</v>
      </c>
      <c r="C2937">
        <v>2024</v>
      </c>
      <c r="D2937">
        <v>1</v>
      </c>
      <c r="E2937" t="s">
        <v>23</v>
      </c>
      <c r="F2937" t="s">
        <v>28</v>
      </c>
      <c r="G2937" t="s">
        <v>25</v>
      </c>
      <c r="H2937" t="s">
        <v>95</v>
      </c>
      <c r="I2937">
        <v>7319.64</v>
      </c>
      <c r="J2937">
        <v>6971.28</v>
      </c>
      <c r="K2937" t="s">
        <v>17</v>
      </c>
      <c r="L2937" t="b">
        <v>0</v>
      </c>
      <c r="N2937" s="2" t="str">
        <f t="shared" si="254"/>
        <v/>
      </c>
      <c r="Q2937" t="str">
        <f t="shared" si="255"/>
        <v/>
      </c>
    </row>
    <row r="2938" spans="1:17" hidden="1">
      <c r="A2938" t="s">
        <v>3043</v>
      </c>
      <c r="B2938" s="1">
        <v>45318</v>
      </c>
      <c r="C2938">
        <v>2024</v>
      </c>
      <c r="D2938">
        <v>1</v>
      </c>
      <c r="E2938" t="s">
        <v>13</v>
      </c>
      <c r="F2938" t="s">
        <v>28</v>
      </c>
      <c r="G2938" t="s">
        <v>15</v>
      </c>
      <c r="H2938" t="s">
        <v>89</v>
      </c>
      <c r="I2938">
        <v>3890.03</v>
      </c>
      <c r="J2938">
        <v>4256.6400000000003</v>
      </c>
      <c r="K2938" t="s">
        <v>17</v>
      </c>
      <c r="L2938" t="b">
        <v>0</v>
      </c>
      <c r="N2938" s="2" t="str">
        <f t="shared" si="254"/>
        <v/>
      </c>
      <c r="Q2938" t="str">
        <f t="shared" si="255"/>
        <v/>
      </c>
    </row>
    <row r="2939" spans="1:17" hidden="1">
      <c r="A2939" t="s">
        <v>3044</v>
      </c>
      <c r="B2939" s="1">
        <v>45318</v>
      </c>
      <c r="C2939">
        <v>2024</v>
      </c>
      <c r="D2939">
        <v>1</v>
      </c>
      <c r="E2939" t="s">
        <v>47</v>
      </c>
      <c r="F2939" t="s">
        <v>28</v>
      </c>
      <c r="G2939" t="s">
        <v>77</v>
      </c>
      <c r="H2939" t="s">
        <v>147</v>
      </c>
      <c r="I2939">
        <v>11942.76</v>
      </c>
      <c r="J2939">
        <v>10197.879999999999</v>
      </c>
      <c r="K2939" t="s">
        <v>17</v>
      </c>
      <c r="L2939" t="b">
        <v>0</v>
      </c>
      <c r="N2939" s="2" t="b">
        <f t="shared" si="254"/>
        <v>1</v>
      </c>
      <c r="O2939" t="str">
        <f>IF(AND(E2928="HR",K2928="EXPENSE"),I2928&lt;J2928,"")</f>
        <v/>
      </c>
      <c r="Q2939" t="str">
        <f t="shared" si="255"/>
        <v/>
      </c>
    </row>
    <row r="2940" spans="1:17">
      <c r="A2940" t="s">
        <v>3045</v>
      </c>
      <c r="B2940" s="1">
        <v>45318</v>
      </c>
      <c r="C2940">
        <v>2024</v>
      </c>
      <c r="D2940">
        <v>1</v>
      </c>
      <c r="E2940" t="s">
        <v>19</v>
      </c>
      <c r="F2940" t="s">
        <v>14</v>
      </c>
      <c r="G2940" t="s">
        <v>80</v>
      </c>
      <c r="H2940" t="s">
        <v>322</v>
      </c>
      <c r="I2940">
        <v>28401.71</v>
      </c>
      <c r="J2940">
        <v>6590.54</v>
      </c>
      <c r="K2940" t="s">
        <v>17</v>
      </c>
      <c r="L2940" t="b">
        <v>1</v>
      </c>
      <c r="N2940" s="2" t="str">
        <f t="shared" si="254"/>
        <v/>
      </c>
      <c r="Q2940" t="b">
        <f t="shared" si="255"/>
        <v>1</v>
      </c>
    </row>
    <row r="2941" spans="1:17" hidden="1">
      <c r="A2941" t="s">
        <v>3046</v>
      </c>
      <c r="B2941" s="1">
        <v>45318</v>
      </c>
      <c r="C2941">
        <v>2024</v>
      </c>
      <c r="D2941">
        <v>1</v>
      </c>
      <c r="E2941" t="s">
        <v>19</v>
      </c>
      <c r="F2941" t="s">
        <v>24</v>
      </c>
      <c r="G2941" t="s">
        <v>132</v>
      </c>
      <c r="H2941" t="s">
        <v>171</v>
      </c>
      <c r="I2941">
        <v>4923.57</v>
      </c>
      <c r="J2941">
        <v>5110.74</v>
      </c>
      <c r="K2941" t="s">
        <v>17</v>
      </c>
      <c r="L2941" t="b">
        <v>0</v>
      </c>
      <c r="N2941" s="2" t="str">
        <f t="shared" si="254"/>
        <v/>
      </c>
      <c r="Q2941" t="str">
        <f t="shared" si="255"/>
        <v/>
      </c>
    </row>
    <row r="2942" spans="1:17" hidden="1">
      <c r="A2942" t="s">
        <v>3047</v>
      </c>
      <c r="B2942" s="1">
        <v>45318</v>
      </c>
      <c r="C2942">
        <v>2024</v>
      </c>
      <c r="D2942">
        <v>1</v>
      </c>
      <c r="E2942" t="s">
        <v>23</v>
      </c>
      <c r="F2942" t="s">
        <v>24</v>
      </c>
      <c r="G2942" t="s">
        <v>59</v>
      </c>
      <c r="H2942" t="s">
        <v>60</v>
      </c>
      <c r="I2942">
        <v>3862.86</v>
      </c>
      <c r="J2942">
        <v>4032.07</v>
      </c>
      <c r="K2942" t="s">
        <v>17</v>
      </c>
      <c r="L2942" t="b">
        <v>0</v>
      </c>
      <c r="N2942" s="2" t="str">
        <f t="shared" si="254"/>
        <v/>
      </c>
      <c r="Q2942" t="str">
        <f t="shared" si="255"/>
        <v/>
      </c>
    </row>
    <row r="2943" spans="1:17" hidden="1">
      <c r="A2943" t="s">
        <v>3048</v>
      </c>
      <c r="B2943" s="1">
        <v>45318</v>
      </c>
      <c r="C2943">
        <v>2024</v>
      </c>
      <c r="D2943">
        <v>1</v>
      </c>
      <c r="E2943" t="s">
        <v>23</v>
      </c>
      <c r="F2943" t="s">
        <v>24</v>
      </c>
      <c r="G2943" t="s">
        <v>25</v>
      </c>
      <c r="H2943" t="s">
        <v>95</v>
      </c>
      <c r="I2943">
        <v>7725.75</v>
      </c>
      <c r="J2943">
        <v>8339.6299999999992</v>
      </c>
      <c r="K2943" t="s">
        <v>17</v>
      </c>
      <c r="L2943" t="b">
        <v>0</v>
      </c>
      <c r="N2943" s="2" t="str">
        <f t="shared" si="254"/>
        <v/>
      </c>
      <c r="Q2943" t="str">
        <f t="shared" si="255"/>
        <v/>
      </c>
    </row>
    <row r="2944" spans="1:17" hidden="1">
      <c r="A2944" t="s">
        <v>3049</v>
      </c>
      <c r="B2944" s="1">
        <v>45318</v>
      </c>
      <c r="C2944">
        <v>2024</v>
      </c>
      <c r="D2944">
        <v>1</v>
      </c>
      <c r="E2944" t="s">
        <v>37</v>
      </c>
      <c r="F2944" t="s">
        <v>14</v>
      </c>
      <c r="G2944" t="s">
        <v>38</v>
      </c>
      <c r="H2944" t="s">
        <v>39</v>
      </c>
      <c r="I2944">
        <v>5979.96</v>
      </c>
      <c r="J2944">
        <v>5521.03</v>
      </c>
      <c r="K2944" t="s">
        <v>17</v>
      </c>
      <c r="L2944" t="b">
        <v>0</v>
      </c>
      <c r="N2944" s="2" t="str">
        <f t="shared" si="254"/>
        <v/>
      </c>
      <c r="Q2944" t="str">
        <f t="shared" si="255"/>
        <v/>
      </c>
    </row>
    <row r="2945" spans="1:17" hidden="1">
      <c r="A2945" t="s">
        <v>3050</v>
      </c>
      <c r="B2945" s="1">
        <v>45318</v>
      </c>
      <c r="C2945">
        <v>2024</v>
      </c>
      <c r="D2945">
        <v>1</v>
      </c>
      <c r="E2945" t="s">
        <v>37</v>
      </c>
      <c r="F2945" t="s">
        <v>24</v>
      </c>
      <c r="G2945" t="s">
        <v>98</v>
      </c>
      <c r="H2945" t="s">
        <v>99</v>
      </c>
      <c r="I2945">
        <v>5458.27</v>
      </c>
      <c r="J2945">
        <v>5678.01</v>
      </c>
      <c r="K2945" t="s">
        <v>17</v>
      </c>
      <c r="L2945" t="b">
        <v>0</v>
      </c>
      <c r="N2945" s="2" t="str">
        <f t="shared" si="254"/>
        <v/>
      </c>
      <c r="Q2945" t="str">
        <f t="shared" si="255"/>
        <v/>
      </c>
    </row>
    <row r="2946" spans="1:17" hidden="1">
      <c r="A2946" t="s">
        <v>3051</v>
      </c>
      <c r="B2946" s="1">
        <v>45319</v>
      </c>
      <c r="C2946">
        <v>2024</v>
      </c>
      <c r="D2946">
        <v>1</v>
      </c>
      <c r="E2946" t="s">
        <v>13</v>
      </c>
      <c r="F2946" t="s">
        <v>28</v>
      </c>
      <c r="G2946" t="s">
        <v>102</v>
      </c>
      <c r="H2946" t="s">
        <v>278</v>
      </c>
      <c r="I2946">
        <v>4897.76</v>
      </c>
      <c r="J2946">
        <v>4886.6000000000004</v>
      </c>
      <c r="K2946" t="s">
        <v>17</v>
      </c>
      <c r="L2946" t="b">
        <v>0</v>
      </c>
      <c r="N2946" s="2" t="str">
        <f t="shared" si="254"/>
        <v/>
      </c>
      <c r="Q2946" t="str">
        <f t="shared" si="255"/>
        <v/>
      </c>
    </row>
    <row r="2947" spans="1:17" hidden="1">
      <c r="A2947" t="s">
        <v>3052</v>
      </c>
      <c r="B2947" s="1">
        <v>45319</v>
      </c>
      <c r="C2947">
        <v>2024</v>
      </c>
      <c r="D2947">
        <v>1</v>
      </c>
      <c r="E2947" t="s">
        <v>13</v>
      </c>
      <c r="F2947" t="s">
        <v>24</v>
      </c>
      <c r="G2947" t="s">
        <v>102</v>
      </c>
      <c r="H2947" t="s">
        <v>145</v>
      </c>
      <c r="I2947">
        <v>3750.49</v>
      </c>
      <c r="J2947">
        <v>3404.22</v>
      </c>
      <c r="K2947" t="s">
        <v>17</v>
      </c>
      <c r="L2947" t="b">
        <v>0</v>
      </c>
      <c r="N2947" s="2" t="str">
        <f t="shared" ref="N2947:N3010" si="259">IF(AND(E2947="IT",K2947="EXPENSE"),I2947&gt;J2947,"")</f>
        <v/>
      </c>
      <c r="Q2947" t="str">
        <f t="shared" ref="Q2947:Q3010" si="260">IF(L2947=TRUE,OR(H2947="Apex Solutions Inc",H2947="Global Trade Partners",H2947="NovaTech Services"),"")</f>
        <v/>
      </c>
    </row>
    <row r="2948" spans="1:17" hidden="1">
      <c r="A2948" t="s">
        <v>3053</v>
      </c>
      <c r="B2948" s="1">
        <v>45319</v>
      </c>
      <c r="C2948">
        <v>2024</v>
      </c>
      <c r="D2948">
        <v>1</v>
      </c>
      <c r="E2948" t="s">
        <v>47</v>
      </c>
      <c r="F2948" t="s">
        <v>28</v>
      </c>
      <c r="G2948" t="s">
        <v>48</v>
      </c>
      <c r="H2948" t="s">
        <v>191</v>
      </c>
      <c r="I2948">
        <v>8569.15</v>
      </c>
      <c r="J2948">
        <v>7365.58</v>
      </c>
      <c r="K2948" t="s">
        <v>17</v>
      </c>
      <c r="L2948" t="b">
        <v>0</v>
      </c>
      <c r="N2948" s="2" t="b">
        <f t="shared" si="259"/>
        <v>1</v>
      </c>
      <c r="O2948" t="str">
        <f>IF(AND(E2937="HR",K2937="EXPENSE"),I2937&lt;J2937,"")</f>
        <v/>
      </c>
      <c r="Q2948" t="str">
        <f t="shared" si="260"/>
        <v/>
      </c>
    </row>
    <row r="2949" spans="1:17" hidden="1">
      <c r="A2949" t="s">
        <v>3054</v>
      </c>
      <c r="B2949" s="1">
        <v>45319</v>
      </c>
      <c r="C2949">
        <v>2024</v>
      </c>
      <c r="D2949">
        <v>1</v>
      </c>
      <c r="E2949" t="s">
        <v>19</v>
      </c>
      <c r="F2949" t="s">
        <v>14</v>
      </c>
      <c r="G2949" t="s">
        <v>80</v>
      </c>
      <c r="H2949" t="s">
        <v>150</v>
      </c>
      <c r="I2949">
        <v>4719.04</v>
      </c>
      <c r="J2949">
        <v>4802.8599999999997</v>
      </c>
      <c r="K2949" t="s">
        <v>17</v>
      </c>
      <c r="L2949" t="b">
        <v>0</v>
      </c>
      <c r="N2949" s="2" t="str">
        <f t="shared" si="259"/>
        <v/>
      </c>
      <c r="Q2949" t="str">
        <f t="shared" si="260"/>
        <v/>
      </c>
    </row>
    <row r="2950" spans="1:17" hidden="1">
      <c r="A2950" t="s">
        <v>3055</v>
      </c>
      <c r="B2950" s="1">
        <v>45319</v>
      </c>
      <c r="C2950">
        <v>2024</v>
      </c>
      <c r="D2950">
        <v>1</v>
      </c>
      <c r="E2950" t="s">
        <v>23</v>
      </c>
      <c r="F2950" t="s">
        <v>28</v>
      </c>
      <c r="G2950" t="s">
        <v>141</v>
      </c>
      <c r="H2950" t="s">
        <v>153</v>
      </c>
      <c r="I2950">
        <v>4968.34</v>
      </c>
      <c r="J2950">
        <v>5129.68</v>
      </c>
      <c r="K2950" t="s">
        <v>17</v>
      </c>
      <c r="L2950" t="b">
        <v>0</v>
      </c>
      <c r="N2950" s="2" t="str">
        <f t="shared" si="259"/>
        <v/>
      </c>
      <c r="Q2950" t="str">
        <f t="shared" si="260"/>
        <v/>
      </c>
    </row>
    <row r="2951" spans="1:17" hidden="1">
      <c r="A2951" t="s">
        <v>3056</v>
      </c>
      <c r="B2951" s="1">
        <v>45319</v>
      </c>
      <c r="C2951">
        <v>2024</v>
      </c>
      <c r="D2951">
        <v>1</v>
      </c>
      <c r="E2951" t="s">
        <v>23</v>
      </c>
      <c r="F2951" t="s">
        <v>24</v>
      </c>
      <c r="G2951" t="s">
        <v>141</v>
      </c>
      <c r="H2951" t="s">
        <v>209</v>
      </c>
      <c r="I2951">
        <v>8907.7000000000007</v>
      </c>
      <c r="J2951">
        <v>8460.43</v>
      </c>
      <c r="K2951" t="s">
        <v>17</v>
      </c>
      <c r="L2951" t="b">
        <v>0</v>
      </c>
      <c r="N2951" s="2" t="str">
        <f t="shared" si="259"/>
        <v/>
      </c>
      <c r="Q2951" t="str">
        <f t="shared" si="260"/>
        <v/>
      </c>
    </row>
    <row r="2952" spans="1:17" hidden="1">
      <c r="A2952" t="s">
        <v>3057</v>
      </c>
      <c r="B2952" s="1">
        <v>45319</v>
      </c>
      <c r="C2952">
        <v>2024</v>
      </c>
      <c r="D2952">
        <v>1</v>
      </c>
      <c r="E2952" t="s">
        <v>37</v>
      </c>
      <c r="F2952" t="s">
        <v>14</v>
      </c>
      <c r="G2952" t="s">
        <v>62</v>
      </c>
      <c r="H2952" t="s">
        <v>63</v>
      </c>
      <c r="I2952">
        <v>6534.75</v>
      </c>
      <c r="J2952">
        <v>6609.8</v>
      </c>
      <c r="K2952" t="s">
        <v>17</v>
      </c>
      <c r="L2952" t="b">
        <v>0</v>
      </c>
      <c r="N2952" s="2" t="str">
        <f t="shared" si="259"/>
        <v/>
      </c>
      <c r="Q2952" t="str">
        <f t="shared" si="260"/>
        <v/>
      </c>
    </row>
    <row r="2953" spans="1:17" hidden="1">
      <c r="A2953" t="s">
        <v>3058</v>
      </c>
      <c r="B2953" s="1">
        <v>45319</v>
      </c>
      <c r="C2953">
        <v>2024</v>
      </c>
      <c r="D2953">
        <v>1</v>
      </c>
      <c r="E2953" t="s">
        <v>37</v>
      </c>
      <c r="F2953" t="s">
        <v>28</v>
      </c>
      <c r="G2953" t="s">
        <v>98</v>
      </c>
      <c r="H2953" t="s">
        <v>185</v>
      </c>
      <c r="I2953">
        <v>3140.91</v>
      </c>
      <c r="J2953">
        <v>2913.67</v>
      </c>
      <c r="K2953" t="s">
        <v>17</v>
      </c>
      <c r="L2953" t="b">
        <v>0</v>
      </c>
      <c r="N2953" s="2" t="str">
        <f t="shared" si="259"/>
        <v/>
      </c>
      <c r="Q2953" t="str">
        <f t="shared" si="260"/>
        <v/>
      </c>
    </row>
    <row r="2954" spans="1:17" hidden="1">
      <c r="A2954" t="s">
        <v>3059</v>
      </c>
      <c r="B2954" s="1">
        <v>45320</v>
      </c>
      <c r="C2954">
        <v>2024</v>
      </c>
      <c r="D2954">
        <v>1</v>
      </c>
      <c r="E2954" t="s">
        <v>13</v>
      </c>
      <c r="F2954" t="s">
        <v>14</v>
      </c>
      <c r="G2954" t="s">
        <v>108</v>
      </c>
      <c r="H2954" t="s">
        <v>123</v>
      </c>
      <c r="I2954">
        <v>4172.82</v>
      </c>
      <c r="J2954">
        <v>3850.17</v>
      </c>
      <c r="K2954" t="s">
        <v>17</v>
      </c>
      <c r="L2954" t="b">
        <v>0</v>
      </c>
      <c r="N2954" s="2" t="str">
        <f t="shared" si="259"/>
        <v/>
      </c>
      <c r="Q2954" t="str">
        <f t="shared" si="260"/>
        <v/>
      </c>
    </row>
    <row r="2955" spans="1:17" hidden="1">
      <c r="A2955" t="s">
        <v>3060</v>
      </c>
      <c r="B2955" s="1">
        <v>45320</v>
      </c>
      <c r="C2955">
        <v>2024</v>
      </c>
      <c r="D2955">
        <v>1</v>
      </c>
      <c r="E2955" t="s">
        <v>13</v>
      </c>
      <c r="F2955" t="s">
        <v>24</v>
      </c>
      <c r="G2955" t="s">
        <v>108</v>
      </c>
      <c r="H2955" t="s">
        <v>123</v>
      </c>
      <c r="I2955">
        <v>4737.05</v>
      </c>
      <c r="J2955">
        <v>4352.08</v>
      </c>
      <c r="K2955" t="s">
        <v>17</v>
      </c>
      <c r="L2955" t="b">
        <v>0</v>
      </c>
      <c r="N2955" s="2" t="str">
        <f t="shared" si="259"/>
        <v/>
      </c>
      <c r="Q2955" t="str">
        <f t="shared" si="260"/>
        <v/>
      </c>
    </row>
    <row r="2956" spans="1:17" hidden="1">
      <c r="A2956" t="s">
        <v>3061</v>
      </c>
      <c r="B2956" s="1">
        <v>45320</v>
      </c>
      <c r="C2956">
        <v>2024</v>
      </c>
      <c r="D2956">
        <v>1</v>
      </c>
      <c r="E2956" t="s">
        <v>47</v>
      </c>
      <c r="F2956" t="s">
        <v>14</v>
      </c>
      <c r="G2956" t="s">
        <v>51</v>
      </c>
      <c r="H2956" t="s">
        <v>52</v>
      </c>
      <c r="I2956">
        <v>19518.02</v>
      </c>
      <c r="J2956">
        <v>16128.56</v>
      </c>
      <c r="K2956" t="s">
        <v>17</v>
      </c>
      <c r="L2956" t="b">
        <v>0</v>
      </c>
      <c r="N2956" s="2" t="b">
        <f t="shared" si="259"/>
        <v>1</v>
      </c>
      <c r="O2956" t="str">
        <f t="shared" ref="O2956:O2957" si="261">IF(AND(E2945="HR",K2945="EXPENSE"),I2945&lt;J2945,"")</f>
        <v/>
      </c>
      <c r="Q2956" t="str">
        <f t="shared" si="260"/>
        <v/>
      </c>
    </row>
    <row r="2957" spans="1:17" hidden="1">
      <c r="A2957" t="s">
        <v>3062</v>
      </c>
      <c r="B2957" s="1">
        <v>45320</v>
      </c>
      <c r="C2957">
        <v>2024</v>
      </c>
      <c r="D2957">
        <v>1</v>
      </c>
      <c r="E2957" t="s">
        <v>47</v>
      </c>
      <c r="F2957" t="s">
        <v>24</v>
      </c>
      <c r="G2957" t="s">
        <v>51</v>
      </c>
      <c r="H2957" t="s">
        <v>52</v>
      </c>
      <c r="I2957">
        <v>13245.63</v>
      </c>
      <c r="J2957">
        <v>11368.99</v>
      </c>
      <c r="K2957" t="s">
        <v>17</v>
      </c>
      <c r="L2957" t="b">
        <v>0</v>
      </c>
      <c r="N2957" s="2" t="b">
        <f t="shared" si="259"/>
        <v>1</v>
      </c>
      <c r="O2957" t="b">
        <f t="shared" si="261"/>
        <v>0</v>
      </c>
      <c r="Q2957" t="str">
        <f t="shared" si="260"/>
        <v/>
      </c>
    </row>
    <row r="2958" spans="1:17" hidden="1">
      <c r="A2958" t="s">
        <v>3063</v>
      </c>
      <c r="B2958" s="1">
        <v>45320</v>
      </c>
      <c r="C2958">
        <v>2024</v>
      </c>
      <c r="D2958">
        <v>1</v>
      </c>
      <c r="E2958" t="s">
        <v>19</v>
      </c>
      <c r="F2958" t="s">
        <v>28</v>
      </c>
      <c r="G2958" t="s">
        <v>80</v>
      </c>
      <c r="H2958" t="s">
        <v>217</v>
      </c>
      <c r="I2958">
        <v>9789.59</v>
      </c>
      <c r="J2958">
        <v>9522.5499999999993</v>
      </c>
      <c r="K2958" t="s">
        <v>17</v>
      </c>
      <c r="L2958" t="b">
        <v>0</v>
      </c>
      <c r="N2958" s="2" t="str">
        <f t="shared" si="259"/>
        <v/>
      </c>
      <c r="Q2958" t="str">
        <f t="shared" si="260"/>
        <v/>
      </c>
    </row>
    <row r="2959" spans="1:17" hidden="1">
      <c r="A2959" t="s">
        <v>3064</v>
      </c>
      <c r="B2959" s="1">
        <v>45320</v>
      </c>
      <c r="C2959">
        <v>2024</v>
      </c>
      <c r="D2959">
        <v>1</v>
      </c>
      <c r="E2959" t="s">
        <v>37</v>
      </c>
      <c r="F2959" t="s">
        <v>14</v>
      </c>
      <c r="G2959" t="s">
        <v>41</v>
      </c>
      <c r="H2959" t="s">
        <v>42</v>
      </c>
      <c r="I2959">
        <v>4397.07</v>
      </c>
      <c r="J2959">
        <v>4379.01</v>
      </c>
      <c r="K2959" t="s">
        <v>17</v>
      </c>
      <c r="L2959" t="b">
        <v>0</v>
      </c>
      <c r="N2959" s="2" t="str">
        <f t="shared" si="259"/>
        <v/>
      </c>
      <c r="Q2959" t="str">
        <f t="shared" si="260"/>
        <v/>
      </c>
    </row>
    <row r="2960" spans="1:17" hidden="1">
      <c r="A2960" t="s">
        <v>3065</v>
      </c>
      <c r="B2960" s="1">
        <v>45321</v>
      </c>
      <c r="C2960">
        <v>2024</v>
      </c>
      <c r="D2960">
        <v>1</v>
      </c>
      <c r="E2960" t="s">
        <v>47</v>
      </c>
      <c r="F2960" t="s">
        <v>28</v>
      </c>
      <c r="G2960" t="s">
        <v>48</v>
      </c>
      <c r="H2960" t="s">
        <v>75</v>
      </c>
      <c r="I2960">
        <v>13237.99</v>
      </c>
      <c r="J2960">
        <v>11328.37</v>
      </c>
      <c r="K2960" t="s">
        <v>17</v>
      </c>
      <c r="L2960" t="b">
        <v>0</v>
      </c>
      <c r="N2960" s="2" t="b">
        <f t="shared" si="259"/>
        <v>1</v>
      </c>
      <c r="O2960" t="str">
        <f t="shared" ref="O2960:O2961" si="262">IF(AND(E2949="HR",K2949="EXPENSE"),I2949&lt;J2949,"")</f>
        <v/>
      </c>
      <c r="Q2960" t="str">
        <f t="shared" si="260"/>
        <v/>
      </c>
    </row>
    <row r="2961" spans="1:17" hidden="1">
      <c r="A2961" t="s">
        <v>3066</v>
      </c>
      <c r="B2961" s="1">
        <v>45321</v>
      </c>
      <c r="C2961">
        <v>2024</v>
      </c>
      <c r="D2961">
        <v>1</v>
      </c>
      <c r="E2961" t="s">
        <v>47</v>
      </c>
      <c r="F2961" t="s">
        <v>24</v>
      </c>
      <c r="G2961" t="s">
        <v>48</v>
      </c>
      <c r="H2961" t="s">
        <v>49</v>
      </c>
      <c r="I2961">
        <v>7330.08</v>
      </c>
      <c r="J2961">
        <v>6354.73</v>
      </c>
      <c r="K2961" t="s">
        <v>17</v>
      </c>
      <c r="L2961" t="b">
        <v>0</v>
      </c>
      <c r="N2961" s="2" t="b">
        <f t="shared" si="259"/>
        <v>1</v>
      </c>
      <c r="O2961" t="str">
        <f t="shared" si="262"/>
        <v/>
      </c>
      <c r="Q2961" t="str">
        <f t="shared" si="260"/>
        <v/>
      </c>
    </row>
    <row r="2962" spans="1:17" hidden="1">
      <c r="A2962" t="s">
        <v>3067</v>
      </c>
      <c r="B2962" s="1">
        <v>45321</v>
      </c>
      <c r="C2962">
        <v>2024</v>
      </c>
      <c r="D2962">
        <v>1</v>
      </c>
      <c r="E2962" t="s">
        <v>19</v>
      </c>
      <c r="F2962" t="s">
        <v>28</v>
      </c>
      <c r="G2962" t="s">
        <v>20</v>
      </c>
      <c r="H2962" t="s">
        <v>21</v>
      </c>
      <c r="I2962">
        <v>9943.2000000000007</v>
      </c>
      <c r="J2962">
        <v>8998</v>
      </c>
      <c r="K2962" t="s">
        <v>17</v>
      </c>
      <c r="L2962" t="b">
        <v>0</v>
      </c>
      <c r="N2962" s="2" t="str">
        <f t="shared" si="259"/>
        <v/>
      </c>
      <c r="Q2962" t="str">
        <f t="shared" si="260"/>
        <v/>
      </c>
    </row>
    <row r="2963" spans="1:17" hidden="1">
      <c r="A2963" t="s">
        <v>3068</v>
      </c>
      <c r="B2963" s="1">
        <v>45321</v>
      </c>
      <c r="C2963">
        <v>2024</v>
      </c>
      <c r="D2963">
        <v>1</v>
      </c>
      <c r="E2963" t="s">
        <v>23</v>
      </c>
      <c r="F2963" t="s">
        <v>14</v>
      </c>
      <c r="G2963" t="s">
        <v>141</v>
      </c>
      <c r="H2963" t="s">
        <v>153</v>
      </c>
      <c r="I2963">
        <v>4036.48</v>
      </c>
      <c r="J2963">
        <v>3856.66</v>
      </c>
      <c r="K2963" t="s">
        <v>17</v>
      </c>
      <c r="L2963" t="b">
        <v>0</v>
      </c>
      <c r="N2963" s="2" t="str">
        <f t="shared" si="259"/>
        <v/>
      </c>
      <c r="Q2963" t="str">
        <f t="shared" si="260"/>
        <v/>
      </c>
    </row>
    <row r="2964" spans="1:17" hidden="1">
      <c r="A2964" t="s">
        <v>3069</v>
      </c>
      <c r="B2964" s="1">
        <v>45321</v>
      </c>
      <c r="C2964">
        <v>2024</v>
      </c>
      <c r="D2964">
        <v>1</v>
      </c>
      <c r="E2964" t="s">
        <v>23</v>
      </c>
      <c r="F2964" t="s">
        <v>28</v>
      </c>
      <c r="G2964" t="s">
        <v>25</v>
      </c>
      <c r="H2964" t="s">
        <v>95</v>
      </c>
      <c r="I2964">
        <v>6295.7</v>
      </c>
      <c r="J2964">
        <v>5776.58</v>
      </c>
      <c r="K2964" t="s">
        <v>17</v>
      </c>
      <c r="L2964" t="b">
        <v>0</v>
      </c>
      <c r="N2964" s="2" t="str">
        <f t="shared" si="259"/>
        <v/>
      </c>
      <c r="Q2964" t="str">
        <f t="shared" si="260"/>
        <v/>
      </c>
    </row>
    <row r="2965" spans="1:17" hidden="1">
      <c r="A2965" t="s">
        <v>3070</v>
      </c>
      <c r="B2965" s="1">
        <v>45321</v>
      </c>
      <c r="C2965">
        <v>2024</v>
      </c>
      <c r="D2965">
        <v>1</v>
      </c>
      <c r="E2965" t="s">
        <v>23</v>
      </c>
      <c r="F2965" t="s">
        <v>24</v>
      </c>
      <c r="G2965" t="s">
        <v>30</v>
      </c>
      <c r="H2965" t="s">
        <v>31</v>
      </c>
      <c r="I2965">
        <v>6168.04</v>
      </c>
      <c r="J2965">
        <v>6228.4</v>
      </c>
      <c r="K2965" t="s">
        <v>17</v>
      </c>
      <c r="L2965" t="b">
        <v>0</v>
      </c>
      <c r="N2965" s="2" t="str">
        <f t="shared" si="259"/>
        <v/>
      </c>
      <c r="Q2965" t="str">
        <f t="shared" si="260"/>
        <v/>
      </c>
    </row>
    <row r="2966" spans="1:17" hidden="1">
      <c r="A2966" t="s">
        <v>3071</v>
      </c>
      <c r="B2966" s="1">
        <v>45321</v>
      </c>
      <c r="C2966">
        <v>2024</v>
      </c>
      <c r="D2966">
        <v>1</v>
      </c>
      <c r="E2966" t="s">
        <v>37</v>
      </c>
      <c r="F2966" t="s">
        <v>14</v>
      </c>
      <c r="G2966" t="s">
        <v>98</v>
      </c>
      <c r="H2966" t="s">
        <v>99</v>
      </c>
      <c r="I2966">
        <v>4441</v>
      </c>
      <c r="J2966">
        <v>4770.82</v>
      </c>
      <c r="K2966" t="s">
        <v>17</v>
      </c>
      <c r="L2966" t="b">
        <v>0</v>
      </c>
      <c r="N2966" s="2" t="str">
        <f t="shared" si="259"/>
        <v/>
      </c>
      <c r="Q2966" t="str">
        <f t="shared" si="260"/>
        <v/>
      </c>
    </row>
    <row r="2967" spans="1:17" hidden="1">
      <c r="A2967" t="s">
        <v>3072</v>
      </c>
      <c r="B2967" s="1">
        <v>45321</v>
      </c>
      <c r="C2967">
        <v>2024</v>
      </c>
      <c r="D2967">
        <v>1</v>
      </c>
      <c r="E2967" t="s">
        <v>37</v>
      </c>
      <c r="F2967" t="s">
        <v>24</v>
      </c>
      <c r="G2967" t="s">
        <v>98</v>
      </c>
      <c r="H2967" t="s">
        <v>185</v>
      </c>
      <c r="I2967">
        <v>5580.69</v>
      </c>
      <c r="J2967">
        <v>5633.84</v>
      </c>
      <c r="K2967" t="s">
        <v>17</v>
      </c>
      <c r="L2967" t="b">
        <v>0</v>
      </c>
      <c r="N2967" s="2" t="str">
        <f t="shared" si="259"/>
        <v/>
      </c>
      <c r="Q2967" t="str">
        <f t="shared" si="260"/>
        <v/>
      </c>
    </row>
    <row r="2968" spans="1:17" hidden="1">
      <c r="A2968" t="s">
        <v>3073</v>
      </c>
      <c r="B2968" s="1">
        <v>45321</v>
      </c>
      <c r="C2968">
        <v>2024</v>
      </c>
      <c r="D2968">
        <v>1</v>
      </c>
      <c r="E2968" t="s">
        <v>37</v>
      </c>
      <c r="F2968" t="s">
        <v>24</v>
      </c>
      <c r="G2968" t="s">
        <v>62</v>
      </c>
      <c r="H2968" t="s">
        <v>66</v>
      </c>
      <c r="I2968">
        <v>3022.23</v>
      </c>
      <c r="J2968">
        <v>2957.97</v>
      </c>
      <c r="K2968" t="s">
        <v>17</v>
      </c>
      <c r="L2968" t="b">
        <v>0</v>
      </c>
      <c r="N2968" s="2" t="str">
        <f t="shared" si="259"/>
        <v/>
      </c>
      <c r="Q2968" t="str">
        <f t="shared" si="260"/>
        <v/>
      </c>
    </row>
    <row r="2969" spans="1:17" hidden="1">
      <c r="A2969" t="s">
        <v>3074</v>
      </c>
      <c r="B2969" s="1">
        <v>45322</v>
      </c>
      <c r="C2969">
        <v>2024</v>
      </c>
      <c r="D2969">
        <v>1</v>
      </c>
      <c r="E2969" t="s">
        <v>13</v>
      </c>
      <c r="F2969" t="s">
        <v>14</v>
      </c>
      <c r="G2969" t="s">
        <v>68</v>
      </c>
      <c r="H2969" t="s">
        <v>213</v>
      </c>
      <c r="I2969">
        <v>3295.23</v>
      </c>
      <c r="J2969">
        <v>2971.22</v>
      </c>
      <c r="K2969" t="s">
        <v>17</v>
      </c>
      <c r="L2969" t="b">
        <v>0</v>
      </c>
      <c r="N2969" s="2" t="str">
        <f t="shared" si="259"/>
        <v/>
      </c>
      <c r="Q2969" t="str">
        <f t="shared" si="260"/>
        <v/>
      </c>
    </row>
    <row r="2970" spans="1:17" hidden="1">
      <c r="A2970" t="s">
        <v>3075</v>
      </c>
      <c r="B2970" s="1">
        <v>45322</v>
      </c>
      <c r="C2970">
        <v>2024</v>
      </c>
      <c r="D2970">
        <v>1</v>
      </c>
      <c r="E2970" t="s">
        <v>13</v>
      </c>
      <c r="F2970" t="s">
        <v>24</v>
      </c>
      <c r="G2970" t="s">
        <v>102</v>
      </c>
      <c r="H2970" t="s">
        <v>278</v>
      </c>
      <c r="I2970">
        <v>2188.42</v>
      </c>
      <c r="J2970">
        <v>2001.25</v>
      </c>
      <c r="K2970" t="s">
        <v>17</v>
      </c>
      <c r="L2970" t="b">
        <v>0</v>
      </c>
      <c r="N2970" s="2" t="str">
        <f t="shared" si="259"/>
        <v/>
      </c>
      <c r="Q2970" t="str">
        <f t="shared" si="260"/>
        <v/>
      </c>
    </row>
    <row r="2971" spans="1:17" hidden="1">
      <c r="A2971" t="s">
        <v>3076</v>
      </c>
      <c r="B2971" s="1">
        <v>45322</v>
      </c>
      <c r="C2971">
        <v>2024</v>
      </c>
      <c r="D2971">
        <v>1</v>
      </c>
      <c r="E2971" t="s">
        <v>19</v>
      </c>
      <c r="F2971" t="s">
        <v>14</v>
      </c>
      <c r="G2971" t="s">
        <v>20</v>
      </c>
      <c r="H2971" t="s">
        <v>174</v>
      </c>
      <c r="I2971">
        <v>6187.64</v>
      </c>
      <c r="J2971">
        <v>6787.75</v>
      </c>
      <c r="K2971" t="s">
        <v>17</v>
      </c>
      <c r="L2971" t="b">
        <v>0</v>
      </c>
      <c r="N2971" s="2" t="str">
        <f t="shared" si="259"/>
        <v/>
      </c>
      <c r="Q2971" t="str">
        <f t="shared" si="260"/>
        <v/>
      </c>
    </row>
    <row r="2972" spans="1:17" hidden="1">
      <c r="A2972" t="s">
        <v>3077</v>
      </c>
      <c r="B2972" s="1">
        <v>45322</v>
      </c>
      <c r="C2972">
        <v>2024</v>
      </c>
      <c r="D2972">
        <v>1</v>
      </c>
      <c r="E2972" t="s">
        <v>19</v>
      </c>
      <c r="F2972" t="s">
        <v>28</v>
      </c>
      <c r="G2972" t="s">
        <v>132</v>
      </c>
      <c r="H2972" t="s">
        <v>171</v>
      </c>
      <c r="I2972">
        <v>5180.43</v>
      </c>
      <c r="J2972">
        <v>5501.88</v>
      </c>
      <c r="K2972" t="s">
        <v>17</v>
      </c>
      <c r="L2972" t="b">
        <v>0</v>
      </c>
      <c r="N2972" s="2" t="str">
        <f t="shared" si="259"/>
        <v/>
      </c>
      <c r="Q2972" t="str">
        <f t="shared" si="260"/>
        <v/>
      </c>
    </row>
    <row r="2973" spans="1:17" hidden="1">
      <c r="A2973" t="s">
        <v>3078</v>
      </c>
      <c r="B2973" s="1">
        <v>45322</v>
      </c>
      <c r="C2973">
        <v>2024</v>
      </c>
      <c r="D2973">
        <v>1</v>
      </c>
      <c r="E2973" t="s">
        <v>19</v>
      </c>
      <c r="F2973" t="s">
        <v>28</v>
      </c>
      <c r="G2973" t="s">
        <v>132</v>
      </c>
      <c r="H2973" t="s">
        <v>138</v>
      </c>
      <c r="I2973">
        <v>7317.78</v>
      </c>
      <c r="J2973">
        <v>6951.75</v>
      </c>
      <c r="K2973" t="s">
        <v>17</v>
      </c>
      <c r="L2973" t="b">
        <v>0</v>
      </c>
      <c r="N2973" s="2" t="str">
        <f t="shared" si="259"/>
        <v/>
      </c>
      <c r="Q2973" t="str">
        <f t="shared" si="260"/>
        <v/>
      </c>
    </row>
    <row r="2974" spans="1:17" hidden="1">
      <c r="A2974" t="s">
        <v>3079</v>
      </c>
      <c r="B2974" s="1">
        <v>45322</v>
      </c>
      <c r="C2974">
        <v>2024</v>
      </c>
      <c r="D2974">
        <v>1</v>
      </c>
      <c r="E2974" t="s">
        <v>23</v>
      </c>
      <c r="F2974" t="s">
        <v>14</v>
      </c>
      <c r="G2974" t="s">
        <v>59</v>
      </c>
      <c r="H2974" t="s">
        <v>60</v>
      </c>
      <c r="I2974">
        <v>6670.82</v>
      </c>
      <c r="J2974">
        <v>6045.17</v>
      </c>
      <c r="K2974" t="s">
        <v>17</v>
      </c>
      <c r="L2974" t="b">
        <v>0</v>
      </c>
      <c r="N2974" s="2" t="str">
        <f t="shared" si="259"/>
        <v/>
      </c>
      <c r="Q2974" t="str">
        <f t="shared" si="260"/>
        <v/>
      </c>
    </row>
    <row r="2975" spans="1:17" hidden="1">
      <c r="A2975" t="s">
        <v>3080</v>
      </c>
      <c r="B2975" s="1">
        <v>45322</v>
      </c>
      <c r="C2975">
        <v>2024</v>
      </c>
      <c r="D2975">
        <v>1</v>
      </c>
      <c r="E2975" t="s">
        <v>23</v>
      </c>
      <c r="F2975" t="s">
        <v>28</v>
      </c>
      <c r="G2975" t="s">
        <v>30</v>
      </c>
      <c r="H2975" t="s">
        <v>31</v>
      </c>
      <c r="I2975">
        <v>4746.3599999999997</v>
      </c>
      <c r="J2975">
        <v>4675.5</v>
      </c>
      <c r="K2975" t="s">
        <v>17</v>
      </c>
      <c r="L2975" t="b">
        <v>0</v>
      </c>
      <c r="N2975" s="2" t="str">
        <f t="shared" si="259"/>
        <v/>
      </c>
      <c r="Q2975" t="str">
        <f t="shared" si="260"/>
        <v/>
      </c>
    </row>
    <row r="2976" spans="1:17" hidden="1">
      <c r="A2976" t="s">
        <v>3081</v>
      </c>
      <c r="B2976" s="1">
        <v>45322</v>
      </c>
      <c r="C2976">
        <v>2024</v>
      </c>
      <c r="D2976">
        <v>1</v>
      </c>
      <c r="E2976" t="s">
        <v>23</v>
      </c>
      <c r="F2976" t="s">
        <v>24</v>
      </c>
      <c r="G2976" t="s">
        <v>30</v>
      </c>
      <c r="H2976" t="s">
        <v>31</v>
      </c>
      <c r="I2976">
        <v>5507.12</v>
      </c>
      <c r="J2976">
        <v>5197.97</v>
      </c>
      <c r="K2976" t="s">
        <v>17</v>
      </c>
      <c r="L2976" t="b">
        <v>0</v>
      </c>
      <c r="N2976" s="2" t="str">
        <f t="shared" si="259"/>
        <v/>
      </c>
      <c r="Q2976" t="str">
        <f t="shared" si="260"/>
        <v/>
      </c>
    </row>
    <row r="2977" spans="1:17" hidden="1">
      <c r="A2977" t="s">
        <v>3082</v>
      </c>
      <c r="B2977" s="1">
        <v>45322</v>
      </c>
      <c r="C2977">
        <v>2024</v>
      </c>
      <c r="D2977">
        <v>1</v>
      </c>
      <c r="E2977" t="s">
        <v>37</v>
      </c>
      <c r="F2977" t="s">
        <v>28</v>
      </c>
      <c r="G2977" t="s">
        <v>41</v>
      </c>
      <c r="H2977" t="s">
        <v>42</v>
      </c>
      <c r="I2977">
        <v>6739.06</v>
      </c>
      <c r="J2977">
        <v>6964.7</v>
      </c>
      <c r="K2977" t="s">
        <v>17</v>
      </c>
      <c r="L2977" t="b">
        <v>0</v>
      </c>
      <c r="N2977" s="2" t="str">
        <f t="shared" si="259"/>
        <v/>
      </c>
      <c r="Q2977" t="str">
        <f t="shared" si="260"/>
        <v/>
      </c>
    </row>
    <row r="2978" spans="1:17" hidden="1">
      <c r="A2978" t="s">
        <v>3083</v>
      </c>
      <c r="B2978" s="1">
        <v>45322</v>
      </c>
      <c r="C2978">
        <v>2024</v>
      </c>
      <c r="D2978">
        <v>1</v>
      </c>
      <c r="E2978" t="s">
        <v>37</v>
      </c>
      <c r="F2978" t="s">
        <v>24</v>
      </c>
      <c r="G2978" t="s">
        <v>83</v>
      </c>
      <c r="H2978" t="s">
        <v>84</v>
      </c>
      <c r="I2978">
        <v>102847.61</v>
      </c>
      <c r="J2978">
        <v>97705.23</v>
      </c>
      <c r="K2978" t="s">
        <v>85</v>
      </c>
      <c r="L2978" t="b">
        <v>0</v>
      </c>
      <c r="N2978" s="2" t="str">
        <f t="shared" si="259"/>
        <v/>
      </c>
      <c r="Q2978" t="str">
        <f t="shared" si="260"/>
        <v/>
      </c>
    </row>
    <row r="2979" spans="1:17" hidden="1">
      <c r="A2979" t="s">
        <v>3084</v>
      </c>
      <c r="B2979" s="1">
        <v>45323</v>
      </c>
      <c r="C2979">
        <v>2024</v>
      </c>
      <c r="D2979">
        <v>2</v>
      </c>
      <c r="E2979" t="s">
        <v>13</v>
      </c>
      <c r="F2979" t="s">
        <v>14</v>
      </c>
      <c r="G2979" t="s">
        <v>102</v>
      </c>
      <c r="H2979" t="s">
        <v>145</v>
      </c>
      <c r="I2979">
        <v>3489.76</v>
      </c>
      <c r="J2979">
        <v>3456.17</v>
      </c>
      <c r="K2979" t="s">
        <v>17</v>
      </c>
      <c r="L2979" t="b">
        <v>0</v>
      </c>
      <c r="N2979" s="2" t="str">
        <f t="shared" si="259"/>
        <v/>
      </c>
      <c r="Q2979" t="str">
        <f t="shared" si="260"/>
        <v/>
      </c>
    </row>
    <row r="2980" spans="1:17" hidden="1">
      <c r="A2980" t="s">
        <v>3085</v>
      </c>
      <c r="B2980" s="1">
        <v>45323</v>
      </c>
      <c r="C2980">
        <v>2024</v>
      </c>
      <c r="D2980">
        <v>2</v>
      </c>
      <c r="E2980" t="s">
        <v>13</v>
      </c>
      <c r="F2980" t="s">
        <v>24</v>
      </c>
      <c r="G2980" t="s">
        <v>108</v>
      </c>
      <c r="H2980" t="s">
        <v>126</v>
      </c>
      <c r="I2980">
        <v>4337.8599999999997</v>
      </c>
      <c r="J2980">
        <v>4585.18</v>
      </c>
      <c r="K2980" t="s">
        <v>17</v>
      </c>
      <c r="L2980" t="b">
        <v>0</v>
      </c>
      <c r="N2980" s="2" t="str">
        <f t="shared" si="259"/>
        <v/>
      </c>
      <c r="Q2980" t="str">
        <f t="shared" si="260"/>
        <v/>
      </c>
    </row>
    <row r="2981" spans="1:17" hidden="1">
      <c r="A2981" t="s">
        <v>3086</v>
      </c>
      <c r="B2981" s="1">
        <v>45323</v>
      </c>
      <c r="C2981">
        <v>2024</v>
      </c>
      <c r="D2981">
        <v>2</v>
      </c>
      <c r="E2981" t="s">
        <v>47</v>
      </c>
      <c r="F2981" t="s">
        <v>28</v>
      </c>
      <c r="G2981" t="s">
        <v>51</v>
      </c>
      <c r="H2981" t="s">
        <v>189</v>
      </c>
      <c r="I2981">
        <v>9741.3700000000008</v>
      </c>
      <c r="J2981">
        <v>8259.0499999999993</v>
      </c>
      <c r="K2981" t="s">
        <v>17</v>
      </c>
      <c r="L2981" t="b">
        <v>0</v>
      </c>
      <c r="N2981" s="2" t="b">
        <f t="shared" si="259"/>
        <v>1</v>
      </c>
      <c r="O2981" t="b">
        <f>IF(AND(E2970="HR",K2970="EXPENSE"),I2970&lt;J2970,"")</f>
        <v>0</v>
      </c>
      <c r="Q2981" t="str">
        <f t="shared" si="260"/>
        <v/>
      </c>
    </row>
    <row r="2982" spans="1:17" hidden="1">
      <c r="A2982" t="s">
        <v>3087</v>
      </c>
      <c r="B2982" s="1">
        <v>45323</v>
      </c>
      <c r="C2982">
        <v>2024</v>
      </c>
      <c r="D2982">
        <v>2</v>
      </c>
      <c r="E2982" t="s">
        <v>19</v>
      </c>
      <c r="F2982" t="s">
        <v>14</v>
      </c>
      <c r="G2982" t="s">
        <v>132</v>
      </c>
      <c r="H2982" t="s">
        <v>133</v>
      </c>
      <c r="I2982">
        <v>5721.68</v>
      </c>
      <c r="J2982">
        <v>5834.18</v>
      </c>
      <c r="K2982" t="s">
        <v>17</v>
      </c>
      <c r="L2982" t="b">
        <v>0</v>
      </c>
      <c r="N2982" s="2" t="str">
        <f t="shared" si="259"/>
        <v/>
      </c>
      <c r="Q2982" t="str">
        <f t="shared" si="260"/>
        <v/>
      </c>
    </row>
    <row r="2983" spans="1:17" hidden="1">
      <c r="A2983" t="s">
        <v>3088</v>
      </c>
      <c r="B2983" s="1">
        <v>45323</v>
      </c>
      <c r="C2983">
        <v>2024</v>
      </c>
      <c r="D2983">
        <v>2</v>
      </c>
      <c r="E2983" t="s">
        <v>19</v>
      </c>
      <c r="F2983" t="s">
        <v>24</v>
      </c>
      <c r="G2983" t="s">
        <v>20</v>
      </c>
      <c r="H2983" t="s">
        <v>21</v>
      </c>
      <c r="I2983">
        <v>6590.04</v>
      </c>
      <c r="J2983">
        <v>6978.04</v>
      </c>
      <c r="K2983" t="s">
        <v>17</v>
      </c>
      <c r="L2983" t="b">
        <v>0</v>
      </c>
      <c r="N2983" s="2" t="str">
        <f t="shared" si="259"/>
        <v/>
      </c>
      <c r="Q2983" t="str">
        <f t="shared" si="260"/>
        <v/>
      </c>
    </row>
    <row r="2984" spans="1:17" hidden="1">
      <c r="A2984" t="s">
        <v>3089</v>
      </c>
      <c r="B2984" s="1">
        <v>45323</v>
      </c>
      <c r="C2984">
        <v>2024</v>
      </c>
      <c r="D2984">
        <v>2</v>
      </c>
      <c r="E2984" t="s">
        <v>19</v>
      </c>
      <c r="F2984" t="s">
        <v>24</v>
      </c>
      <c r="G2984" t="s">
        <v>132</v>
      </c>
      <c r="H2984" t="s">
        <v>138</v>
      </c>
      <c r="I2984">
        <v>5426.99</v>
      </c>
      <c r="J2984">
        <v>5483.24</v>
      </c>
      <c r="K2984" t="s">
        <v>17</v>
      </c>
      <c r="L2984" t="b">
        <v>0</v>
      </c>
      <c r="N2984" s="2" t="str">
        <f t="shared" si="259"/>
        <v/>
      </c>
      <c r="Q2984" t="str">
        <f t="shared" si="260"/>
        <v/>
      </c>
    </row>
    <row r="2985" spans="1:17" hidden="1">
      <c r="A2985" t="s">
        <v>3090</v>
      </c>
      <c r="B2985" s="1">
        <v>45323</v>
      </c>
      <c r="C2985">
        <v>2024</v>
      </c>
      <c r="D2985">
        <v>2</v>
      </c>
      <c r="E2985" t="s">
        <v>23</v>
      </c>
      <c r="F2985" t="s">
        <v>28</v>
      </c>
      <c r="G2985" t="s">
        <v>25</v>
      </c>
      <c r="H2985" t="s">
        <v>26</v>
      </c>
      <c r="I2985">
        <v>5076.29</v>
      </c>
      <c r="J2985">
        <v>4954.41</v>
      </c>
      <c r="K2985" t="s">
        <v>17</v>
      </c>
      <c r="L2985" t="b">
        <v>0</v>
      </c>
      <c r="N2985" s="2" t="str">
        <f t="shared" si="259"/>
        <v/>
      </c>
      <c r="Q2985" t="str">
        <f t="shared" si="260"/>
        <v/>
      </c>
    </row>
    <row r="2986" spans="1:17" hidden="1">
      <c r="A2986" t="s">
        <v>3091</v>
      </c>
      <c r="B2986" s="1">
        <v>45323</v>
      </c>
      <c r="C2986">
        <v>2024</v>
      </c>
      <c r="D2986">
        <v>2</v>
      </c>
      <c r="E2986" t="s">
        <v>23</v>
      </c>
      <c r="F2986" t="s">
        <v>28</v>
      </c>
      <c r="G2986" t="s">
        <v>25</v>
      </c>
      <c r="H2986" t="s">
        <v>26</v>
      </c>
      <c r="I2986">
        <v>2971.92</v>
      </c>
      <c r="J2986">
        <v>2941.3</v>
      </c>
      <c r="K2986" t="s">
        <v>17</v>
      </c>
      <c r="L2986" t="b">
        <v>0</v>
      </c>
      <c r="N2986" s="2" t="str">
        <f t="shared" si="259"/>
        <v/>
      </c>
      <c r="Q2986" t="str">
        <f t="shared" si="260"/>
        <v/>
      </c>
    </row>
    <row r="2987" spans="1:17" hidden="1">
      <c r="A2987" t="s">
        <v>3092</v>
      </c>
      <c r="B2987" s="1">
        <v>45323</v>
      </c>
      <c r="C2987">
        <v>2024</v>
      </c>
      <c r="D2987">
        <v>2</v>
      </c>
      <c r="E2987" t="s">
        <v>23</v>
      </c>
      <c r="F2987" t="s">
        <v>28</v>
      </c>
      <c r="G2987" t="s">
        <v>59</v>
      </c>
      <c r="H2987" t="s">
        <v>155</v>
      </c>
      <c r="I2987">
        <v>6893.39</v>
      </c>
      <c r="J2987">
        <v>6410.67</v>
      </c>
      <c r="K2987" t="s">
        <v>17</v>
      </c>
      <c r="L2987" t="b">
        <v>0</v>
      </c>
      <c r="N2987" s="2" t="str">
        <f t="shared" si="259"/>
        <v/>
      </c>
      <c r="Q2987" t="str">
        <f t="shared" si="260"/>
        <v/>
      </c>
    </row>
    <row r="2988" spans="1:17" hidden="1">
      <c r="A2988" t="s">
        <v>3093</v>
      </c>
      <c r="B2988" s="1">
        <v>45323</v>
      </c>
      <c r="C2988">
        <v>2024</v>
      </c>
      <c r="D2988">
        <v>2</v>
      </c>
      <c r="E2988" t="s">
        <v>23</v>
      </c>
      <c r="F2988" t="s">
        <v>28</v>
      </c>
      <c r="G2988" t="s">
        <v>59</v>
      </c>
      <c r="H2988" t="s">
        <v>155</v>
      </c>
      <c r="I2988">
        <v>4654.99</v>
      </c>
      <c r="J2988">
        <v>4736.6400000000003</v>
      </c>
      <c r="K2988" t="s">
        <v>17</v>
      </c>
      <c r="L2988" t="b">
        <v>0</v>
      </c>
      <c r="N2988" s="2" t="str">
        <f t="shared" si="259"/>
        <v/>
      </c>
      <c r="Q2988" t="str">
        <f t="shared" si="260"/>
        <v/>
      </c>
    </row>
    <row r="2989" spans="1:17" hidden="1">
      <c r="A2989" t="s">
        <v>3094</v>
      </c>
      <c r="B2989" s="1">
        <v>45323</v>
      </c>
      <c r="C2989">
        <v>2024</v>
      </c>
      <c r="D2989">
        <v>2</v>
      </c>
      <c r="E2989" t="s">
        <v>37</v>
      </c>
      <c r="F2989" t="s">
        <v>28</v>
      </c>
      <c r="G2989" t="s">
        <v>41</v>
      </c>
      <c r="H2989" t="s">
        <v>42</v>
      </c>
      <c r="I2989">
        <v>4213.3500000000004</v>
      </c>
      <c r="J2989">
        <v>4034.6</v>
      </c>
      <c r="K2989" t="s">
        <v>17</v>
      </c>
      <c r="L2989" t="b">
        <v>0</v>
      </c>
      <c r="N2989" s="2" t="str">
        <f t="shared" si="259"/>
        <v/>
      </c>
      <c r="Q2989" t="str">
        <f t="shared" si="260"/>
        <v/>
      </c>
    </row>
    <row r="2990" spans="1:17" hidden="1">
      <c r="A2990" t="s">
        <v>3095</v>
      </c>
      <c r="B2990" s="1">
        <v>45323</v>
      </c>
      <c r="C2990">
        <v>2024</v>
      </c>
      <c r="D2990">
        <v>2</v>
      </c>
      <c r="E2990" t="s">
        <v>37</v>
      </c>
      <c r="F2990" t="s">
        <v>24</v>
      </c>
      <c r="G2990" t="s">
        <v>83</v>
      </c>
      <c r="H2990" t="s">
        <v>84</v>
      </c>
      <c r="I2990">
        <v>102338.71</v>
      </c>
      <c r="J2990">
        <v>97221.77</v>
      </c>
      <c r="K2990" t="s">
        <v>85</v>
      </c>
      <c r="L2990" t="b">
        <v>0</v>
      </c>
      <c r="N2990" s="2" t="str">
        <f t="shared" si="259"/>
        <v/>
      </c>
      <c r="Q2990" t="str">
        <f t="shared" si="260"/>
        <v/>
      </c>
    </row>
    <row r="2991" spans="1:17" hidden="1">
      <c r="A2991" t="s">
        <v>3096</v>
      </c>
      <c r="B2991" s="1">
        <v>45324</v>
      </c>
      <c r="C2991">
        <v>2024</v>
      </c>
      <c r="D2991">
        <v>2</v>
      </c>
      <c r="E2991" t="s">
        <v>13</v>
      </c>
      <c r="F2991" t="s">
        <v>28</v>
      </c>
      <c r="G2991" t="s">
        <v>108</v>
      </c>
      <c r="H2991" t="s">
        <v>126</v>
      </c>
      <c r="I2991">
        <v>3336.93</v>
      </c>
      <c r="J2991">
        <v>3343.86</v>
      </c>
      <c r="K2991" t="s">
        <v>17</v>
      </c>
      <c r="L2991" t="b">
        <v>0</v>
      </c>
      <c r="N2991" s="2" t="str">
        <f t="shared" si="259"/>
        <v/>
      </c>
      <c r="Q2991" t="str">
        <f t="shared" si="260"/>
        <v/>
      </c>
    </row>
    <row r="2992" spans="1:17" hidden="1">
      <c r="A2992" t="s">
        <v>3097</v>
      </c>
      <c r="B2992" s="1">
        <v>45324</v>
      </c>
      <c r="C2992">
        <v>2024</v>
      </c>
      <c r="D2992">
        <v>2</v>
      </c>
      <c r="E2992" t="s">
        <v>13</v>
      </c>
      <c r="F2992" t="s">
        <v>28</v>
      </c>
      <c r="G2992" t="s">
        <v>108</v>
      </c>
      <c r="H2992" t="s">
        <v>126</v>
      </c>
      <c r="I2992">
        <v>3467.55</v>
      </c>
      <c r="J2992">
        <v>3695.39</v>
      </c>
      <c r="K2992" t="s">
        <v>17</v>
      </c>
      <c r="L2992" t="b">
        <v>0</v>
      </c>
      <c r="N2992" s="2" t="str">
        <f t="shared" si="259"/>
        <v/>
      </c>
      <c r="Q2992" t="str">
        <f t="shared" si="260"/>
        <v/>
      </c>
    </row>
    <row r="2993" spans="1:17" hidden="1">
      <c r="A2993" t="s">
        <v>3098</v>
      </c>
      <c r="B2993" s="1">
        <v>45324</v>
      </c>
      <c r="C2993">
        <v>2024</v>
      </c>
      <c r="D2993">
        <v>2</v>
      </c>
      <c r="E2993" t="s">
        <v>13</v>
      </c>
      <c r="F2993" t="s">
        <v>24</v>
      </c>
      <c r="G2993" t="s">
        <v>108</v>
      </c>
      <c r="H2993" t="s">
        <v>109</v>
      </c>
      <c r="I2993">
        <v>2756.19</v>
      </c>
      <c r="J2993">
        <v>2760.9</v>
      </c>
      <c r="K2993" t="s">
        <v>17</v>
      </c>
      <c r="L2993" t="b">
        <v>0</v>
      </c>
      <c r="N2993" s="2" t="str">
        <f t="shared" si="259"/>
        <v/>
      </c>
      <c r="Q2993" t="str">
        <f t="shared" si="260"/>
        <v/>
      </c>
    </row>
    <row r="2994" spans="1:17" hidden="1">
      <c r="A2994" t="s">
        <v>3099</v>
      </c>
      <c r="B2994" s="1">
        <v>45324</v>
      </c>
      <c r="C2994">
        <v>2024</v>
      </c>
      <c r="D2994">
        <v>2</v>
      </c>
      <c r="E2994" t="s">
        <v>13</v>
      </c>
      <c r="F2994" t="s">
        <v>24</v>
      </c>
      <c r="G2994" t="s">
        <v>15</v>
      </c>
      <c r="H2994" t="s">
        <v>89</v>
      </c>
      <c r="I2994">
        <v>2328.7600000000002</v>
      </c>
      <c r="J2994">
        <v>2169.7199999999998</v>
      </c>
      <c r="K2994" t="s">
        <v>17</v>
      </c>
      <c r="L2994" t="b">
        <v>0</v>
      </c>
      <c r="N2994" s="2" t="str">
        <f t="shared" si="259"/>
        <v/>
      </c>
      <c r="Q2994" t="str">
        <f t="shared" si="260"/>
        <v/>
      </c>
    </row>
    <row r="2995" spans="1:17" hidden="1">
      <c r="A2995" t="s">
        <v>3100</v>
      </c>
      <c r="B2995" s="1">
        <v>45324</v>
      </c>
      <c r="C2995">
        <v>2024</v>
      </c>
      <c r="D2995">
        <v>2</v>
      </c>
      <c r="E2995" t="s">
        <v>47</v>
      </c>
      <c r="F2995" t="s">
        <v>14</v>
      </c>
      <c r="G2995" t="s">
        <v>51</v>
      </c>
      <c r="H2995" t="s">
        <v>52</v>
      </c>
      <c r="I2995">
        <v>13795.65</v>
      </c>
      <c r="J2995">
        <v>11980.97</v>
      </c>
      <c r="K2995" t="s">
        <v>17</v>
      </c>
      <c r="L2995" t="b">
        <v>0</v>
      </c>
      <c r="N2995" s="2" t="b">
        <f t="shared" si="259"/>
        <v>1</v>
      </c>
      <c r="O2995" t="str">
        <f t="shared" ref="O2995:O2998" si="263">IF(AND(E2984="HR",K2984="EXPENSE"),I2984&lt;J2984,"")</f>
        <v/>
      </c>
      <c r="Q2995" t="str">
        <f t="shared" si="260"/>
        <v/>
      </c>
    </row>
    <row r="2996" spans="1:17" hidden="1">
      <c r="A2996" t="s">
        <v>3101</v>
      </c>
      <c r="B2996" s="1">
        <v>45324</v>
      </c>
      <c r="C2996">
        <v>2024</v>
      </c>
      <c r="D2996">
        <v>2</v>
      </c>
      <c r="E2996" t="s">
        <v>47</v>
      </c>
      <c r="F2996" t="s">
        <v>14</v>
      </c>
      <c r="G2996" t="s">
        <v>51</v>
      </c>
      <c r="H2996" t="s">
        <v>72</v>
      </c>
      <c r="I2996">
        <v>11198.77</v>
      </c>
      <c r="J2996">
        <v>9441.5400000000009</v>
      </c>
      <c r="K2996" t="s">
        <v>17</v>
      </c>
      <c r="L2996" t="b">
        <v>0</v>
      </c>
      <c r="N2996" s="2" t="b">
        <f t="shared" si="259"/>
        <v>1</v>
      </c>
      <c r="O2996" t="str">
        <f t="shared" si="263"/>
        <v/>
      </c>
      <c r="Q2996" t="str">
        <f t="shared" si="260"/>
        <v/>
      </c>
    </row>
    <row r="2997" spans="1:17" hidden="1">
      <c r="A2997" t="s">
        <v>3102</v>
      </c>
      <c r="B2997" s="1">
        <v>45324</v>
      </c>
      <c r="C2997">
        <v>2024</v>
      </c>
      <c r="D2997">
        <v>2</v>
      </c>
      <c r="E2997" t="s">
        <v>47</v>
      </c>
      <c r="F2997" t="s">
        <v>14</v>
      </c>
      <c r="G2997" t="s">
        <v>91</v>
      </c>
      <c r="H2997" t="s">
        <v>249</v>
      </c>
      <c r="I2997">
        <v>16450.11</v>
      </c>
      <c r="J2997">
        <v>13585.73</v>
      </c>
      <c r="K2997" t="s">
        <v>17</v>
      </c>
      <c r="L2997" t="b">
        <v>0</v>
      </c>
      <c r="N2997" s="2" t="b">
        <f t="shared" si="259"/>
        <v>1</v>
      </c>
      <c r="O2997" t="str">
        <f t="shared" si="263"/>
        <v/>
      </c>
      <c r="Q2997" t="str">
        <f t="shared" si="260"/>
        <v/>
      </c>
    </row>
    <row r="2998" spans="1:17" hidden="1">
      <c r="A2998" t="s">
        <v>3103</v>
      </c>
      <c r="B2998" s="1">
        <v>45324</v>
      </c>
      <c r="C2998">
        <v>2024</v>
      </c>
      <c r="D2998">
        <v>2</v>
      </c>
      <c r="E2998" t="s">
        <v>47</v>
      </c>
      <c r="F2998" t="s">
        <v>28</v>
      </c>
      <c r="G2998" t="s">
        <v>91</v>
      </c>
      <c r="H2998" t="s">
        <v>249</v>
      </c>
      <c r="I2998">
        <v>21160.25</v>
      </c>
      <c r="J2998">
        <v>17976.689999999999</v>
      </c>
      <c r="K2998" t="s">
        <v>17</v>
      </c>
      <c r="L2998" t="b">
        <v>0</v>
      </c>
      <c r="N2998" s="2" t="b">
        <f t="shared" si="259"/>
        <v>1</v>
      </c>
      <c r="O2998" t="str">
        <f t="shared" si="263"/>
        <v/>
      </c>
      <c r="Q2998" t="str">
        <f t="shared" si="260"/>
        <v/>
      </c>
    </row>
    <row r="2999" spans="1:17">
      <c r="A2999" t="s">
        <v>3104</v>
      </c>
      <c r="B2999" s="1">
        <v>45324</v>
      </c>
      <c r="C2999">
        <v>2024</v>
      </c>
      <c r="D2999">
        <v>2</v>
      </c>
      <c r="E2999" t="s">
        <v>19</v>
      </c>
      <c r="F2999" t="s">
        <v>24</v>
      </c>
      <c r="G2999" t="s">
        <v>80</v>
      </c>
      <c r="H2999" t="s">
        <v>651</v>
      </c>
      <c r="I2999">
        <v>24180.87</v>
      </c>
      <c r="J2999">
        <v>6248.38</v>
      </c>
      <c r="K2999" t="s">
        <v>17</v>
      </c>
      <c r="L2999" t="b">
        <v>1</v>
      </c>
      <c r="N2999" s="2" t="str">
        <f t="shared" si="259"/>
        <v/>
      </c>
      <c r="Q2999" t="b">
        <f t="shared" si="260"/>
        <v>1</v>
      </c>
    </row>
    <row r="3000" spans="1:17" hidden="1">
      <c r="A3000" t="s">
        <v>3105</v>
      </c>
      <c r="B3000" s="1">
        <v>45324</v>
      </c>
      <c r="C3000">
        <v>2024</v>
      </c>
      <c r="D3000">
        <v>2</v>
      </c>
      <c r="E3000" t="s">
        <v>19</v>
      </c>
      <c r="F3000" t="s">
        <v>24</v>
      </c>
      <c r="G3000" t="s">
        <v>80</v>
      </c>
      <c r="H3000" t="s">
        <v>81</v>
      </c>
      <c r="I3000">
        <v>3167.31</v>
      </c>
      <c r="J3000">
        <v>3113.37</v>
      </c>
      <c r="K3000" t="s">
        <v>17</v>
      </c>
      <c r="L3000" t="b">
        <v>0</v>
      </c>
      <c r="N3000" s="2" t="str">
        <f t="shared" si="259"/>
        <v/>
      </c>
      <c r="Q3000" t="str">
        <f t="shared" si="260"/>
        <v/>
      </c>
    </row>
    <row r="3001" spans="1:17" hidden="1">
      <c r="A3001" t="s">
        <v>3106</v>
      </c>
      <c r="B3001" s="1">
        <v>45324</v>
      </c>
      <c r="C3001">
        <v>2024</v>
      </c>
      <c r="D3001">
        <v>2</v>
      </c>
      <c r="E3001" t="s">
        <v>37</v>
      </c>
      <c r="F3001" t="s">
        <v>14</v>
      </c>
      <c r="G3001" t="s">
        <v>41</v>
      </c>
      <c r="H3001" t="s">
        <v>42</v>
      </c>
      <c r="I3001">
        <v>3120.62</v>
      </c>
      <c r="J3001">
        <v>3317.98</v>
      </c>
      <c r="K3001" t="s">
        <v>17</v>
      </c>
      <c r="L3001" t="b">
        <v>0</v>
      </c>
      <c r="N3001" s="2" t="str">
        <f t="shared" si="259"/>
        <v/>
      </c>
      <c r="Q3001" t="str">
        <f t="shared" si="260"/>
        <v/>
      </c>
    </row>
    <row r="3002" spans="1:17" hidden="1">
      <c r="A3002" t="s">
        <v>3107</v>
      </c>
      <c r="B3002" s="1">
        <v>45324</v>
      </c>
      <c r="C3002">
        <v>2024</v>
      </c>
      <c r="D3002">
        <v>2</v>
      </c>
      <c r="E3002" t="s">
        <v>37</v>
      </c>
      <c r="F3002" t="s">
        <v>28</v>
      </c>
      <c r="G3002" t="s">
        <v>98</v>
      </c>
      <c r="H3002" t="s">
        <v>99</v>
      </c>
      <c r="I3002">
        <v>5966.2</v>
      </c>
      <c r="J3002">
        <v>6241.96</v>
      </c>
      <c r="K3002" t="s">
        <v>17</v>
      </c>
      <c r="L3002" t="b">
        <v>0</v>
      </c>
      <c r="N3002" s="2" t="str">
        <f t="shared" si="259"/>
        <v/>
      </c>
      <c r="Q3002" t="str">
        <f t="shared" si="260"/>
        <v/>
      </c>
    </row>
    <row r="3003" spans="1:17" hidden="1">
      <c r="A3003" t="s">
        <v>3108</v>
      </c>
      <c r="B3003" s="1">
        <v>45325</v>
      </c>
      <c r="C3003">
        <v>2024</v>
      </c>
      <c r="D3003">
        <v>2</v>
      </c>
      <c r="E3003" t="s">
        <v>47</v>
      </c>
      <c r="F3003" t="s">
        <v>14</v>
      </c>
      <c r="G3003" t="s">
        <v>91</v>
      </c>
      <c r="H3003" t="s">
        <v>128</v>
      </c>
      <c r="I3003">
        <v>9820.67</v>
      </c>
      <c r="J3003">
        <v>8290.42</v>
      </c>
      <c r="K3003" t="s">
        <v>17</v>
      </c>
      <c r="L3003" t="b">
        <v>0</v>
      </c>
      <c r="N3003" s="2" t="b">
        <f t="shared" si="259"/>
        <v>1</v>
      </c>
      <c r="O3003" t="b">
        <f t="shared" ref="O3003:O3004" si="264">IF(AND(E2992="HR",K2992="EXPENSE"),I2992&lt;J2992,"")</f>
        <v>1</v>
      </c>
      <c r="Q3003" t="str">
        <f t="shared" si="260"/>
        <v/>
      </c>
    </row>
    <row r="3004" spans="1:17" hidden="1">
      <c r="A3004" t="s">
        <v>3109</v>
      </c>
      <c r="B3004" s="1">
        <v>45325</v>
      </c>
      <c r="C3004">
        <v>2024</v>
      </c>
      <c r="D3004">
        <v>2</v>
      </c>
      <c r="E3004" t="s">
        <v>47</v>
      </c>
      <c r="F3004" t="s">
        <v>24</v>
      </c>
      <c r="G3004" t="s">
        <v>77</v>
      </c>
      <c r="H3004" t="s">
        <v>147</v>
      </c>
      <c r="I3004">
        <v>15160.4</v>
      </c>
      <c r="J3004">
        <v>12799.47</v>
      </c>
      <c r="K3004" t="s">
        <v>17</v>
      </c>
      <c r="L3004" t="b">
        <v>0</v>
      </c>
      <c r="N3004" s="2" t="b">
        <f t="shared" si="259"/>
        <v>1</v>
      </c>
      <c r="O3004" t="b">
        <f t="shared" si="264"/>
        <v>1</v>
      </c>
      <c r="Q3004" t="str">
        <f t="shared" si="260"/>
        <v/>
      </c>
    </row>
    <row r="3005" spans="1:17" hidden="1">
      <c r="A3005" t="s">
        <v>3110</v>
      </c>
      <c r="B3005" s="1">
        <v>45325</v>
      </c>
      <c r="C3005">
        <v>2024</v>
      </c>
      <c r="D3005">
        <v>2</v>
      </c>
      <c r="E3005" t="s">
        <v>23</v>
      </c>
      <c r="F3005" t="s">
        <v>24</v>
      </c>
      <c r="G3005" t="s">
        <v>30</v>
      </c>
      <c r="H3005" t="s">
        <v>106</v>
      </c>
      <c r="I3005">
        <v>5173.92</v>
      </c>
      <c r="J3005">
        <v>5333.3</v>
      </c>
      <c r="K3005" t="s">
        <v>17</v>
      </c>
      <c r="L3005" t="b">
        <v>0</v>
      </c>
      <c r="N3005" s="2" t="str">
        <f t="shared" si="259"/>
        <v/>
      </c>
      <c r="Q3005" t="str">
        <f t="shared" si="260"/>
        <v/>
      </c>
    </row>
    <row r="3006" spans="1:17" hidden="1">
      <c r="A3006" t="s">
        <v>3111</v>
      </c>
      <c r="B3006" s="1">
        <v>45325</v>
      </c>
      <c r="C3006">
        <v>2024</v>
      </c>
      <c r="D3006">
        <v>2</v>
      </c>
      <c r="E3006" t="s">
        <v>37</v>
      </c>
      <c r="F3006" t="s">
        <v>14</v>
      </c>
      <c r="G3006" t="s">
        <v>41</v>
      </c>
      <c r="H3006" t="s">
        <v>42</v>
      </c>
      <c r="I3006">
        <v>7146.95</v>
      </c>
      <c r="J3006">
        <v>7827.45</v>
      </c>
      <c r="K3006" t="s">
        <v>17</v>
      </c>
      <c r="L3006" t="b">
        <v>0</v>
      </c>
      <c r="N3006" s="2" t="str">
        <f t="shared" si="259"/>
        <v/>
      </c>
      <c r="Q3006" t="str">
        <f t="shared" si="260"/>
        <v/>
      </c>
    </row>
    <row r="3007" spans="1:17" hidden="1">
      <c r="A3007" t="s">
        <v>3112</v>
      </c>
      <c r="B3007" s="1">
        <v>45325</v>
      </c>
      <c r="C3007">
        <v>2024</v>
      </c>
      <c r="D3007">
        <v>2</v>
      </c>
      <c r="E3007" t="s">
        <v>37</v>
      </c>
      <c r="F3007" t="s">
        <v>24</v>
      </c>
      <c r="G3007" t="s">
        <v>38</v>
      </c>
      <c r="H3007" t="s">
        <v>39</v>
      </c>
      <c r="I3007">
        <v>4375.4799999999996</v>
      </c>
      <c r="J3007">
        <v>4363.57</v>
      </c>
      <c r="K3007" t="s">
        <v>17</v>
      </c>
      <c r="L3007" t="b">
        <v>0</v>
      </c>
      <c r="N3007" s="2" t="str">
        <f t="shared" si="259"/>
        <v/>
      </c>
      <c r="Q3007" t="str">
        <f t="shared" si="260"/>
        <v/>
      </c>
    </row>
    <row r="3008" spans="1:17" hidden="1">
      <c r="A3008" t="s">
        <v>3113</v>
      </c>
      <c r="B3008" s="1">
        <v>45325</v>
      </c>
      <c r="C3008">
        <v>2024</v>
      </c>
      <c r="D3008">
        <v>2</v>
      </c>
      <c r="E3008" t="s">
        <v>37</v>
      </c>
      <c r="F3008" t="s">
        <v>24</v>
      </c>
      <c r="G3008" t="s">
        <v>98</v>
      </c>
      <c r="H3008" t="s">
        <v>185</v>
      </c>
      <c r="I3008">
        <v>3443.71</v>
      </c>
      <c r="J3008">
        <v>3565.82</v>
      </c>
      <c r="K3008" t="s">
        <v>17</v>
      </c>
      <c r="L3008" t="b">
        <v>0</v>
      </c>
      <c r="N3008" s="2" t="str">
        <f t="shared" si="259"/>
        <v/>
      </c>
      <c r="Q3008" t="str">
        <f t="shared" si="260"/>
        <v/>
      </c>
    </row>
    <row r="3009" spans="1:17" hidden="1">
      <c r="A3009" t="s">
        <v>3114</v>
      </c>
      <c r="B3009" s="1">
        <v>45326</v>
      </c>
      <c r="C3009">
        <v>2024</v>
      </c>
      <c r="D3009">
        <v>2</v>
      </c>
      <c r="E3009" t="s">
        <v>13</v>
      </c>
      <c r="F3009" t="s">
        <v>14</v>
      </c>
      <c r="G3009" t="s">
        <v>102</v>
      </c>
      <c r="H3009" t="s">
        <v>145</v>
      </c>
      <c r="I3009">
        <v>1547.21</v>
      </c>
      <c r="J3009">
        <v>1619.44</v>
      </c>
      <c r="K3009" t="s">
        <v>17</v>
      </c>
      <c r="L3009" t="b">
        <v>0</v>
      </c>
      <c r="N3009" s="2" t="str">
        <f t="shared" si="259"/>
        <v/>
      </c>
      <c r="Q3009" t="str">
        <f t="shared" si="260"/>
        <v/>
      </c>
    </row>
    <row r="3010" spans="1:17" hidden="1">
      <c r="A3010" t="s">
        <v>3115</v>
      </c>
      <c r="B3010" s="1">
        <v>45326</v>
      </c>
      <c r="C3010">
        <v>2024</v>
      </c>
      <c r="D3010">
        <v>2</v>
      </c>
      <c r="E3010" t="s">
        <v>13</v>
      </c>
      <c r="F3010" t="s">
        <v>28</v>
      </c>
      <c r="G3010" t="s">
        <v>102</v>
      </c>
      <c r="H3010" t="s">
        <v>278</v>
      </c>
      <c r="I3010">
        <v>4055.02</v>
      </c>
      <c r="J3010">
        <v>3664.08</v>
      </c>
      <c r="K3010" t="s">
        <v>17</v>
      </c>
      <c r="L3010" t="b">
        <v>0</v>
      </c>
      <c r="N3010" s="2" t="str">
        <f t="shared" si="259"/>
        <v/>
      </c>
      <c r="Q3010" t="str">
        <f t="shared" si="260"/>
        <v/>
      </c>
    </row>
    <row r="3011" spans="1:17" hidden="1">
      <c r="A3011" t="s">
        <v>3116</v>
      </c>
      <c r="B3011" s="1">
        <v>45326</v>
      </c>
      <c r="C3011">
        <v>2024</v>
      </c>
      <c r="D3011">
        <v>2</v>
      </c>
      <c r="E3011" t="s">
        <v>13</v>
      </c>
      <c r="F3011" t="s">
        <v>28</v>
      </c>
      <c r="G3011" t="s">
        <v>102</v>
      </c>
      <c r="H3011" t="s">
        <v>103</v>
      </c>
      <c r="I3011">
        <v>3749.68</v>
      </c>
      <c r="J3011">
        <v>3525.55</v>
      </c>
      <c r="K3011" t="s">
        <v>17</v>
      </c>
      <c r="L3011" t="b">
        <v>0</v>
      </c>
      <c r="N3011" s="2" t="str">
        <f t="shared" ref="N3011:N3074" si="265">IF(AND(E3011="IT",K3011="EXPENSE"),I3011&gt;J3011,"")</f>
        <v/>
      </c>
      <c r="Q3011" t="str">
        <f t="shared" ref="Q3011:Q3074" si="266">IF(L3011=TRUE,OR(H3011="Apex Solutions Inc",H3011="Global Trade Partners",H3011="NovaTech Services"),"")</f>
        <v/>
      </c>
    </row>
    <row r="3012" spans="1:17" hidden="1">
      <c r="A3012" t="s">
        <v>3117</v>
      </c>
      <c r="B3012" s="1">
        <v>45326</v>
      </c>
      <c r="C3012">
        <v>2024</v>
      </c>
      <c r="D3012">
        <v>2</v>
      </c>
      <c r="E3012" t="s">
        <v>19</v>
      </c>
      <c r="F3012" t="s">
        <v>24</v>
      </c>
      <c r="G3012" t="s">
        <v>54</v>
      </c>
      <c r="H3012" t="s">
        <v>55</v>
      </c>
      <c r="I3012">
        <v>4902.24</v>
      </c>
      <c r="J3012">
        <v>4751.71</v>
      </c>
      <c r="K3012" t="s">
        <v>17</v>
      </c>
      <c r="L3012" t="b">
        <v>0</v>
      </c>
      <c r="N3012" s="2" t="str">
        <f t="shared" si="265"/>
        <v/>
      </c>
      <c r="Q3012" t="str">
        <f t="shared" si="266"/>
        <v/>
      </c>
    </row>
    <row r="3013" spans="1:17" hidden="1">
      <c r="A3013" t="s">
        <v>3118</v>
      </c>
      <c r="B3013" s="1">
        <v>45327</v>
      </c>
      <c r="C3013">
        <v>2024</v>
      </c>
      <c r="D3013">
        <v>2</v>
      </c>
      <c r="E3013" t="s">
        <v>13</v>
      </c>
      <c r="F3013" t="s">
        <v>24</v>
      </c>
      <c r="G3013" t="s">
        <v>15</v>
      </c>
      <c r="H3013" t="s">
        <v>45</v>
      </c>
      <c r="I3013">
        <v>4287.3500000000004</v>
      </c>
      <c r="J3013">
        <v>4504.28</v>
      </c>
      <c r="K3013" t="s">
        <v>17</v>
      </c>
      <c r="L3013" t="b">
        <v>0</v>
      </c>
      <c r="N3013" s="2" t="str">
        <f t="shared" si="265"/>
        <v/>
      </c>
      <c r="Q3013" t="str">
        <f t="shared" si="266"/>
        <v/>
      </c>
    </row>
    <row r="3014" spans="1:17" hidden="1">
      <c r="A3014" t="s">
        <v>3119</v>
      </c>
      <c r="B3014" s="1">
        <v>45327</v>
      </c>
      <c r="C3014">
        <v>2024</v>
      </c>
      <c r="D3014">
        <v>2</v>
      </c>
      <c r="E3014" t="s">
        <v>47</v>
      </c>
      <c r="F3014" t="s">
        <v>24</v>
      </c>
      <c r="G3014" t="s">
        <v>77</v>
      </c>
      <c r="H3014" t="s">
        <v>147</v>
      </c>
      <c r="I3014">
        <v>12201.75</v>
      </c>
      <c r="J3014">
        <v>10245.23</v>
      </c>
      <c r="K3014" t="s">
        <v>17</v>
      </c>
      <c r="L3014" t="b">
        <v>0</v>
      </c>
      <c r="N3014" s="2" t="b">
        <f t="shared" si="265"/>
        <v>1</v>
      </c>
      <c r="O3014" t="str">
        <f>IF(AND(E3003="HR",K3003="EXPENSE"),I3003&lt;J3003,"")</f>
        <v/>
      </c>
      <c r="Q3014" t="str">
        <f t="shared" si="266"/>
        <v/>
      </c>
    </row>
    <row r="3015" spans="1:17" hidden="1">
      <c r="A3015" t="s">
        <v>3120</v>
      </c>
      <c r="B3015" s="1">
        <v>45327</v>
      </c>
      <c r="C3015">
        <v>2024</v>
      </c>
      <c r="D3015">
        <v>2</v>
      </c>
      <c r="E3015" t="s">
        <v>19</v>
      </c>
      <c r="F3015" t="s">
        <v>24</v>
      </c>
      <c r="G3015" t="s">
        <v>20</v>
      </c>
      <c r="H3015" t="s">
        <v>21</v>
      </c>
      <c r="I3015">
        <v>4984.6400000000003</v>
      </c>
      <c r="J3015">
        <v>4586.62</v>
      </c>
      <c r="K3015" t="s">
        <v>17</v>
      </c>
      <c r="L3015" t="b">
        <v>0</v>
      </c>
      <c r="N3015" s="2" t="str">
        <f t="shared" si="265"/>
        <v/>
      </c>
      <c r="Q3015" t="str">
        <f t="shared" si="266"/>
        <v/>
      </c>
    </row>
    <row r="3016" spans="1:17" hidden="1">
      <c r="A3016" t="s">
        <v>3121</v>
      </c>
      <c r="B3016" s="1">
        <v>45327</v>
      </c>
      <c r="C3016">
        <v>2024</v>
      </c>
      <c r="D3016">
        <v>2</v>
      </c>
      <c r="E3016" t="s">
        <v>19</v>
      </c>
      <c r="F3016" t="s">
        <v>24</v>
      </c>
      <c r="G3016" t="s">
        <v>54</v>
      </c>
      <c r="H3016" t="s">
        <v>57</v>
      </c>
      <c r="I3016">
        <v>5569.61</v>
      </c>
      <c r="J3016">
        <v>5383.99</v>
      </c>
      <c r="K3016" t="s">
        <v>17</v>
      </c>
      <c r="L3016" t="b">
        <v>0</v>
      </c>
      <c r="N3016" s="2" t="str">
        <f t="shared" si="265"/>
        <v/>
      </c>
      <c r="Q3016" t="str">
        <f t="shared" si="266"/>
        <v/>
      </c>
    </row>
    <row r="3017" spans="1:17" hidden="1">
      <c r="A3017" t="s">
        <v>3122</v>
      </c>
      <c r="B3017" s="1">
        <v>45327</v>
      </c>
      <c r="C3017">
        <v>2024</v>
      </c>
      <c r="D3017">
        <v>2</v>
      </c>
      <c r="E3017" t="s">
        <v>37</v>
      </c>
      <c r="F3017" t="s">
        <v>24</v>
      </c>
      <c r="G3017" t="s">
        <v>98</v>
      </c>
      <c r="H3017" t="s">
        <v>185</v>
      </c>
      <c r="I3017">
        <v>5771.33</v>
      </c>
      <c r="J3017">
        <v>5270.25</v>
      </c>
      <c r="K3017" t="s">
        <v>17</v>
      </c>
      <c r="L3017" t="b">
        <v>0</v>
      </c>
      <c r="N3017" s="2" t="str">
        <f t="shared" si="265"/>
        <v/>
      </c>
      <c r="Q3017" t="str">
        <f t="shared" si="266"/>
        <v/>
      </c>
    </row>
    <row r="3018" spans="1:17" hidden="1">
      <c r="A3018" t="s">
        <v>3123</v>
      </c>
      <c r="B3018" s="1">
        <v>45328</v>
      </c>
      <c r="C3018">
        <v>2024</v>
      </c>
      <c r="D3018">
        <v>2</v>
      </c>
      <c r="E3018" t="s">
        <v>37</v>
      </c>
      <c r="F3018" t="s">
        <v>14</v>
      </c>
      <c r="G3018" t="s">
        <v>38</v>
      </c>
      <c r="H3018" t="s">
        <v>227</v>
      </c>
      <c r="I3018">
        <v>5201.5600000000004</v>
      </c>
      <c r="J3018">
        <v>5453.64</v>
      </c>
      <c r="K3018" t="s">
        <v>17</v>
      </c>
      <c r="L3018" t="b">
        <v>0</v>
      </c>
      <c r="N3018" s="2" t="str">
        <f t="shared" si="265"/>
        <v/>
      </c>
      <c r="Q3018" t="str">
        <f t="shared" si="266"/>
        <v/>
      </c>
    </row>
    <row r="3019" spans="1:17" hidden="1">
      <c r="A3019" t="s">
        <v>3124</v>
      </c>
      <c r="B3019" s="1">
        <v>45328</v>
      </c>
      <c r="C3019">
        <v>2024</v>
      </c>
      <c r="D3019">
        <v>2</v>
      </c>
      <c r="E3019" t="s">
        <v>37</v>
      </c>
      <c r="F3019" t="s">
        <v>24</v>
      </c>
      <c r="G3019" t="s">
        <v>38</v>
      </c>
      <c r="H3019" t="s">
        <v>118</v>
      </c>
      <c r="I3019">
        <v>4729.87</v>
      </c>
      <c r="J3019">
        <v>4711.84</v>
      </c>
      <c r="K3019" t="s">
        <v>17</v>
      </c>
      <c r="L3019" t="b">
        <v>0</v>
      </c>
      <c r="N3019" s="2" t="str">
        <f t="shared" si="265"/>
        <v/>
      </c>
      <c r="Q3019" t="str">
        <f t="shared" si="266"/>
        <v/>
      </c>
    </row>
    <row r="3020" spans="1:17" hidden="1">
      <c r="A3020" t="s">
        <v>3125</v>
      </c>
      <c r="B3020" s="1">
        <v>45329</v>
      </c>
      <c r="C3020">
        <v>2024</v>
      </c>
      <c r="D3020">
        <v>2</v>
      </c>
      <c r="E3020" t="s">
        <v>13</v>
      </c>
      <c r="F3020" t="s">
        <v>24</v>
      </c>
      <c r="G3020" t="s">
        <v>68</v>
      </c>
      <c r="H3020" t="s">
        <v>87</v>
      </c>
      <c r="I3020">
        <v>3082.21</v>
      </c>
      <c r="J3020">
        <v>3073.81</v>
      </c>
      <c r="K3020" t="s">
        <v>17</v>
      </c>
      <c r="L3020" t="b">
        <v>0</v>
      </c>
      <c r="N3020" s="2" t="str">
        <f t="shared" si="265"/>
        <v/>
      </c>
      <c r="Q3020" t="str">
        <f t="shared" si="266"/>
        <v/>
      </c>
    </row>
    <row r="3021" spans="1:17" hidden="1">
      <c r="A3021" t="s">
        <v>3126</v>
      </c>
      <c r="B3021" s="1">
        <v>45329</v>
      </c>
      <c r="C3021">
        <v>2024</v>
      </c>
      <c r="D3021">
        <v>2</v>
      </c>
      <c r="E3021" t="s">
        <v>47</v>
      </c>
      <c r="F3021" t="s">
        <v>14</v>
      </c>
      <c r="G3021" t="s">
        <v>77</v>
      </c>
      <c r="H3021" t="s">
        <v>78</v>
      </c>
      <c r="I3021">
        <v>11434.63</v>
      </c>
      <c r="J3021">
        <v>9885.9599999999991</v>
      </c>
      <c r="K3021" t="s">
        <v>17</v>
      </c>
      <c r="L3021" t="b">
        <v>0</v>
      </c>
      <c r="N3021" s="2" t="b">
        <f t="shared" si="265"/>
        <v>1</v>
      </c>
      <c r="O3021" t="b">
        <f t="shared" ref="O3021:O3022" si="267">IF(AND(E3010="HR",K3010="EXPENSE"),I3010&lt;J3010,"")</f>
        <v>0</v>
      </c>
      <c r="Q3021" t="str">
        <f t="shared" si="266"/>
        <v/>
      </c>
    </row>
    <row r="3022" spans="1:17" hidden="1">
      <c r="A3022" t="s">
        <v>3127</v>
      </c>
      <c r="B3022" s="1">
        <v>45329</v>
      </c>
      <c r="C3022">
        <v>2024</v>
      </c>
      <c r="D3022">
        <v>2</v>
      </c>
      <c r="E3022" t="s">
        <v>47</v>
      </c>
      <c r="F3022" t="s">
        <v>24</v>
      </c>
      <c r="G3022" t="s">
        <v>51</v>
      </c>
      <c r="H3022" t="s">
        <v>52</v>
      </c>
      <c r="I3022">
        <v>11623.32</v>
      </c>
      <c r="J3022">
        <v>9958.84</v>
      </c>
      <c r="K3022" t="s">
        <v>17</v>
      </c>
      <c r="L3022" t="b">
        <v>0</v>
      </c>
      <c r="N3022" s="2" t="b">
        <f t="shared" si="265"/>
        <v>1</v>
      </c>
      <c r="O3022" t="b">
        <f t="shared" si="267"/>
        <v>0</v>
      </c>
      <c r="Q3022" t="str">
        <f t="shared" si="266"/>
        <v/>
      </c>
    </row>
    <row r="3023" spans="1:17" hidden="1">
      <c r="A3023" t="s">
        <v>3128</v>
      </c>
      <c r="B3023" s="1">
        <v>45329</v>
      </c>
      <c r="C3023">
        <v>2024</v>
      </c>
      <c r="D3023">
        <v>2</v>
      </c>
      <c r="E3023" t="s">
        <v>19</v>
      </c>
      <c r="F3023" t="s">
        <v>14</v>
      </c>
      <c r="G3023" t="s">
        <v>132</v>
      </c>
      <c r="H3023" t="s">
        <v>133</v>
      </c>
      <c r="I3023">
        <v>4687.25</v>
      </c>
      <c r="J3023">
        <v>5067.71</v>
      </c>
      <c r="K3023" t="s">
        <v>17</v>
      </c>
      <c r="L3023" t="b">
        <v>0</v>
      </c>
      <c r="N3023" s="2" t="str">
        <f t="shared" si="265"/>
        <v/>
      </c>
      <c r="Q3023" t="str">
        <f t="shared" si="266"/>
        <v/>
      </c>
    </row>
    <row r="3024" spans="1:17" hidden="1">
      <c r="A3024" t="s">
        <v>3129</v>
      </c>
      <c r="B3024" s="1">
        <v>45329</v>
      </c>
      <c r="C3024">
        <v>2024</v>
      </c>
      <c r="D3024">
        <v>2</v>
      </c>
      <c r="E3024" t="s">
        <v>23</v>
      </c>
      <c r="F3024" t="s">
        <v>28</v>
      </c>
      <c r="G3024" t="s">
        <v>59</v>
      </c>
      <c r="H3024" t="s">
        <v>60</v>
      </c>
      <c r="I3024">
        <v>5170.22</v>
      </c>
      <c r="J3024">
        <v>5209.91</v>
      </c>
      <c r="K3024" t="s">
        <v>17</v>
      </c>
      <c r="L3024" t="b">
        <v>0</v>
      </c>
      <c r="N3024" s="2" t="str">
        <f t="shared" si="265"/>
        <v/>
      </c>
      <c r="Q3024" t="str">
        <f t="shared" si="266"/>
        <v/>
      </c>
    </row>
    <row r="3025" spans="1:17" hidden="1">
      <c r="A3025" t="s">
        <v>3130</v>
      </c>
      <c r="B3025" s="1">
        <v>45329</v>
      </c>
      <c r="C3025">
        <v>2024</v>
      </c>
      <c r="D3025">
        <v>2</v>
      </c>
      <c r="E3025" t="s">
        <v>23</v>
      </c>
      <c r="F3025" t="s">
        <v>28</v>
      </c>
      <c r="G3025" t="s">
        <v>141</v>
      </c>
      <c r="H3025" t="s">
        <v>209</v>
      </c>
      <c r="I3025">
        <v>4117.34</v>
      </c>
      <c r="J3025">
        <v>4517.43</v>
      </c>
      <c r="K3025" t="s">
        <v>17</v>
      </c>
      <c r="L3025" t="b">
        <v>0</v>
      </c>
      <c r="N3025" s="2" t="str">
        <f t="shared" si="265"/>
        <v/>
      </c>
      <c r="Q3025" t="str">
        <f t="shared" si="266"/>
        <v/>
      </c>
    </row>
    <row r="3026" spans="1:17" hidden="1">
      <c r="A3026" t="s">
        <v>3131</v>
      </c>
      <c r="B3026" s="1">
        <v>45329</v>
      </c>
      <c r="C3026">
        <v>2024</v>
      </c>
      <c r="D3026">
        <v>2</v>
      </c>
      <c r="E3026" t="s">
        <v>23</v>
      </c>
      <c r="F3026" t="s">
        <v>28</v>
      </c>
      <c r="G3026" t="s">
        <v>25</v>
      </c>
      <c r="H3026" t="s">
        <v>26</v>
      </c>
      <c r="I3026">
        <v>4606.9799999999996</v>
      </c>
      <c r="J3026">
        <v>4166.68</v>
      </c>
      <c r="K3026" t="s">
        <v>17</v>
      </c>
      <c r="L3026" t="b">
        <v>0</v>
      </c>
      <c r="N3026" s="2" t="str">
        <f t="shared" si="265"/>
        <v/>
      </c>
      <c r="Q3026" t="str">
        <f t="shared" si="266"/>
        <v/>
      </c>
    </row>
    <row r="3027" spans="1:17" hidden="1">
      <c r="A3027" t="s">
        <v>3132</v>
      </c>
      <c r="B3027" s="1">
        <v>45329</v>
      </c>
      <c r="C3027">
        <v>2024</v>
      </c>
      <c r="D3027">
        <v>2</v>
      </c>
      <c r="E3027" t="s">
        <v>23</v>
      </c>
      <c r="F3027" t="s">
        <v>24</v>
      </c>
      <c r="G3027" t="s">
        <v>141</v>
      </c>
      <c r="H3027" t="s">
        <v>209</v>
      </c>
      <c r="I3027">
        <v>5578.3</v>
      </c>
      <c r="J3027">
        <v>5650.9</v>
      </c>
      <c r="K3027" t="s">
        <v>17</v>
      </c>
      <c r="L3027" t="b">
        <v>0</v>
      </c>
      <c r="N3027" s="2" t="str">
        <f t="shared" si="265"/>
        <v/>
      </c>
      <c r="Q3027" t="str">
        <f t="shared" si="266"/>
        <v/>
      </c>
    </row>
    <row r="3028" spans="1:17" hidden="1">
      <c r="A3028" t="s">
        <v>3133</v>
      </c>
      <c r="B3028" s="1">
        <v>45329</v>
      </c>
      <c r="C3028">
        <v>2024</v>
      </c>
      <c r="D3028">
        <v>2</v>
      </c>
      <c r="E3028" t="s">
        <v>37</v>
      </c>
      <c r="F3028" t="s">
        <v>28</v>
      </c>
      <c r="G3028" t="s">
        <v>38</v>
      </c>
      <c r="H3028" t="s">
        <v>118</v>
      </c>
      <c r="I3028">
        <v>4475.57</v>
      </c>
      <c r="J3028">
        <v>4281.6000000000004</v>
      </c>
      <c r="K3028" t="s">
        <v>17</v>
      </c>
      <c r="L3028" t="b">
        <v>0</v>
      </c>
      <c r="N3028" s="2" t="str">
        <f t="shared" si="265"/>
        <v/>
      </c>
      <c r="Q3028" t="str">
        <f t="shared" si="266"/>
        <v/>
      </c>
    </row>
    <row r="3029" spans="1:17" hidden="1">
      <c r="A3029" t="s">
        <v>3134</v>
      </c>
      <c r="B3029" s="1">
        <v>45329</v>
      </c>
      <c r="C3029">
        <v>2024</v>
      </c>
      <c r="D3029">
        <v>2</v>
      </c>
      <c r="E3029" t="s">
        <v>37</v>
      </c>
      <c r="F3029" t="s">
        <v>28</v>
      </c>
      <c r="G3029" t="s">
        <v>38</v>
      </c>
      <c r="H3029" t="s">
        <v>118</v>
      </c>
      <c r="I3029">
        <v>3091.17</v>
      </c>
      <c r="J3029">
        <v>3027.02</v>
      </c>
      <c r="K3029" t="s">
        <v>17</v>
      </c>
      <c r="L3029" t="b">
        <v>0</v>
      </c>
      <c r="N3029" s="2" t="str">
        <f t="shared" si="265"/>
        <v/>
      </c>
      <c r="Q3029" t="str">
        <f t="shared" si="266"/>
        <v/>
      </c>
    </row>
    <row r="3030" spans="1:17" hidden="1">
      <c r="A3030" t="s">
        <v>3135</v>
      </c>
      <c r="B3030" s="1">
        <v>45329</v>
      </c>
      <c r="C3030">
        <v>2024</v>
      </c>
      <c r="D3030">
        <v>2</v>
      </c>
      <c r="E3030" t="s">
        <v>37</v>
      </c>
      <c r="F3030" t="s">
        <v>24</v>
      </c>
      <c r="G3030" t="s">
        <v>98</v>
      </c>
      <c r="H3030" t="s">
        <v>185</v>
      </c>
      <c r="I3030">
        <v>4255.72</v>
      </c>
      <c r="J3030">
        <v>4272.88</v>
      </c>
      <c r="K3030" t="s">
        <v>17</v>
      </c>
      <c r="L3030" t="b">
        <v>0</v>
      </c>
      <c r="N3030" s="2" t="str">
        <f t="shared" si="265"/>
        <v/>
      </c>
      <c r="Q3030" t="str">
        <f t="shared" si="266"/>
        <v/>
      </c>
    </row>
    <row r="3031" spans="1:17" hidden="1">
      <c r="A3031" t="s">
        <v>3136</v>
      </c>
      <c r="B3031" s="1">
        <v>45330</v>
      </c>
      <c r="C3031">
        <v>2024</v>
      </c>
      <c r="D3031">
        <v>2</v>
      </c>
      <c r="E3031" t="s">
        <v>13</v>
      </c>
      <c r="F3031" t="s">
        <v>14</v>
      </c>
      <c r="G3031" t="s">
        <v>108</v>
      </c>
      <c r="H3031" t="s">
        <v>109</v>
      </c>
      <c r="I3031">
        <v>4113.71</v>
      </c>
      <c r="J3031">
        <v>4155.93</v>
      </c>
      <c r="K3031" t="s">
        <v>17</v>
      </c>
      <c r="L3031" t="b">
        <v>0</v>
      </c>
      <c r="N3031" s="2" t="str">
        <f t="shared" si="265"/>
        <v/>
      </c>
      <c r="Q3031" t="str">
        <f t="shared" si="266"/>
        <v/>
      </c>
    </row>
    <row r="3032" spans="1:17" hidden="1">
      <c r="A3032" t="s">
        <v>3137</v>
      </c>
      <c r="B3032" s="1">
        <v>45330</v>
      </c>
      <c r="C3032">
        <v>2024</v>
      </c>
      <c r="D3032">
        <v>2</v>
      </c>
      <c r="E3032" t="s">
        <v>13</v>
      </c>
      <c r="F3032" t="s">
        <v>14</v>
      </c>
      <c r="G3032" t="s">
        <v>108</v>
      </c>
      <c r="H3032" t="s">
        <v>109</v>
      </c>
      <c r="I3032">
        <v>2894.5</v>
      </c>
      <c r="J3032">
        <v>2997.16</v>
      </c>
      <c r="K3032" t="s">
        <v>17</v>
      </c>
      <c r="L3032" t="b">
        <v>0</v>
      </c>
      <c r="N3032" s="2" t="str">
        <f t="shared" si="265"/>
        <v/>
      </c>
      <c r="Q3032" t="str">
        <f t="shared" si="266"/>
        <v/>
      </c>
    </row>
    <row r="3033" spans="1:17" hidden="1">
      <c r="A3033" t="s">
        <v>3138</v>
      </c>
      <c r="B3033" s="1">
        <v>45330</v>
      </c>
      <c r="C3033">
        <v>2024</v>
      </c>
      <c r="D3033">
        <v>2</v>
      </c>
      <c r="E3033" t="s">
        <v>13</v>
      </c>
      <c r="F3033" t="s">
        <v>28</v>
      </c>
      <c r="G3033" t="s">
        <v>102</v>
      </c>
      <c r="H3033" t="s">
        <v>103</v>
      </c>
      <c r="I3033">
        <v>3405.83</v>
      </c>
      <c r="J3033">
        <v>3345.71</v>
      </c>
      <c r="K3033" t="s">
        <v>17</v>
      </c>
      <c r="L3033" t="b">
        <v>0</v>
      </c>
      <c r="N3033" s="2" t="str">
        <f t="shared" si="265"/>
        <v/>
      </c>
      <c r="Q3033" t="str">
        <f t="shared" si="266"/>
        <v/>
      </c>
    </row>
    <row r="3034" spans="1:17" hidden="1">
      <c r="A3034" t="s">
        <v>3139</v>
      </c>
      <c r="B3034" s="1">
        <v>45330</v>
      </c>
      <c r="C3034">
        <v>2024</v>
      </c>
      <c r="D3034">
        <v>2</v>
      </c>
      <c r="E3034" t="s">
        <v>13</v>
      </c>
      <c r="F3034" t="s">
        <v>28</v>
      </c>
      <c r="G3034" t="s">
        <v>68</v>
      </c>
      <c r="H3034" t="s">
        <v>213</v>
      </c>
      <c r="I3034">
        <v>2216.02</v>
      </c>
      <c r="J3034">
        <v>2302.9</v>
      </c>
      <c r="K3034" t="s">
        <v>17</v>
      </c>
      <c r="L3034" t="b">
        <v>0</v>
      </c>
      <c r="N3034" s="2" t="str">
        <f t="shared" si="265"/>
        <v/>
      </c>
      <c r="Q3034" t="str">
        <f t="shared" si="266"/>
        <v/>
      </c>
    </row>
    <row r="3035" spans="1:17" hidden="1">
      <c r="A3035" t="s">
        <v>3140</v>
      </c>
      <c r="B3035" s="1">
        <v>45330</v>
      </c>
      <c r="C3035">
        <v>2024</v>
      </c>
      <c r="D3035">
        <v>2</v>
      </c>
      <c r="E3035" t="s">
        <v>13</v>
      </c>
      <c r="F3035" t="s">
        <v>28</v>
      </c>
      <c r="G3035" t="s">
        <v>108</v>
      </c>
      <c r="H3035" t="s">
        <v>123</v>
      </c>
      <c r="I3035">
        <v>4277.63</v>
      </c>
      <c r="J3035">
        <v>3942.23</v>
      </c>
      <c r="K3035" t="s">
        <v>17</v>
      </c>
      <c r="L3035" t="b">
        <v>0</v>
      </c>
      <c r="N3035" s="2" t="str">
        <f t="shared" si="265"/>
        <v/>
      </c>
      <c r="Q3035" t="str">
        <f t="shared" si="266"/>
        <v/>
      </c>
    </row>
    <row r="3036" spans="1:17" hidden="1">
      <c r="A3036" t="s">
        <v>3141</v>
      </c>
      <c r="B3036" s="1">
        <v>45330</v>
      </c>
      <c r="C3036">
        <v>2024</v>
      </c>
      <c r="D3036">
        <v>2</v>
      </c>
      <c r="E3036" t="s">
        <v>13</v>
      </c>
      <c r="F3036" t="s">
        <v>24</v>
      </c>
      <c r="G3036" t="s">
        <v>102</v>
      </c>
      <c r="H3036" t="s">
        <v>103</v>
      </c>
      <c r="I3036">
        <v>2667.15</v>
      </c>
      <c r="J3036">
        <v>2683.61</v>
      </c>
      <c r="K3036" t="s">
        <v>17</v>
      </c>
      <c r="L3036" t="b">
        <v>0</v>
      </c>
      <c r="N3036" s="2" t="str">
        <f t="shared" si="265"/>
        <v/>
      </c>
      <c r="Q3036" t="str">
        <f t="shared" si="266"/>
        <v/>
      </c>
    </row>
    <row r="3037" spans="1:17" hidden="1">
      <c r="A3037" t="s">
        <v>3142</v>
      </c>
      <c r="B3037" s="1">
        <v>45330</v>
      </c>
      <c r="C3037">
        <v>2024</v>
      </c>
      <c r="D3037">
        <v>2</v>
      </c>
      <c r="E3037" t="s">
        <v>19</v>
      </c>
      <c r="F3037" t="s">
        <v>28</v>
      </c>
      <c r="G3037" t="s">
        <v>80</v>
      </c>
      <c r="H3037" t="s">
        <v>113</v>
      </c>
      <c r="I3037">
        <v>5100.25</v>
      </c>
      <c r="J3037">
        <v>4803.9399999999996</v>
      </c>
      <c r="K3037" t="s">
        <v>17</v>
      </c>
      <c r="L3037" t="b">
        <v>0</v>
      </c>
      <c r="N3037" s="2" t="str">
        <f t="shared" si="265"/>
        <v/>
      </c>
      <c r="Q3037" t="str">
        <f t="shared" si="266"/>
        <v/>
      </c>
    </row>
    <row r="3038" spans="1:17" hidden="1">
      <c r="A3038" t="s">
        <v>3143</v>
      </c>
      <c r="B3038" s="1">
        <v>45330</v>
      </c>
      <c r="C3038">
        <v>2024</v>
      </c>
      <c r="D3038">
        <v>2</v>
      </c>
      <c r="E3038" t="s">
        <v>23</v>
      </c>
      <c r="F3038" t="s">
        <v>14</v>
      </c>
      <c r="G3038" t="s">
        <v>141</v>
      </c>
      <c r="H3038" t="s">
        <v>209</v>
      </c>
      <c r="I3038">
        <v>3906.81</v>
      </c>
      <c r="J3038">
        <v>3969.9</v>
      </c>
      <c r="K3038" t="s">
        <v>17</v>
      </c>
      <c r="L3038" t="b">
        <v>0</v>
      </c>
      <c r="N3038" s="2" t="str">
        <f t="shared" si="265"/>
        <v/>
      </c>
      <c r="Q3038" t="str">
        <f t="shared" si="266"/>
        <v/>
      </c>
    </row>
    <row r="3039" spans="1:17" hidden="1">
      <c r="A3039" t="s">
        <v>3144</v>
      </c>
      <c r="B3039" s="1">
        <v>45330</v>
      </c>
      <c r="C3039">
        <v>2024</v>
      </c>
      <c r="D3039">
        <v>2</v>
      </c>
      <c r="E3039" t="s">
        <v>23</v>
      </c>
      <c r="F3039" t="s">
        <v>14</v>
      </c>
      <c r="G3039" t="s">
        <v>25</v>
      </c>
      <c r="H3039" t="s">
        <v>26</v>
      </c>
      <c r="I3039">
        <v>6967.21</v>
      </c>
      <c r="J3039">
        <v>7251.62</v>
      </c>
      <c r="K3039" t="s">
        <v>17</v>
      </c>
      <c r="L3039" t="b">
        <v>0</v>
      </c>
      <c r="N3039" s="2" t="str">
        <f t="shared" si="265"/>
        <v/>
      </c>
      <c r="Q3039" t="str">
        <f t="shared" si="266"/>
        <v/>
      </c>
    </row>
    <row r="3040" spans="1:17" hidden="1">
      <c r="A3040" t="s">
        <v>3145</v>
      </c>
      <c r="B3040" s="1">
        <v>45330</v>
      </c>
      <c r="C3040">
        <v>2024</v>
      </c>
      <c r="D3040">
        <v>2</v>
      </c>
      <c r="E3040" t="s">
        <v>23</v>
      </c>
      <c r="F3040" t="s">
        <v>14</v>
      </c>
      <c r="G3040" t="s">
        <v>25</v>
      </c>
      <c r="H3040" t="s">
        <v>35</v>
      </c>
      <c r="I3040">
        <v>6640.01</v>
      </c>
      <c r="J3040">
        <v>6759.17</v>
      </c>
      <c r="K3040" t="s">
        <v>17</v>
      </c>
      <c r="L3040" t="b">
        <v>0</v>
      </c>
      <c r="N3040" s="2" t="str">
        <f t="shared" si="265"/>
        <v/>
      </c>
      <c r="Q3040" t="str">
        <f t="shared" si="266"/>
        <v/>
      </c>
    </row>
    <row r="3041" spans="1:17" hidden="1">
      <c r="A3041" t="s">
        <v>3146</v>
      </c>
      <c r="B3041" s="1">
        <v>45330</v>
      </c>
      <c r="C3041">
        <v>2024</v>
      </c>
      <c r="D3041">
        <v>2</v>
      </c>
      <c r="E3041" t="s">
        <v>23</v>
      </c>
      <c r="F3041" t="s">
        <v>24</v>
      </c>
      <c r="G3041" t="s">
        <v>141</v>
      </c>
      <c r="H3041" t="s">
        <v>142</v>
      </c>
      <c r="I3041">
        <v>6779.43</v>
      </c>
      <c r="J3041">
        <v>6548.89</v>
      </c>
      <c r="K3041" t="s">
        <v>17</v>
      </c>
      <c r="L3041" t="b">
        <v>0</v>
      </c>
      <c r="N3041" s="2" t="str">
        <f t="shared" si="265"/>
        <v/>
      </c>
      <c r="Q3041" t="str">
        <f t="shared" si="266"/>
        <v/>
      </c>
    </row>
    <row r="3042" spans="1:17" hidden="1">
      <c r="A3042" t="s">
        <v>3147</v>
      </c>
      <c r="B3042" s="1">
        <v>45330</v>
      </c>
      <c r="C3042">
        <v>2024</v>
      </c>
      <c r="D3042">
        <v>2</v>
      </c>
      <c r="E3042" t="s">
        <v>37</v>
      </c>
      <c r="F3042" t="s">
        <v>24</v>
      </c>
      <c r="G3042" t="s">
        <v>38</v>
      </c>
      <c r="H3042" t="s">
        <v>227</v>
      </c>
      <c r="I3042">
        <v>6195.78</v>
      </c>
      <c r="J3042">
        <v>5933.27</v>
      </c>
      <c r="K3042" t="s">
        <v>17</v>
      </c>
      <c r="L3042" t="b">
        <v>0</v>
      </c>
      <c r="N3042" s="2" t="str">
        <f t="shared" si="265"/>
        <v/>
      </c>
      <c r="Q3042" t="str">
        <f t="shared" si="266"/>
        <v/>
      </c>
    </row>
    <row r="3043" spans="1:17" hidden="1">
      <c r="A3043" t="s">
        <v>3148</v>
      </c>
      <c r="B3043" s="1">
        <v>45331</v>
      </c>
      <c r="C3043">
        <v>2024</v>
      </c>
      <c r="D3043">
        <v>2</v>
      </c>
      <c r="E3043" t="s">
        <v>19</v>
      </c>
      <c r="F3043" t="s">
        <v>28</v>
      </c>
      <c r="G3043" t="s">
        <v>20</v>
      </c>
      <c r="H3043" t="s">
        <v>174</v>
      </c>
      <c r="I3043">
        <v>6951.36</v>
      </c>
      <c r="J3043">
        <v>7370.32</v>
      </c>
      <c r="K3043" t="s">
        <v>17</v>
      </c>
      <c r="L3043" t="b">
        <v>0</v>
      </c>
      <c r="N3043" s="2" t="str">
        <f t="shared" si="265"/>
        <v/>
      </c>
      <c r="Q3043" t="str">
        <f t="shared" si="266"/>
        <v/>
      </c>
    </row>
    <row r="3044" spans="1:17" hidden="1">
      <c r="A3044" t="s">
        <v>3149</v>
      </c>
      <c r="B3044" s="1">
        <v>45331</v>
      </c>
      <c r="C3044">
        <v>2024</v>
      </c>
      <c r="D3044">
        <v>2</v>
      </c>
      <c r="E3044" t="s">
        <v>19</v>
      </c>
      <c r="F3044" t="s">
        <v>24</v>
      </c>
      <c r="G3044" t="s">
        <v>132</v>
      </c>
      <c r="H3044" t="s">
        <v>133</v>
      </c>
      <c r="I3044">
        <v>5197.16</v>
      </c>
      <c r="J3044">
        <v>5566.28</v>
      </c>
      <c r="K3044" t="s">
        <v>17</v>
      </c>
      <c r="L3044" t="b">
        <v>0</v>
      </c>
      <c r="N3044" s="2" t="str">
        <f t="shared" si="265"/>
        <v/>
      </c>
      <c r="Q3044" t="str">
        <f t="shared" si="266"/>
        <v/>
      </c>
    </row>
    <row r="3045" spans="1:17" hidden="1">
      <c r="A3045" t="s">
        <v>3150</v>
      </c>
      <c r="B3045" s="1">
        <v>45331</v>
      </c>
      <c r="C3045">
        <v>2024</v>
      </c>
      <c r="D3045">
        <v>2</v>
      </c>
      <c r="E3045" t="s">
        <v>19</v>
      </c>
      <c r="F3045" t="s">
        <v>24</v>
      </c>
      <c r="G3045" t="s">
        <v>80</v>
      </c>
      <c r="H3045" t="s">
        <v>217</v>
      </c>
      <c r="I3045">
        <v>5109.45</v>
      </c>
      <c r="J3045">
        <v>5057.46</v>
      </c>
      <c r="K3045" t="s">
        <v>17</v>
      </c>
      <c r="L3045" t="b">
        <v>0</v>
      </c>
      <c r="N3045" s="2" t="str">
        <f t="shared" si="265"/>
        <v/>
      </c>
      <c r="Q3045" t="str">
        <f t="shared" si="266"/>
        <v/>
      </c>
    </row>
    <row r="3046" spans="1:17" hidden="1">
      <c r="A3046" t="s">
        <v>3151</v>
      </c>
      <c r="B3046" s="1">
        <v>45331</v>
      </c>
      <c r="C3046">
        <v>2024</v>
      </c>
      <c r="D3046">
        <v>2</v>
      </c>
      <c r="E3046" t="s">
        <v>37</v>
      </c>
      <c r="F3046" t="s">
        <v>14</v>
      </c>
      <c r="G3046" t="s">
        <v>41</v>
      </c>
      <c r="H3046" t="s">
        <v>42</v>
      </c>
      <c r="I3046">
        <v>5280.96</v>
      </c>
      <c r="J3046">
        <v>5396.65</v>
      </c>
      <c r="K3046" t="s">
        <v>17</v>
      </c>
      <c r="L3046" t="b">
        <v>0</v>
      </c>
      <c r="N3046" s="2" t="str">
        <f t="shared" si="265"/>
        <v/>
      </c>
      <c r="Q3046" t="str">
        <f t="shared" si="266"/>
        <v/>
      </c>
    </row>
    <row r="3047" spans="1:17" hidden="1">
      <c r="A3047" t="s">
        <v>3152</v>
      </c>
      <c r="B3047" s="1">
        <v>45331</v>
      </c>
      <c r="C3047">
        <v>2024</v>
      </c>
      <c r="D3047">
        <v>2</v>
      </c>
      <c r="E3047" t="s">
        <v>37</v>
      </c>
      <c r="F3047" t="s">
        <v>14</v>
      </c>
      <c r="G3047" t="s">
        <v>98</v>
      </c>
      <c r="H3047" t="s">
        <v>185</v>
      </c>
      <c r="I3047">
        <v>4148.26</v>
      </c>
      <c r="J3047">
        <v>4300.1400000000003</v>
      </c>
      <c r="K3047" t="s">
        <v>17</v>
      </c>
      <c r="L3047" t="b">
        <v>0</v>
      </c>
      <c r="N3047" s="2" t="str">
        <f t="shared" si="265"/>
        <v/>
      </c>
      <c r="Q3047" t="str">
        <f t="shared" si="266"/>
        <v/>
      </c>
    </row>
    <row r="3048" spans="1:17" hidden="1">
      <c r="A3048" t="s">
        <v>3153</v>
      </c>
      <c r="B3048" s="1">
        <v>45331</v>
      </c>
      <c r="C3048">
        <v>2024</v>
      </c>
      <c r="D3048">
        <v>2</v>
      </c>
      <c r="E3048" t="s">
        <v>37</v>
      </c>
      <c r="F3048" t="s">
        <v>14</v>
      </c>
      <c r="G3048" t="s">
        <v>38</v>
      </c>
      <c r="H3048" t="s">
        <v>227</v>
      </c>
      <c r="I3048">
        <v>6525.01</v>
      </c>
      <c r="J3048">
        <v>7143.24</v>
      </c>
      <c r="K3048" t="s">
        <v>17</v>
      </c>
      <c r="L3048" t="b">
        <v>0</v>
      </c>
      <c r="N3048" s="2" t="str">
        <f t="shared" si="265"/>
        <v/>
      </c>
      <c r="Q3048" t="str">
        <f t="shared" si="266"/>
        <v/>
      </c>
    </row>
    <row r="3049" spans="1:17" hidden="1">
      <c r="A3049" t="s">
        <v>3154</v>
      </c>
      <c r="B3049" s="1">
        <v>45332</v>
      </c>
      <c r="C3049">
        <v>2024</v>
      </c>
      <c r="D3049">
        <v>2</v>
      </c>
      <c r="E3049" t="s">
        <v>13</v>
      </c>
      <c r="F3049" t="s">
        <v>28</v>
      </c>
      <c r="G3049" t="s">
        <v>102</v>
      </c>
      <c r="H3049" t="s">
        <v>103</v>
      </c>
      <c r="I3049">
        <v>2656.37</v>
      </c>
      <c r="J3049">
        <v>2504.88</v>
      </c>
      <c r="K3049" t="s">
        <v>17</v>
      </c>
      <c r="L3049" t="b">
        <v>0</v>
      </c>
      <c r="N3049" s="2" t="str">
        <f t="shared" si="265"/>
        <v/>
      </c>
      <c r="Q3049" t="str">
        <f t="shared" si="266"/>
        <v/>
      </c>
    </row>
    <row r="3050" spans="1:17" hidden="1">
      <c r="A3050" t="s">
        <v>3155</v>
      </c>
      <c r="B3050" s="1">
        <v>45332</v>
      </c>
      <c r="C3050">
        <v>2024</v>
      </c>
      <c r="D3050">
        <v>2</v>
      </c>
      <c r="E3050" t="s">
        <v>47</v>
      </c>
      <c r="F3050" t="s">
        <v>28</v>
      </c>
      <c r="G3050" t="s">
        <v>48</v>
      </c>
      <c r="H3050" t="s">
        <v>75</v>
      </c>
      <c r="I3050">
        <v>19725.22</v>
      </c>
      <c r="J3050">
        <v>17105.75</v>
      </c>
      <c r="K3050" t="s">
        <v>17</v>
      </c>
      <c r="L3050" t="b">
        <v>0</v>
      </c>
      <c r="N3050" s="2" t="b">
        <f t="shared" si="265"/>
        <v>1</v>
      </c>
      <c r="O3050" t="str">
        <f t="shared" ref="O3050:O3051" si="268">IF(AND(E3039="HR",K3039="EXPENSE"),I3039&lt;J3039,"")</f>
        <v/>
      </c>
      <c r="Q3050" t="str">
        <f t="shared" si="266"/>
        <v/>
      </c>
    </row>
    <row r="3051" spans="1:17" hidden="1">
      <c r="A3051" t="s">
        <v>3156</v>
      </c>
      <c r="B3051" s="1">
        <v>45332</v>
      </c>
      <c r="C3051">
        <v>2024</v>
      </c>
      <c r="D3051">
        <v>2</v>
      </c>
      <c r="E3051" t="s">
        <v>47</v>
      </c>
      <c r="F3051" t="s">
        <v>28</v>
      </c>
      <c r="G3051" t="s">
        <v>51</v>
      </c>
      <c r="H3051" t="s">
        <v>52</v>
      </c>
      <c r="I3051">
        <v>11615.77</v>
      </c>
      <c r="J3051">
        <v>9860.5</v>
      </c>
      <c r="K3051" t="s">
        <v>17</v>
      </c>
      <c r="L3051" t="b">
        <v>0</v>
      </c>
      <c r="N3051" s="2" t="b">
        <f t="shared" si="265"/>
        <v>1</v>
      </c>
      <c r="O3051" t="str">
        <f t="shared" si="268"/>
        <v/>
      </c>
      <c r="Q3051" t="str">
        <f t="shared" si="266"/>
        <v/>
      </c>
    </row>
    <row r="3052" spans="1:17" hidden="1">
      <c r="A3052" t="s">
        <v>3157</v>
      </c>
      <c r="B3052" s="1">
        <v>45332</v>
      </c>
      <c r="C3052">
        <v>2024</v>
      </c>
      <c r="D3052">
        <v>2</v>
      </c>
      <c r="E3052" t="s">
        <v>19</v>
      </c>
      <c r="F3052" t="s">
        <v>14</v>
      </c>
      <c r="G3052" t="s">
        <v>132</v>
      </c>
      <c r="H3052" t="s">
        <v>133</v>
      </c>
      <c r="I3052">
        <v>5107.1000000000004</v>
      </c>
      <c r="J3052">
        <v>5074.8900000000003</v>
      </c>
      <c r="K3052" t="s">
        <v>17</v>
      </c>
      <c r="L3052" t="b">
        <v>0</v>
      </c>
      <c r="N3052" s="2" t="str">
        <f t="shared" si="265"/>
        <v/>
      </c>
      <c r="Q3052" t="str">
        <f t="shared" si="266"/>
        <v/>
      </c>
    </row>
    <row r="3053" spans="1:17" hidden="1">
      <c r="A3053" t="s">
        <v>3158</v>
      </c>
      <c r="B3053" s="1">
        <v>45332</v>
      </c>
      <c r="C3053">
        <v>2024</v>
      </c>
      <c r="D3053">
        <v>2</v>
      </c>
      <c r="E3053" t="s">
        <v>19</v>
      </c>
      <c r="F3053" t="s">
        <v>24</v>
      </c>
      <c r="G3053" t="s">
        <v>54</v>
      </c>
      <c r="H3053" t="s">
        <v>55</v>
      </c>
      <c r="I3053">
        <v>6948.08</v>
      </c>
      <c r="J3053">
        <v>6805.84</v>
      </c>
      <c r="K3053" t="s">
        <v>17</v>
      </c>
      <c r="L3053" t="b">
        <v>0</v>
      </c>
      <c r="N3053" s="2" t="str">
        <f t="shared" si="265"/>
        <v/>
      </c>
      <c r="Q3053" t="str">
        <f t="shared" si="266"/>
        <v/>
      </c>
    </row>
    <row r="3054" spans="1:17" hidden="1">
      <c r="A3054" t="s">
        <v>3159</v>
      </c>
      <c r="B3054" s="1">
        <v>45332</v>
      </c>
      <c r="C3054">
        <v>2024</v>
      </c>
      <c r="D3054">
        <v>2</v>
      </c>
      <c r="E3054" t="s">
        <v>23</v>
      </c>
      <c r="F3054" t="s">
        <v>14</v>
      </c>
      <c r="G3054" t="s">
        <v>59</v>
      </c>
      <c r="H3054" t="s">
        <v>60</v>
      </c>
      <c r="I3054">
        <v>7855.4</v>
      </c>
      <c r="J3054">
        <v>8041.33</v>
      </c>
      <c r="K3054" t="s">
        <v>17</v>
      </c>
      <c r="L3054" t="b">
        <v>0</v>
      </c>
      <c r="N3054" s="2" t="str">
        <f t="shared" si="265"/>
        <v/>
      </c>
      <c r="Q3054" t="str">
        <f t="shared" si="266"/>
        <v/>
      </c>
    </row>
    <row r="3055" spans="1:17" hidden="1">
      <c r="A3055" t="s">
        <v>3160</v>
      </c>
      <c r="B3055" s="1">
        <v>45332</v>
      </c>
      <c r="C3055">
        <v>2024</v>
      </c>
      <c r="D3055">
        <v>2</v>
      </c>
      <c r="E3055" t="s">
        <v>23</v>
      </c>
      <c r="F3055" t="s">
        <v>28</v>
      </c>
      <c r="G3055" t="s">
        <v>25</v>
      </c>
      <c r="H3055" t="s">
        <v>95</v>
      </c>
      <c r="I3055">
        <v>3637.21</v>
      </c>
      <c r="J3055">
        <v>3308.37</v>
      </c>
      <c r="K3055" t="s">
        <v>17</v>
      </c>
      <c r="L3055" t="b">
        <v>0</v>
      </c>
      <c r="N3055" s="2" t="str">
        <f t="shared" si="265"/>
        <v/>
      </c>
      <c r="Q3055" t="str">
        <f t="shared" si="266"/>
        <v/>
      </c>
    </row>
    <row r="3056" spans="1:17" hidden="1">
      <c r="A3056" t="s">
        <v>3161</v>
      </c>
      <c r="B3056" s="1">
        <v>45332</v>
      </c>
      <c r="C3056">
        <v>2024</v>
      </c>
      <c r="D3056">
        <v>2</v>
      </c>
      <c r="E3056" t="s">
        <v>23</v>
      </c>
      <c r="F3056" t="s">
        <v>28</v>
      </c>
      <c r="G3056" t="s">
        <v>141</v>
      </c>
      <c r="H3056" t="s">
        <v>209</v>
      </c>
      <c r="I3056">
        <v>5513.34</v>
      </c>
      <c r="J3056">
        <v>5592.55</v>
      </c>
      <c r="K3056" t="s">
        <v>17</v>
      </c>
      <c r="L3056" t="b">
        <v>0</v>
      </c>
      <c r="N3056" s="2" t="str">
        <f t="shared" si="265"/>
        <v/>
      </c>
      <c r="Q3056" t="str">
        <f t="shared" si="266"/>
        <v/>
      </c>
    </row>
    <row r="3057" spans="1:17" hidden="1">
      <c r="A3057" t="s">
        <v>3162</v>
      </c>
      <c r="B3057" s="1">
        <v>45332</v>
      </c>
      <c r="C3057">
        <v>2024</v>
      </c>
      <c r="D3057">
        <v>2</v>
      </c>
      <c r="E3057" t="s">
        <v>23</v>
      </c>
      <c r="F3057" t="s">
        <v>24</v>
      </c>
      <c r="G3057" t="s">
        <v>141</v>
      </c>
      <c r="H3057" t="s">
        <v>153</v>
      </c>
      <c r="I3057">
        <v>5941.49</v>
      </c>
      <c r="J3057">
        <v>6111.22</v>
      </c>
      <c r="K3057" t="s">
        <v>17</v>
      </c>
      <c r="L3057" t="b">
        <v>0</v>
      </c>
      <c r="N3057" s="2" t="str">
        <f t="shared" si="265"/>
        <v/>
      </c>
      <c r="Q3057" t="str">
        <f t="shared" si="266"/>
        <v/>
      </c>
    </row>
    <row r="3058" spans="1:17" hidden="1">
      <c r="A3058" t="s">
        <v>3163</v>
      </c>
      <c r="B3058" s="1">
        <v>45332</v>
      </c>
      <c r="C3058">
        <v>2024</v>
      </c>
      <c r="D3058">
        <v>2</v>
      </c>
      <c r="E3058" t="s">
        <v>37</v>
      </c>
      <c r="F3058" t="s">
        <v>28</v>
      </c>
      <c r="G3058" t="s">
        <v>98</v>
      </c>
      <c r="H3058" t="s">
        <v>185</v>
      </c>
      <c r="I3058">
        <v>3470.55</v>
      </c>
      <c r="J3058">
        <v>3491.26</v>
      </c>
      <c r="K3058" t="s">
        <v>17</v>
      </c>
      <c r="L3058" t="b">
        <v>0</v>
      </c>
      <c r="N3058" s="2" t="str">
        <f t="shared" si="265"/>
        <v/>
      </c>
      <c r="Q3058" t="str">
        <f t="shared" si="266"/>
        <v/>
      </c>
    </row>
    <row r="3059" spans="1:17" hidden="1">
      <c r="A3059" t="s">
        <v>3164</v>
      </c>
      <c r="B3059" s="1">
        <v>45333</v>
      </c>
      <c r="C3059">
        <v>2024</v>
      </c>
      <c r="D3059">
        <v>2</v>
      </c>
      <c r="E3059" t="s">
        <v>13</v>
      </c>
      <c r="F3059" t="s">
        <v>14</v>
      </c>
      <c r="G3059" t="s">
        <v>102</v>
      </c>
      <c r="H3059" t="s">
        <v>103</v>
      </c>
      <c r="I3059">
        <v>4169</v>
      </c>
      <c r="J3059">
        <v>4209.04</v>
      </c>
      <c r="K3059" t="s">
        <v>17</v>
      </c>
      <c r="L3059" t="b">
        <v>0</v>
      </c>
      <c r="N3059" s="2" t="str">
        <f t="shared" si="265"/>
        <v/>
      </c>
      <c r="Q3059" t="str">
        <f t="shared" si="266"/>
        <v/>
      </c>
    </row>
    <row r="3060" spans="1:17" hidden="1">
      <c r="A3060" t="s">
        <v>3165</v>
      </c>
      <c r="B3060" s="1">
        <v>45333</v>
      </c>
      <c r="C3060">
        <v>2024</v>
      </c>
      <c r="D3060">
        <v>2</v>
      </c>
      <c r="E3060" t="s">
        <v>13</v>
      </c>
      <c r="F3060" t="s">
        <v>28</v>
      </c>
      <c r="G3060" t="s">
        <v>15</v>
      </c>
      <c r="H3060" t="s">
        <v>89</v>
      </c>
      <c r="I3060">
        <v>4098.7</v>
      </c>
      <c r="J3060">
        <v>4173.1899999999996</v>
      </c>
      <c r="K3060" t="s">
        <v>17</v>
      </c>
      <c r="L3060" t="b">
        <v>0</v>
      </c>
      <c r="N3060" s="2" t="str">
        <f t="shared" si="265"/>
        <v/>
      </c>
      <c r="Q3060" t="str">
        <f t="shared" si="266"/>
        <v/>
      </c>
    </row>
    <row r="3061" spans="1:17" hidden="1">
      <c r="A3061" t="s">
        <v>3166</v>
      </c>
      <c r="B3061" s="1">
        <v>45333</v>
      </c>
      <c r="C3061">
        <v>2024</v>
      </c>
      <c r="D3061">
        <v>2</v>
      </c>
      <c r="E3061" t="s">
        <v>47</v>
      </c>
      <c r="F3061" t="s">
        <v>14</v>
      </c>
      <c r="G3061" t="s">
        <v>48</v>
      </c>
      <c r="H3061" t="s">
        <v>49</v>
      </c>
      <c r="I3061">
        <v>9298.9</v>
      </c>
      <c r="J3061">
        <v>8025.88</v>
      </c>
      <c r="K3061" t="s">
        <v>17</v>
      </c>
      <c r="L3061" t="b">
        <v>0</v>
      </c>
      <c r="N3061" s="2" t="b">
        <f t="shared" si="265"/>
        <v>1</v>
      </c>
      <c r="O3061" t="str">
        <f t="shared" ref="O3061:O3063" si="269">IF(AND(E3050="HR",K3050="EXPENSE"),I3050&lt;J3050,"")</f>
        <v/>
      </c>
      <c r="Q3061" t="str">
        <f t="shared" si="266"/>
        <v/>
      </c>
    </row>
    <row r="3062" spans="1:17" hidden="1">
      <c r="A3062" t="s">
        <v>3167</v>
      </c>
      <c r="B3062" s="1">
        <v>45333</v>
      </c>
      <c r="C3062">
        <v>2024</v>
      </c>
      <c r="D3062">
        <v>2</v>
      </c>
      <c r="E3062" t="s">
        <v>47</v>
      </c>
      <c r="F3062" t="s">
        <v>28</v>
      </c>
      <c r="G3062" t="s">
        <v>48</v>
      </c>
      <c r="H3062" t="s">
        <v>75</v>
      </c>
      <c r="I3062">
        <v>13158.83</v>
      </c>
      <c r="J3062">
        <v>10855.8</v>
      </c>
      <c r="K3062" t="s">
        <v>17</v>
      </c>
      <c r="L3062" t="b">
        <v>0</v>
      </c>
      <c r="N3062" s="2" t="b">
        <f t="shared" si="265"/>
        <v>1</v>
      </c>
      <c r="O3062" t="str">
        <f t="shared" si="269"/>
        <v/>
      </c>
      <c r="Q3062" t="str">
        <f t="shared" si="266"/>
        <v/>
      </c>
    </row>
    <row r="3063" spans="1:17" hidden="1">
      <c r="A3063" t="s">
        <v>3168</v>
      </c>
      <c r="B3063" s="1">
        <v>45333</v>
      </c>
      <c r="C3063">
        <v>2024</v>
      </c>
      <c r="D3063">
        <v>2</v>
      </c>
      <c r="E3063" t="s">
        <v>47</v>
      </c>
      <c r="F3063" t="s">
        <v>28</v>
      </c>
      <c r="G3063" t="s">
        <v>51</v>
      </c>
      <c r="H3063" t="s">
        <v>189</v>
      </c>
      <c r="I3063">
        <v>18115.400000000001</v>
      </c>
      <c r="J3063">
        <v>15295.88</v>
      </c>
      <c r="K3063" t="s">
        <v>17</v>
      </c>
      <c r="L3063" t="b">
        <v>0</v>
      </c>
      <c r="N3063" s="2" t="b">
        <f t="shared" si="265"/>
        <v>1</v>
      </c>
      <c r="O3063" t="str">
        <f t="shared" si="269"/>
        <v/>
      </c>
      <c r="Q3063" t="str">
        <f t="shared" si="266"/>
        <v/>
      </c>
    </row>
    <row r="3064" spans="1:17" hidden="1">
      <c r="A3064" t="s">
        <v>3169</v>
      </c>
      <c r="B3064" s="1">
        <v>45333</v>
      </c>
      <c r="C3064">
        <v>2024</v>
      </c>
      <c r="D3064">
        <v>2</v>
      </c>
      <c r="E3064" t="s">
        <v>23</v>
      </c>
      <c r="F3064" t="s">
        <v>14</v>
      </c>
      <c r="G3064" t="s">
        <v>141</v>
      </c>
      <c r="H3064" t="s">
        <v>209</v>
      </c>
      <c r="I3064">
        <v>6405.73</v>
      </c>
      <c r="J3064">
        <v>5983.82</v>
      </c>
      <c r="K3064" t="s">
        <v>17</v>
      </c>
      <c r="L3064" t="b">
        <v>0</v>
      </c>
      <c r="N3064" s="2" t="str">
        <f t="shared" si="265"/>
        <v/>
      </c>
      <c r="Q3064" t="str">
        <f t="shared" si="266"/>
        <v/>
      </c>
    </row>
    <row r="3065" spans="1:17" hidden="1">
      <c r="A3065" t="s">
        <v>3170</v>
      </c>
      <c r="B3065" s="1">
        <v>45333</v>
      </c>
      <c r="C3065">
        <v>2024</v>
      </c>
      <c r="D3065">
        <v>2</v>
      </c>
      <c r="E3065" t="s">
        <v>23</v>
      </c>
      <c r="F3065" t="s">
        <v>14</v>
      </c>
      <c r="G3065" t="s">
        <v>59</v>
      </c>
      <c r="H3065" t="s">
        <v>60</v>
      </c>
      <c r="I3065">
        <v>7039.47</v>
      </c>
      <c r="J3065">
        <v>6462.51</v>
      </c>
      <c r="K3065" t="s">
        <v>17</v>
      </c>
      <c r="L3065" t="b">
        <v>0</v>
      </c>
      <c r="N3065" s="2" t="str">
        <f t="shared" si="265"/>
        <v/>
      </c>
      <c r="Q3065" t="str">
        <f t="shared" si="266"/>
        <v/>
      </c>
    </row>
    <row r="3066" spans="1:17" hidden="1">
      <c r="A3066" t="s">
        <v>3171</v>
      </c>
      <c r="B3066" s="1">
        <v>45333</v>
      </c>
      <c r="C3066">
        <v>2024</v>
      </c>
      <c r="D3066">
        <v>2</v>
      </c>
      <c r="E3066" t="s">
        <v>23</v>
      </c>
      <c r="F3066" t="s">
        <v>28</v>
      </c>
      <c r="G3066" t="s">
        <v>59</v>
      </c>
      <c r="H3066" t="s">
        <v>155</v>
      </c>
      <c r="I3066">
        <v>4066.34</v>
      </c>
      <c r="J3066">
        <v>3765.71</v>
      </c>
      <c r="K3066" t="s">
        <v>17</v>
      </c>
      <c r="L3066" t="b">
        <v>0</v>
      </c>
      <c r="N3066" s="2" t="str">
        <f t="shared" si="265"/>
        <v/>
      </c>
      <c r="Q3066" t="str">
        <f t="shared" si="266"/>
        <v/>
      </c>
    </row>
    <row r="3067" spans="1:17" hidden="1">
      <c r="A3067" t="s">
        <v>3172</v>
      </c>
      <c r="B3067" s="1">
        <v>45333</v>
      </c>
      <c r="C3067">
        <v>2024</v>
      </c>
      <c r="D3067">
        <v>2</v>
      </c>
      <c r="E3067" t="s">
        <v>37</v>
      </c>
      <c r="F3067" t="s">
        <v>28</v>
      </c>
      <c r="G3067" t="s">
        <v>38</v>
      </c>
      <c r="H3067" t="s">
        <v>227</v>
      </c>
      <c r="I3067">
        <v>4935.03</v>
      </c>
      <c r="J3067">
        <v>5042.1899999999996</v>
      </c>
      <c r="K3067" t="s">
        <v>17</v>
      </c>
      <c r="L3067" t="b">
        <v>0</v>
      </c>
      <c r="N3067" s="2" t="str">
        <f t="shared" si="265"/>
        <v/>
      </c>
      <c r="Q3067" t="str">
        <f t="shared" si="266"/>
        <v/>
      </c>
    </row>
    <row r="3068" spans="1:17" hidden="1">
      <c r="A3068" t="s">
        <v>3173</v>
      </c>
      <c r="B3068" s="1">
        <v>45334</v>
      </c>
      <c r="C3068">
        <v>2024</v>
      </c>
      <c r="D3068">
        <v>2</v>
      </c>
      <c r="E3068" t="s">
        <v>13</v>
      </c>
      <c r="F3068" t="s">
        <v>14</v>
      </c>
      <c r="G3068" t="s">
        <v>102</v>
      </c>
      <c r="H3068" t="s">
        <v>145</v>
      </c>
      <c r="I3068">
        <v>3557.06</v>
      </c>
      <c r="J3068">
        <v>3840.05</v>
      </c>
      <c r="K3068" t="s">
        <v>17</v>
      </c>
      <c r="L3068" t="b">
        <v>0</v>
      </c>
      <c r="N3068" s="2" t="str">
        <f t="shared" si="265"/>
        <v/>
      </c>
      <c r="Q3068" t="str">
        <f t="shared" si="266"/>
        <v/>
      </c>
    </row>
    <row r="3069" spans="1:17" hidden="1">
      <c r="A3069" t="s">
        <v>3174</v>
      </c>
      <c r="B3069" s="1">
        <v>45334</v>
      </c>
      <c r="C3069">
        <v>2024</v>
      </c>
      <c r="D3069">
        <v>2</v>
      </c>
      <c r="E3069" t="s">
        <v>47</v>
      </c>
      <c r="F3069" t="s">
        <v>14</v>
      </c>
      <c r="G3069" t="s">
        <v>91</v>
      </c>
      <c r="H3069" t="s">
        <v>92</v>
      </c>
      <c r="I3069">
        <v>12169.34</v>
      </c>
      <c r="J3069">
        <v>10342.1</v>
      </c>
      <c r="K3069" t="s">
        <v>17</v>
      </c>
      <c r="L3069" t="b">
        <v>0</v>
      </c>
      <c r="N3069" s="2" t="b">
        <f t="shared" si="265"/>
        <v>1</v>
      </c>
      <c r="O3069" t="str">
        <f t="shared" ref="O3069:O3072" si="270">IF(AND(E3058="HR",K3058="EXPENSE"),I3058&lt;J3058,"")</f>
        <v/>
      </c>
      <c r="Q3069" t="str">
        <f t="shared" si="266"/>
        <v/>
      </c>
    </row>
    <row r="3070" spans="1:17" hidden="1">
      <c r="A3070" t="s">
        <v>3175</v>
      </c>
      <c r="B3070" s="1">
        <v>45334</v>
      </c>
      <c r="C3070">
        <v>2024</v>
      </c>
      <c r="D3070">
        <v>2</v>
      </c>
      <c r="E3070" t="s">
        <v>47</v>
      </c>
      <c r="F3070" t="s">
        <v>14</v>
      </c>
      <c r="G3070" t="s">
        <v>77</v>
      </c>
      <c r="H3070" t="s">
        <v>78</v>
      </c>
      <c r="I3070">
        <v>10533.79</v>
      </c>
      <c r="J3070">
        <v>8695.85</v>
      </c>
      <c r="K3070" t="s">
        <v>17</v>
      </c>
      <c r="L3070" t="b">
        <v>0</v>
      </c>
      <c r="N3070" s="2" t="b">
        <f t="shared" si="265"/>
        <v>1</v>
      </c>
      <c r="O3070" t="b">
        <f t="shared" si="270"/>
        <v>1</v>
      </c>
      <c r="Q3070" t="str">
        <f t="shared" si="266"/>
        <v/>
      </c>
    </row>
    <row r="3071" spans="1:17" hidden="1">
      <c r="A3071" t="s">
        <v>3176</v>
      </c>
      <c r="B3071" s="1">
        <v>45334</v>
      </c>
      <c r="C3071">
        <v>2024</v>
      </c>
      <c r="D3071">
        <v>2</v>
      </c>
      <c r="E3071" t="s">
        <v>47</v>
      </c>
      <c r="F3071" t="s">
        <v>24</v>
      </c>
      <c r="G3071" t="s">
        <v>77</v>
      </c>
      <c r="H3071" t="s">
        <v>147</v>
      </c>
      <c r="I3071">
        <v>14560.41</v>
      </c>
      <c r="J3071">
        <v>12568.46</v>
      </c>
      <c r="K3071" t="s">
        <v>17</v>
      </c>
      <c r="L3071" t="b">
        <v>0</v>
      </c>
      <c r="N3071" s="2" t="b">
        <f t="shared" si="265"/>
        <v>1</v>
      </c>
      <c r="O3071" t="b">
        <f t="shared" si="270"/>
        <v>1</v>
      </c>
      <c r="Q3071" t="str">
        <f t="shared" si="266"/>
        <v/>
      </c>
    </row>
    <row r="3072" spans="1:17" hidden="1">
      <c r="A3072" t="s">
        <v>3177</v>
      </c>
      <c r="B3072" s="1">
        <v>45334</v>
      </c>
      <c r="C3072">
        <v>2024</v>
      </c>
      <c r="D3072">
        <v>2</v>
      </c>
      <c r="E3072" t="s">
        <v>47</v>
      </c>
      <c r="F3072" t="s">
        <v>24</v>
      </c>
      <c r="G3072" t="s">
        <v>51</v>
      </c>
      <c r="H3072" t="s">
        <v>72</v>
      </c>
      <c r="I3072">
        <v>17420.150000000001</v>
      </c>
      <c r="J3072">
        <v>15089.85</v>
      </c>
      <c r="K3072" t="s">
        <v>17</v>
      </c>
      <c r="L3072" t="b">
        <v>0</v>
      </c>
      <c r="N3072" s="2" t="b">
        <f t="shared" si="265"/>
        <v>1</v>
      </c>
      <c r="O3072" t="str">
        <f t="shared" si="270"/>
        <v/>
      </c>
      <c r="Q3072" t="str">
        <f t="shared" si="266"/>
        <v/>
      </c>
    </row>
    <row r="3073" spans="1:17" hidden="1">
      <c r="A3073" t="s">
        <v>3178</v>
      </c>
      <c r="B3073" s="1">
        <v>45334</v>
      </c>
      <c r="C3073">
        <v>2024</v>
      </c>
      <c r="D3073">
        <v>2</v>
      </c>
      <c r="E3073" t="s">
        <v>19</v>
      </c>
      <c r="F3073" t="s">
        <v>14</v>
      </c>
      <c r="G3073" t="s">
        <v>54</v>
      </c>
      <c r="H3073" t="s">
        <v>55</v>
      </c>
      <c r="I3073">
        <v>6554.45</v>
      </c>
      <c r="J3073">
        <v>6776.45</v>
      </c>
      <c r="K3073" t="s">
        <v>17</v>
      </c>
      <c r="L3073" t="b">
        <v>0</v>
      </c>
      <c r="N3073" s="2" t="str">
        <f t="shared" si="265"/>
        <v/>
      </c>
      <c r="Q3073" t="str">
        <f t="shared" si="266"/>
        <v/>
      </c>
    </row>
    <row r="3074" spans="1:17" hidden="1">
      <c r="A3074" t="s">
        <v>3179</v>
      </c>
      <c r="B3074" s="1">
        <v>45334</v>
      </c>
      <c r="C3074">
        <v>2024</v>
      </c>
      <c r="D3074">
        <v>2</v>
      </c>
      <c r="E3074" t="s">
        <v>19</v>
      </c>
      <c r="F3074" t="s">
        <v>14</v>
      </c>
      <c r="G3074" t="s">
        <v>20</v>
      </c>
      <c r="H3074" t="s">
        <v>174</v>
      </c>
      <c r="I3074">
        <v>6751.76</v>
      </c>
      <c r="J3074">
        <v>7263.38</v>
      </c>
      <c r="K3074" t="s">
        <v>17</v>
      </c>
      <c r="L3074" t="b">
        <v>0</v>
      </c>
      <c r="N3074" s="2" t="str">
        <f t="shared" si="265"/>
        <v/>
      </c>
      <c r="Q3074" t="str">
        <f t="shared" si="266"/>
        <v/>
      </c>
    </row>
    <row r="3075" spans="1:17" hidden="1">
      <c r="A3075" t="s">
        <v>3180</v>
      </c>
      <c r="B3075" s="1">
        <v>45334</v>
      </c>
      <c r="C3075">
        <v>2024</v>
      </c>
      <c r="D3075">
        <v>2</v>
      </c>
      <c r="E3075" t="s">
        <v>23</v>
      </c>
      <c r="F3075" t="s">
        <v>14</v>
      </c>
      <c r="G3075" t="s">
        <v>25</v>
      </c>
      <c r="H3075" t="s">
        <v>26</v>
      </c>
      <c r="I3075">
        <v>4049.92</v>
      </c>
      <c r="J3075">
        <v>3828.66</v>
      </c>
      <c r="K3075" t="s">
        <v>17</v>
      </c>
      <c r="L3075" t="b">
        <v>0</v>
      </c>
      <c r="N3075" s="2" t="str">
        <f t="shared" ref="N3075:N3138" si="271">IF(AND(E3075="IT",K3075="EXPENSE"),I3075&gt;J3075,"")</f>
        <v/>
      </c>
      <c r="Q3075" t="str">
        <f t="shared" ref="Q3075:Q3138" si="272">IF(L3075=TRUE,OR(H3075="Apex Solutions Inc",H3075="Global Trade Partners",H3075="NovaTech Services"),"")</f>
        <v/>
      </c>
    </row>
    <row r="3076" spans="1:17" hidden="1">
      <c r="A3076" t="s">
        <v>3181</v>
      </c>
      <c r="B3076" s="1">
        <v>45334</v>
      </c>
      <c r="C3076">
        <v>2024</v>
      </c>
      <c r="D3076">
        <v>2</v>
      </c>
      <c r="E3076" t="s">
        <v>23</v>
      </c>
      <c r="F3076" t="s">
        <v>24</v>
      </c>
      <c r="G3076" t="s">
        <v>30</v>
      </c>
      <c r="H3076" t="s">
        <v>33</v>
      </c>
      <c r="I3076">
        <v>3649.59</v>
      </c>
      <c r="J3076">
        <v>3752.29</v>
      </c>
      <c r="K3076" t="s">
        <v>17</v>
      </c>
      <c r="L3076" t="b">
        <v>0</v>
      </c>
      <c r="N3076" s="2" t="str">
        <f t="shared" si="271"/>
        <v/>
      </c>
      <c r="Q3076" t="str">
        <f t="shared" si="272"/>
        <v/>
      </c>
    </row>
    <row r="3077" spans="1:17" hidden="1">
      <c r="A3077" t="s">
        <v>3182</v>
      </c>
      <c r="B3077" s="1">
        <v>45334</v>
      </c>
      <c r="C3077">
        <v>2024</v>
      </c>
      <c r="D3077">
        <v>2</v>
      </c>
      <c r="E3077" t="s">
        <v>23</v>
      </c>
      <c r="F3077" t="s">
        <v>24</v>
      </c>
      <c r="G3077" t="s">
        <v>30</v>
      </c>
      <c r="H3077" t="s">
        <v>106</v>
      </c>
      <c r="I3077">
        <v>7071.6</v>
      </c>
      <c r="J3077">
        <v>6527.1</v>
      </c>
      <c r="K3077" t="s">
        <v>17</v>
      </c>
      <c r="L3077" t="b">
        <v>0</v>
      </c>
      <c r="N3077" s="2" t="str">
        <f t="shared" si="271"/>
        <v/>
      </c>
      <c r="Q3077" t="str">
        <f t="shared" si="272"/>
        <v/>
      </c>
    </row>
    <row r="3078" spans="1:17" hidden="1">
      <c r="A3078" t="s">
        <v>3183</v>
      </c>
      <c r="B3078" s="1">
        <v>45334</v>
      </c>
      <c r="C3078">
        <v>2024</v>
      </c>
      <c r="D3078">
        <v>2</v>
      </c>
      <c r="E3078" t="s">
        <v>37</v>
      </c>
      <c r="F3078" t="s">
        <v>14</v>
      </c>
      <c r="G3078" t="s">
        <v>98</v>
      </c>
      <c r="H3078" t="s">
        <v>185</v>
      </c>
      <c r="I3078">
        <v>3063.97</v>
      </c>
      <c r="J3078">
        <v>3083.77</v>
      </c>
      <c r="K3078" t="s">
        <v>17</v>
      </c>
      <c r="L3078" t="b">
        <v>0</v>
      </c>
      <c r="N3078" s="2" t="str">
        <f t="shared" si="271"/>
        <v/>
      </c>
      <c r="Q3078" t="str">
        <f t="shared" si="272"/>
        <v/>
      </c>
    </row>
    <row r="3079" spans="1:17" hidden="1">
      <c r="A3079" t="s">
        <v>3184</v>
      </c>
      <c r="B3079" s="1">
        <v>45334</v>
      </c>
      <c r="C3079">
        <v>2024</v>
      </c>
      <c r="D3079">
        <v>2</v>
      </c>
      <c r="E3079" t="s">
        <v>37</v>
      </c>
      <c r="F3079" t="s">
        <v>24</v>
      </c>
      <c r="G3079" t="s">
        <v>98</v>
      </c>
      <c r="H3079" t="s">
        <v>99</v>
      </c>
      <c r="I3079">
        <v>3254.74</v>
      </c>
      <c r="J3079">
        <v>3082.89</v>
      </c>
      <c r="K3079" t="s">
        <v>17</v>
      </c>
      <c r="L3079" t="b">
        <v>0</v>
      </c>
      <c r="N3079" s="2" t="str">
        <f t="shared" si="271"/>
        <v/>
      </c>
      <c r="Q3079" t="str">
        <f t="shared" si="272"/>
        <v/>
      </c>
    </row>
    <row r="3080" spans="1:17" hidden="1">
      <c r="A3080" t="s">
        <v>3185</v>
      </c>
      <c r="B3080" s="1">
        <v>45335</v>
      </c>
      <c r="C3080">
        <v>2024</v>
      </c>
      <c r="D3080">
        <v>2</v>
      </c>
      <c r="E3080" t="s">
        <v>13</v>
      </c>
      <c r="F3080" t="s">
        <v>24</v>
      </c>
      <c r="G3080" t="s">
        <v>68</v>
      </c>
      <c r="H3080" t="s">
        <v>213</v>
      </c>
      <c r="I3080">
        <v>2361.44</v>
      </c>
      <c r="J3080">
        <v>2253.14</v>
      </c>
      <c r="K3080" t="s">
        <v>17</v>
      </c>
      <c r="L3080" t="b">
        <v>0</v>
      </c>
      <c r="N3080" s="2" t="str">
        <f t="shared" si="271"/>
        <v/>
      </c>
      <c r="Q3080" t="str">
        <f t="shared" si="272"/>
        <v/>
      </c>
    </row>
    <row r="3081" spans="1:17" hidden="1">
      <c r="A3081" t="s">
        <v>3186</v>
      </c>
      <c r="B3081" s="1">
        <v>45335</v>
      </c>
      <c r="C3081">
        <v>2024</v>
      </c>
      <c r="D3081">
        <v>2</v>
      </c>
      <c r="E3081" t="s">
        <v>13</v>
      </c>
      <c r="F3081" t="s">
        <v>24</v>
      </c>
      <c r="G3081" t="s">
        <v>108</v>
      </c>
      <c r="H3081" t="s">
        <v>123</v>
      </c>
      <c r="I3081">
        <v>3111.7</v>
      </c>
      <c r="J3081">
        <v>3233.81</v>
      </c>
      <c r="K3081" t="s">
        <v>17</v>
      </c>
      <c r="L3081" t="b">
        <v>0</v>
      </c>
      <c r="N3081" s="2" t="str">
        <f t="shared" si="271"/>
        <v/>
      </c>
      <c r="Q3081" t="str">
        <f t="shared" si="272"/>
        <v/>
      </c>
    </row>
    <row r="3082" spans="1:17" hidden="1">
      <c r="A3082" t="s">
        <v>3187</v>
      </c>
      <c r="B3082" s="1">
        <v>45335</v>
      </c>
      <c r="C3082">
        <v>2024</v>
      </c>
      <c r="D3082">
        <v>2</v>
      </c>
      <c r="E3082" t="s">
        <v>47</v>
      </c>
      <c r="F3082" t="s">
        <v>14</v>
      </c>
      <c r="G3082" t="s">
        <v>91</v>
      </c>
      <c r="H3082" t="s">
        <v>254</v>
      </c>
      <c r="I3082">
        <v>8997.42</v>
      </c>
      <c r="J3082">
        <v>7400.18</v>
      </c>
      <c r="K3082" t="s">
        <v>17</v>
      </c>
      <c r="L3082" t="b">
        <v>0</v>
      </c>
      <c r="N3082" s="2" t="b">
        <f t="shared" si="271"/>
        <v>1</v>
      </c>
      <c r="O3082" t="str">
        <f t="shared" ref="O3082:O3083" si="273">IF(AND(E3071="HR",K3071="EXPENSE"),I3071&lt;J3071,"")</f>
        <v/>
      </c>
      <c r="Q3082" t="str">
        <f t="shared" si="272"/>
        <v/>
      </c>
    </row>
    <row r="3083" spans="1:17" hidden="1">
      <c r="A3083" t="s">
        <v>3188</v>
      </c>
      <c r="B3083" s="1">
        <v>45335</v>
      </c>
      <c r="C3083">
        <v>2024</v>
      </c>
      <c r="D3083">
        <v>2</v>
      </c>
      <c r="E3083" t="s">
        <v>47</v>
      </c>
      <c r="F3083" t="s">
        <v>14</v>
      </c>
      <c r="G3083" t="s">
        <v>51</v>
      </c>
      <c r="H3083" t="s">
        <v>72</v>
      </c>
      <c r="I3083">
        <v>15614.39</v>
      </c>
      <c r="J3083">
        <v>13305.65</v>
      </c>
      <c r="K3083" t="s">
        <v>17</v>
      </c>
      <c r="L3083" t="b">
        <v>0</v>
      </c>
      <c r="N3083" s="2" t="b">
        <f t="shared" si="271"/>
        <v>1</v>
      </c>
      <c r="O3083" t="str">
        <f t="shared" si="273"/>
        <v/>
      </c>
      <c r="Q3083" t="str">
        <f t="shared" si="272"/>
        <v/>
      </c>
    </row>
    <row r="3084" spans="1:17" hidden="1">
      <c r="A3084" t="s">
        <v>3189</v>
      </c>
      <c r="B3084" s="1">
        <v>45335</v>
      </c>
      <c r="C3084">
        <v>2024</v>
      </c>
      <c r="D3084">
        <v>2</v>
      </c>
      <c r="E3084" t="s">
        <v>19</v>
      </c>
      <c r="F3084" t="s">
        <v>24</v>
      </c>
      <c r="G3084" t="s">
        <v>54</v>
      </c>
      <c r="H3084" t="s">
        <v>57</v>
      </c>
      <c r="I3084">
        <v>3375.84</v>
      </c>
      <c r="J3084">
        <v>3464.81</v>
      </c>
      <c r="K3084" t="s">
        <v>17</v>
      </c>
      <c r="L3084" t="b">
        <v>0</v>
      </c>
      <c r="N3084" s="2" t="str">
        <f t="shared" si="271"/>
        <v/>
      </c>
      <c r="Q3084" t="str">
        <f t="shared" si="272"/>
        <v/>
      </c>
    </row>
    <row r="3085" spans="1:17" hidden="1">
      <c r="A3085" t="s">
        <v>3190</v>
      </c>
      <c r="B3085" s="1">
        <v>45336</v>
      </c>
      <c r="C3085">
        <v>2024</v>
      </c>
      <c r="D3085">
        <v>2</v>
      </c>
      <c r="E3085" t="s">
        <v>13</v>
      </c>
      <c r="F3085" t="s">
        <v>14</v>
      </c>
      <c r="G3085" t="s">
        <v>102</v>
      </c>
      <c r="H3085" t="s">
        <v>103</v>
      </c>
      <c r="I3085">
        <v>3318.43</v>
      </c>
      <c r="J3085">
        <v>3356.8</v>
      </c>
      <c r="K3085" t="s">
        <v>17</v>
      </c>
      <c r="L3085" t="b">
        <v>0</v>
      </c>
      <c r="N3085" s="2" t="str">
        <f t="shared" si="271"/>
        <v/>
      </c>
      <c r="Q3085" t="str">
        <f t="shared" si="272"/>
        <v/>
      </c>
    </row>
    <row r="3086" spans="1:17" hidden="1">
      <c r="A3086" t="s">
        <v>3191</v>
      </c>
      <c r="B3086" s="1">
        <v>45336</v>
      </c>
      <c r="C3086">
        <v>2024</v>
      </c>
      <c r="D3086">
        <v>2</v>
      </c>
      <c r="E3086" t="s">
        <v>13</v>
      </c>
      <c r="F3086" t="s">
        <v>14</v>
      </c>
      <c r="G3086" t="s">
        <v>108</v>
      </c>
      <c r="H3086" t="s">
        <v>123</v>
      </c>
      <c r="I3086">
        <v>3993.01</v>
      </c>
      <c r="J3086">
        <v>3843.96</v>
      </c>
      <c r="K3086" t="s">
        <v>17</v>
      </c>
      <c r="L3086" t="b">
        <v>0</v>
      </c>
      <c r="N3086" s="2" t="str">
        <f t="shared" si="271"/>
        <v/>
      </c>
      <c r="Q3086" t="str">
        <f t="shared" si="272"/>
        <v/>
      </c>
    </row>
    <row r="3087" spans="1:17" hidden="1">
      <c r="A3087" t="s">
        <v>3192</v>
      </c>
      <c r="B3087" s="1">
        <v>45336</v>
      </c>
      <c r="C3087">
        <v>2024</v>
      </c>
      <c r="D3087">
        <v>2</v>
      </c>
      <c r="E3087" t="s">
        <v>13</v>
      </c>
      <c r="F3087" t="s">
        <v>14</v>
      </c>
      <c r="G3087" t="s">
        <v>108</v>
      </c>
      <c r="H3087" t="s">
        <v>123</v>
      </c>
      <c r="I3087">
        <v>3014.67</v>
      </c>
      <c r="J3087">
        <v>3029.83</v>
      </c>
      <c r="K3087" t="s">
        <v>17</v>
      </c>
      <c r="L3087" t="b">
        <v>0</v>
      </c>
      <c r="N3087" s="2" t="str">
        <f t="shared" si="271"/>
        <v/>
      </c>
      <c r="Q3087" t="str">
        <f t="shared" si="272"/>
        <v/>
      </c>
    </row>
    <row r="3088" spans="1:17" hidden="1">
      <c r="A3088" t="s">
        <v>3193</v>
      </c>
      <c r="B3088" s="1">
        <v>45336</v>
      </c>
      <c r="C3088">
        <v>2024</v>
      </c>
      <c r="D3088">
        <v>2</v>
      </c>
      <c r="E3088" t="s">
        <v>13</v>
      </c>
      <c r="F3088" t="s">
        <v>24</v>
      </c>
      <c r="G3088" t="s">
        <v>68</v>
      </c>
      <c r="H3088" t="s">
        <v>213</v>
      </c>
      <c r="I3088">
        <v>4949.83</v>
      </c>
      <c r="J3088">
        <v>4503.62</v>
      </c>
      <c r="K3088" t="s">
        <v>17</v>
      </c>
      <c r="L3088" t="b">
        <v>0</v>
      </c>
      <c r="N3088" s="2" t="str">
        <f t="shared" si="271"/>
        <v/>
      </c>
      <c r="Q3088" t="str">
        <f t="shared" si="272"/>
        <v/>
      </c>
    </row>
    <row r="3089" spans="1:17" hidden="1">
      <c r="A3089" t="s">
        <v>3194</v>
      </c>
      <c r="B3089" s="1">
        <v>45336</v>
      </c>
      <c r="C3089">
        <v>2024</v>
      </c>
      <c r="D3089">
        <v>2</v>
      </c>
      <c r="E3089" t="s">
        <v>47</v>
      </c>
      <c r="F3089" t="s">
        <v>24</v>
      </c>
      <c r="G3089" t="s">
        <v>77</v>
      </c>
      <c r="H3089" t="s">
        <v>78</v>
      </c>
      <c r="I3089">
        <v>12298.99</v>
      </c>
      <c r="J3089">
        <v>10216.4</v>
      </c>
      <c r="K3089" t="s">
        <v>17</v>
      </c>
      <c r="L3089" t="b">
        <v>0</v>
      </c>
      <c r="N3089" s="2" t="b">
        <f t="shared" si="271"/>
        <v>1</v>
      </c>
      <c r="O3089" t="str">
        <f>IF(AND(E3078="HR",K3078="EXPENSE"),I3078&lt;J3078,"")</f>
        <v/>
      </c>
      <c r="Q3089" t="str">
        <f t="shared" si="272"/>
        <v/>
      </c>
    </row>
    <row r="3090" spans="1:17" hidden="1">
      <c r="A3090" t="s">
        <v>3195</v>
      </c>
      <c r="B3090" s="1">
        <v>45336</v>
      </c>
      <c r="C3090">
        <v>2024</v>
      </c>
      <c r="D3090">
        <v>2</v>
      </c>
      <c r="E3090" t="s">
        <v>19</v>
      </c>
      <c r="F3090" t="s">
        <v>24</v>
      </c>
      <c r="G3090" t="s">
        <v>54</v>
      </c>
      <c r="H3090" t="s">
        <v>57</v>
      </c>
      <c r="I3090">
        <v>3796.33</v>
      </c>
      <c r="J3090">
        <v>3499.67</v>
      </c>
      <c r="K3090" t="s">
        <v>17</v>
      </c>
      <c r="L3090" t="b">
        <v>0</v>
      </c>
      <c r="N3090" s="2" t="str">
        <f t="shared" si="271"/>
        <v/>
      </c>
      <c r="Q3090" t="str">
        <f t="shared" si="272"/>
        <v/>
      </c>
    </row>
    <row r="3091" spans="1:17" hidden="1">
      <c r="A3091" t="s">
        <v>3196</v>
      </c>
      <c r="B3091" s="1">
        <v>45336</v>
      </c>
      <c r="C3091">
        <v>2024</v>
      </c>
      <c r="D3091">
        <v>2</v>
      </c>
      <c r="E3091" t="s">
        <v>37</v>
      </c>
      <c r="F3091" t="s">
        <v>28</v>
      </c>
      <c r="G3091" t="s">
        <v>62</v>
      </c>
      <c r="H3091" t="s">
        <v>63</v>
      </c>
      <c r="I3091">
        <v>5580.55</v>
      </c>
      <c r="J3091">
        <v>6083.85</v>
      </c>
      <c r="K3091" t="s">
        <v>17</v>
      </c>
      <c r="L3091" t="b">
        <v>0</v>
      </c>
      <c r="N3091" s="2" t="str">
        <f t="shared" si="271"/>
        <v/>
      </c>
      <c r="Q3091" t="str">
        <f t="shared" si="272"/>
        <v/>
      </c>
    </row>
    <row r="3092" spans="1:17" hidden="1">
      <c r="A3092" t="s">
        <v>3197</v>
      </c>
      <c r="B3092" s="1">
        <v>45337</v>
      </c>
      <c r="C3092">
        <v>2024</v>
      </c>
      <c r="D3092">
        <v>2</v>
      </c>
      <c r="E3092" t="s">
        <v>47</v>
      </c>
      <c r="F3092" t="s">
        <v>14</v>
      </c>
      <c r="G3092" t="s">
        <v>91</v>
      </c>
      <c r="H3092" t="s">
        <v>249</v>
      </c>
      <c r="I3092">
        <v>17689.82</v>
      </c>
      <c r="J3092">
        <v>15381.78</v>
      </c>
      <c r="K3092" t="s">
        <v>17</v>
      </c>
      <c r="L3092" t="b">
        <v>0</v>
      </c>
      <c r="N3092" s="2" t="b">
        <f t="shared" si="271"/>
        <v>1</v>
      </c>
      <c r="O3092" t="b">
        <f t="shared" ref="O3092:O3094" si="274">IF(AND(E3081="HR",K3081="EXPENSE"),I3081&lt;J3081,"")</f>
        <v>1</v>
      </c>
      <c r="Q3092" t="str">
        <f t="shared" si="272"/>
        <v/>
      </c>
    </row>
    <row r="3093" spans="1:17" hidden="1">
      <c r="A3093" t="s">
        <v>3198</v>
      </c>
      <c r="B3093" s="1">
        <v>45337</v>
      </c>
      <c r="C3093">
        <v>2024</v>
      </c>
      <c r="D3093">
        <v>2</v>
      </c>
      <c r="E3093" t="s">
        <v>47</v>
      </c>
      <c r="F3093" t="s">
        <v>28</v>
      </c>
      <c r="G3093" t="s">
        <v>51</v>
      </c>
      <c r="H3093" t="s">
        <v>52</v>
      </c>
      <c r="I3093">
        <v>15135.38</v>
      </c>
      <c r="J3093">
        <v>12986.39</v>
      </c>
      <c r="K3093" t="s">
        <v>17</v>
      </c>
      <c r="L3093" t="b">
        <v>0</v>
      </c>
      <c r="N3093" s="2" t="b">
        <f t="shared" si="271"/>
        <v>1</v>
      </c>
      <c r="O3093" t="str">
        <f t="shared" si="274"/>
        <v/>
      </c>
      <c r="Q3093" t="str">
        <f t="shared" si="272"/>
        <v/>
      </c>
    </row>
    <row r="3094" spans="1:17" hidden="1">
      <c r="A3094" t="s">
        <v>3199</v>
      </c>
      <c r="B3094" s="1">
        <v>45337</v>
      </c>
      <c r="C3094">
        <v>2024</v>
      </c>
      <c r="D3094">
        <v>2</v>
      </c>
      <c r="E3094" t="s">
        <v>47</v>
      </c>
      <c r="F3094" t="s">
        <v>24</v>
      </c>
      <c r="G3094" t="s">
        <v>48</v>
      </c>
      <c r="H3094" t="s">
        <v>189</v>
      </c>
      <c r="I3094">
        <v>9371.66</v>
      </c>
      <c r="J3094">
        <v>8079.99</v>
      </c>
      <c r="K3094" t="s">
        <v>17</v>
      </c>
      <c r="L3094" t="b">
        <v>0</v>
      </c>
      <c r="N3094" s="2" t="b">
        <f t="shared" si="271"/>
        <v>1</v>
      </c>
      <c r="O3094" t="str">
        <f t="shared" si="274"/>
        <v/>
      </c>
      <c r="Q3094" t="str">
        <f t="shared" si="272"/>
        <v/>
      </c>
    </row>
    <row r="3095" spans="1:17" hidden="1">
      <c r="A3095" t="s">
        <v>3200</v>
      </c>
      <c r="B3095" s="1">
        <v>45337</v>
      </c>
      <c r="C3095">
        <v>2024</v>
      </c>
      <c r="D3095">
        <v>2</v>
      </c>
      <c r="E3095" t="s">
        <v>19</v>
      </c>
      <c r="F3095" t="s">
        <v>14</v>
      </c>
      <c r="G3095" t="s">
        <v>132</v>
      </c>
      <c r="H3095" t="s">
        <v>171</v>
      </c>
      <c r="I3095">
        <v>4716.6499999999996</v>
      </c>
      <c r="J3095">
        <v>4658.8</v>
      </c>
      <c r="K3095" t="s">
        <v>17</v>
      </c>
      <c r="L3095" t="b">
        <v>0</v>
      </c>
      <c r="N3095" s="2" t="str">
        <f t="shared" si="271"/>
        <v/>
      </c>
      <c r="Q3095" t="str">
        <f t="shared" si="272"/>
        <v/>
      </c>
    </row>
    <row r="3096" spans="1:17" hidden="1">
      <c r="A3096" t="s">
        <v>3201</v>
      </c>
      <c r="B3096" s="1">
        <v>45337</v>
      </c>
      <c r="C3096">
        <v>2024</v>
      </c>
      <c r="D3096">
        <v>2</v>
      </c>
      <c r="E3096" t="s">
        <v>23</v>
      </c>
      <c r="F3096" t="s">
        <v>14</v>
      </c>
      <c r="G3096" t="s">
        <v>141</v>
      </c>
      <c r="H3096" t="s">
        <v>209</v>
      </c>
      <c r="I3096">
        <v>3258.08</v>
      </c>
      <c r="J3096">
        <v>3327.17</v>
      </c>
      <c r="K3096" t="s">
        <v>17</v>
      </c>
      <c r="L3096" t="b">
        <v>0</v>
      </c>
      <c r="N3096" s="2" t="str">
        <f t="shared" si="271"/>
        <v/>
      </c>
      <c r="Q3096" t="str">
        <f t="shared" si="272"/>
        <v/>
      </c>
    </row>
    <row r="3097" spans="1:17" hidden="1">
      <c r="A3097" t="s">
        <v>3202</v>
      </c>
      <c r="B3097" s="1">
        <v>45337</v>
      </c>
      <c r="C3097">
        <v>2024</v>
      </c>
      <c r="D3097">
        <v>2</v>
      </c>
      <c r="E3097" t="s">
        <v>37</v>
      </c>
      <c r="F3097" t="s">
        <v>14</v>
      </c>
      <c r="G3097" t="s">
        <v>62</v>
      </c>
      <c r="H3097" t="s">
        <v>121</v>
      </c>
      <c r="I3097">
        <v>2568.54</v>
      </c>
      <c r="J3097">
        <v>2561.38</v>
      </c>
      <c r="K3097" t="s">
        <v>17</v>
      </c>
      <c r="L3097" t="b">
        <v>0</v>
      </c>
      <c r="N3097" s="2" t="str">
        <f t="shared" si="271"/>
        <v/>
      </c>
      <c r="Q3097" t="str">
        <f t="shared" si="272"/>
        <v/>
      </c>
    </row>
    <row r="3098" spans="1:17" hidden="1">
      <c r="A3098" t="s">
        <v>3203</v>
      </c>
      <c r="B3098" s="1">
        <v>45337</v>
      </c>
      <c r="C3098">
        <v>2024</v>
      </c>
      <c r="D3098">
        <v>2</v>
      </c>
      <c r="E3098" t="s">
        <v>37</v>
      </c>
      <c r="F3098" t="s">
        <v>28</v>
      </c>
      <c r="G3098" t="s">
        <v>38</v>
      </c>
      <c r="H3098" t="s">
        <v>227</v>
      </c>
      <c r="I3098">
        <v>3431.38</v>
      </c>
      <c r="J3098">
        <v>3754.55</v>
      </c>
      <c r="K3098" t="s">
        <v>17</v>
      </c>
      <c r="L3098" t="b">
        <v>0</v>
      </c>
      <c r="N3098" s="2" t="str">
        <f t="shared" si="271"/>
        <v/>
      </c>
      <c r="Q3098" t="str">
        <f t="shared" si="272"/>
        <v/>
      </c>
    </row>
    <row r="3099" spans="1:17" hidden="1">
      <c r="A3099" t="s">
        <v>3204</v>
      </c>
      <c r="B3099" s="1">
        <v>45337</v>
      </c>
      <c r="C3099">
        <v>2024</v>
      </c>
      <c r="D3099">
        <v>2</v>
      </c>
      <c r="E3099" t="s">
        <v>37</v>
      </c>
      <c r="F3099" t="s">
        <v>24</v>
      </c>
      <c r="G3099" t="s">
        <v>62</v>
      </c>
      <c r="H3099" t="s">
        <v>66</v>
      </c>
      <c r="I3099">
        <v>3729.34</v>
      </c>
      <c r="J3099">
        <v>3637.09</v>
      </c>
      <c r="K3099" t="s">
        <v>17</v>
      </c>
      <c r="L3099" t="b">
        <v>0</v>
      </c>
      <c r="N3099" s="2" t="str">
        <f t="shared" si="271"/>
        <v/>
      </c>
      <c r="Q3099" t="str">
        <f t="shared" si="272"/>
        <v/>
      </c>
    </row>
    <row r="3100" spans="1:17" hidden="1">
      <c r="A3100" t="s">
        <v>3205</v>
      </c>
      <c r="B3100" s="1">
        <v>45337</v>
      </c>
      <c r="C3100">
        <v>2024</v>
      </c>
      <c r="D3100">
        <v>2</v>
      </c>
      <c r="E3100" t="s">
        <v>37</v>
      </c>
      <c r="F3100" t="s">
        <v>24</v>
      </c>
      <c r="G3100" t="s">
        <v>38</v>
      </c>
      <c r="H3100" t="s">
        <v>39</v>
      </c>
      <c r="I3100">
        <v>4386.79</v>
      </c>
      <c r="J3100">
        <v>4549.57</v>
      </c>
      <c r="K3100" t="s">
        <v>17</v>
      </c>
      <c r="L3100" t="b">
        <v>0</v>
      </c>
      <c r="N3100" s="2" t="str">
        <f t="shared" si="271"/>
        <v/>
      </c>
      <c r="Q3100" t="str">
        <f t="shared" si="272"/>
        <v/>
      </c>
    </row>
    <row r="3101" spans="1:17" hidden="1">
      <c r="A3101" t="s">
        <v>3206</v>
      </c>
      <c r="B3101" s="1">
        <v>45338</v>
      </c>
      <c r="C3101">
        <v>2024</v>
      </c>
      <c r="D3101">
        <v>2</v>
      </c>
      <c r="E3101" t="s">
        <v>13</v>
      </c>
      <c r="F3101" t="s">
        <v>28</v>
      </c>
      <c r="G3101" t="s">
        <v>108</v>
      </c>
      <c r="H3101" t="s">
        <v>126</v>
      </c>
      <c r="I3101">
        <v>3978.13</v>
      </c>
      <c r="J3101">
        <v>4360.8500000000004</v>
      </c>
      <c r="K3101" t="s">
        <v>17</v>
      </c>
      <c r="L3101" t="b">
        <v>0</v>
      </c>
      <c r="N3101" s="2" t="str">
        <f t="shared" si="271"/>
        <v/>
      </c>
      <c r="Q3101" t="str">
        <f t="shared" si="272"/>
        <v/>
      </c>
    </row>
    <row r="3102" spans="1:17" hidden="1">
      <c r="A3102" t="s">
        <v>3207</v>
      </c>
      <c r="B3102" s="1">
        <v>45338</v>
      </c>
      <c r="C3102">
        <v>2024</v>
      </c>
      <c r="D3102">
        <v>2</v>
      </c>
      <c r="E3102" t="s">
        <v>47</v>
      </c>
      <c r="F3102" t="s">
        <v>24</v>
      </c>
      <c r="G3102" t="s">
        <v>77</v>
      </c>
      <c r="H3102" t="s">
        <v>78</v>
      </c>
      <c r="I3102">
        <v>16081</v>
      </c>
      <c r="J3102">
        <v>13702.23</v>
      </c>
      <c r="K3102" t="s">
        <v>17</v>
      </c>
      <c r="L3102" t="b">
        <v>0</v>
      </c>
      <c r="N3102" s="2" t="b">
        <f t="shared" si="271"/>
        <v>1</v>
      </c>
      <c r="O3102" t="str">
        <f>IF(AND(E3091="HR",K3091="EXPENSE"),I3091&lt;J3091,"")</f>
        <v/>
      </c>
      <c r="Q3102" t="str">
        <f t="shared" si="272"/>
        <v/>
      </c>
    </row>
    <row r="3103" spans="1:17" hidden="1">
      <c r="A3103" t="s">
        <v>3208</v>
      </c>
      <c r="B3103" s="1">
        <v>45338</v>
      </c>
      <c r="C3103">
        <v>2024</v>
      </c>
      <c r="D3103">
        <v>2</v>
      </c>
      <c r="E3103" t="s">
        <v>19</v>
      </c>
      <c r="F3103" t="s">
        <v>14</v>
      </c>
      <c r="G3103" t="s">
        <v>20</v>
      </c>
      <c r="H3103" t="s">
        <v>136</v>
      </c>
      <c r="I3103">
        <v>7000.05</v>
      </c>
      <c r="J3103">
        <v>7022.8</v>
      </c>
      <c r="K3103" t="s">
        <v>17</v>
      </c>
      <c r="L3103" t="b">
        <v>0</v>
      </c>
      <c r="N3103" s="2" t="str">
        <f t="shared" si="271"/>
        <v/>
      </c>
      <c r="Q3103" t="str">
        <f t="shared" si="272"/>
        <v/>
      </c>
    </row>
    <row r="3104" spans="1:17" hidden="1">
      <c r="A3104" t="s">
        <v>3209</v>
      </c>
      <c r="B3104" s="1">
        <v>45338</v>
      </c>
      <c r="C3104">
        <v>2024</v>
      </c>
      <c r="D3104">
        <v>2</v>
      </c>
      <c r="E3104" t="s">
        <v>19</v>
      </c>
      <c r="F3104" t="s">
        <v>14</v>
      </c>
      <c r="G3104" t="s">
        <v>54</v>
      </c>
      <c r="H3104" t="s">
        <v>57</v>
      </c>
      <c r="I3104">
        <v>7386.68</v>
      </c>
      <c r="J3104">
        <v>6972.62</v>
      </c>
      <c r="K3104" t="s">
        <v>17</v>
      </c>
      <c r="L3104" t="b">
        <v>0</v>
      </c>
      <c r="N3104" s="2" t="str">
        <f t="shared" si="271"/>
        <v/>
      </c>
      <c r="Q3104" t="str">
        <f t="shared" si="272"/>
        <v/>
      </c>
    </row>
    <row r="3105" spans="1:17" hidden="1">
      <c r="A3105" t="s">
        <v>3210</v>
      </c>
      <c r="B3105" s="1">
        <v>45338</v>
      </c>
      <c r="C3105">
        <v>2024</v>
      </c>
      <c r="D3105">
        <v>2</v>
      </c>
      <c r="E3105" t="s">
        <v>19</v>
      </c>
      <c r="F3105" t="s">
        <v>14</v>
      </c>
      <c r="G3105" t="s">
        <v>132</v>
      </c>
      <c r="H3105" t="s">
        <v>133</v>
      </c>
      <c r="I3105">
        <v>7393.57</v>
      </c>
      <c r="J3105">
        <v>7324.46</v>
      </c>
      <c r="K3105" t="s">
        <v>17</v>
      </c>
      <c r="L3105" t="b">
        <v>0</v>
      </c>
      <c r="N3105" s="2" t="str">
        <f t="shared" si="271"/>
        <v/>
      </c>
      <c r="Q3105" t="str">
        <f t="shared" si="272"/>
        <v/>
      </c>
    </row>
    <row r="3106" spans="1:17" hidden="1">
      <c r="A3106" t="s">
        <v>3211</v>
      </c>
      <c r="B3106" s="1">
        <v>45338</v>
      </c>
      <c r="C3106">
        <v>2024</v>
      </c>
      <c r="D3106">
        <v>2</v>
      </c>
      <c r="E3106" t="s">
        <v>23</v>
      </c>
      <c r="F3106" t="s">
        <v>14</v>
      </c>
      <c r="G3106" t="s">
        <v>141</v>
      </c>
      <c r="H3106" t="s">
        <v>209</v>
      </c>
      <c r="I3106">
        <v>5229.37</v>
      </c>
      <c r="J3106">
        <v>5532.54</v>
      </c>
      <c r="K3106" t="s">
        <v>17</v>
      </c>
      <c r="L3106" t="b">
        <v>0</v>
      </c>
      <c r="N3106" s="2" t="str">
        <f t="shared" si="271"/>
        <v/>
      </c>
      <c r="Q3106" t="str">
        <f t="shared" si="272"/>
        <v/>
      </c>
    </row>
    <row r="3107" spans="1:17" hidden="1">
      <c r="A3107" t="s">
        <v>3212</v>
      </c>
      <c r="B3107" s="1">
        <v>45338</v>
      </c>
      <c r="C3107">
        <v>2024</v>
      </c>
      <c r="D3107">
        <v>2</v>
      </c>
      <c r="E3107" t="s">
        <v>23</v>
      </c>
      <c r="F3107" t="s">
        <v>14</v>
      </c>
      <c r="G3107" t="s">
        <v>141</v>
      </c>
      <c r="H3107" t="s">
        <v>153</v>
      </c>
      <c r="I3107">
        <v>1876.11</v>
      </c>
      <c r="J3107">
        <v>1937.24</v>
      </c>
      <c r="K3107" t="s">
        <v>17</v>
      </c>
      <c r="L3107" t="b">
        <v>0</v>
      </c>
      <c r="N3107" s="2" t="str">
        <f t="shared" si="271"/>
        <v/>
      </c>
      <c r="Q3107" t="str">
        <f t="shared" si="272"/>
        <v/>
      </c>
    </row>
    <row r="3108" spans="1:17" hidden="1">
      <c r="A3108" t="s">
        <v>3213</v>
      </c>
      <c r="B3108" s="1">
        <v>45338</v>
      </c>
      <c r="C3108">
        <v>2024</v>
      </c>
      <c r="D3108">
        <v>2</v>
      </c>
      <c r="E3108" t="s">
        <v>23</v>
      </c>
      <c r="F3108" t="s">
        <v>28</v>
      </c>
      <c r="G3108" t="s">
        <v>141</v>
      </c>
      <c r="H3108" t="s">
        <v>209</v>
      </c>
      <c r="I3108">
        <v>4803.22</v>
      </c>
      <c r="J3108">
        <v>4802.3</v>
      </c>
      <c r="K3108" t="s">
        <v>17</v>
      </c>
      <c r="L3108" t="b">
        <v>0</v>
      </c>
      <c r="N3108" s="2" t="str">
        <f t="shared" si="271"/>
        <v/>
      </c>
      <c r="Q3108" t="str">
        <f t="shared" si="272"/>
        <v/>
      </c>
    </row>
    <row r="3109" spans="1:17" hidden="1">
      <c r="A3109" t="s">
        <v>3214</v>
      </c>
      <c r="B3109" s="1">
        <v>45338</v>
      </c>
      <c r="C3109">
        <v>2024</v>
      </c>
      <c r="D3109">
        <v>2</v>
      </c>
      <c r="E3109" t="s">
        <v>37</v>
      </c>
      <c r="F3109" t="s">
        <v>14</v>
      </c>
      <c r="G3109" t="s">
        <v>41</v>
      </c>
      <c r="H3109" t="s">
        <v>42</v>
      </c>
      <c r="I3109">
        <v>6073.35</v>
      </c>
      <c r="J3109">
        <v>5847.16</v>
      </c>
      <c r="K3109" t="s">
        <v>17</v>
      </c>
      <c r="L3109" t="b">
        <v>0</v>
      </c>
      <c r="N3109" s="2" t="str">
        <f t="shared" si="271"/>
        <v/>
      </c>
      <c r="Q3109" t="str">
        <f t="shared" si="272"/>
        <v/>
      </c>
    </row>
    <row r="3110" spans="1:17" hidden="1">
      <c r="A3110" t="s">
        <v>3215</v>
      </c>
      <c r="B3110" s="1">
        <v>45338</v>
      </c>
      <c r="C3110">
        <v>2024</v>
      </c>
      <c r="D3110">
        <v>2</v>
      </c>
      <c r="E3110" t="s">
        <v>37</v>
      </c>
      <c r="F3110" t="s">
        <v>14</v>
      </c>
      <c r="G3110" t="s">
        <v>62</v>
      </c>
      <c r="H3110" t="s">
        <v>66</v>
      </c>
      <c r="I3110">
        <v>4684.91</v>
      </c>
      <c r="J3110">
        <v>4502.3999999999996</v>
      </c>
      <c r="K3110" t="s">
        <v>17</v>
      </c>
      <c r="L3110" t="b">
        <v>0</v>
      </c>
      <c r="N3110" s="2" t="str">
        <f t="shared" si="271"/>
        <v/>
      </c>
      <c r="Q3110" t="str">
        <f t="shared" si="272"/>
        <v/>
      </c>
    </row>
    <row r="3111" spans="1:17" hidden="1">
      <c r="A3111" t="s">
        <v>3216</v>
      </c>
      <c r="B3111" s="1">
        <v>45338</v>
      </c>
      <c r="C3111">
        <v>2024</v>
      </c>
      <c r="D3111">
        <v>2</v>
      </c>
      <c r="E3111" t="s">
        <v>37</v>
      </c>
      <c r="F3111" t="s">
        <v>24</v>
      </c>
      <c r="G3111" t="s">
        <v>62</v>
      </c>
      <c r="H3111" t="s">
        <v>121</v>
      </c>
      <c r="I3111">
        <v>4450.38</v>
      </c>
      <c r="J3111">
        <v>4838.5600000000004</v>
      </c>
      <c r="K3111" t="s">
        <v>17</v>
      </c>
      <c r="L3111" t="b">
        <v>0</v>
      </c>
      <c r="N3111" s="2" t="str">
        <f t="shared" si="271"/>
        <v/>
      </c>
      <c r="Q3111" t="str">
        <f t="shared" si="272"/>
        <v/>
      </c>
    </row>
    <row r="3112" spans="1:17" hidden="1">
      <c r="A3112" t="s">
        <v>3217</v>
      </c>
      <c r="B3112" s="1">
        <v>45339</v>
      </c>
      <c r="C3112">
        <v>2024</v>
      </c>
      <c r="D3112">
        <v>2</v>
      </c>
      <c r="E3112" t="s">
        <v>13</v>
      </c>
      <c r="F3112" t="s">
        <v>24</v>
      </c>
      <c r="G3112" t="s">
        <v>108</v>
      </c>
      <c r="H3112" t="s">
        <v>123</v>
      </c>
      <c r="I3112">
        <v>4114.29</v>
      </c>
      <c r="J3112">
        <v>4058.18</v>
      </c>
      <c r="K3112" t="s">
        <v>17</v>
      </c>
      <c r="L3112" t="b">
        <v>0</v>
      </c>
      <c r="N3112" s="2" t="str">
        <f t="shared" si="271"/>
        <v/>
      </c>
      <c r="Q3112" t="str">
        <f t="shared" si="272"/>
        <v/>
      </c>
    </row>
    <row r="3113" spans="1:17" hidden="1">
      <c r="A3113" t="s">
        <v>3218</v>
      </c>
      <c r="B3113" s="1">
        <v>45339</v>
      </c>
      <c r="C3113">
        <v>2024</v>
      </c>
      <c r="D3113">
        <v>2</v>
      </c>
      <c r="E3113" t="s">
        <v>47</v>
      </c>
      <c r="F3113" t="s">
        <v>28</v>
      </c>
      <c r="G3113" t="s">
        <v>91</v>
      </c>
      <c r="H3113" t="s">
        <v>254</v>
      </c>
      <c r="I3113">
        <v>11434.53</v>
      </c>
      <c r="J3113">
        <v>9824.58</v>
      </c>
      <c r="K3113" t="s">
        <v>17</v>
      </c>
      <c r="L3113" t="b">
        <v>0</v>
      </c>
      <c r="N3113" s="2" t="b">
        <f t="shared" si="271"/>
        <v>1</v>
      </c>
      <c r="O3113" t="str">
        <f>IF(AND(E3102="HR",K3102="EXPENSE"),I3102&lt;J3102,"")</f>
        <v/>
      </c>
      <c r="Q3113" t="str">
        <f t="shared" si="272"/>
        <v/>
      </c>
    </row>
    <row r="3114" spans="1:17" hidden="1">
      <c r="A3114" t="s">
        <v>3219</v>
      </c>
      <c r="B3114" s="1">
        <v>45339</v>
      </c>
      <c r="C3114">
        <v>2024</v>
      </c>
      <c r="D3114">
        <v>2</v>
      </c>
      <c r="E3114" t="s">
        <v>19</v>
      </c>
      <c r="F3114" t="s">
        <v>14</v>
      </c>
      <c r="G3114" t="s">
        <v>132</v>
      </c>
      <c r="H3114" t="s">
        <v>138</v>
      </c>
      <c r="I3114">
        <v>5892.04</v>
      </c>
      <c r="J3114">
        <v>5348.32</v>
      </c>
      <c r="K3114" t="s">
        <v>17</v>
      </c>
      <c r="L3114" t="b">
        <v>0</v>
      </c>
      <c r="N3114" s="2" t="str">
        <f t="shared" si="271"/>
        <v/>
      </c>
      <c r="Q3114" t="str">
        <f t="shared" si="272"/>
        <v/>
      </c>
    </row>
    <row r="3115" spans="1:17" hidden="1">
      <c r="A3115" t="s">
        <v>3220</v>
      </c>
      <c r="B3115" s="1">
        <v>45339</v>
      </c>
      <c r="C3115">
        <v>2024</v>
      </c>
      <c r="D3115">
        <v>2</v>
      </c>
      <c r="E3115" t="s">
        <v>19</v>
      </c>
      <c r="F3115" t="s">
        <v>14</v>
      </c>
      <c r="G3115" t="s">
        <v>20</v>
      </c>
      <c r="H3115" t="s">
        <v>174</v>
      </c>
      <c r="I3115">
        <v>7386.29</v>
      </c>
      <c r="J3115">
        <v>7817.93</v>
      </c>
      <c r="K3115" t="s">
        <v>17</v>
      </c>
      <c r="L3115" t="b">
        <v>0</v>
      </c>
      <c r="N3115" s="2" t="str">
        <f t="shared" si="271"/>
        <v/>
      </c>
      <c r="Q3115" t="str">
        <f t="shared" si="272"/>
        <v/>
      </c>
    </row>
    <row r="3116" spans="1:17" hidden="1">
      <c r="A3116" t="s">
        <v>3221</v>
      </c>
      <c r="B3116" s="1">
        <v>45339</v>
      </c>
      <c r="C3116">
        <v>2024</v>
      </c>
      <c r="D3116">
        <v>2</v>
      </c>
      <c r="E3116" t="s">
        <v>19</v>
      </c>
      <c r="F3116" t="s">
        <v>28</v>
      </c>
      <c r="G3116" t="s">
        <v>54</v>
      </c>
      <c r="H3116" t="s">
        <v>163</v>
      </c>
      <c r="I3116">
        <v>5375.76</v>
      </c>
      <c r="J3116">
        <v>5502.33</v>
      </c>
      <c r="K3116" t="s">
        <v>17</v>
      </c>
      <c r="L3116" t="b">
        <v>0</v>
      </c>
      <c r="N3116" s="2" t="str">
        <f t="shared" si="271"/>
        <v/>
      </c>
      <c r="Q3116" t="str">
        <f t="shared" si="272"/>
        <v/>
      </c>
    </row>
    <row r="3117" spans="1:17" hidden="1">
      <c r="A3117" t="s">
        <v>3222</v>
      </c>
      <c r="B3117" s="1">
        <v>45339</v>
      </c>
      <c r="C3117">
        <v>2024</v>
      </c>
      <c r="D3117">
        <v>2</v>
      </c>
      <c r="E3117" t="s">
        <v>19</v>
      </c>
      <c r="F3117" t="s">
        <v>28</v>
      </c>
      <c r="G3117" t="s">
        <v>20</v>
      </c>
      <c r="H3117" t="s">
        <v>21</v>
      </c>
      <c r="I3117">
        <v>7747.72</v>
      </c>
      <c r="J3117">
        <v>7680.04</v>
      </c>
      <c r="K3117" t="s">
        <v>17</v>
      </c>
      <c r="L3117" t="b">
        <v>0</v>
      </c>
      <c r="N3117" s="2" t="str">
        <f t="shared" si="271"/>
        <v/>
      </c>
      <c r="Q3117" t="str">
        <f t="shared" si="272"/>
        <v/>
      </c>
    </row>
    <row r="3118" spans="1:17" hidden="1">
      <c r="A3118" t="s">
        <v>3223</v>
      </c>
      <c r="B3118" s="1">
        <v>45339</v>
      </c>
      <c r="C3118">
        <v>2024</v>
      </c>
      <c r="D3118">
        <v>2</v>
      </c>
      <c r="E3118" t="s">
        <v>23</v>
      </c>
      <c r="F3118" t="s">
        <v>14</v>
      </c>
      <c r="G3118" t="s">
        <v>59</v>
      </c>
      <c r="H3118" t="s">
        <v>155</v>
      </c>
      <c r="I3118">
        <v>2784.81</v>
      </c>
      <c r="J3118">
        <v>2920.46</v>
      </c>
      <c r="K3118" t="s">
        <v>17</v>
      </c>
      <c r="L3118" t="b">
        <v>0</v>
      </c>
      <c r="N3118" s="2" t="str">
        <f t="shared" si="271"/>
        <v/>
      </c>
      <c r="Q3118" t="str">
        <f t="shared" si="272"/>
        <v/>
      </c>
    </row>
    <row r="3119" spans="1:17" hidden="1">
      <c r="A3119" t="s">
        <v>3224</v>
      </c>
      <c r="B3119" s="1">
        <v>45339</v>
      </c>
      <c r="C3119">
        <v>2024</v>
      </c>
      <c r="D3119">
        <v>2</v>
      </c>
      <c r="E3119" t="s">
        <v>23</v>
      </c>
      <c r="F3119" t="s">
        <v>24</v>
      </c>
      <c r="G3119" t="s">
        <v>59</v>
      </c>
      <c r="H3119" t="s">
        <v>155</v>
      </c>
      <c r="I3119">
        <v>3673.78</v>
      </c>
      <c r="J3119">
        <v>3458.38</v>
      </c>
      <c r="K3119" t="s">
        <v>17</v>
      </c>
      <c r="L3119" t="b">
        <v>0</v>
      </c>
      <c r="N3119" s="2" t="str">
        <f t="shared" si="271"/>
        <v/>
      </c>
      <c r="Q3119" t="str">
        <f t="shared" si="272"/>
        <v/>
      </c>
    </row>
    <row r="3120" spans="1:17" hidden="1">
      <c r="A3120" t="s">
        <v>3225</v>
      </c>
      <c r="B3120" s="1">
        <v>45339</v>
      </c>
      <c r="C3120">
        <v>2024</v>
      </c>
      <c r="D3120">
        <v>2</v>
      </c>
      <c r="E3120" t="s">
        <v>37</v>
      </c>
      <c r="F3120" t="s">
        <v>14</v>
      </c>
      <c r="G3120" t="s">
        <v>98</v>
      </c>
      <c r="H3120" t="s">
        <v>99</v>
      </c>
      <c r="I3120">
        <v>5751.56</v>
      </c>
      <c r="J3120">
        <v>5463.94</v>
      </c>
      <c r="K3120" t="s">
        <v>17</v>
      </c>
      <c r="L3120" t="b">
        <v>0</v>
      </c>
      <c r="N3120" s="2" t="str">
        <f t="shared" si="271"/>
        <v/>
      </c>
      <c r="Q3120" t="str">
        <f t="shared" si="272"/>
        <v/>
      </c>
    </row>
    <row r="3121" spans="1:17" hidden="1">
      <c r="A3121" t="s">
        <v>3226</v>
      </c>
      <c r="B3121" s="1">
        <v>45339</v>
      </c>
      <c r="C3121">
        <v>2024</v>
      </c>
      <c r="D3121">
        <v>2</v>
      </c>
      <c r="E3121" t="s">
        <v>37</v>
      </c>
      <c r="F3121" t="s">
        <v>24</v>
      </c>
      <c r="G3121" t="s">
        <v>38</v>
      </c>
      <c r="H3121" t="s">
        <v>227</v>
      </c>
      <c r="I3121">
        <v>4591.5</v>
      </c>
      <c r="J3121">
        <v>4439.99</v>
      </c>
      <c r="K3121" t="s">
        <v>17</v>
      </c>
      <c r="L3121" t="b">
        <v>0</v>
      </c>
      <c r="N3121" s="2" t="str">
        <f t="shared" si="271"/>
        <v/>
      </c>
      <c r="Q3121" t="str">
        <f t="shared" si="272"/>
        <v/>
      </c>
    </row>
    <row r="3122" spans="1:17" hidden="1">
      <c r="A3122" t="s">
        <v>3227</v>
      </c>
      <c r="B3122" s="1">
        <v>45340</v>
      </c>
      <c r="C3122">
        <v>2024</v>
      </c>
      <c r="D3122">
        <v>2</v>
      </c>
      <c r="E3122" t="s">
        <v>13</v>
      </c>
      <c r="F3122" t="s">
        <v>14</v>
      </c>
      <c r="G3122" t="s">
        <v>68</v>
      </c>
      <c r="H3122" t="s">
        <v>87</v>
      </c>
      <c r="I3122">
        <v>2993.76</v>
      </c>
      <c r="J3122">
        <v>3149.89</v>
      </c>
      <c r="K3122" t="s">
        <v>17</v>
      </c>
      <c r="L3122" t="b">
        <v>0</v>
      </c>
      <c r="N3122" s="2" t="str">
        <f t="shared" si="271"/>
        <v/>
      </c>
      <c r="Q3122" t="str">
        <f t="shared" si="272"/>
        <v/>
      </c>
    </row>
    <row r="3123" spans="1:17" hidden="1">
      <c r="A3123" t="s">
        <v>3228</v>
      </c>
      <c r="B3123" s="1">
        <v>45340</v>
      </c>
      <c r="C3123">
        <v>2024</v>
      </c>
      <c r="D3123">
        <v>2</v>
      </c>
      <c r="E3123" t="s">
        <v>47</v>
      </c>
      <c r="F3123" t="s">
        <v>14</v>
      </c>
      <c r="G3123" t="s">
        <v>51</v>
      </c>
      <c r="H3123" t="s">
        <v>72</v>
      </c>
      <c r="I3123">
        <v>11890.08</v>
      </c>
      <c r="J3123">
        <v>9966.39</v>
      </c>
      <c r="K3123" t="s">
        <v>17</v>
      </c>
      <c r="L3123" t="b">
        <v>0</v>
      </c>
      <c r="N3123" s="2" t="b">
        <f t="shared" si="271"/>
        <v>1</v>
      </c>
      <c r="O3123" t="b">
        <f t="shared" ref="O3123:O3124" si="275">IF(AND(E3112="HR",K3112="EXPENSE"),I3112&lt;J3112,"")</f>
        <v>0</v>
      </c>
      <c r="Q3123" t="str">
        <f t="shared" si="272"/>
        <v/>
      </c>
    </row>
    <row r="3124" spans="1:17" hidden="1">
      <c r="A3124" t="s">
        <v>3229</v>
      </c>
      <c r="B3124" s="1">
        <v>45340</v>
      </c>
      <c r="C3124">
        <v>2024</v>
      </c>
      <c r="D3124">
        <v>2</v>
      </c>
      <c r="E3124" t="s">
        <v>47</v>
      </c>
      <c r="F3124" t="s">
        <v>24</v>
      </c>
      <c r="G3124" t="s">
        <v>77</v>
      </c>
      <c r="H3124" t="s">
        <v>78</v>
      </c>
      <c r="I3124">
        <v>13567.72</v>
      </c>
      <c r="J3124">
        <v>11307.89</v>
      </c>
      <c r="K3124" t="s">
        <v>17</v>
      </c>
      <c r="L3124" t="b">
        <v>0</v>
      </c>
      <c r="N3124" s="2" t="b">
        <f t="shared" si="271"/>
        <v>1</v>
      </c>
      <c r="O3124" t="str">
        <f t="shared" si="275"/>
        <v/>
      </c>
      <c r="Q3124" t="str">
        <f t="shared" si="272"/>
        <v/>
      </c>
    </row>
    <row r="3125" spans="1:17" hidden="1">
      <c r="A3125" t="s">
        <v>3230</v>
      </c>
      <c r="B3125" s="1">
        <v>45340</v>
      </c>
      <c r="C3125">
        <v>2024</v>
      </c>
      <c r="D3125">
        <v>2</v>
      </c>
      <c r="E3125" t="s">
        <v>19</v>
      </c>
      <c r="F3125" t="s">
        <v>14</v>
      </c>
      <c r="G3125" t="s">
        <v>54</v>
      </c>
      <c r="H3125" t="s">
        <v>55</v>
      </c>
      <c r="I3125">
        <v>7616.75</v>
      </c>
      <c r="J3125">
        <v>7935.4</v>
      </c>
      <c r="K3125" t="s">
        <v>17</v>
      </c>
      <c r="L3125" t="b">
        <v>0</v>
      </c>
      <c r="N3125" s="2" t="str">
        <f t="shared" si="271"/>
        <v/>
      </c>
      <c r="Q3125" t="str">
        <f t="shared" si="272"/>
        <v/>
      </c>
    </row>
    <row r="3126" spans="1:17" hidden="1">
      <c r="A3126" t="s">
        <v>3231</v>
      </c>
      <c r="B3126" s="1">
        <v>45340</v>
      </c>
      <c r="C3126">
        <v>2024</v>
      </c>
      <c r="D3126">
        <v>2</v>
      </c>
      <c r="E3126" t="s">
        <v>19</v>
      </c>
      <c r="F3126" t="s">
        <v>28</v>
      </c>
      <c r="G3126" t="s">
        <v>80</v>
      </c>
      <c r="H3126" t="s">
        <v>217</v>
      </c>
      <c r="I3126">
        <v>6818.93</v>
      </c>
      <c r="J3126">
        <v>6279.52</v>
      </c>
      <c r="K3126" t="s">
        <v>17</v>
      </c>
      <c r="L3126" t="b">
        <v>0</v>
      </c>
      <c r="N3126" s="2" t="str">
        <f t="shared" si="271"/>
        <v/>
      </c>
      <c r="Q3126" t="str">
        <f t="shared" si="272"/>
        <v/>
      </c>
    </row>
    <row r="3127" spans="1:17" hidden="1">
      <c r="A3127" t="s">
        <v>3232</v>
      </c>
      <c r="B3127" s="1">
        <v>45340</v>
      </c>
      <c r="C3127">
        <v>2024</v>
      </c>
      <c r="D3127">
        <v>2</v>
      </c>
      <c r="E3127" t="s">
        <v>19</v>
      </c>
      <c r="F3127" t="s">
        <v>28</v>
      </c>
      <c r="G3127" t="s">
        <v>54</v>
      </c>
      <c r="H3127" t="s">
        <v>163</v>
      </c>
      <c r="I3127">
        <v>8485.43</v>
      </c>
      <c r="J3127">
        <v>8012.34</v>
      </c>
      <c r="K3127" t="s">
        <v>17</v>
      </c>
      <c r="L3127" t="b">
        <v>0</v>
      </c>
      <c r="N3127" s="2" t="str">
        <f t="shared" si="271"/>
        <v/>
      </c>
      <c r="Q3127" t="str">
        <f t="shared" si="272"/>
        <v/>
      </c>
    </row>
    <row r="3128" spans="1:17" hidden="1">
      <c r="A3128" t="s">
        <v>3233</v>
      </c>
      <c r="B3128" s="1">
        <v>45340</v>
      </c>
      <c r="C3128">
        <v>2024</v>
      </c>
      <c r="D3128">
        <v>2</v>
      </c>
      <c r="E3128" t="s">
        <v>37</v>
      </c>
      <c r="F3128" t="s">
        <v>14</v>
      </c>
      <c r="G3128" t="s">
        <v>98</v>
      </c>
      <c r="H3128" t="s">
        <v>185</v>
      </c>
      <c r="I3128">
        <v>4387.03</v>
      </c>
      <c r="J3128">
        <v>4461.3900000000003</v>
      </c>
      <c r="K3128" t="s">
        <v>17</v>
      </c>
      <c r="L3128" t="b">
        <v>0</v>
      </c>
      <c r="N3128" s="2" t="str">
        <f t="shared" si="271"/>
        <v/>
      </c>
      <c r="Q3128" t="str">
        <f t="shared" si="272"/>
        <v/>
      </c>
    </row>
    <row r="3129" spans="1:17" hidden="1">
      <c r="A3129" t="s">
        <v>3234</v>
      </c>
      <c r="B3129" s="1">
        <v>45340</v>
      </c>
      <c r="C3129">
        <v>2024</v>
      </c>
      <c r="D3129">
        <v>2</v>
      </c>
      <c r="E3129" t="s">
        <v>37</v>
      </c>
      <c r="F3129" t="s">
        <v>28</v>
      </c>
      <c r="G3129" t="s">
        <v>41</v>
      </c>
      <c r="H3129" t="s">
        <v>42</v>
      </c>
      <c r="I3129">
        <v>3923.86</v>
      </c>
      <c r="J3129">
        <v>3729.43</v>
      </c>
      <c r="K3129" t="s">
        <v>17</v>
      </c>
      <c r="L3129" t="b">
        <v>0</v>
      </c>
      <c r="N3129" s="2" t="str">
        <f t="shared" si="271"/>
        <v/>
      </c>
      <c r="Q3129" t="str">
        <f t="shared" si="272"/>
        <v/>
      </c>
    </row>
    <row r="3130" spans="1:17" hidden="1">
      <c r="A3130" t="s">
        <v>3235</v>
      </c>
      <c r="B3130" s="1">
        <v>45340</v>
      </c>
      <c r="C3130">
        <v>2024</v>
      </c>
      <c r="D3130">
        <v>2</v>
      </c>
      <c r="E3130" t="s">
        <v>37</v>
      </c>
      <c r="F3130" t="s">
        <v>28</v>
      </c>
      <c r="G3130" t="s">
        <v>62</v>
      </c>
      <c r="H3130" t="s">
        <v>66</v>
      </c>
      <c r="I3130">
        <v>4737.63</v>
      </c>
      <c r="J3130">
        <v>4770.0600000000004</v>
      </c>
      <c r="K3130" t="s">
        <v>17</v>
      </c>
      <c r="L3130" t="b">
        <v>0</v>
      </c>
      <c r="N3130" s="2" t="str">
        <f t="shared" si="271"/>
        <v/>
      </c>
      <c r="Q3130" t="str">
        <f t="shared" si="272"/>
        <v/>
      </c>
    </row>
    <row r="3131" spans="1:17" hidden="1">
      <c r="A3131" t="s">
        <v>3236</v>
      </c>
      <c r="B3131" s="1">
        <v>45340</v>
      </c>
      <c r="C3131">
        <v>2024</v>
      </c>
      <c r="D3131">
        <v>2</v>
      </c>
      <c r="E3131" t="s">
        <v>37</v>
      </c>
      <c r="F3131" t="s">
        <v>24</v>
      </c>
      <c r="G3131" t="s">
        <v>41</v>
      </c>
      <c r="H3131" t="s">
        <v>42</v>
      </c>
      <c r="I3131">
        <v>4350.28</v>
      </c>
      <c r="J3131">
        <v>4190.79</v>
      </c>
      <c r="K3131" t="s">
        <v>17</v>
      </c>
      <c r="L3131" t="b">
        <v>0</v>
      </c>
      <c r="N3131" s="2" t="str">
        <f t="shared" si="271"/>
        <v/>
      </c>
      <c r="Q3131" t="str">
        <f t="shared" si="272"/>
        <v/>
      </c>
    </row>
    <row r="3132" spans="1:17" hidden="1">
      <c r="A3132" t="s">
        <v>3237</v>
      </c>
      <c r="B3132" s="1">
        <v>45340</v>
      </c>
      <c r="C3132">
        <v>2024</v>
      </c>
      <c r="D3132">
        <v>2</v>
      </c>
      <c r="E3132" t="s">
        <v>37</v>
      </c>
      <c r="F3132" t="s">
        <v>14</v>
      </c>
      <c r="G3132" t="s">
        <v>83</v>
      </c>
      <c r="H3132" t="s">
        <v>84</v>
      </c>
      <c r="I3132">
        <v>230151.51</v>
      </c>
      <c r="J3132">
        <v>218643.93</v>
      </c>
      <c r="K3132" t="s">
        <v>85</v>
      </c>
      <c r="L3132" t="b">
        <v>0</v>
      </c>
      <c r="N3132" s="2" t="str">
        <f t="shared" si="271"/>
        <v/>
      </c>
      <c r="Q3132" t="str">
        <f t="shared" si="272"/>
        <v/>
      </c>
    </row>
    <row r="3133" spans="1:17" hidden="1">
      <c r="A3133" t="s">
        <v>3238</v>
      </c>
      <c r="B3133" s="1">
        <v>45341</v>
      </c>
      <c r="C3133">
        <v>2024</v>
      </c>
      <c r="D3133">
        <v>2</v>
      </c>
      <c r="E3133" t="s">
        <v>13</v>
      </c>
      <c r="F3133" t="s">
        <v>28</v>
      </c>
      <c r="G3133" t="s">
        <v>102</v>
      </c>
      <c r="H3133" t="s">
        <v>103</v>
      </c>
      <c r="I3133">
        <v>2986.57</v>
      </c>
      <c r="J3133">
        <v>3161.9</v>
      </c>
      <c r="K3133" t="s">
        <v>17</v>
      </c>
      <c r="L3133" t="b">
        <v>0</v>
      </c>
      <c r="N3133" s="2" t="str">
        <f t="shared" si="271"/>
        <v/>
      </c>
      <c r="Q3133" t="str">
        <f t="shared" si="272"/>
        <v/>
      </c>
    </row>
    <row r="3134" spans="1:17" hidden="1">
      <c r="A3134" t="s">
        <v>3239</v>
      </c>
      <c r="B3134" s="1">
        <v>45341</v>
      </c>
      <c r="C3134">
        <v>2024</v>
      </c>
      <c r="D3134">
        <v>2</v>
      </c>
      <c r="E3134" t="s">
        <v>13</v>
      </c>
      <c r="F3134" t="s">
        <v>24</v>
      </c>
      <c r="G3134" t="s">
        <v>15</v>
      </c>
      <c r="H3134" t="s">
        <v>16</v>
      </c>
      <c r="I3134">
        <v>2912.91</v>
      </c>
      <c r="J3134">
        <v>2885.74</v>
      </c>
      <c r="K3134" t="s">
        <v>17</v>
      </c>
      <c r="L3134" t="b">
        <v>0</v>
      </c>
      <c r="N3134" s="2" t="str">
        <f t="shared" si="271"/>
        <v/>
      </c>
      <c r="Q3134" t="str">
        <f t="shared" si="272"/>
        <v/>
      </c>
    </row>
    <row r="3135" spans="1:17" hidden="1">
      <c r="A3135" t="s">
        <v>3240</v>
      </c>
      <c r="B3135" s="1">
        <v>45341</v>
      </c>
      <c r="C3135">
        <v>2024</v>
      </c>
      <c r="D3135">
        <v>2</v>
      </c>
      <c r="E3135" t="s">
        <v>47</v>
      </c>
      <c r="F3135" t="s">
        <v>28</v>
      </c>
      <c r="G3135" t="s">
        <v>51</v>
      </c>
      <c r="H3135" t="s">
        <v>72</v>
      </c>
      <c r="I3135">
        <v>10872.45</v>
      </c>
      <c r="J3135">
        <v>9003.4599999999991</v>
      </c>
      <c r="K3135" t="s">
        <v>17</v>
      </c>
      <c r="L3135" t="b">
        <v>0</v>
      </c>
      <c r="N3135" s="2" t="b">
        <f t="shared" si="271"/>
        <v>1</v>
      </c>
      <c r="O3135" t="str">
        <f t="shared" ref="O3135:O3136" si="276">IF(AND(E3124="HR",K3124="EXPENSE"),I3124&lt;J3124,"")</f>
        <v/>
      </c>
      <c r="Q3135" t="str">
        <f t="shared" si="272"/>
        <v/>
      </c>
    </row>
    <row r="3136" spans="1:17" hidden="1">
      <c r="A3136" t="s">
        <v>3241</v>
      </c>
      <c r="B3136" s="1">
        <v>45341</v>
      </c>
      <c r="C3136">
        <v>2024</v>
      </c>
      <c r="D3136">
        <v>2</v>
      </c>
      <c r="E3136" t="s">
        <v>47</v>
      </c>
      <c r="F3136" t="s">
        <v>24</v>
      </c>
      <c r="G3136" t="s">
        <v>77</v>
      </c>
      <c r="H3136" t="s">
        <v>130</v>
      </c>
      <c r="I3136">
        <v>10674.32</v>
      </c>
      <c r="J3136">
        <v>9237.27</v>
      </c>
      <c r="K3136" t="s">
        <v>17</v>
      </c>
      <c r="L3136" t="b">
        <v>0</v>
      </c>
      <c r="N3136" s="2" t="b">
        <f t="shared" si="271"/>
        <v>1</v>
      </c>
      <c r="O3136" t="str">
        <f t="shared" si="276"/>
        <v/>
      </c>
      <c r="Q3136" t="str">
        <f t="shared" si="272"/>
        <v/>
      </c>
    </row>
    <row r="3137" spans="1:17" hidden="1">
      <c r="A3137" t="s">
        <v>3242</v>
      </c>
      <c r="B3137" s="1">
        <v>45341</v>
      </c>
      <c r="C3137">
        <v>2024</v>
      </c>
      <c r="D3137">
        <v>2</v>
      </c>
      <c r="E3137" t="s">
        <v>19</v>
      </c>
      <c r="F3137" t="s">
        <v>24</v>
      </c>
      <c r="G3137" t="s">
        <v>132</v>
      </c>
      <c r="H3137" t="s">
        <v>133</v>
      </c>
      <c r="I3137">
        <v>5782.19</v>
      </c>
      <c r="J3137">
        <v>6136.17</v>
      </c>
      <c r="K3137" t="s">
        <v>17</v>
      </c>
      <c r="L3137" t="b">
        <v>0</v>
      </c>
      <c r="N3137" s="2" t="str">
        <f t="shared" si="271"/>
        <v/>
      </c>
      <c r="Q3137" t="str">
        <f t="shared" si="272"/>
        <v/>
      </c>
    </row>
    <row r="3138" spans="1:17" hidden="1">
      <c r="A3138" t="s">
        <v>3243</v>
      </c>
      <c r="B3138" s="1">
        <v>45341</v>
      </c>
      <c r="C3138">
        <v>2024</v>
      </c>
      <c r="D3138">
        <v>2</v>
      </c>
      <c r="E3138" t="s">
        <v>23</v>
      </c>
      <c r="F3138" t="s">
        <v>14</v>
      </c>
      <c r="G3138" t="s">
        <v>59</v>
      </c>
      <c r="H3138" t="s">
        <v>60</v>
      </c>
      <c r="I3138">
        <v>6013.8</v>
      </c>
      <c r="J3138">
        <v>6034.4</v>
      </c>
      <c r="K3138" t="s">
        <v>17</v>
      </c>
      <c r="L3138" t="b">
        <v>0</v>
      </c>
      <c r="N3138" s="2" t="str">
        <f t="shared" si="271"/>
        <v/>
      </c>
      <c r="Q3138" t="str">
        <f t="shared" si="272"/>
        <v/>
      </c>
    </row>
    <row r="3139" spans="1:17" hidden="1">
      <c r="A3139" t="s">
        <v>3244</v>
      </c>
      <c r="B3139" s="1">
        <v>45341</v>
      </c>
      <c r="C3139">
        <v>2024</v>
      </c>
      <c r="D3139">
        <v>2</v>
      </c>
      <c r="E3139" t="s">
        <v>37</v>
      </c>
      <c r="F3139" t="s">
        <v>14</v>
      </c>
      <c r="G3139" t="s">
        <v>98</v>
      </c>
      <c r="H3139" t="s">
        <v>99</v>
      </c>
      <c r="I3139">
        <v>4852.92</v>
      </c>
      <c r="J3139">
        <v>4418.1400000000003</v>
      </c>
      <c r="K3139" t="s">
        <v>17</v>
      </c>
      <c r="L3139" t="b">
        <v>0</v>
      </c>
      <c r="N3139" s="2" t="str">
        <f t="shared" ref="N3139:N3202" si="277">IF(AND(E3139="IT",K3139="EXPENSE"),I3139&gt;J3139,"")</f>
        <v/>
      </c>
      <c r="Q3139" t="str">
        <f t="shared" ref="Q3139:Q3202" si="278">IF(L3139=TRUE,OR(H3139="Apex Solutions Inc",H3139="Global Trade Partners",H3139="NovaTech Services"),"")</f>
        <v/>
      </c>
    </row>
    <row r="3140" spans="1:17" hidden="1">
      <c r="A3140" t="s">
        <v>3245</v>
      </c>
      <c r="B3140" s="1">
        <v>45341</v>
      </c>
      <c r="C3140">
        <v>2024</v>
      </c>
      <c r="D3140">
        <v>2</v>
      </c>
      <c r="E3140" t="s">
        <v>37</v>
      </c>
      <c r="F3140" t="s">
        <v>28</v>
      </c>
      <c r="G3140" t="s">
        <v>83</v>
      </c>
      <c r="H3140" t="s">
        <v>84</v>
      </c>
      <c r="I3140">
        <v>151092.97</v>
      </c>
      <c r="J3140">
        <v>143538.32</v>
      </c>
      <c r="K3140" t="s">
        <v>85</v>
      </c>
      <c r="L3140" t="b">
        <v>0</v>
      </c>
      <c r="N3140" s="2" t="str">
        <f t="shared" si="277"/>
        <v/>
      </c>
      <c r="Q3140" t="str">
        <f t="shared" si="278"/>
        <v/>
      </c>
    </row>
    <row r="3141" spans="1:17" hidden="1">
      <c r="A3141" t="s">
        <v>3246</v>
      </c>
      <c r="B3141" s="1">
        <v>45342</v>
      </c>
      <c r="C3141">
        <v>2024</v>
      </c>
      <c r="D3141">
        <v>2</v>
      </c>
      <c r="E3141" t="s">
        <v>13</v>
      </c>
      <c r="F3141" t="s">
        <v>24</v>
      </c>
      <c r="G3141" t="s">
        <v>102</v>
      </c>
      <c r="H3141" t="s">
        <v>278</v>
      </c>
      <c r="I3141">
        <v>2847.34</v>
      </c>
      <c r="J3141">
        <v>2874.9</v>
      </c>
      <c r="K3141" t="s">
        <v>17</v>
      </c>
      <c r="L3141" t="b">
        <v>0</v>
      </c>
      <c r="N3141" s="2" t="str">
        <f t="shared" si="277"/>
        <v/>
      </c>
      <c r="Q3141" t="str">
        <f t="shared" si="278"/>
        <v/>
      </c>
    </row>
    <row r="3142" spans="1:17" hidden="1">
      <c r="A3142" t="s">
        <v>3247</v>
      </c>
      <c r="B3142" s="1">
        <v>45342</v>
      </c>
      <c r="C3142">
        <v>2024</v>
      </c>
      <c r="D3142">
        <v>2</v>
      </c>
      <c r="E3142" t="s">
        <v>19</v>
      </c>
      <c r="F3142" t="s">
        <v>28</v>
      </c>
      <c r="G3142" t="s">
        <v>54</v>
      </c>
      <c r="H3142" t="s">
        <v>55</v>
      </c>
      <c r="I3142">
        <v>4489.72</v>
      </c>
      <c r="J3142">
        <v>4648.72</v>
      </c>
      <c r="K3142" t="s">
        <v>17</v>
      </c>
      <c r="L3142" t="b">
        <v>0</v>
      </c>
      <c r="N3142" s="2" t="str">
        <f t="shared" si="277"/>
        <v/>
      </c>
      <c r="Q3142" t="str">
        <f t="shared" si="278"/>
        <v/>
      </c>
    </row>
    <row r="3143" spans="1:17" hidden="1">
      <c r="A3143" t="s">
        <v>3248</v>
      </c>
      <c r="B3143" s="1">
        <v>45342</v>
      </c>
      <c r="C3143">
        <v>2024</v>
      </c>
      <c r="D3143">
        <v>2</v>
      </c>
      <c r="E3143" t="s">
        <v>23</v>
      </c>
      <c r="F3143" t="s">
        <v>14</v>
      </c>
      <c r="G3143" t="s">
        <v>59</v>
      </c>
      <c r="H3143" t="s">
        <v>60</v>
      </c>
      <c r="I3143">
        <v>6590.17</v>
      </c>
      <c r="J3143">
        <v>7216.93</v>
      </c>
      <c r="K3143" t="s">
        <v>17</v>
      </c>
      <c r="L3143" t="b">
        <v>0</v>
      </c>
      <c r="N3143" s="2" t="str">
        <f t="shared" si="277"/>
        <v/>
      </c>
      <c r="Q3143" t="str">
        <f t="shared" si="278"/>
        <v/>
      </c>
    </row>
    <row r="3144" spans="1:17" hidden="1">
      <c r="A3144" t="s">
        <v>3249</v>
      </c>
      <c r="B3144" s="1">
        <v>45342</v>
      </c>
      <c r="C3144">
        <v>2024</v>
      </c>
      <c r="D3144">
        <v>2</v>
      </c>
      <c r="E3144" t="s">
        <v>23</v>
      </c>
      <c r="F3144" t="s">
        <v>28</v>
      </c>
      <c r="G3144" t="s">
        <v>141</v>
      </c>
      <c r="H3144" t="s">
        <v>142</v>
      </c>
      <c r="I3144">
        <v>6407.93</v>
      </c>
      <c r="J3144">
        <v>6993.41</v>
      </c>
      <c r="K3144" t="s">
        <v>17</v>
      </c>
      <c r="L3144" t="b">
        <v>0</v>
      </c>
      <c r="N3144" s="2" t="str">
        <f t="shared" si="277"/>
        <v/>
      </c>
      <c r="Q3144" t="str">
        <f t="shared" si="278"/>
        <v/>
      </c>
    </row>
    <row r="3145" spans="1:17" hidden="1">
      <c r="A3145" t="s">
        <v>3250</v>
      </c>
      <c r="B3145" s="1">
        <v>45342</v>
      </c>
      <c r="C3145">
        <v>2024</v>
      </c>
      <c r="D3145">
        <v>2</v>
      </c>
      <c r="E3145" t="s">
        <v>37</v>
      </c>
      <c r="F3145" t="s">
        <v>28</v>
      </c>
      <c r="G3145" t="s">
        <v>98</v>
      </c>
      <c r="H3145" t="s">
        <v>185</v>
      </c>
      <c r="I3145">
        <v>4722.16</v>
      </c>
      <c r="J3145">
        <v>4363.53</v>
      </c>
      <c r="K3145" t="s">
        <v>17</v>
      </c>
      <c r="L3145" t="b">
        <v>0</v>
      </c>
      <c r="N3145" s="2" t="str">
        <f t="shared" si="277"/>
        <v/>
      </c>
      <c r="Q3145" t="str">
        <f t="shared" si="278"/>
        <v/>
      </c>
    </row>
    <row r="3146" spans="1:17" hidden="1">
      <c r="A3146" t="s">
        <v>3251</v>
      </c>
      <c r="B3146" s="1">
        <v>45343</v>
      </c>
      <c r="C3146">
        <v>2024</v>
      </c>
      <c r="D3146">
        <v>2</v>
      </c>
      <c r="E3146" t="s">
        <v>13</v>
      </c>
      <c r="F3146" t="s">
        <v>28</v>
      </c>
      <c r="G3146" t="s">
        <v>68</v>
      </c>
      <c r="H3146" t="s">
        <v>69</v>
      </c>
      <c r="I3146">
        <v>2256.15</v>
      </c>
      <c r="J3146">
        <v>2390.52</v>
      </c>
      <c r="K3146" t="s">
        <v>17</v>
      </c>
      <c r="L3146" t="b">
        <v>0</v>
      </c>
      <c r="N3146" s="2" t="str">
        <f t="shared" si="277"/>
        <v/>
      </c>
      <c r="Q3146" t="str">
        <f t="shared" si="278"/>
        <v/>
      </c>
    </row>
    <row r="3147" spans="1:17" hidden="1">
      <c r="A3147" t="s">
        <v>3252</v>
      </c>
      <c r="B3147" s="1">
        <v>45343</v>
      </c>
      <c r="C3147">
        <v>2024</v>
      </c>
      <c r="D3147">
        <v>2</v>
      </c>
      <c r="E3147" t="s">
        <v>13</v>
      </c>
      <c r="F3147" t="s">
        <v>28</v>
      </c>
      <c r="G3147" t="s">
        <v>102</v>
      </c>
      <c r="H3147" t="s">
        <v>103</v>
      </c>
      <c r="I3147">
        <v>3168.72</v>
      </c>
      <c r="J3147">
        <v>3060.59</v>
      </c>
      <c r="K3147" t="s">
        <v>17</v>
      </c>
      <c r="L3147" t="b">
        <v>0</v>
      </c>
      <c r="N3147" s="2" t="str">
        <f t="shared" si="277"/>
        <v/>
      </c>
      <c r="Q3147" t="str">
        <f t="shared" si="278"/>
        <v/>
      </c>
    </row>
    <row r="3148" spans="1:17" hidden="1">
      <c r="A3148" t="s">
        <v>3253</v>
      </c>
      <c r="B3148" s="1">
        <v>45343</v>
      </c>
      <c r="C3148">
        <v>2024</v>
      </c>
      <c r="D3148">
        <v>2</v>
      </c>
      <c r="E3148" t="s">
        <v>13</v>
      </c>
      <c r="F3148" t="s">
        <v>24</v>
      </c>
      <c r="G3148" t="s">
        <v>108</v>
      </c>
      <c r="H3148" t="s">
        <v>123</v>
      </c>
      <c r="I3148">
        <v>3124.16</v>
      </c>
      <c r="J3148">
        <v>3198.8</v>
      </c>
      <c r="K3148" t="s">
        <v>17</v>
      </c>
      <c r="L3148" t="b">
        <v>0</v>
      </c>
      <c r="N3148" s="2" t="str">
        <f t="shared" si="277"/>
        <v/>
      </c>
      <c r="Q3148" t="str">
        <f t="shared" si="278"/>
        <v/>
      </c>
    </row>
    <row r="3149" spans="1:17" hidden="1">
      <c r="A3149" t="s">
        <v>3254</v>
      </c>
      <c r="B3149" s="1">
        <v>45343</v>
      </c>
      <c r="C3149">
        <v>2024</v>
      </c>
      <c r="D3149">
        <v>2</v>
      </c>
      <c r="E3149" t="s">
        <v>47</v>
      </c>
      <c r="F3149" t="s">
        <v>28</v>
      </c>
      <c r="G3149" t="s">
        <v>91</v>
      </c>
      <c r="H3149" t="s">
        <v>92</v>
      </c>
      <c r="I3149">
        <v>9868.5300000000007</v>
      </c>
      <c r="J3149">
        <v>8564.65</v>
      </c>
      <c r="K3149" t="s">
        <v>17</v>
      </c>
      <c r="L3149" t="b">
        <v>0</v>
      </c>
      <c r="N3149" s="2" t="b">
        <f t="shared" si="277"/>
        <v>1</v>
      </c>
      <c r="O3149" t="str">
        <f>IF(AND(E3138="HR",K3138="EXPENSE"),I3138&lt;J3138,"")</f>
        <v/>
      </c>
      <c r="Q3149" t="str">
        <f t="shared" si="278"/>
        <v/>
      </c>
    </row>
    <row r="3150" spans="1:17" hidden="1">
      <c r="A3150" t="s">
        <v>3255</v>
      </c>
      <c r="B3150" s="1">
        <v>45343</v>
      </c>
      <c r="C3150">
        <v>2024</v>
      </c>
      <c r="D3150">
        <v>2</v>
      </c>
      <c r="E3150" t="s">
        <v>19</v>
      </c>
      <c r="F3150" t="s">
        <v>28</v>
      </c>
      <c r="G3150" t="s">
        <v>80</v>
      </c>
      <c r="H3150" t="s">
        <v>217</v>
      </c>
      <c r="I3150">
        <v>4727.1400000000003</v>
      </c>
      <c r="J3150">
        <v>5126.6499999999996</v>
      </c>
      <c r="K3150" t="s">
        <v>17</v>
      </c>
      <c r="L3150" t="b">
        <v>0</v>
      </c>
      <c r="N3150" s="2" t="str">
        <f t="shared" si="277"/>
        <v/>
      </c>
      <c r="Q3150" t="str">
        <f t="shared" si="278"/>
        <v/>
      </c>
    </row>
    <row r="3151" spans="1:17" hidden="1">
      <c r="A3151" t="s">
        <v>3256</v>
      </c>
      <c r="B3151" s="1">
        <v>45343</v>
      </c>
      <c r="C3151">
        <v>2024</v>
      </c>
      <c r="D3151">
        <v>2</v>
      </c>
      <c r="E3151" t="s">
        <v>19</v>
      </c>
      <c r="F3151" t="s">
        <v>28</v>
      </c>
      <c r="G3151" t="s">
        <v>54</v>
      </c>
      <c r="H3151" t="s">
        <v>163</v>
      </c>
      <c r="I3151">
        <v>7406.64</v>
      </c>
      <c r="J3151">
        <v>7047.22</v>
      </c>
      <c r="K3151" t="s">
        <v>17</v>
      </c>
      <c r="L3151" t="b">
        <v>0</v>
      </c>
      <c r="N3151" s="2" t="str">
        <f t="shared" si="277"/>
        <v/>
      </c>
      <c r="Q3151" t="str">
        <f t="shared" si="278"/>
        <v/>
      </c>
    </row>
    <row r="3152" spans="1:17" hidden="1">
      <c r="A3152" t="s">
        <v>3257</v>
      </c>
      <c r="B3152" s="1">
        <v>45343</v>
      </c>
      <c r="C3152">
        <v>2024</v>
      </c>
      <c r="D3152">
        <v>2</v>
      </c>
      <c r="E3152" t="s">
        <v>19</v>
      </c>
      <c r="F3152" t="s">
        <v>28</v>
      </c>
      <c r="G3152" t="s">
        <v>132</v>
      </c>
      <c r="H3152" t="s">
        <v>171</v>
      </c>
      <c r="I3152">
        <v>4622.29</v>
      </c>
      <c r="J3152">
        <v>4801.18</v>
      </c>
      <c r="K3152" t="s">
        <v>17</v>
      </c>
      <c r="L3152" t="b">
        <v>0</v>
      </c>
      <c r="N3152" s="2" t="str">
        <f t="shared" si="277"/>
        <v/>
      </c>
      <c r="Q3152" t="str">
        <f t="shared" si="278"/>
        <v/>
      </c>
    </row>
    <row r="3153" spans="1:17" hidden="1">
      <c r="A3153" t="s">
        <v>3258</v>
      </c>
      <c r="B3153" s="1">
        <v>45343</v>
      </c>
      <c r="C3153">
        <v>2024</v>
      </c>
      <c r="D3153">
        <v>2</v>
      </c>
      <c r="E3153" t="s">
        <v>23</v>
      </c>
      <c r="F3153" t="s">
        <v>14</v>
      </c>
      <c r="G3153" t="s">
        <v>141</v>
      </c>
      <c r="H3153" t="s">
        <v>209</v>
      </c>
      <c r="I3153">
        <v>5117.34</v>
      </c>
      <c r="J3153">
        <v>5194.6099999999997</v>
      </c>
      <c r="K3153" t="s">
        <v>17</v>
      </c>
      <c r="L3153" t="b">
        <v>0</v>
      </c>
      <c r="N3153" s="2" t="str">
        <f t="shared" si="277"/>
        <v/>
      </c>
      <c r="Q3153" t="str">
        <f t="shared" si="278"/>
        <v/>
      </c>
    </row>
    <row r="3154" spans="1:17" hidden="1">
      <c r="A3154" t="s">
        <v>3259</v>
      </c>
      <c r="B3154" s="1">
        <v>45343</v>
      </c>
      <c r="C3154">
        <v>2024</v>
      </c>
      <c r="D3154">
        <v>2</v>
      </c>
      <c r="E3154" t="s">
        <v>23</v>
      </c>
      <c r="F3154" t="s">
        <v>28</v>
      </c>
      <c r="G3154" t="s">
        <v>30</v>
      </c>
      <c r="H3154" t="s">
        <v>33</v>
      </c>
      <c r="I3154">
        <v>4822.1899999999996</v>
      </c>
      <c r="J3154">
        <v>5087.8</v>
      </c>
      <c r="K3154" t="s">
        <v>17</v>
      </c>
      <c r="L3154" t="b">
        <v>0</v>
      </c>
      <c r="N3154" s="2" t="str">
        <f t="shared" si="277"/>
        <v/>
      </c>
      <c r="Q3154" t="str">
        <f t="shared" si="278"/>
        <v/>
      </c>
    </row>
    <row r="3155" spans="1:17" hidden="1">
      <c r="A3155" t="s">
        <v>3260</v>
      </c>
      <c r="B3155" s="1">
        <v>45343</v>
      </c>
      <c r="C3155">
        <v>2024</v>
      </c>
      <c r="D3155">
        <v>2</v>
      </c>
      <c r="E3155" t="s">
        <v>23</v>
      </c>
      <c r="F3155" t="s">
        <v>28</v>
      </c>
      <c r="G3155" t="s">
        <v>141</v>
      </c>
      <c r="H3155" t="s">
        <v>142</v>
      </c>
      <c r="I3155">
        <v>4576.1499999999996</v>
      </c>
      <c r="J3155">
        <v>4177.1499999999996</v>
      </c>
      <c r="K3155" t="s">
        <v>17</v>
      </c>
      <c r="L3155" t="b">
        <v>0</v>
      </c>
      <c r="N3155" s="2" t="str">
        <f t="shared" si="277"/>
        <v/>
      </c>
      <c r="Q3155" t="str">
        <f t="shared" si="278"/>
        <v/>
      </c>
    </row>
    <row r="3156" spans="1:17" hidden="1">
      <c r="A3156" t="s">
        <v>3261</v>
      </c>
      <c r="B3156" s="1">
        <v>45343</v>
      </c>
      <c r="C3156">
        <v>2024</v>
      </c>
      <c r="D3156">
        <v>2</v>
      </c>
      <c r="E3156" t="s">
        <v>23</v>
      </c>
      <c r="F3156" t="s">
        <v>24</v>
      </c>
      <c r="G3156" t="s">
        <v>59</v>
      </c>
      <c r="H3156" t="s">
        <v>60</v>
      </c>
      <c r="I3156">
        <v>7718.04</v>
      </c>
      <c r="J3156">
        <v>8018.77</v>
      </c>
      <c r="K3156" t="s">
        <v>17</v>
      </c>
      <c r="L3156" t="b">
        <v>0</v>
      </c>
      <c r="N3156" s="2" t="str">
        <f t="shared" si="277"/>
        <v/>
      </c>
      <c r="Q3156" t="str">
        <f t="shared" si="278"/>
        <v/>
      </c>
    </row>
    <row r="3157" spans="1:17" hidden="1">
      <c r="A3157" t="s">
        <v>3262</v>
      </c>
      <c r="B3157" s="1">
        <v>45343</v>
      </c>
      <c r="C3157">
        <v>2024</v>
      </c>
      <c r="D3157">
        <v>2</v>
      </c>
      <c r="E3157" t="s">
        <v>37</v>
      </c>
      <c r="F3157" t="s">
        <v>14</v>
      </c>
      <c r="G3157" t="s">
        <v>62</v>
      </c>
      <c r="H3157" t="s">
        <v>360</v>
      </c>
      <c r="I3157">
        <v>4256.6000000000004</v>
      </c>
      <c r="J3157">
        <v>3920.76</v>
      </c>
      <c r="K3157" t="s">
        <v>17</v>
      </c>
      <c r="L3157" t="b">
        <v>0</v>
      </c>
      <c r="N3157" s="2" t="str">
        <f t="shared" si="277"/>
        <v/>
      </c>
      <c r="Q3157" t="str">
        <f t="shared" si="278"/>
        <v/>
      </c>
    </row>
    <row r="3158" spans="1:17" hidden="1">
      <c r="A3158" t="s">
        <v>3263</v>
      </c>
      <c r="B3158" s="1">
        <v>45344</v>
      </c>
      <c r="C3158">
        <v>2024</v>
      </c>
      <c r="D3158">
        <v>2</v>
      </c>
      <c r="E3158" t="s">
        <v>13</v>
      </c>
      <c r="F3158" t="s">
        <v>14</v>
      </c>
      <c r="G3158" t="s">
        <v>108</v>
      </c>
      <c r="H3158" t="s">
        <v>109</v>
      </c>
      <c r="I3158">
        <v>4361.34</v>
      </c>
      <c r="J3158">
        <v>3976.26</v>
      </c>
      <c r="K3158" t="s">
        <v>17</v>
      </c>
      <c r="L3158" t="b">
        <v>0</v>
      </c>
      <c r="N3158" s="2" t="str">
        <f t="shared" si="277"/>
        <v/>
      </c>
      <c r="Q3158" t="str">
        <f t="shared" si="278"/>
        <v/>
      </c>
    </row>
    <row r="3159" spans="1:17" hidden="1">
      <c r="A3159" t="s">
        <v>3264</v>
      </c>
      <c r="B3159" s="1">
        <v>45344</v>
      </c>
      <c r="C3159">
        <v>2024</v>
      </c>
      <c r="D3159">
        <v>2</v>
      </c>
      <c r="E3159" t="s">
        <v>47</v>
      </c>
      <c r="F3159" t="s">
        <v>14</v>
      </c>
      <c r="G3159" t="s">
        <v>77</v>
      </c>
      <c r="H3159" t="s">
        <v>147</v>
      </c>
      <c r="I3159">
        <v>12963.07</v>
      </c>
      <c r="J3159">
        <v>11233.59</v>
      </c>
      <c r="K3159" t="s">
        <v>17</v>
      </c>
      <c r="L3159" t="b">
        <v>0</v>
      </c>
      <c r="N3159" s="2" t="b">
        <f t="shared" si="277"/>
        <v>1</v>
      </c>
      <c r="O3159" t="b">
        <f>IF(AND(E3148="HR",K3148="EXPENSE"),I3148&lt;J3148,"")</f>
        <v>1</v>
      </c>
      <c r="Q3159" t="str">
        <f t="shared" si="278"/>
        <v/>
      </c>
    </row>
    <row r="3160" spans="1:17" hidden="1">
      <c r="A3160" t="s">
        <v>3265</v>
      </c>
      <c r="B3160" s="1">
        <v>45344</v>
      </c>
      <c r="C3160">
        <v>2024</v>
      </c>
      <c r="D3160">
        <v>2</v>
      </c>
      <c r="E3160" t="s">
        <v>19</v>
      </c>
      <c r="F3160" t="s">
        <v>28</v>
      </c>
      <c r="G3160" t="s">
        <v>80</v>
      </c>
      <c r="H3160" t="s">
        <v>113</v>
      </c>
      <c r="I3160">
        <v>6218.96</v>
      </c>
      <c r="J3160">
        <v>5881.18</v>
      </c>
      <c r="K3160" t="s">
        <v>17</v>
      </c>
      <c r="L3160" t="b">
        <v>0</v>
      </c>
      <c r="N3160" s="2" t="str">
        <f t="shared" si="277"/>
        <v/>
      </c>
      <c r="Q3160" t="str">
        <f t="shared" si="278"/>
        <v/>
      </c>
    </row>
    <row r="3161" spans="1:17" hidden="1">
      <c r="A3161" t="s">
        <v>3266</v>
      </c>
      <c r="B3161" s="1">
        <v>45344</v>
      </c>
      <c r="C3161">
        <v>2024</v>
      </c>
      <c r="D3161">
        <v>2</v>
      </c>
      <c r="E3161" t="s">
        <v>19</v>
      </c>
      <c r="F3161" t="s">
        <v>28</v>
      </c>
      <c r="G3161" t="s">
        <v>54</v>
      </c>
      <c r="H3161" t="s">
        <v>55</v>
      </c>
      <c r="I3161">
        <v>5580.86</v>
      </c>
      <c r="J3161">
        <v>5962.38</v>
      </c>
      <c r="K3161" t="s">
        <v>17</v>
      </c>
      <c r="L3161" t="b">
        <v>0</v>
      </c>
      <c r="N3161" s="2" t="str">
        <f t="shared" si="277"/>
        <v/>
      </c>
      <c r="Q3161" t="str">
        <f t="shared" si="278"/>
        <v/>
      </c>
    </row>
    <row r="3162" spans="1:17" hidden="1">
      <c r="A3162" t="s">
        <v>3267</v>
      </c>
      <c r="B3162" s="1">
        <v>45344</v>
      </c>
      <c r="C3162">
        <v>2024</v>
      </c>
      <c r="D3162">
        <v>2</v>
      </c>
      <c r="E3162" t="s">
        <v>37</v>
      </c>
      <c r="F3162" t="s">
        <v>28</v>
      </c>
      <c r="G3162" t="s">
        <v>38</v>
      </c>
      <c r="H3162" t="s">
        <v>39</v>
      </c>
      <c r="I3162">
        <v>5710.73</v>
      </c>
      <c r="J3162">
        <v>5212.22</v>
      </c>
      <c r="K3162" t="s">
        <v>17</v>
      </c>
      <c r="L3162" t="b">
        <v>0</v>
      </c>
      <c r="N3162" s="2" t="str">
        <f t="shared" si="277"/>
        <v/>
      </c>
      <c r="Q3162" t="str">
        <f t="shared" si="278"/>
        <v/>
      </c>
    </row>
    <row r="3163" spans="1:17" hidden="1">
      <c r="A3163" t="s">
        <v>3268</v>
      </c>
      <c r="B3163" s="1">
        <v>45344</v>
      </c>
      <c r="C3163">
        <v>2024</v>
      </c>
      <c r="D3163">
        <v>2</v>
      </c>
      <c r="E3163" t="s">
        <v>37</v>
      </c>
      <c r="F3163" t="s">
        <v>28</v>
      </c>
      <c r="G3163" t="s">
        <v>62</v>
      </c>
      <c r="H3163" t="s">
        <v>360</v>
      </c>
      <c r="I3163">
        <v>4762.8999999999996</v>
      </c>
      <c r="J3163">
        <v>4653.32</v>
      </c>
      <c r="K3163" t="s">
        <v>17</v>
      </c>
      <c r="L3163" t="b">
        <v>0</v>
      </c>
      <c r="N3163" s="2" t="str">
        <f t="shared" si="277"/>
        <v/>
      </c>
      <c r="Q3163" t="str">
        <f t="shared" si="278"/>
        <v/>
      </c>
    </row>
    <row r="3164" spans="1:17" hidden="1">
      <c r="A3164" t="s">
        <v>3269</v>
      </c>
      <c r="B3164" s="1">
        <v>45344</v>
      </c>
      <c r="C3164">
        <v>2024</v>
      </c>
      <c r="D3164">
        <v>2</v>
      </c>
      <c r="E3164" t="s">
        <v>37</v>
      </c>
      <c r="F3164" t="s">
        <v>24</v>
      </c>
      <c r="G3164" t="s">
        <v>62</v>
      </c>
      <c r="H3164" t="s">
        <v>121</v>
      </c>
      <c r="I3164">
        <v>5646.67</v>
      </c>
      <c r="J3164">
        <v>5988.36</v>
      </c>
      <c r="K3164" t="s">
        <v>17</v>
      </c>
      <c r="L3164" t="b">
        <v>0</v>
      </c>
      <c r="N3164" s="2" t="str">
        <f t="shared" si="277"/>
        <v/>
      </c>
      <c r="Q3164" t="str">
        <f t="shared" si="278"/>
        <v/>
      </c>
    </row>
    <row r="3165" spans="1:17" hidden="1">
      <c r="A3165" t="s">
        <v>3270</v>
      </c>
      <c r="B3165" s="1">
        <v>45345</v>
      </c>
      <c r="C3165">
        <v>2024</v>
      </c>
      <c r="D3165">
        <v>2</v>
      </c>
      <c r="E3165" t="s">
        <v>47</v>
      </c>
      <c r="F3165" t="s">
        <v>14</v>
      </c>
      <c r="G3165" t="s">
        <v>51</v>
      </c>
      <c r="H3165" t="s">
        <v>189</v>
      </c>
      <c r="I3165">
        <v>9470.2199999999993</v>
      </c>
      <c r="J3165">
        <v>8153.32</v>
      </c>
      <c r="K3165" t="s">
        <v>17</v>
      </c>
      <c r="L3165" t="b">
        <v>0</v>
      </c>
      <c r="N3165" s="2" t="b">
        <f t="shared" si="277"/>
        <v>1</v>
      </c>
      <c r="O3165" t="str">
        <f t="shared" ref="O3165:O3169" si="279">IF(AND(E3154="HR",K3154="EXPENSE"),I3154&lt;J3154,"")</f>
        <v/>
      </c>
      <c r="Q3165" t="str">
        <f t="shared" si="278"/>
        <v/>
      </c>
    </row>
    <row r="3166" spans="1:17" hidden="1">
      <c r="A3166" t="s">
        <v>3271</v>
      </c>
      <c r="B3166" s="1">
        <v>45345</v>
      </c>
      <c r="C3166">
        <v>2024</v>
      </c>
      <c r="D3166">
        <v>2</v>
      </c>
      <c r="E3166" t="s">
        <v>47</v>
      </c>
      <c r="F3166" t="s">
        <v>28</v>
      </c>
      <c r="G3166" t="s">
        <v>91</v>
      </c>
      <c r="H3166" t="s">
        <v>128</v>
      </c>
      <c r="I3166">
        <v>8797.83</v>
      </c>
      <c r="J3166">
        <v>7422.76</v>
      </c>
      <c r="K3166" t="s">
        <v>17</v>
      </c>
      <c r="L3166" t="b">
        <v>0</v>
      </c>
      <c r="N3166" s="2" t="b">
        <f t="shared" si="277"/>
        <v>1</v>
      </c>
      <c r="O3166" t="str">
        <f t="shared" si="279"/>
        <v/>
      </c>
      <c r="Q3166" t="str">
        <f t="shared" si="278"/>
        <v/>
      </c>
    </row>
    <row r="3167" spans="1:17" hidden="1">
      <c r="A3167" t="s">
        <v>3272</v>
      </c>
      <c r="B3167" s="1">
        <v>45345</v>
      </c>
      <c r="C3167">
        <v>2024</v>
      </c>
      <c r="D3167">
        <v>2</v>
      </c>
      <c r="E3167" t="s">
        <v>47</v>
      </c>
      <c r="F3167" t="s">
        <v>28</v>
      </c>
      <c r="G3167" t="s">
        <v>48</v>
      </c>
      <c r="H3167" t="s">
        <v>189</v>
      </c>
      <c r="I3167">
        <v>12071.81</v>
      </c>
      <c r="J3167">
        <v>10007.98</v>
      </c>
      <c r="K3167" t="s">
        <v>17</v>
      </c>
      <c r="L3167" t="b">
        <v>0</v>
      </c>
      <c r="N3167" s="2" t="b">
        <f t="shared" si="277"/>
        <v>1</v>
      </c>
      <c r="O3167" t="str">
        <f t="shared" si="279"/>
        <v/>
      </c>
      <c r="Q3167" t="str">
        <f t="shared" si="278"/>
        <v/>
      </c>
    </row>
    <row r="3168" spans="1:17" hidden="1">
      <c r="A3168" t="s">
        <v>3273</v>
      </c>
      <c r="B3168" s="1">
        <v>45345</v>
      </c>
      <c r="C3168">
        <v>2024</v>
      </c>
      <c r="D3168">
        <v>2</v>
      </c>
      <c r="E3168" t="s">
        <v>47</v>
      </c>
      <c r="F3168" t="s">
        <v>24</v>
      </c>
      <c r="G3168" t="s">
        <v>51</v>
      </c>
      <c r="H3168" t="s">
        <v>52</v>
      </c>
      <c r="I3168">
        <v>12840.34</v>
      </c>
      <c r="J3168">
        <v>10851.52</v>
      </c>
      <c r="K3168" t="s">
        <v>17</v>
      </c>
      <c r="L3168" t="b">
        <v>0</v>
      </c>
      <c r="N3168" s="2" t="b">
        <f t="shared" si="277"/>
        <v>1</v>
      </c>
      <c r="O3168" t="str">
        <f t="shared" si="279"/>
        <v/>
      </c>
      <c r="Q3168" t="str">
        <f t="shared" si="278"/>
        <v/>
      </c>
    </row>
    <row r="3169" spans="1:17" hidden="1">
      <c r="A3169" t="s">
        <v>3274</v>
      </c>
      <c r="B3169" s="1">
        <v>45345</v>
      </c>
      <c r="C3169">
        <v>2024</v>
      </c>
      <c r="D3169">
        <v>2</v>
      </c>
      <c r="E3169" t="s">
        <v>47</v>
      </c>
      <c r="F3169" t="s">
        <v>24</v>
      </c>
      <c r="G3169" t="s">
        <v>77</v>
      </c>
      <c r="H3169" t="s">
        <v>147</v>
      </c>
      <c r="I3169">
        <v>19614.78</v>
      </c>
      <c r="J3169">
        <v>16887.830000000002</v>
      </c>
      <c r="K3169" t="s">
        <v>17</v>
      </c>
      <c r="L3169" t="b">
        <v>0</v>
      </c>
      <c r="N3169" s="2" t="b">
        <f t="shared" si="277"/>
        <v>1</v>
      </c>
      <c r="O3169" t="b">
        <f t="shared" si="279"/>
        <v>0</v>
      </c>
      <c r="Q3169" t="str">
        <f t="shared" si="278"/>
        <v/>
      </c>
    </row>
    <row r="3170" spans="1:17" hidden="1">
      <c r="A3170" t="s">
        <v>3275</v>
      </c>
      <c r="B3170" s="1">
        <v>45345</v>
      </c>
      <c r="C3170">
        <v>2024</v>
      </c>
      <c r="D3170">
        <v>2</v>
      </c>
      <c r="E3170" t="s">
        <v>19</v>
      </c>
      <c r="F3170" t="s">
        <v>28</v>
      </c>
      <c r="G3170" t="s">
        <v>54</v>
      </c>
      <c r="H3170" t="s">
        <v>55</v>
      </c>
      <c r="I3170">
        <v>5987.17</v>
      </c>
      <c r="J3170">
        <v>6069.16</v>
      </c>
      <c r="K3170" t="s">
        <v>17</v>
      </c>
      <c r="L3170" t="b">
        <v>0</v>
      </c>
      <c r="N3170" s="2" t="str">
        <f t="shared" si="277"/>
        <v/>
      </c>
      <c r="Q3170" t="str">
        <f t="shared" si="278"/>
        <v/>
      </c>
    </row>
    <row r="3171" spans="1:17" hidden="1">
      <c r="A3171" t="s">
        <v>3276</v>
      </c>
      <c r="B3171" s="1">
        <v>45345</v>
      </c>
      <c r="C3171">
        <v>2024</v>
      </c>
      <c r="D3171">
        <v>2</v>
      </c>
      <c r="E3171" t="s">
        <v>23</v>
      </c>
      <c r="F3171" t="s">
        <v>14</v>
      </c>
      <c r="G3171" t="s">
        <v>30</v>
      </c>
      <c r="H3171" t="s">
        <v>106</v>
      </c>
      <c r="I3171">
        <v>5032.57</v>
      </c>
      <c r="J3171">
        <v>5024.03</v>
      </c>
      <c r="K3171" t="s">
        <v>17</v>
      </c>
      <c r="L3171" t="b">
        <v>0</v>
      </c>
      <c r="N3171" s="2" t="str">
        <f t="shared" si="277"/>
        <v/>
      </c>
      <c r="Q3171" t="str">
        <f t="shared" si="278"/>
        <v/>
      </c>
    </row>
    <row r="3172" spans="1:17" hidden="1">
      <c r="A3172" t="s">
        <v>3277</v>
      </c>
      <c r="B3172" s="1">
        <v>45345</v>
      </c>
      <c r="C3172">
        <v>2024</v>
      </c>
      <c r="D3172">
        <v>2</v>
      </c>
      <c r="E3172" t="s">
        <v>37</v>
      </c>
      <c r="F3172" t="s">
        <v>28</v>
      </c>
      <c r="G3172" t="s">
        <v>62</v>
      </c>
      <c r="H3172" t="s">
        <v>360</v>
      </c>
      <c r="I3172">
        <v>3619.99</v>
      </c>
      <c r="J3172">
        <v>3467.94</v>
      </c>
      <c r="K3172" t="s">
        <v>17</v>
      </c>
      <c r="L3172" t="b">
        <v>0</v>
      </c>
      <c r="N3172" s="2" t="str">
        <f t="shared" si="277"/>
        <v/>
      </c>
      <c r="Q3172" t="str">
        <f t="shared" si="278"/>
        <v/>
      </c>
    </row>
    <row r="3173" spans="1:17" hidden="1">
      <c r="A3173" t="s">
        <v>3278</v>
      </c>
      <c r="B3173" s="1">
        <v>45346</v>
      </c>
      <c r="C3173">
        <v>2024</v>
      </c>
      <c r="D3173">
        <v>2</v>
      </c>
      <c r="E3173" t="s">
        <v>13</v>
      </c>
      <c r="F3173" t="s">
        <v>14</v>
      </c>
      <c r="G3173" t="s">
        <v>15</v>
      </c>
      <c r="H3173" t="s">
        <v>45</v>
      </c>
      <c r="I3173">
        <v>2204.66</v>
      </c>
      <c r="J3173">
        <v>2163.83</v>
      </c>
      <c r="K3173" t="s">
        <v>17</v>
      </c>
      <c r="L3173" t="b">
        <v>0</v>
      </c>
      <c r="N3173" s="2" t="str">
        <f t="shared" si="277"/>
        <v/>
      </c>
      <c r="Q3173" t="str">
        <f t="shared" si="278"/>
        <v/>
      </c>
    </row>
    <row r="3174" spans="1:17" hidden="1">
      <c r="A3174" t="s">
        <v>3279</v>
      </c>
      <c r="B3174" s="1">
        <v>45346</v>
      </c>
      <c r="C3174">
        <v>2024</v>
      </c>
      <c r="D3174">
        <v>2</v>
      </c>
      <c r="E3174" t="s">
        <v>47</v>
      </c>
      <c r="F3174" t="s">
        <v>14</v>
      </c>
      <c r="G3174" t="s">
        <v>91</v>
      </c>
      <c r="H3174" t="s">
        <v>254</v>
      </c>
      <c r="I3174">
        <v>14505.57</v>
      </c>
      <c r="J3174">
        <v>12284.89</v>
      </c>
      <c r="K3174" t="s">
        <v>17</v>
      </c>
      <c r="L3174" t="b">
        <v>0</v>
      </c>
      <c r="N3174" s="2" t="b">
        <f t="shared" si="277"/>
        <v>1</v>
      </c>
      <c r="O3174" t="str">
        <f t="shared" ref="O3174:O3176" si="280">IF(AND(E3163="HR",K3163="EXPENSE"),I3163&lt;J3163,"")</f>
        <v/>
      </c>
      <c r="Q3174" t="str">
        <f t="shared" si="278"/>
        <v/>
      </c>
    </row>
    <row r="3175" spans="1:17" hidden="1">
      <c r="A3175" t="s">
        <v>3280</v>
      </c>
      <c r="B3175" s="1">
        <v>45346</v>
      </c>
      <c r="C3175">
        <v>2024</v>
      </c>
      <c r="D3175">
        <v>2</v>
      </c>
      <c r="E3175" t="s">
        <v>47</v>
      </c>
      <c r="F3175" t="s">
        <v>28</v>
      </c>
      <c r="G3175" t="s">
        <v>77</v>
      </c>
      <c r="H3175" t="s">
        <v>78</v>
      </c>
      <c r="I3175">
        <v>12439.29</v>
      </c>
      <c r="J3175">
        <v>10285.379999999999</v>
      </c>
      <c r="K3175" t="s">
        <v>17</v>
      </c>
      <c r="L3175" t="b">
        <v>0</v>
      </c>
      <c r="N3175" s="2" t="b">
        <f t="shared" si="277"/>
        <v>1</v>
      </c>
      <c r="O3175" t="str">
        <f t="shared" si="280"/>
        <v/>
      </c>
      <c r="Q3175" t="str">
        <f t="shared" si="278"/>
        <v/>
      </c>
    </row>
    <row r="3176" spans="1:17" hidden="1">
      <c r="A3176" t="s">
        <v>3281</v>
      </c>
      <c r="B3176" s="1">
        <v>45346</v>
      </c>
      <c r="C3176">
        <v>2024</v>
      </c>
      <c r="D3176">
        <v>2</v>
      </c>
      <c r="E3176" t="s">
        <v>47</v>
      </c>
      <c r="F3176" t="s">
        <v>24</v>
      </c>
      <c r="G3176" t="s">
        <v>77</v>
      </c>
      <c r="H3176" t="s">
        <v>147</v>
      </c>
      <c r="I3176">
        <v>19746.62</v>
      </c>
      <c r="J3176">
        <v>16884.37</v>
      </c>
      <c r="K3176" t="s">
        <v>17</v>
      </c>
      <c r="L3176" t="b">
        <v>0</v>
      </c>
      <c r="N3176" s="2" t="b">
        <f t="shared" si="277"/>
        <v>1</v>
      </c>
      <c r="O3176" t="str">
        <f t="shared" si="280"/>
        <v/>
      </c>
      <c r="Q3176" t="str">
        <f t="shared" si="278"/>
        <v/>
      </c>
    </row>
    <row r="3177" spans="1:17" hidden="1">
      <c r="A3177" t="s">
        <v>3282</v>
      </c>
      <c r="B3177" s="1">
        <v>45346</v>
      </c>
      <c r="C3177">
        <v>2024</v>
      </c>
      <c r="D3177">
        <v>2</v>
      </c>
      <c r="E3177" t="s">
        <v>23</v>
      </c>
      <c r="F3177" t="s">
        <v>24</v>
      </c>
      <c r="G3177" t="s">
        <v>30</v>
      </c>
      <c r="H3177" t="s">
        <v>33</v>
      </c>
      <c r="I3177">
        <v>6807.12</v>
      </c>
      <c r="J3177">
        <v>7481.85</v>
      </c>
      <c r="K3177" t="s">
        <v>17</v>
      </c>
      <c r="L3177" t="b">
        <v>0</v>
      </c>
      <c r="N3177" s="2" t="str">
        <f t="shared" si="277"/>
        <v/>
      </c>
      <c r="Q3177" t="str">
        <f t="shared" si="278"/>
        <v/>
      </c>
    </row>
    <row r="3178" spans="1:17" hidden="1">
      <c r="A3178" t="s">
        <v>3283</v>
      </c>
      <c r="B3178" s="1">
        <v>45346</v>
      </c>
      <c r="C3178">
        <v>2024</v>
      </c>
      <c r="D3178">
        <v>2</v>
      </c>
      <c r="E3178" t="s">
        <v>37</v>
      </c>
      <c r="F3178" t="s">
        <v>28</v>
      </c>
      <c r="G3178" t="s">
        <v>62</v>
      </c>
      <c r="H3178" t="s">
        <v>63</v>
      </c>
      <c r="I3178">
        <v>3251.1</v>
      </c>
      <c r="J3178">
        <v>3351.84</v>
      </c>
      <c r="K3178" t="s">
        <v>17</v>
      </c>
      <c r="L3178" t="b">
        <v>0</v>
      </c>
      <c r="N3178" s="2" t="str">
        <f t="shared" si="277"/>
        <v/>
      </c>
      <c r="Q3178" t="str">
        <f t="shared" si="278"/>
        <v/>
      </c>
    </row>
    <row r="3179" spans="1:17" hidden="1">
      <c r="A3179" t="s">
        <v>3284</v>
      </c>
      <c r="B3179" s="1">
        <v>45346</v>
      </c>
      <c r="C3179">
        <v>2024</v>
      </c>
      <c r="D3179">
        <v>2</v>
      </c>
      <c r="E3179" t="s">
        <v>37</v>
      </c>
      <c r="F3179" t="s">
        <v>24</v>
      </c>
      <c r="G3179" t="s">
        <v>62</v>
      </c>
      <c r="H3179" t="s">
        <v>63</v>
      </c>
      <c r="I3179">
        <v>4812.62</v>
      </c>
      <c r="J3179">
        <v>4751.2299999999996</v>
      </c>
      <c r="K3179" t="s">
        <v>17</v>
      </c>
      <c r="L3179" t="b">
        <v>0</v>
      </c>
      <c r="N3179" s="2" t="str">
        <f t="shared" si="277"/>
        <v/>
      </c>
      <c r="Q3179" t="str">
        <f t="shared" si="278"/>
        <v/>
      </c>
    </row>
    <row r="3180" spans="1:17" hidden="1">
      <c r="A3180" t="s">
        <v>3285</v>
      </c>
      <c r="B3180" s="1">
        <v>45347</v>
      </c>
      <c r="C3180">
        <v>2024</v>
      </c>
      <c r="D3180">
        <v>2</v>
      </c>
      <c r="E3180" t="s">
        <v>13</v>
      </c>
      <c r="F3180" t="s">
        <v>28</v>
      </c>
      <c r="G3180" t="s">
        <v>15</v>
      </c>
      <c r="H3180" t="s">
        <v>89</v>
      </c>
      <c r="I3180">
        <v>2878.8</v>
      </c>
      <c r="J3180">
        <v>3152.87</v>
      </c>
      <c r="K3180" t="s">
        <v>17</v>
      </c>
      <c r="L3180" t="b">
        <v>0</v>
      </c>
      <c r="N3180" s="2" t="str">
        <f t="shared" si="277"/>
        <v/>
      </c>
      <c r="Q3180" t="str">
        <f t="shared" si="278"/>
        <v/>
      </c>
    </row>
    <row r="3181" spans="1:17" hidden="1">
      <c r="A3181" t="s">
        <v>3286</v>
      </c>
      <c r="B3181" s="1">
        <v>45347</v>
      </c>
      <c r="C3181">
        <v>2024</v>
      </c>
      <c r="D3181">
        <v>2</v>
      </c>
      <c r="E3181" t="s">
        <v>13</v>
      </c>
      <c r="F3181" t="s">
        <v>24</v>
      </c>
      <c r="G3181" t="s">
        <v>108</v>
      </c>
      <c r="H3181" t="s">
        <v>109</v>
      </c>
      <c r="I3181">
        <v>3226.92</v>
      </c>
      <c r="J3181">
        <v>3096.98</v>
      </c>
      <c r="K3181" t="s">
        <v>17</v>
      </c>
      <c r="L3181" t="b">
        <v>0</v>
      </c>
      <c r="N3181" s="2" t="str">
        <f t="shared" si="277"/>
        <v/>
      </c>
      <c r="Q3181" t="str">
        <f t="shared" si="278"/>
        <v/>
      </c>
    </row>
    <row r="3182" spans="1:17" hidden="1">
      <c r="A3182" t="s">
        <v>3287</v>
      </c>
      <c r="B3182" s="1">
        <v>45347</v>
      </c>
      <c r="C3182">
        <v>2024</v>
      </c>
      <c r="D3182">
        <v>2</v>
      </c>
      <c r="E3182" t="s">
        <v>47</v>
      </c>
      <c r="F3182" t="s">
        <v>14</v>
      </c>
      <c r="G3182" t="s">
        <v>91</v>
      </c>
      <c r="H3182" t="s">
        <v>254</v>
      </c>
      <c r="I3182">
        <v>9536.81</v>
      </c>
      <c r="J3182">
        <v>8136.75</v>
      </c>
      <c r="K3182" t="s">
        <v>17</v>
      </c>
      <c r="L3182" t="b">
        <v>0</v>
      </c>
      <c r="N3182" s="2" t="b">
        <f t="shared" si="277"/>
        <v>1</v>
      </c>
      <c r="O3182" t="str">
        <f t="shared" ref="O3182:O3183" si="281">IF(AND(E3171="HR",K3171="EXPENSE"),I3171&lt;J3171,"")</f>
        <v/>
      </c>
      <c r="Q3182" t="str">
        <f t="shared" si="278"/>
        <v/>
      </c>
    </row>
    <row r="3183" spans="1:17" hidden="1">
      <c r="A3183" t="s">
        <v>3288</v>
      </c>
      <c r="B3183" s="1">
        <v>45347</v>
      </c>
      <c r="C3183">
        <v>2024</v>
      </c>
      <c r="D3183">
        <v>2</v>
      </c>
      <c r="E3183" t="s">
        <v>47</v>
      </c>
      <c r="F3183" t="s">
        <v>28</v>
      </c>
      <c r="G3183" t="s">
        <v>91</v>
      </c>
      <c r="H3183" t="s">
        <v>92</v>
      </c>
      <c r="I3183">
        <v>17231.150000000001</v>
      </c>
      <c r="J3183">
        <v>14718.64</v>
      </c>
      <c r="K3183" t="s">
        <v>17</v>
      </c>
      <c r="L3183" t="b">
        <v>0</v>
      </c>
      <c r="N3183" s="2" t="b">
        <f t="shared" si="277"/>
        <v>1</v>
      </c>
      <c r="O3183" t="str">
        <f t="shared" si="281"/>
        <v/>
      </c>
      <c r="Q3183" t="str">
        <f t="shared" si="278"/>
        <v/>
      </c>
    </row>
    <row r="3184" spans="1:17" hidden="1">
      <c r="A3184" t="s">
        <v>3289</v>
      </c>
      <c r="B3184" s="1">
        <v>45347</v>
      </c>
      <c r="C3184">
        <v>2024</v>
      </c>
      <c r="D3184">
        <v>2</v>
      </c>
      <c r="E3184" t="s">
        <v>19</v>
      </c>
      <c r="F3184" t="s">
        <v>24</v>
      </c>
      <c r="G3184" t="s">
        <v>20</v>
      </c>
      <c r="H3184" t="s">
        <v>21</v>
      </c>
      <c r="I3184">
        <v>8113.55</v>
      </c>
      <c r="J3184">
        <v>8450.2900000000009</v>
      </c>
      <c r="K3184" t="s">
        <v>17</v>
      </c>
      <c r="L3184" t="b">
        <v>0</v>
      </c>
      <c r="N3184" s="2" t="str">
        <f t="shared" si="277"/>
        <v/>
      </c>
      <c r="Q3184" t="str">
        <f t="shared" si="278"/>
        <v/>
      </c>
    </row>
    <row r="3185" spans="1:17" hidden="1">
      <c r="A3185" t="s">
        <v>3290</v>
      </c>
      <c r="B3185" s="1">
        <v>45347</v>
      </c>
      <c r="C3185">
        <v>2024</v>
      </c>
      <c r="D3185">
        <v>2</v>
      </c>
      <c r="E3185" t="s">
        <v>19</v>
      </c>
      <c r="F3185" t="s">
        <v>24</v>
      </c>
      <c r="G3185" t="s">
        <v>20</v>
      </c>
      <c r="H3185" t="s">
        <v>174</v>
      </c>
      <c r="I3185">
        <v>8244.2099999999991</v>
      </c>
      <c r="J3185">
        <v>8627.94</v>
      </c>
      <c r="K3185" t="s">
        <v>17</v>
      </c>
      <c r="L3185" t="b">
        <v>0</v>
      </c>
      <c r="N3185" s="2" t="str">
        <f t="shared" si="277"/>
        <v/>
      </c>
      <c r="Q3185" t="str">
        <f t="shared" si="278"/>
        <v/>
      </c>
    </row>
    <row r="3186" spans="1:17" hidden="1">
      <c r="A3186" t="s">
        <v>3291</v>
      </c>
      <c r="B3186" s="1">
        <v>45347</v>
      </c>
      <c r="C3186">
        <v>2024</v>
      </c>
      <c r="D3186">
        <v>2</v>
      </c>
      <c r="E3186" t="s">
        <v>23</v>
      </c>
      <c r="F3186" t="s">
        <v>24</v>
      </c>
      <c r="G3186" t="s">
        <v>141</v>
      </c>
      <c r="H3186" t="s">
        <v>209</v>
      </c>
      <c r="I3186">
        <v>7060.63</v>
      </c>
      <c r="J3186">
        <v>6554.54</v>
      </c>
      <c r="K3186" t="s">
        <v>17</v>
      </c>
      <c r="L3186" t="b">
        <v>0</v>
      </c>
      <c r="N3186" s="2" t="str">
        <f t="shared" si="277"/>
        <v/>
      </c>
      <c r="Q3186" t="str">
        <f t="shared" si="278"/>
        <v/>
      </c>
    </row>
    <row r="3187" spans="1:17" hidden="1">
      <c r="A3187" t="s">
        <v>3292</v>
      </c>
      <c r="B3187" s="1">
        <v>45347</v>
      </c>
      <c r="C3187">
        <v>2024</v>
      </c>
      <c r="D3187">
        <v>2</v>
      </c>
      <c r="E3187" t="s">
        <v>37</v>
      </c>
      <c r="F3187" t="s">
        <v>14</v>
      </c>
      <c r="G3187" t="s">
        <v>62</v>
      </c>
      <c r="H3187" t="s">
        <v>63</v>
      </c>
      <c r="I3187">
        <v>5151.25</v>
      </c>
      <c r="J3187">
        <v>5387.88</v>
      </c>
      <c r="K3187" t="s">
        <v>17</v>
      </c>
      <c r="L3187" t="b">
        <v>0</v>
      </c>
      <c r="N3187" s="2" t="str">
        <f t="shared" si="277"/>
        <v/>
      </c>
      <c r="Q3187" t="str">
        <f t="shared" si="278"/>
        <v/>
      </c>
    </row>
    <row r="3188" spans="1:17" hidden="1">
      <c r="A3188" t="s">
        <v>3293</v>
      </c>
      <c r="B3188" s="1">
        <v>45348</v>
      </c>
      <c r="C3188">
        <v>2024</v>
      </c>
      <c r="D3188">
        <v>2</v>
      </c>
      <c r="E3188" t="s">
        <v>13</v>
      </c>
      <c r="F3188" t="s">
        <v>14</v>
      </c>
      <c r="G3188" t="s">
        <v>108</v>
      </c>
      <c r="H3188" t="s">
        <v>109</v>
      </c>
      <c r="I3188">
        <v>5177.1899999999996</v>
      </c>
      <c r="J3188">
        <v>5480.27</v>
      </c>
      <c r="K3188" t="s">
        <v>17</v>
      </c>
      <c r="L3188" t="b">
        <v>0</v>
      </c>
      <c r="N3188" s="2" t="str">
        <f t="shared" si="277"/>
        <v/>
      </c>
      <c r="Q3188" t="str">
        <f t="shared" si="278"/>
        <v/>
      </c>
    </row>
    <row r="3189" spans="1:17" hidden="1">
      <c r="A3189" t="s">
        <v>3294</v>
      </c>
      <c r="B3189" s="1">
        <v>45348</v>
      </c>
      <c r="C3189">
        <v>2024</v>
      </c>
      <c r="D3189">
        <v>2</v>
      </c>
      <c r="E3189" t="s">
        <v>13</v>
      </c>
      <c r="F3189" t="s">
        <v>28</v>
      </c>
      <c r="G3189" t="s">
        <v>68</v>
      </c>
      <c r="H3189" t="s">
        <v>87</v>
      </c>
      <c r="I3189">
        <v>2618.77</v>
      </c>
      <c r="J3189">
        <v>2578.15</v>
      </c>
      <c r="K3189" t="s">
        <v>17</v>
      </c>
      <c r="L3189" t="b">
        <v>0</v>
      </c>
      <c r="N3189" s="2" t="str">
        <f t="shared" si="277"/>
        <v/>
      </c>
      <c r="Q3189" t="str">
        <f t="shared" si="278"/>
        <v/>
      </c>
    </row>
    <row r="3190" spans="1:17" hidden="1">
      <c r="A3190" t="s">
        <v>3295</v>
      </c>
      <c r="B3190" s="1">
        <v>45348</v>
      </c>
      <c r="C3190">
        <v>2024</v>
      </c>
      <c r="D3190">
        <v>2</v>
      </c>
      <c r="E3190" t="s">
        <v>13</v>
      </c>
      <c r="F3190" t="s">
        <v>24</v>
      </c>
      <c r="G3190" t="s">
        <v>108</v>
      </c>
      <c r="H3190" t="s">
        <v>109</v>
      </c>
      <c r="I3190">
        <v>3302.22</v>
      </c>
      <c r="J3190">
        <v>3280.93</v>
      </c>
      <c r="K3190" t="s">
        <v>17</v>
      </c>
      <c r="L3190" t="b">
        <v>0</v>
      </c>
      <c r="N3190" s="2" t="str">
        <f t="shared" si="277"/>
        <v/>
      </c>
      <c r="Q3190" t="str">
        <f t="shared" si="278"/>
        <v/>
      </c>
    </row>
    <row r="3191" spans="1:17" hidden="1">
      <c r="A3191" t="s">
        <v>3296</v>
      </c>
      <c r="B3191" s="1">
        <v>45348</v>
      </c>
      <c r="C3191">
        <v>2024</v>
      </c>
      <c r="D3191">
        <v>2</v>
      </c>
      <c r="E3191" t="s">
        <v>19</v>
      </c>
      <c r="F3191" t="s">
        <v>14</v>
      </c>
      <c r="G3191" t="s">
        <v>20</v>
      </c>
      <c r="H3191" t="s">
        <v>174</v>
      </c>
      <c r="I3191">
        <v>6210.19</v>
      </c>
      <c r="J3191">
        <v>6700.92</v>
      </c>
      <c r="K3191" t="s">
        <v>17</v>
      </c>
      <c r="L3191" t="b">
        <v>0</v>
      </c>
      <c r="N3191" s="2" t="str">
        <f t="shared" si="277"/>
        <v/>
      </c>
      <c r="Q3191" t="str">
        <f t="shared" si="278"/>
        <v/>
      </c>
    </row>
    <row r="3192" spans="1:17" hidden="1">
      <c r="A3192" t="s">
        <v>3297</v>
      </c>
      <c r="B3192" s="1">
        <v>45348</v>
      </c>
      <c r="C3192">
        <v>2024</v>
      </c>
      <c r="D3192">
        <v>2</v>
      </c>
      <c r="E3192" t="s">
        <v>19</v>
      </c>
      <c r="F3192" t="s">
        <v>28</v>
      </c>
      <c r="G3192" t="s">
        <v>132</v>
      </c>
      <c r="H3192" t="s">
        <v>138</v>
      </c>
      <c r="I3192">
        <v>4578.32</v>
      </c>
      <c r="J3192">
        <v>4370.6099999999997</v>
      </c>
      <c r="K3192" t="s">
        <v>17</v>
      </c>
      <c r="L3192" t="b">
        <v>0</v>
      </c>
      <c r="N3192" s="2" t="str">
        <f t="shared" si="277"/>
        <v/>
      </c>
      <c r="Q3192" t="str">
        <f t="shared" si="278"/>
        <v/>
      </c>
    </row>
    <row r="3193" spans="1:17" hidden="1">
      <c r="A3193" t="s">
        <v>3298</v>
      </c>
      <c r="B3193" s="1">
        <v>45348</v>
      </c>
      <c r="C3193">
        <v>2024</v>
      </c>
      <c r="D3193">
        <v>2</v>
      </c>
      <c r="E3193" t="s">
        <v>19</v>
      </c>
      <c r="F3193" t="s">
        <v>24</v>
      </c>
      <c r="G3193" t="s">
        <v>80</v>
      </c>
      <c r="H3193" t="s">
        <v>81</v>
      </c>
      <c r="I3193">
        <v>4927.63</v>
      </c>
      <c r="J3193">
        <v>5249.13</v>
      </c>
      <c r="K3193" t="s">
        <v>17</v>
      </c>
      <c r="L3193" t="b">
        <v>0</v>
      </c>
      <c r="N3193" s="2" t="str">
        <f t="shared" si="277"/>
        <v/>
      </c>
      <c r="Q3193" t="str">
        <f t="shared" si="278"/>
        <v/>
      </c>
    </row>
    <row r="3194" spans="1:17" hidden="1">
      <c r="A3194" t="s">
        <v>3299</v>
      </c>
      <c r="B3194" s="1">
        <v>45348</v>
      </c>
      <c r="C3194">
        <v>2024</v>
      </c>
      <c r="D3194">
        <v>2</v>
      </c>
      <c r="E3194" t="s">
        <v>23</v>
      </c>
      <c r="F3194" t="s">
        <v>24</v>
      </c>
      <c r="G3194" t="s">
        <v>25</v>
      </c>
      <c r="H3194" t="s">
        <v>35</v>
      </c>
      <c r="I3194">
        <v>5888.51</v>
      </c>
      <c r="J3194">
        <v>6432.83</v>
      </c>
      <c r="K3194" t="s">
        <v>17</v>
      </c>
      <c r="L3194" t="b">
        <v>0</v>
      </c>
      <c r="N3194" s="2" t="str">
        <f t="shared" si="277"/>
        <v/>
      </c>
      <c r="Q3194" t="str">
        <f t="shared" si="278"/>
        <v/>
      </c>
    </row>
    <row r="3195" spans="1:17" hidden="1">
      <c r="A3195" t="s">
        <v>3300</v>
      </c>
      <c r="B3195" s="1">
        <v>45348</v>
      </c>
      <c r="C3195">
        <v>2024</v>
      </c>
      <c r="D3195">
        <v>2</v>
      </c>
      <c r="E3195" t="s">
        <v>23</v>
      </c>
      <c r="F3195" t="s">
        <v>24</v>
      </c>
      <c r="G3195" t="s">
        <v>25</v>
      </c>
      <c r="H3195" t="s">
        <v>26</v>
      </c>
      <c r="I3195">
        <v>5455.04</v>
      </c>
      <c r="J3195">
        <v>5477.06</v>
      </c>
      <c r="K3195" t="s">
        <v>17</v>
      </c>
      <c r="L3195" t="b">
        <v>0</v>
      </c>
      <c r="N3195" s="2" t="str">
        <f t="shared" si="277"/>
        <v/>
      </c>
      <c r="Q3195" t="str">
        <f t="shared" si="278"/>
        <v/>
      </c>
    </row>
    <row r="3196" spans="1:17" hidden="1">
      <c r="A3196" t="s">
        <v>3301</v>
      </c>
      <c r="B3196" s="1">
        <v>45349</v>
      </c>
      <c r="C3196">
        <v>2024</v>
      </c>
      <c r="D3196">
        <v>2</v>
      </c>
      <c r="E3196" t="s">
        <v>13</v>
      </c>
      <c r="F3196" t="s">
        <v>28</v>
      </c>
      <c r="G3196" t="s">
        <v>68</v>
      </c>
      <c r="H3196" t="s">
        <v>69</v>
      </c>
      <c r="I3196">
        <v>3294.98</v>
      </c>
      <c r="J3196">
        <v>3454.59</v>
      </c>
      <c r="K3196" t="s">
        <v>17</v>
      </c>
      <c r="L3196" t="b">
        <v>0</v>
      </c>
      <c r="N3196" s="2" t="str">
        <f t="shared" si="277"/>
        <v/>
      </c>
      <c r="Q3196" t="str">
        <f t="shared" si="278"/>
        <v/>
      </c>
    </row>
    <row r="3197" spans="1:17" hidden="1">
      <c r="A3197" t="s">
        <v>3302</v>
      </c>
      <c r="B3197" s="1">
        <v>45349</v>
      </c>
      <c r="C3197">
        <v>2024</v>
      </c>
      <c r="D3197">
        <v>2</v>
      </c>
      <c r="E3197" t="s">
        <v>47</v>
      </c>
      <c r="F3197" t="s">
        <v>28</v>
      </c>
      <c r="G3197" t="s">
        <v>91</v>
      </c>
      <c r="H3197" t="s">
        <v>128</v>
      </c>
      <c r="I3197">
        <v>8378.6299999999992</v>
      </c>
      <c r="J3197">
        <v>7199.57</v>
      </c>
      <c r="K3197" t="s">
        <v>17</v>
      </c>
      <c r="L3197" t="b">
        <v>0</v>
      </c>
      <c r="N3197" s="2" t="b">
        <f t="shared" si="277"/>
        <v>1</v>
      </c>
      <c r="O3197" t="str">
        <f t="shared" ref="O3197:O3198" si="282">IF(AND(E3186="HR",K3186="EXPENSE"),I3186&lt;J3186,"")</f>
        <v/>
      </c>
      <c r="Q3197" t="str">
        <f t="shared" si="278"/>
        <v/>
      </c>
    </row>
    <row r="3198" spans="1:17" hidden="1">
      <c r="A3198" t="s">
        <v>3303</v>
      </c>
      <c r="B3198" s="1">
        <v>45349</v>
      </c>
      <c r="C3198">
        <v>2024</v>
      </c>
      <c r="D3198">
        <v>2</v>
      </c>
      <c r="E3198" t="s">
        <v>47</v>
      </c>
      <c r="F3198" t="s">
        <v>28</v>
      </c>
      <c r="G3198" t="s">
        <v>48</v>
      </c>
      <c r="H3198" t="s">
        <v>49</v>
      </c>
      <c r="I3198">
        <v>11394.17</v>
      </c>
      <c r="J3198">
        <v>9902.8799999999992</v>
      </c>
      <c r="K3198" t="s">
        <v>17</v>
      </c>
      <c r="L3198" t="b">
        <v>0</v>
      </c>
      <c r="N3198" s="2" t="b">
        <f t="shared" si="277"/>
        <v>1</v>
      </c>
      <c r="O3198" t="str">
        <f t="shared" si="282"/>
        <v/>
      </c>
      <c r="Q3198" t="str">
        <f t="shared" si="278"/>
        <v/>
      </c>
    </row>
    <row r="3199" spans="1:17" hidden="1">
      <c r="A3199" t="s">
        <v>3304</v>
      </c>
      <c r="B3199" s="1">
        <v>45349</v>
      </c>
      <c r="C3199">
        <v>2024</v>
      </c>
      <c r="D3199">
        <v>2</v>
      </c>
      <c r="E3199" t="s">
        <v>19</v>
      </c>
      <c r="F3199" t="s">
        <v>28</v>
      </c>
      <c r="G3199" t="s">
        <v>20</v>
      </c>
      <c r="H3199" t="s">
        <v>174</v>
      </c>
      <c r="I3199">
        <v>3595.87</v>
      </c>
      <c r="J3199">
        <v>3528.33</v>
      </c>
      <c r="K3199" t="s">
        <v>17</v>
      </c>
      <c r="L3199" t="b">
        <v>0</v>
      </c>
      <c r="N3199" s="2" t="str">
        <f t="shared" si="277"/>
        <v/>
      </c>
      <c r="Q3199" t="str">
        <f t="shared" si="278"/>
        <v/>
      </c>
    </row>
    <row r="3200" spans="1:17" hidden="1">
      <c r="A3200" t="s">
        <v>3305</v>
      </c>
      <c r="B3200" s="1">
        <v>45349</v>
      </c>
      <c r="C3200">
        <v>2024</v>
      </c>
      <c r="D3200">
        <v>2</v>
      </c>
      <c r="E3200" t="s">
        <v>23</v>
      </c>
      <c r="F3200" t="s">
        <v>28</v>
      </c>
      <c r="G3200" t="s">
        <v>30</v>
      </c>
      <c r="H3200" t="s">
        <v>33</v>
      </c>
      <c r="I3200">
        <v>5881.47</v>
      </c>
      <c r="J3200">
        <v>5827.92</v>
      </c>
      <c r="K3200" t="s">
        <v>17</v>
      </c>
      <c r="L3200" t="b">
        <v>0</v>
      </c>
      <c r="N3200" s="2" t="str">
        <f t="shared" si="277"/>
        <v/>
      </c>
      <c r="Q3200" t="str">
        <f t="shared" si="278"/>
        <v/>
      </c>
    </row>
    <row r="3201" spans="1:17" hidden="1">
      <c r="A3201" t="s">
        <v>3306</v>
      </c>
      <c r="B3201" s="1">
        <v>45349</v>
      </c>
      <c r="C3201">
        <v>2024</v>
      </c>
      <c r="D3201">
        <v>2</v>
      </c>
      <c r="E3201" t="s">
        <v>23</v>
      </c>
      <c r="F3201" t="s">
        <v>28</v>
      </c>
      <c r="G3201" t="s">
        <v>25</v>
      </c>
      <c r="H3201" t="s">
        <v>95</v>
      </c>
      <c r="I3201">
        <v>4560.58</v>
      </c>
      <c r="J3201">
        <v>4386.03</v>
      </c>
      <c r="K3201" t="s">
        <v>17</v>
      </c>
      <c r="L3201" t="b">
        <v>0</v>
      </c>
      <c r="N3201" s="2" t="str">
        <f t="shared" si="277"/>
        <v/>
      </c>
      <c r="Q3201" t="str">
        <f t="shared" si="278"/>
        <v/>
      </c>
    </row>
    <row r="3202" spans="1:17" hidden="1">
      <c r="A3202" t="s">
        <v>3307</v>
      </c>
      <c r="B3202" s="1">
        <v>45349</v>
      </c>
      <c r="C3202">
        <v>2024</v>
      </c>
      <c r="D3202">
        <v>2</v>
      </c>
      <c r="E3202" t="s">
        <v>37</v>
      </c>
      <c r="F3202" t="s">
        <v>14</v>
      </c>
      <c r="G3202" t="s">
        <v>62</v>
      </c>
      <c r="H3202" t="s">
        <v>360</v>
      </c>
      <c r="I3202">
        <v>3202.86</v>
      </c>
      <c r="J3202">
        <v>3199.54</v>
      </c>
      <c r="K3202" t="s">
        <v>17</v>
      </c>
      <c r="L3202" t="b">
        <v>0</v>
      </c>
      <c r="N3202" s="2" t="str">
        <f t="shared" si="277"/>
        <v/>
      </c>
      <c r="Q3202" t="str">
        <f t="shared" si="278"/>
        <v/>
      </c>
    </row>
    <row r="3203" spans="1:17" hidden="1">
      <c r="A3203" t="s">
        <v>3308</v>
      </c>
      <c r="B3203" s="1">
        <v>45349</v>
      </c>
      <c r="C3203">
        <v>2024</v>
      </c>
      <c r="D3203">
        <v>2</v>
      </c>
      <c r="E3203" t="s">
        <v>37</v>
      </c>
      <c r="F3203" t="s">
        <v>28</v>
      </c>
      <c r="G3203" t="s">
        <v>41</v>
      </c>
      <c r="H3203" t="s">
        <v>42</v>
      </c>
      <c r="I3203">
        <v>3155.85</v>
      </c>
      <c r="J3203">
        <v>3017.28</v>
      </c>
      <c r="K3203" t="s">
        <v>17</v>
      </c>
      <c r="L3203" t="b">
        <v>0</v>
      </c>
      <c r="N3203" s="2" t="str">
        <f t="shared" ref="N3203:N3266" si="283">IF(AND(E3203="IT",K3203="EXPENSE"),I3203&gt;J3203,"")</f>
        <v/>
      </c>
      <c r="Q3203" t="str">
        <f t="shared" ref="Q3203:Q3266" si="284">IF(L3203=TRUE,OR(H3203="Apex Solutions Inc",H3203="Global Trade Partners",H3203="NovaTech Services"),"")</f>
        <v/>
      </c>
    </row>
    <row r="3204" spans="1:17" hidden="1">
      <c r="A3204" t="s">
        <v>3309</v>
      </c>
      <c r="B3204" s="1">
        <v>45349</v>
      </c>
      <c r="C3204">
        <v>2024</v>
      </c>
      <c r="D3204">
        <v>2</v>
      </c>
      <c r="E3204" t="s">
        <v>37</v>
      </c>
      <c r="F3204" t="s">
        <v>28</v>
      </c>
      <c r="G3204" t="s">
        <v>62</v>
      </c>
      <c r="H3204" t="s">
        <v>121</v>
      </c>
      <c r="I3204">
        <v>3270.24</v>
      </c>
      <c r="J3204">
        <v>3206.34</v>
      </c>
      <c r="K3204" t="s">
        <v>17</v>
      </c>
      <c r="L3204" t="b">
        <v>0</v>
      </c>
      <c r="N3204" s="2" t="str">
        <f t="shared" si="283"/>
        <v/>
      </c>
      <c r="Q3204" t="str">
        <f t="shared" si="284"/>
        <v/>
      </c>
    </row>
    <row r="3205" spans="1:17" hidden="1">
      <c r="A3205" t="s">
        <v>3310</v>
      </c>
      <c r="B3205" s="1">
        <v>45350</v>
      </c>
      <c r="C3205">
        <v>2024</v>
      </c>
      <c r="D3205">
        <v>2</v>
      </c>
      <c r="E3205" t="s">
        <v>13</v>
      </c>
      <c r="F3205" t="s">
        <v>14</v>
      </c>
      <c r="G3205" t="s">
        <v>68</v>
      </c>
      <c r="H3205" t="s">
        <v>69</v>
      </c>
      <c r="I3205">
        <v>3721.8</v>
      </c>
      <c r="J3205">
        <v>3539.49</v>
      </c>
      <c r="K3205" t="s">
        <v>17</v>
      </c>
      <c r="L3205" t="b">
        <v>0</v>
      </c>
      <c r="N3205" s="2" t="str">
        <f t="shared" si="283"/>
        <v/>
      </c>
      <c r="Q3205" t="str">
        <f t="shared" si="284"/>
        <v/>
      </c>
    </row>
    <row r="3206" spans="1:17" hidden="1">
      <c r="A3206" t="s">
        <v>3311</v>
      </c>
      <c r="B3206" s="1">
        <v>45350</v>
      </c>
      <c r="C3206">
        <v>2024</v>
      </c>
      <c r="D3206">
        <v>2</v>
      </c>
      <c r="E3206" t="s">
        <v>13</v>
      </c>
      <c r="F3206" t="s">
        <v>24</v>
      </c>
      <c r="G3206" t="s">
        <v>102</v>
      </c>
      <c r="H3206" t="s">
        <v>103</v>
      </c>
      <c r="I3206">
        <v>2930.21</v>
      </c>
      <c r="J3206">
        <v>3074.81</v>
      </c>
      <c r="K3206" t="s">
        <v>17</v>
      </c>
      <c r="L3206" t="b">
        <v>0</v>
      </c>
      <c r="N3206" s="2" t="str">
        <f t="shared" si="283"/>
        <v/>
      </c>
      <c r="Q3206" t="str">
        <f t="shared" si="284"/>
        <v/>
      </c>
    </row>
    <row r="3207" spans="1:17" hidden="1">
      <c r="A3207" t="s">
        <v>3312</v>
      </c>
      <c r="B3207" s="1">
        <v>45350</v>
      </c>
      <c r="C3207">
        <v>2024</v>
      </c>
      <c r="D3207">
        <v>2</v>
      </c>
      <c r="E3207" t="s">
        <v>47</v>
      </c>
      <c r="F3207" t="s">
        <v>24</v>
      </c>
      <c r="G3207" t="s">
        <v>48</v>
      </c>
      <c r="H3207" t="s">
        <v>111</v>
      </c>
      <c r="I3207">
        <v>12366.75</v>
      </c>
      <c r="J3207">
        <v>10417.73</v>
      </c>
      <c r="K3207" t="s">
        <v>17</v>
      </c>
      <c r="L3207" t="b">
        <v>0</v>
      </c>
      <c r="N3207" s="2" t="b">
        <f t="shared" si="283"/>
        <v>1</v>
      </c>
      <c r="O3207" t="b">
        <f>IF(AND(E3196="HR",K3196="EXPENSE"),I3196&lt;J3196,"")</f>
        <v>1</v>
      </c>
      <c r="Q3207" t="str">
        <f t="shared" si="284"/>
        <v/>
      </c>
    </row>
    <row r="3208" spans="1:17" hidden="1">
      <c r="A3208" t="s">
        <v>3313</v>
      </c>
      <c r="B3208" s="1">
        <v>45350</v>
      </c>
      <c r="C3208">
        <v>2024</v>
      </c>
      <c r="D3208">
        <v>2</v>
      </c>
      <c r="E3208" t="s">
        <v>19</v>
      </c>
      <c r="F3208" t="s">
        <v>14</v>
      </c>
      <c r="G3208" t="s">
        <v>132</v>
      </c>
      <c r="H3208" t="s">
        <v>138</v>
      </c>
      <c r="I3208">
        <v>7759.45</v>
      </c>
      <c r="J3208">
        <v>7294.41</v>
      </c>
      <c r="K3208" t="s">
        <v>17</v>
      </c>
      <c r="L3208" t="b">
        <v>0</v>
      </c>
      <c r="N3208" s="2" t="str">
        <f t="shared" si="283"/>
        <v/>
      </c>
      <c r="Q3208" t="str">
        <f t="shared" si="284"/>
        <v/>
      </c>
    </row>
    <row r="3209" spans="1:17" hidden="1">
      <c r="A3209" t="s">
        <v>3314</v>
      </c>
      <c r="B3209" s="1">
        <v>45350</v>
      </c>
      <c r="C3209">
        <v>2024</v>
      </c>
      <c r="D3209">
        <v>2</v>
      </c>
      <c r="E3209" t="s">
        <v>19</v>
      </c>
      <c r="F3209" t="s">
        <v>28</v>
      </c>
      <c r="G3209" t="s">
        <v>80</v>
      </c>
      <c r="H3209" t="s">
        <v>150</v>
      </c>
      <c r="I3209">
        <v>6968.16</v>
      </c>
      <c r="J3209">
        <v>6653.21</v>
      </c>
      <c r="K3209" t="s">
        <v>17</v>
      </c>
      <c r="L3209" t="b">
        <v>0</v>
      </c>
      <c r="N3209" s="2" t="str">
        <f t="shared" si="283"/>
        <v/>
      </c>
      <c r="Q3209" t="str">
        <f t="shared" si="284"/>
        <v/>
      </c>
    </row>
    <row r="3210" spans="1:17" hidden="1">
      <c r="A3210" t="s">
        <v>3315</v>
      </c>
      <c r="B3210" s="1">
        <v>45350</v>
      </c>
      <c r="C3210">
        <v>2024</v>
      </c>
      <c r="D3210">
        <v>2</v>
      </c>
      <c r="E3210" t="s">
        <v>19</v>
      </c>
      <c r="F3210" t="s">
        <v>24</v>
      </c>
      <c r="G3210" t="s">
        <v>54</v>
      </c>
      <c r="H3210" t="s">
        <v>57</v>
      </c>
      <c r="I3210">
        <v>3426.4</v>
      </c>
      <c r="J3210">
        <v>3325.99</v>
      </c>
      <c r="K3210" t="s">
        <v>17</v>
      </c>
      <c r="L3210" t="b">
        <v>0</v>
      </c>
      <c r="N3210" s="2" t="str">
        <f t="shared" si="283"/>
        <v/>
      </c>
      <c r="Q3210" t="str">
        <f t="shared" si="284"/>
        <v/>
      </c>
    </row>
    <row r="3211" spans="1:17" hidden="1">
      <c r="A3211" t="s">
        <v>3316</v>
      </c>
      <c r="B3211" s="1">
        <v>45350</v>
      </c>
      <c r="C3211">
        <v>2024</v>
      </c>
      <c r="D3211">
        <v>2</v>
      </c>
      <c r="E3211" t="s">
        <v>23</v>
      </c>
      <c r="F3211" t="s">
        <v>24</v>
      </c>
      <c r="G3211" t="s">
        <v>59</v>
      </c>
      <c r="H3211" t="s">
        <v>155</v>
      </c>
      <c r="I3211">
        <v>5650.67</v>
      </c>
      <c r="J3211">
        <v>5993.72</v>
      </c>
      <c r="K3211" t="s">
        <v>17</v>
      </c>
      <c r="L3211" t="b">
        <v>0</v>
      </c>
      <c r="N3211" s="2" t="str">
        <f t="shared" si="283"/>
        <v/>
      </c>
      <c r="Q3211" t="str">
        <f t="shared" si="284"/>
        <v/>
      </c>
    </row>
    <row r="3212" spans="1:17" hidden="1">
      <c r="A3212" t="s">
        <v>3317</v>
      </c>
      <c r="B3212" s="1">
        <v>45350</v>
      </c>
      <c r="C3212">
        <v>2024</v>
      </c>
      <c r="D3212">
        <v>2</v>
      </c>
      <c r="E3212" t="s">
        <v>37</v>
      </c>
      <c r="F3212" t="s">
        <v>24</v>
      </c>
      <c r="G3212" t="s">
        <v>41</v>
      </c>
      <c r="H3212" t="s">
        <v>42</v>
      </c>
      <c r="I3212">
        <v>6128.33</v>
      </c>
      <c r="J3212">
        <v>5999.62</v>
      </c>
      <c r="K3212" t="s">
        <v>17</v>
      </c>
      <c r="L3212" t="b">
        <v>0</v>
      </c>
      <c r="N3212" s="2" t="str">
        <f t="shared" si="283"/>
        <v/>
      </c>
      <c r="Q3212" t="str">
        <f t="shared" si="284"/>
        <v/>
      </c>
    </row>
    <row r="3213" spans="1:17" hidden="1">
      <c r="A3213" t="s">
        <v>3318</v>
      </c>
      <c r="B3213" s="1">
        <v>45351</v>
      </c>
      <c r="C3213">
        <v>2024</v>
      </c>
      <c r="D3213">
        <v>2</v>
      </c>
      <c r="E3213" t="s">
        <v>13</v>
      </c>
      <c r="F3213" t="s">
        <v>28</v>
      </c>
      <c r="G3213" t="s">
        <v>102</v>
      </c>
      <c r="H3213" t="s">
        <v>145</v>
      </c>
      <c r="I3213">
        <v>3655.23</v>
      </c>
      <c r="J3213">
        <v>3760.81</v>
      </c>
      <c r="K3213" t="s">
        <v>17</v>
      </c>
      <c r="L3213" t="b">
        <v>0</v>
      </c>
      <c r="N3213" s="2" t="str">
        <f t="shared" si="283"/>
        <v/>
      </c>
      <c r="Q3213" t="str">
        <f t="shared" si="284"/>
        <v/>
      </c>
    </row>
    <row r="3214" spans="1:17" hidden="1">
      <c r="A3214" t="s">
        <v>3319</v>
      </c>
      <c r="B3214" s="1">
        <v>45351</v>
      </c>
      <c r="C3214">
        <v>2024</v>
      </c>
      <c r="D3214">
        <v>2</v>
      </c>
      <c r="E3214" t="s">
        <v>13</v>
      </c>
      <c r="F3214" t="s">
        <v>24</v>
      </c>
      <c r="G3214" t="s">
        <v>102</v>
      </c>
      <c r="H3214" t="s">
        <v>145</v>
      </c>
      <c r="I3214">
        <v>4041.64</v>
      </c>
      <c r="J3214">
        <v>3994.13</v>
      </c>
      <c r="K3214" t="s">
        <v>17</v>
      </c>
      <c r="L3214" t="b">
        <v>0</v>
      </c>
      <c r="N3214" s="2" t="str">
        <f t="shared" si="283"/>
        <v/>
      </c>
      <c r="Q3214" t="str">
        <f t="shared" si="284"/>
        <v/>
      </c>
    </row>
    <row r="3215" spans="1:17" hidden="1">
      <c r="A3215" t="s">
        <v>3320</v>
      </c>
      <c r="B3215" s="1">
        <v>45351</v>
      </c>
      <c r="C3215">
        <v>2024</v>
      </c>
      <c r="D3215">
        <v>2</v>
      </c>
      <c r="E3215" t="s">
        <v>47</v>
      </c>
      <c r="F3215" t="s">
        <v>14</v>
      </c>
      <c r="G3215" t="s">
        <v>48</v>
      </c>
      <c r="H3215" t="s">
        <v>191</v>
      </c>
      <c r="I3215">
        <v>14356.74</v>
      </c>
      <c r="J3215">
        <v>11954.68</v>
      </c>
      <c r="K3215" t="s">
        <v>17</v>
      </c>
      <c r="L3215" t="b">
        <v>0</v>
      </c>
      <c r="N3215" s="2" t="b">
        <f t="shared" si="283"/>
        <v>1</v>
      </c>
      <c r="O3215" t="str">
        <f t="shared" ref="O3215:O3217" si="285">IF(AND(E3204="HR",K3204="EXPENSE"),I3204&lt;J3204,"")</f>
        <v/>
      </c>
      <c r="Q3215" t="str">
        <f t="shared" si="284"/>
        <v/>
      </c>
    </row>
    <row r="3216" spans="1:17" hidden="1">
      <c r="A3216" t="s">
        <v>3321</v>
      </c>
      <c r="B3216" s="1">
        <v>45351</v>
      </c>
      <c r="C3216">
        <v>2024</v>
      </c>
      <c r="D3216">
        <v>2</v>
      </c>
      <c r="E3216" t="s">
        <v>47</v>
      </c>
      <c r="F3216" t="s">
        <v>14</v>
      </c>
      <c r="G3216" t="s">
        <v>77</v>
      </c>
      <c r="H3216" t="s">
        <v>147</v>
      </c>
      <c r="I3216">
        <v>7777.8</v>
      </c>
      <c r="J3216">
        <v>6580.78</v>
      </c>
      <c r="K3216" t="s">
        <v>17</v>
      </c>
      <c r="L3216" t="b">
        <v>0</v>
      </c>
      <c r="N3216" s="2" t="b">
        <f t="shared" si="283"/>
        <v>1</v>
      </c>
      <c r="O3216" t="b">
        <f t="shared" si="285"/>
        <v>0</v>
      </c>
      <c r="Q3216" t="str">
        <f t="shared" si="284"/>
        <v/>
      </c>
    </row>
    <row r="3217" spans="1:17" hidden="1">
      <c r="A3217" t="s">
        <v>3322</v>
      </c>
      <c r="B3217" s="1">
        <v>45351</v>
      </c>
      <c r="C3217">
        <v>2024</v>
      </c>
      <c r="D3217">
        <v>2</v>
      </c>
      <c r="E3217" t="s">
        <v>47</v>
      </c>
      <c r="F3217" t="s">
        <v>24</v>
      </c>
      <c r="G3217" t="s">
        <v>48</v>
      </c>
      <c r="H3217" t="s">
        <v>75</v>
      </c>
      <c r="I3217">
        <v>13218.18</v>
      </c>
      <c r="J3217">
        <v>11212.26</v>
      </c>
      <c r="K3217" t="s">
        <v>17</v>
      </c>
      <c r="L3217" t="b">
        <v>0</v>
      </c>
      <c r="N3217" s="2" t="b">
        <f t="shared" si="283"/>
        <v>1</v>
      </c>
      <c r="O3217" t="b">
        <f t="shared" si="285"/>
        <v>1</v>
      </c>
      <c r="Q3217" t="str">
        <f t="shared" si="284"/>
        <v/>
      </c>
    </row>
    <row r="3218" spans="1:17" hidden="1">
      <c r="A3218" t="s">
        <v>3323</v>
      </c>
      <c r="B3218" s="1">
        <v>45351</v>
      </c>
      <c r="C3218">
        <v>2024</v>
      </c>
      <c r="D3218">
        <v>2</v>
      </c>
      <c r="E3218" t="s">
        <v>19</v>
      </c>
      <c r="F3218" t="s">
        <v>14</v>
      </c>
      <c r="G3218" t="s">
        <v>80</v>
      </c>
      <c r="H3218" t="s">
        <v>81</v>
      </c>
      <c r="I3218">
        <v>5611.17</v>
      </c>
      <c r="J3218">
        <v>6152.82</v>
      </c>
      <c r="K3218" t="s">
        <v>17</v>
      </c>
      <c r="L3218" t="b">
        <v>0</v>
      </c>
      <c r="N3218" s="2" t="str">
        <f t="shared" si="283"/>
        <v/>
      </c>
      <c r="Q3218" t="str">
        <f t="shared" si="284"/>
        <v/>
      </c>
    </row>
    <row r="3219" spans="1:17" hidden="1">
      <c r="A3219" t="s">
        <v>3324</v>
      </c>
      <c r="B3219" s="1">
        <v>45351</v>
      </c>
      <c r="C3219">
        <v>2024</v>
      </c>
      <c r="D3219">
        <v>2</v>
      </c>
      <c r="E3219" t="s">
        <v>19</v>
      </c>
      <c r="F3219" t="s">
        <v>28</v>
      </c>
      <c r="G3219" t="s">
        <v>54</v>
      </c>
      <c r="H3219" t="s">
        <v>163</v>
      </c>
      <c r="I3219">
        <v>5453.63</v>
      </c>
      <c r="J3219">
        <v>5693.89</v>
      </c>
      <c r="K3219" t="s">
        <v>17</v>
      </c>
      <c r="L3219" t="b">
        <v>0</v>
      </c>
      <c r="N3219" s="2" t="str">
        <f t="shared" si="283"/>
        <v/>
      </c>
      <c r="Q3219" t="str">
        <f t="shared" si="284"/>
        <v/>
      </c>
    </row>
    <row r="3220" spans="1:17" hidden="1">
      <c r="A3220" t="s">
        <v>3325</v>
      </c>
      <c r="B3220" s="1">
        <v>45351</v>
      </c>
      <c r="C3220">
        <v>2024</v>
      </c>
      <c r="D3220">
        <v>2</v>
      </c>
      <c r="E3220" t="s">
        <v>23</v>
      </c>
      <c r="F3220" t="s">
        <v>28</v>
      </c>
      <c r="G3220" t="s">
        <v>141</v>
      </c>
      <c r="H3220" t="s">
        <v>209</v>
      </c>
      <c r="I3220">
        <v>3969.39</v>
      </c>
      <c r="J3220">
        <v>3581.6</v>
      </c>
      <c r="K3220" t="s">
        <v>17</v>
      </c>
      <c r="L3220" t="b">
        <v>0</v>
      </c>
      <c r="N3220" s="2" t="str">
        <f t="shared" si="283"/>
        <v/>
      </c>
      <c r="Q3220" t="str">
        <f t="shared" si="284"/>
        <v/>
      </c>
    </row>
    <row r="3221" spans="1:17" hidden="1">
      <c r="A3221" t="s">
        <v>3326</v>
      </c>
      <c r="B3221" s="1">
        <v>45351</v>
      </c>
      <c r="C3221">
        <v>2024</v>
      </c>
      <c r="D3221">
        <v>2</v>
      </c>
      <c r="E3221" t="s">
        <v>23</v>
      </c>
      <c r="F3221" t="s">
        <v>24</v>
      </c>
      <c r="G3221" t="s">
        <v>25</v>
      </c>
      <c r="H3221" t="s">
        <v>95</v>
      </c>
      <c r="I3221">
        <v>4185.9799999999996</v>
      </c>
      <c r="J3221">
        <v>4344.3</v>
      </c>
      <c r="K3221" t="s">
        <v>17</v>
      </c>
      <c r="L3221" t="b">
        <v>0</v>
      </c>
      <c r="N3221" s="2" t="str">
        <f t="shared" si="283"/>
        <v/>
      </c>
      <c r="Q3221" t="str">
        <f t="shared" si="284"/>
        <v/>
      </c>
    </row>
    <row r="3222" spans="1:17" hidden="1">
      <c r="A3222" t="s">
        <v>3327</v>
      </c>
      <c r="B3222" s="1">
        <v>45351</v>
      </c>
      <c r="C3222">
        <v>2024</v>
      </c>
      <c r="D3222">
        <v>2</v>
      </c>
      <c r="E3222" t="s">
        <v>37</v>
      </c>
      <c r="F3222" t="s">
        <v>28</v>
      </c>
      <c r="G3222" t="s">
        <v>41</v>
      </c>
      <c r="H3222" t="s">
        <v>42</v>
      </c>
      <c r="I3222">
        <v>5172.96</v>
      </c>
      <c r="J3222">
        <v>5042.54</v>
      </c>
      <c r="K3222" t="s">
        <v>17</v>
      </c>
      <c r="L3222" t="b">
        <v>0</v>
      </c>
      <c r="N3222" s="2" t="str">
        <f t="shared" si="283"/>
        <v/>
      </c>
      <c r="Q3222" t="str">
        <f t="shared" si="284"/>
        <v/>
      </c>
    </row>
    <row r="3223" spans="1:17" hidden="1">
      <c r="A3223" t="s">
        <v>3328</v>
      </c>
      <c r="B3223" s="1">
        <v>45352</v>
      </c>
      <c r="C3223">
        <v>2024</v>
      </c>
      <c r="D3223">
        <v>3</v>
      </c>
      <c r="E3223" t="s">
        <v>13</v>
      </c>
      <c r="F3223" t="s">
        <v>14</v>
      </c>
      <c r="G3223" t="s">
        <v>108</v>
      </c>
      <c r="H3223" t="s">
        <v>126</v>
      </c>
      <c r="I3223">
        <v>4706.67</v>
      </c>
      <c r="J3223">
        <v>4278.25</v>
      </c>
      <c r="K3223" t="s">
        <v>17</v>
      </c>
      <c r="L3223" t="b">
        <v>0</v>
      </c>
      <c r="N3223" s="2" t="str">
        <f t="shared" si="283"/>
        <v/>
      </c>
      <c r="Q3223" t="str">
        <f t="shared" si="284"/>
        <v/>
      </c>
    </row>
    <row r="3224" spans="1:17" hidden="1">
      <c r="A3224" t="s">
        <v>3329</v>
      </c>
      <c r="B3224" s="1">
        <v>45352</v>
      </c>
      <c r="C3224">
        <v>2024</v>
      </c>
      <c r="D3224">
        <v>3</v>
      </c>
      <c r="E3224" t="s">
        <v>47</v>
      </c>
      <c r="F3224" t="s">
        <v>28</v>
      </c>
      <c r="G3224" t="s">
        <v>91</v>
      </c>
      <c r="H3224" t="s">
        <v>254</v>
      </c>
      <c r="I3224">
        <v>13973.44</v>
      </c>
      <c r="J3224">
        <v>11528.01</v>
      </c>
      <c r="K3224" t="s">
        <v>17</v>
      </c>
      <c r="L3224" t="b">
        <v>0</v>
      </c>
      <c r="N3224" s="2" t="b">
        <f t="shared" si="283"/>
        <v>1</v>
      </c>
      <c r="O3224" t="b">
        <f t="shared" ref="O3224:O3225" si="286">IF(AND(E3213="HR",K3213="EXPENSE"),I3213&lt;J3213,"")</f>
        <v>1</v>
      </c>
      <c r="Q3224" t="str">
        <f t="shared" si="284"/>
        <v/>
      </c>
    </row>
    <row r="3225" spans="1:17" hidden="1">
      <c r="A3225" t="s">
        <v>3330</v>
      </c>
      <c r="B3225" s="1">
        <v>45352</v>
      </c>
      <c r="C3225">
        <v>2024</v>
      </c>
      <c r="D3225">
        <v>3</v>
      </c>
      <c r="E3225" t="s">
        <v>47</v>
      </c>
      <c r="F3225" t="s">
        <v>24</v>
      </c>
      <c r="G3225" t="s">
        <v>77</v>
      </c>
      <c r="H3225" t="s">
        <v>78</v>
      </c>
      <c r="I3225">
        <v>11149.41</v>
      </c>
      <c r="J3225">
        <v>9203.5499999999993</v>
      </c>
      <c r="K3225" t="s">
        <v>17</v>
      </c>
      <c r="L3225" t="b">
        <v>0</v>
      </c>
      <c r="N3225" s="2" t="b">
        <f t="shared" si="283"/>
        <v>1</v>
      </c>
      <c r="O3225" t="b">
        <f t="shared" si="286"/>
        <v>0</v>
      </c>
      <c r="Q3225" t="str">
        <f t="shared" si="284"/>
        <v/>
      </c>
    </row>
    <row r="3226" spans="1:17" hidden="1">
      <c r="A3226" t="s">
        <v>3331</v>
      </c>
      <c r="B3226" s="1">
        <v>45352</v>
      </c>
      <c r="C3226">
        <v>2024</v>
      </c>
      <c r="D3226">
        <v>3</v>
      </c>
      <c r="E3226" t="s">
        <v>19</v>
      </c>
      <c r="F3226" t="s">
        <v>28</v>
      </c>
      <c r="G3226" t="s">
        <v>132</v>
      </c>
      <c r="H3226" t="s">
        <v>171</v>
      </c>
      <c r="I3226">
        <v>8894.43</v>
      </c>
      <c r="J3226">
        <v>9262.7099999999991</v>
      </c>
      <c r="K3226" t="s">
        <v>17</v>
      </c>
      <c r="L3226" t="b">
        <v>0</v>
      </c>
      <c r="N3226" s="2" t="str">
        <f t="shared" si="283"/>
        <v/>
      </c>
      <c r="Q3226" t="str">
        <f t="shared" si="284"/>
        <v/>
      </c>
    </row>
    <row r="3227" spans="1:17" hidden="1">
      <c r="A3227" t="s">
        <v>3332</v>
      </c>
      <c r="B3227" s="1">
        <v>45352</v>
      </c>
      <c r="C3227">
        <v>2024</v>
      </c>
      <c r="D3227">
        <v>3</v>
      </c>
      <c r="E3227" t="s">
        <v>23</v>
      </c>
      <c r="F3227" t="s">
        <v>14</v>
      </c>
      <c r="G3227" t="s">
        <v>141</v>
      </c>
      <c r="H3227" t="s">
        <v>209</v>
      </c>
      <c r="I3227">
        <v>7451.76</v>
      </c>
      <c r="J3227">
        <v>7925.67</v>
      </c>
      <c r="K3227" t="s">
        <v>17</v>
      </c>
      <c r="L3227" t="b">
        <v>0</v>
      </c>
      <c r="N3227" s="2" t="str">
        <f t="shared" si="283"/>
        <v/>
      </c>
      <c r="Q3227" t="str">
        <f t="shared" si="284"/>
        <v/>
      </c>
    </row>
    <row r="3228" spans="1:17" hidden="1">
      <c r="A3228" t="s">
        <v>3333</v>
      </c>
      <c r="B3228" s="1">
        <v>45352</v>
      </c>
      <c r="C3228">
        <v>2024</v>
      </c>
      <c r="D3228">
        <v>3</v>
      </c>
      <c r="E3228" t="s">
        <v>37</v>
      </c>
      <c r="F3228" t="s">
        <v>14</v>
      </c>
      <c r="G3228" t="s">
        <v>62</v>
      </c>
      <c r="H3228" t="s">
        <v>360</v>
      </c>
      <c r="I3228">
        <v>2471.5500000000002</v>
      </c>
      <c r="J3228">
        <v>2709.85</v>
      </c>
      <c r="K3228" t="s">
        <v>17</v>
      </c>
      <c r="L3228" t="b">
        <v>0</v>
      </c>
      <c r="N3228" s="2" t="str">
        <f t="shared" si="283"/>
        <v/>
      </c>
      <c r="Q3228" t="str">
        <f t="shared" si="284"/>
        <v/>
      </c>
    </row>
    <row r="3229" spans="1:17" hidden="1">
      <c r="A3229" t="s">
        <v>3334</v>
      </c>
      <c r="B3229" s="1">
        <v>45352</v>
      </c>
      <c r="C3229">
        <v>2024</v>
      </c>
      <c r="D3229">
        <v>3</v>
      </c>
      <c r="E3229" t="s">
        <v>37</v>
      </c>
      <c r="F3229" t="s">
        <v>28</v>
      </c>
      <c r="G3229" t="s">
        <v>62</v>
      </c>
      <c r="H3229" t="s">
        <v>360</v>
      </c>
      <c r="I3229">
        <v>6392.82</v>
      </c>
      <c r="J3229">
        <v>6312.63</v>
      </c>
      <c r="K3229" t="s">
        <v>17</v>
      </c>
      <c r="L3229" t="b">
        <v>0</v>
      </c>
      <c r="N3229" s="2" t="str">
        <f t="shared" si="283"/>
        <v/>
      </c>
      <c r="Q3229" t="str">
        <f t="shared" si="284"/>
        <v/>
      </c>
    </row>
    <row r="3230" spans="1:17" hidden="1">
      <c r="A3230" t="s">
        <v>3335</v>
      </c>
      <c r="B3230" s="1">
        <v>45352</v>
      </c>
      <c r="C3230">
        <v>2024</v>
      </c>
      <c r="D3230">
        <v>3</v>
      </c>
      <c r="E3230" t="s">
        <v>37</v>
      </c>
      <c r="F3230" t="s">
        <v>14</v>
      </c>
      <c r="G3230" t="s">
        <v>83</v>
      </c>
      <c r="H3230" t="s">
        <v>84</v>
      </c>
      <c r="I3230">
        <v>282638.02</v>
      </c>
      <c r="J3230">
        <v>268506.12</v>
      </c>
      <c r="K3230" t="s">
        <v>85</v>
      </c>
      <c r="L3230" t="b">
        <v>0</v>
      </c>
      <c r="N3230" s="2" t="str">
        <f t="shared" si="283"/>
        <v/>
      </c>
      <c r="Q3230" t="str">
        <f t="shared" si="284"/>
        <v/>
      </c>
    </row>
    <row r="3231" spans="1:17" hidden="1">
      <c r="A3231" t="s">
        <v>3336</v>
      </c>
      <c r="B3231" s="1">
        <v>45353</v>
      </c>
      <c r="C3231">
        <v>2024</v>
      </c>
      <c r="D3231">
        <v>3</v>
      </c>
      <c r="E3231" t="s">
        <v>13</v>
      </c>
      <c r="F3231" t="s">
        <v>14</v>
      </c>
      <c r="G3231" t="s">
        <v>15</v>
      </c>
      <c r="H3231" t="s">
        <v>45</v>
      </c>
      <c r="I3231">
        <v>6296.73</v>
      </c>
      <c r="J3231">
        <v>6108.13</v>
      </c>
      <c r="K3231" t="s">
        <v>17</v>
      </c>
      <c r="L3231" t="b">
        <v>0</v>
      </c>
      <c r="N3231" s="2" t="str">
        <f t="shared" si="283"/>
        <v/>
      </c>
      <c r="Q3231" t="str">
        <f t="shared" si="284"/>
        <v/>
      </c>
    </row>
    <row r="3232" spans="1:17" hidden="1">
      <c r="A3232" t="s">
        <v>3337</v>
      </c>
      <c r="B3232" s="1">
        <v>45353</v>
      </c>
      <c r="C3232">
        <v>2024</v>
      </c>
      <c r="D3232">
        <v>3</v>
      </c>
      <c r="E3232" t="s">
        <v>13</v>
      </c>
      <c r="F3232" t="s">
        <v>28</v>
      </c>
      <c r="G3232" t="s">
        <v>15</v>
      </c>
      <c r="H3232" t="s">
        <v>45</v>
      </c>
      <c r="I3232">
        <v>4527.1499999999996</v>
      </c>
      <c r="J3232">
        <v>4928.57</v>
      </c>
      <c r="K3232" t="s">
        <v>17</v>
      </c>
      <c r="L3232" t="b">
        <v>0</v>
      </c>
      <c r="N3232" s="2" t="str">
        <f t="shared" si="283"/>
        <v/>
      </c>
      <c r="Q3232" t="str">
        <f t="shared" si="284"/>
        <v/>
      </c>
    </row>
    <row r="3233" spans="1:17" hidden="1">
      <c r="A3233" t="s">
        <v>3338</v>
      </c>
      <c r="B3233" s="1">
        <v>45353</v>
      </c>
      <c r="C3233">
        <v>2024</v>
      </c>
      <c r="D3233">
        <v>3</v>
      </c>
      <c r="E3233" t="s">
        <v>47</v>
      </c>
      <c r="F3233" t="s">
        <v>28</v>
      </c>
      <c r="G3233" t="s">
        <v>48</v>
      </c>
      <c r="H3233" t="s">
        <v>191</v>
      </c>
      <c r="I3233">
        <v>18783.77</v>
      </c>
      <c r="J3233">
        <v>15764.03</v>
      </c>
      <c r="K3233" t="s">
        <v>17</v>
      </c>
      <c r="L3233" t="b">
        <v>0</v>
      </c>
      <c r="N3233" s="2" t="b">
        <f t="shared" si="283"/>
        <v>1</v>
      </c>
      <c r="O3233" t="str">
        <f>IF(AND(E3222="HR",K3222="EXPENSE"),I3222&lt;J3222,"")</f>
        <v/>
      </c>
      <c r="Q3233" t="str">
        <f t="shared" si="284"/>
        <v/>
      </c>
    </row>
    <row r="3234" spans="1:17" hidden="1">
      <c r="A3234" t="s">
        <v>3339</v>
      </c>
      <c r="B3234" s="1">
        <v>45353</v>
      </c>
      <c r="C3234">
        <v>2024</v>
      </c>
      <c r="D3234">
        <v>3</v>
      </c>
      <c r="E3234" t="s">
        <v>19</v>
      </c>
      <c r="F3234" t="s">
        <v>28</v>
      </c>
      <c r="G3234" t="s">
        <v>54</v>
      </c>
      <c r="H3234" t="s">
        <v>57</v>
      </c>
      <c r="I3234">
        <v>3738.92</v>
      </c>
      <c r="J3234">
        <v>3737.41</v>
      </c>
      <c r="K3234" t="s">
        <v>17</v>
      </c>
      <c r="L3234" t="b">
        <v>0</v>
      </c>
      <c r="N3234" s="2" t="str">
        <f t="shared" si="283"/>
        <v/>
      </c>
      <c r="Q3234" t="str">
        <f t="shared" si="284"/>
        <v/>
      </c>
    </row>
    <row r="3235" spans="1:17" hidden="1">
      <c r="A3235" t="s">
        <v>3340</v>
      </c>
      <c r="B3235" s="1">
        <v>45353</v>
      </c>
      <c r="C3235">
        <v>2024</v>
      </c>
      <c r="D3235">
        <v>3</v>
      </c>
      <c r="E3235" t="s">
        <v>37</v>
      </c>
      <c r="F3235" t="s">
        <v>14</v>
      </c>
      <c r="G3235" t="s">
        <v>98</v>
      </c>
      <c r="H3235" t="s">
        <v>99</v>
      </c>
      <c r="I3235">
        <v>2628.89</v>
      </c>
      <c r="J3235">
        <v>2593.06</v>
      </c>
      <c r="K3235" t="s">
        <v>17</v>
      </c>
      <c r="L3235" t="b">
        <v>0</v>
      </c>
      <c r="N3235" s="2" t="str">
        <f t="shared" si="283"/>
        <v/>
      </c>
      <c r="Q3235" t="str">
        <f t="shared" si="284"/>
        <v/>
      </c>
    </row>
    <row r="3236" spans="1:17" hidden="1">
      <c r="A3236" t="s">
        <v>3341</v>
      </c>
      <c r="B3236" s="1">
        <v>45353</v>
      </c>
      <c r="C3236">
        <v>2024</v>
      </c>
      <c r="D3236">
        <v>3</v>
      </c>
      <c r="E3236" t="s">
        <v>37</v>
      </c>
      <c r="F3236" t="s">
        <v>28</v>
      </c>
      <c r="G3236" t="s">
        <v>38</v>
      </c>
      <c r="H3236" t="s">
        <v>118</v>
      </c>
      <c r="I3236">
        <v>7447.18</v>
      </c>
      <c r="J3236">
        <v>7980.23</v>
      </c>
      <c r="K3236" t="s">
        <v>17</v>
      </c>
      <c r="L3236" t="b">
        <v>0</v>
      </c>
      <c r="N3236" s="2" t="str">
        <f t="shared" si="283"/>
        <v/>
      </c>
      <c r="Q3236" t="str">
        <f t="shared" si="284"/>
        <v/>
      </c>
    </row>
    <row r="3237" spans="1:17" hidden="1">
      <c r="A3237" t="s">
        <v>3342</v>
      </c>
      <c r="B3237" s="1">
        <v>45354</v>
      </c>
      <c r="C3237">
        <v>2024</v>
      </c>
      <c r="D3237">
        <v>3</v>
      </c>
      <c r="E3237" t="s">
        <v>13</v>
      </c>
      <c r="F3237" t="s">
        <v>24</v>
      </c>
      <c r="G3237" t="s">
        <v>68</v>
      </c>
      <c r="H3237" t="s">
        <v>213</v>
      </c>
      <c r="I3237">
        <v>2991.58</v>
      </c>
      <c r="J3237">
        <v>3037.63</v>
      </c>
      <c r="K3237" t="s">
        <v>17</v>
      </c>
      <c r="L3237" t="b">
        <v>0</v>
      </c>
      <c r="N3237" s="2" t="str">
        <f t="shared" si="283"/>
        <v/>
      </c>
      <c r="Q3237" t="str">
        <f t="shared" si="284"/>
        <v/>
      </c>
    </row>
    <row r="3238" spans="1:17" hidden="1">
      <c r="A3238" t="s">
        <v>3343</v>
      </c>
      <c r="B3238" s="1">
        <v>45354</v>
      </c>
      <c r="C3238">
        <v>2024</v>
      </c>
      <c r="D3238">
        <v>3</v>
      </c>
      <c r="E3238" t="s">
        <v>19</v>
      </c>
      <c r="F3238" t="s">
        <v>14</v>
      </c>
      <c r="G3238" t="s">
        <v>80</v>
      </c>
      <c r="H3238" t="s">
        <v>217</v>
      </c>
      <c r="I3238">
        <v>4316.46</v>
      </c>
      <c r="J3238">
        <v>4054.84</v>
      </c>
      <c r="K3238" t="s">
        <v>17</v>
      </c>
      <c r="L3238" t="b">
        <v>0</v>
      </c>
      <c r="N3238" s="2" t="str">
        <f t="shared" si="283"/>
        <v/>
      </c>
      <c r="Q3238" t="str">
        <f t="shared" si="284"/>
        <v/>
      </c>
    </row>
    <row r="3239" spans="1:17" hidden="1">
      <c r="A3239" t="s">
        <v>3344</v>
      </c>
      <c r="B3239" s="1">
        <v>45354</v>
      </c>
      <c r="C3239">
        <v>2024</v>
      </c>
      <c r="D3239">
        <v>3</v>
      </c>
      <c r="E3239" t="s">
        <v>19</v>
      </c>
      <c r="F3239" t="s">
        <v>24</v>
      </c>
      <c r="G3239" t="s">
        <v>54</v>
      </c>
      <c r="H3239" t="s">
        <v>163</v>
      </c>
      <c r="I3239">
        <v>6586.36</v>
      </c>
      <c r="J3239">
        <v>6704.22</v>
      </c>
      <c r="K3239" t="s">
        <v>17</v>
      </c>
      <c r="L3239" t="b">
        <v>0</v>
      </c>
      <c r="N3239" s="2" t="str">
        <f t="shared" si="283"/>
        <v/>
      </c>
      <c r="Q3239" t="str">
        <f t="shared" si="284"/>
        <v/>
      </c>
    </row>
    <row r="3240" spans="1:17" hidden="1">
      <c r="A3240" t="s">
        <v>3345</v>
      </c>
      <c r="B3240" s="1">
        <v>45354</v>
      </c>
      <c r="C3240">
        <v>2024</v>
      </c>
      <c r="D3240">
        <v>3</v>
      </c>
      <c r="E3240" t="s">
        <v>19</v>
      </c>
      <c r="F3240" t="s">
        <v>24</v>
      </c>
      <c r="G3240" t="s">
        <v>54</v>
      </c>
      <c r="H3240" t="s">
        <v>57</v>
      </c>
      <c r="I3240">
        <v>6927.03</v>
      </c>
      <c r="J3240">
        <v>6531.83</v>
      </c>
      <c r="K3240" t="s">
        <v>17</v>
      </c>
      <c r="L3240" t="b">
        <v>0</v>
      </c>
      <c r="N3240" s="2" t="str">
        <f t="shared" si="283"/>
        <v/>
      </c>
      <c r="Q3240" t="str">
        <f t="shared" si="284"/>
        <v/>
      </c>
    </row>
    <row r="3241" spans="1:17" hidden="1">
      <c r="A3241" t="s">
        <v>3346</v>
      </c>
      <c r="B3241" s="1">
        <v>45354</v>
      </c>
      <c r="C3241">
        <v>2024</v>
      </c>
      <c r="D3241">
        <v>3</v>
      </c>
      <c r="E3241" t="s">
        <v>37</v>
      </c>
      <c r="F3241" t="s">
        <v>14</v>
      </c>
      <c r="G3241" t="s">
        <v>41</v>
      </c>
      <c r="H3241" t="s">
        <v>42</v>
      </c>
      <c r="I3241">
        <v>3784.16</v>
      </c>
      <c r="J3241">
        <v>3707.39</v>
      </c>
      <c r="K3241" t="s">
        <v>17</v>
      </c>
      <c r="L3241" t="b">
        <v>0</v>
      </c>
      <c r="N3241" s="2" t="str">
        <f t="shared" si="283"/>
        <v/>
      </c>
      <c r="Q3241" t="str">
        <f t="shared" si="284"/>
        <v/>
      </c>
    </row>
    <row r="3242" spans="1:17" hidden="1">
      <c r="A3242" t="s">
        <v>3347</v>
      </c>
      <c r="B3242" s="1">
        <v>45354</v>
      </c>
      <c r="C3242">
        <v>2024</v>
      </c>
      <c r="D3242">
        <v>3</v>
      </c>
      <c r="E3242" t="s">
        <v>37</v>
      </c>
      <c r="F3242" t="s">
        <v>28</v>
      </c>
      <c r="G3242" t="s">
        <v>98</v>
      </c>
      <c r="H3242" t="s">
        <v>185</v>
      </c>
      <c r="I3242">
        <v>5723.77</v>
      </c>
      <c r="J3242">
        <v>5916.3</v>
      </c>
      <c r="K3242" t="s">
        <v>17</v>
      </c>
      <c r="L3242" t="b">
        <v>0</v>
      </c>
      <c r="N3242" s="2" t="str">
        <f t="shared" si="283"/>
        <v/>
      </c>
      <c r="Q3242" t="str">
        <f t="shared" si="284"/>
        <v/>
      </c>
    </row>
    <row r="3243" spans="1:17" hidden="1">
      <c r="A3243" t="s">
        <v>3348</v>
      </c>
      <c r="B3243" s="1">
        <v>45354</v>
      </c>
      <c r="C3243">
        <v>2024</v>
      </c>
      <c r="D3243">
        <v>3</v>
      </c>
      <c r="E3243" t="s">
        <v>37</v>
      </c>
      <c r="F3243" t="s">
        <v>24</v>
      </c>
      <c r="G3243" t="s">
        <v>38</v>
      </c>
      <c r="H3243" t="s">
        <v>39</v>
      </c>
      <c r="I3243">
        <v>4256.5</v>
      </c>
      <c r="J3243">
        <v>4384.45</v>
      </c>
      <c r="K3243" t="s">
        <v>17</v>
      </c>
      <c r="L3243" t="b">
        <v>0</v>
      </c>
      <c r="N3243" s="2" t="str">
        <f t="shared" si="283"/>
        <v/>
      </c>
      <c r="Q3243" t="str">
        <f t="shared" si="284"/>
        <v/>
      </c>
    </row>
    <row r="3244" spans="1:17" hidden="1">
      <c r="A3244" t="s">
        <v>3349</v>
      </c>
      <c r="B3244" s="1">
        <v>45355</v>
      </c>
      <c r="C3244">
        <v>2024</v>
      </c>
      <c r="D3244">
        <v>3</v>
      </c>
      <c r="E3244" t="s">
        <v>47</v>
      </c>
      <c r="F3244" t="s">
        <v>28</v>
      </c>
      <c r="G3244" t="s">
        <v>51</v>
      </c>
      <c r="H3244" t="s">
        <v>189</v>
      </c>
      <c r="I3244">
        <v>9794.1</v>
      </c>
      <c r="J3244">
        <v>8178.32</v>
      </c>
      <c r="K3244" t="s">
        <v>17</v>
      </c>
      <c r="L3244" t="b">
        <v>0</v>
      </c>
      <c r="N3244" s="2" t="b">
        <f t="shared" si="283"/>
        <v>1</v>
      </c>
      <c r="O3244" t="str">
        <f>IF(AND(E3233="HR",K3233="EXPENSE"),I3233&lt;J3233,"")</f>
        <v/>
      </c>
      <c r="Q3244" t="str">
        <f t="shared" si="284"/>
        <v/>
      </c>
    </row>
    <row r="3245" spans="1:17" hidden="1">
      <c r="A3245" t="s">
        <v>3350</v>
      </c>
      <c r="B3245" s="1">
        <v>45355</v>
      </c>
      <c r="C3245">
        <v>2024</v>
      </c>
      <c r="D3245">
        <v>3</v>
      </c>
      <c r="E3245" t="s">
        <v>23</v>
      </c>
      <c r="F3245" t="s">
        <v>28</v>
      </c>
      <c r="G3245" t="s">
        <v>141</v>
      </c>
      <c r="H3245" t="s">
        <v>209</v>
      </c>
      <c r="I3245">
        <v>5455.07</v>
      </c>
      <c r="J3245">
        <v>5326.29</v>
      </c>
      <c r="K3245" t="s">
        <v>17</v>
      </c>
      <c r="L3245" t="b">
        <v>0</v>
      </c>
      <c r="N3245" s="2" t="str">
        <f t="shared" si="283"/>
        <v/>
      </c>
      <c r="Q3245" t="str">
        <f t="shared" si="284"/>
        <v/>
      </c>
    </row>
    <row r="3246" spans="1:17" hidden="1">
      <c r="A3246" t="s">
        <v>3351</v>
      </c>
      <c r="B3246" s="1">
        <v>45355</v>
      </c>
      <c r="C3246">
        <v>2024</v>
      </c>
      <c r="D3246">
        <v>3</v>
      </c>
      <c r="E3246" t="s">
        <v>23</v>
      </c>
      <c r="F3246" t="s">
        <v>24</v>
      </c>
      <c r="G3246" t="s">
        <v>30</v>
      </c>
      <c r="H3246" t="s">
        <v>33</v>
      </c>
      <c r="I3246">
        <v>5459.96</v>
      </c>
      <c r="J3246">
        <v>5511.42</v>
      </c>
      <c r="K3246" t="s">
        <v>17</v>
      </c>
      <c r="L3246" t="b">
        <v>0</v>
      </c>
      <c r="N3246" s="2" t="str">
        <f t="shared" si="283"/>
        <v/>
      </c>
      <c r="Q3246" t="str">
        <f t="shared" si="284"/>
        <v/>
      </c>
    </row>
    <row r="3247" spans="1:17" hidden="1">
      <c r="A3247" t="s">
        <v>3352</v>
      </c>
      <c r="B3247" s="1">
        <v>45355</v>
      </c>
      <c r="C3247">
        <v>2024</v>
      </c>
      <c r="D3247">
        <v>3</v>
      </c>
      <c r="E3247" t="s">
        <v>37</v>
      </c>
      <c r="F3247" t="s">
        <v>14</v>
      </c>
      <c r="G3247" t="s">
        <v>62</v>
      </c>
      <c r="H3247" t="s">
        <v>121</v>
      </c>
      <c r="I3247">
        <v>6047.47</v>
      </c>
      <c r="J3247">
        <v>5507.96</v>
      </c>
      <c r="K3247" t="s">
        <v>17</v>
      </c>
      <c r="L3247" t="b">
        <v>0</v>
      </c>
      <c r="N3247" s="2" t="str">
        <f t="shared" si="283"/>
        <v/>
      </c>
      <c r="Q3247" t="str">
        <f t="shared" si="284"/>
        <v/>
      </c>
    </row>
    <row r="3248" spans="1:17" hidden="1">
      <c r="A3248" t="s">
        <v>3353</v>
      </c>
      <c r="B3248" s="1">
        <v>45355</v>
      </c>
      <c r="C3248">
        <v>2024</v>
      </c>
      <c r="D3248">
        <v>3</v>
      </c>
      <c r="E3248" t="s">
        <v>37</v>
      </c>
      <c r="F3248" t="s">
        <v>24</v>
      </c>
      <c r="G3248" t="s">
        <v>41</v>
      </c>
      <c r="H3248" t="s">
        <v>42</v>
      </c>
      <c r="I3248">
        <v>5250.71</v>
      </c>
      <c r="J3248">
        <v>5532.01</v>
      </c>
      <c r="K3248" t="s">
        <v>17</v>
      </c>
      <c r="L3248" t="b">
        <v>0</v>
      </c>
      <c r="N3248" s="2" t="str">
        <f t="shared" si="283"/>
        <v/>
      </c>
      <c r="Q3248" t="str">
        <f t="shared" si="284"/>
        <v/>
      </c>
    </row>
    <row r="3249" spans="1:17" hidden="1">
      <c r="A3249" t="s">
        <v>3354</v>
      </c>
      <c r="B3249" s="1">
        <v>45355</v>
      </c>
      <c r="C3249">
        <v>2024</v>
      </c>
      <c r="D3249">
        <v>3</v>
      </c>
      <c r="E3249" t="s">
        <v>37</v>
      </c>
      <c r="F3249" t="s">
        <v>24</v>
      </c>
      <c r="G3249" t="s">
        <v>98</v>
      </c>
      <c r="H3249" t="s">
        <v>185</v>
      </c>
      <c r="I3249">
        <v>4184.0200000000004</v>
      </c>
      <c r="J3249">
        <v>4473.34</v>
      </c>
      <c r="K3249" t="s">
        <v>17</v>
      </c>
      <c r="L3249" t="b">
        <v>0</v>
      </c>
      <c r="N3249" s="2" t="str">
        <f t="shared" si="283"/>
        <v/>
      </c>
      <c r="Q3249" t="str">
        <f t="shared" si="284"/>
        <v/>
      </c>
    </row>
    <row r="3250" spans="1:17" hidden="1">
      <c r="A3250" t="s">
        <v>3355</v>
      </c>
      <c r="B3250" s="1">
        <v>45356</v>
      </c>
      <c r="C3250">
        <v>2024</v>
      </c>
      <c r="D3250">
        <v>3</v>
      </c>
      <c r="E3250" t="s">
        <v>13</v>
      </c>
      <c r="F3250" t="s">
        <v>14</v>
      </c>
      <c r="G3250" t="s">
        <v>108</v>
      </c>
      <c r="H3250" t="s">
        <v>126</v>
      </c>
      <c r="I3250">
        <v>4456.68</v>
      </c>
      <c r="J3250">
        <v>4565.45</v>
      </c>
      <c r="K3250" t="s">
        <v>17</v>
      </c>
      <c r="L3250" t="b">
        <v>0</v>
      </c>
      <c r="N3250" s="2" t="str">
        <f t="shared" si="283"/>
        <v/>
      </c>
      <c r="Q3250" t="str">
        <f t="shared" si="284"/>
        <v/>
      </c>
    </row>
    <row r="3251" spans="1:17" hidden="1">
      <c r="A3251" t="s">
        <v>3356</v>
      </c>
      <c r="B3251" s="1">
        <v>45356</v>
      </c>
      <c r="C3251">
        <v>2024</v>
      </c>
      <c r="D3251">
        <v>3</v>
      </c>
      <c r="E3251" t="s">
        <v>13</v>
      </c>
      <c r="F3251" t="s">
        <v>28</v>
      </c>
      <c r="G3251" t="s">
        <v>15</v>
      </c>
      <c r="H3251" t="s">
        <v>89</v>
      </c>
      <c r="I3251">
        <v>3337.25</v>
      </c>
      <c r="J3251">
        <v>3556.2</v>
      </c>
      <c r="K3251" t="s">
        <v>17</v>
      </c>
      <c r="L3251" t="b">
        <v>0</v>
      </c>
      <c r="N3251" s="2" t="str">
        <f t="shared" si="283"/>
        <v/>
      </c>
      <c r="Q3251" t="str">
        <f t="shared" si="284"/>
        <v/>
      </c>
    </row>
    <row r="3252" spans="1:17" hidden="1">
      <c r="A3252" t="s">
        <v>3357</v>
      </c>
      <c r="B3252" s="1">
        <v>45356</v>
      </c>
      <c r="C3252">
        <v>2024</v>
      </c>
      <c r="D3252">
        <v>3</v>
      </c>
      <c r="E3252" t="s">
        <v>19</v>
      </c>
      <c r="F3252" t="s">
        <v>14</v>
      </c>
      <c r="G3252" t="s">
        <v>54</v>
      </c>
      <c r="H3252" t="s">
        <v>55</v>
      </c>
      <c r="I3252">
        <v>5308.54</v>
      </c>
      <c r="J3252">
        <v>5421.63</v>
      </c>
      <c r="K3252" t="s">
        <v>17</v>
      </c>
      <c r="L3252" t="b">
        <v>0</v>
      </c>
      <c r="N3252" s="2" t="str">
        <f t="shared" si="283"/>
        <v/>
      </c>
      <c r="Q3252" t="str">
        <f t="shared" si="284"/>
        <v/>
      </c>
    </row>
    <row r="3253" spans="1:17" hidden="1">
      <c r="A3253" t="s">
        <v>3358</v>
      </c>
      <c r="B3253" s="1">
        <v>45356</v>
      </c>
      <c r="C3253">
        <v>2024</v>
      </c>
      <c r="D3253">
        <v>3</v>
      </c>
      <c r="E3253" t="s">
        <v>23</v>
      </c>
      <c r="F3253" t="s">
        <v>28</v>
      </c>
      <c r="G3253" t="s">
        <v>30</v>
      </c>
      <c r="H3253" t="s">
        <v>106</v>
      </c>
      <c r="I3253">
        <v>5244.79</v>
      </c>
      <c r="J3253">
        <v>5634.52</v>
      </c>
      <c r="K3253" t="s">
        <v>17</v>
      </c>
      <c r="L3253" t="b">
        <v>0</v>
      </c>
      <c r="N3253" s="2" t="str">
        <f t="shared" si="283"/>
        <v/>
      </c>
      <c r="Q3253" t="str">
        <f t="shared" si="284"/>
        <v/>
      </c>
    </row>
    <row r="3254" spans="1:17" hidden="1">
      <c r="A3254" t="s">
        <v>3359</v>
      </c>
      <c r="B3254" s="1">
        <v>45356</v>
      </c>
      <c r="C3254">
        <v>2024</v>
      </c>
      <c r="D3254">
        <v>3</v>
      </c>
      <c r="E3254" t="s">
        <v>37</v>
      </c>
      <c r="F3254" t="s">
        <v>14</v>
      </c>
      <c r="G3254" t="s">
        <v>98</v>
      </c>
      <c r="H3254" t="s">
        <v>99</v>
      </c>
      <c r="I3254">
        <v>4635.24</v>
      </c>
      <c r="J3254">
        <v>4332.62</v>
      </c>
      <c r="K3254" t="s">
        <v>17</v>
      </c>
      <c r="L3254" t="b">
        <v>0</v>
      </c>
      <c r="N3254" s="2" t="str">
        <f t="shared" si="283"/>
        <v/>
      </c>
      <c r="Q3254" t="str">
        <f t="shared" si="284"/>
        <v/>
      </c>
    </row>
    <row r="3255" spans="1:17" hidden="1">
      <c r="A3255" t="s">
        <v>3360</v>
      </c>
      <c r="B3255" s="1">
        <v>45356</v>
      </c>
      <c r="C3255">
        <v>2024</v>
      </c>
      <c r="D3255">
        <v>3</v>
      </c>
      <c r="E3255" t="s">
        <v>37</v>
      </c>
      <c r="F3255" t="s">
        <v>14</v>
      </c>
      <c r="G3255" t="s">
        <v>62</v>
      </c>
      <c r="H3255" t="s">
        <v>121</v>
      </c>
      <c r="I3255">
        <v>4466.21</v>
      </c>
      <c r="J3255">
        <v>4171.58</v>
      </c>
      <c r="K3255" t="s">
        <v>17</v>
      </c>
      <c r="L3255" t="b">
        <v>0</v>
      </c>
      <c r="N3255" s="2" t="str">
        <f t="shared" si="283"/>
        <v/>
      </c>
      <c r="Q3255" t="str">
        <f t="shared" si="284"/>
        <v/>
      </c>
    </row>
    <row r="3256" spans="1:17" hidden="1">
      <c r="A3256" t="s">
        <v>3361</v>
      </c>
      <c r="B3256" s="1">
        <v>45357</v>
      </c>
      <c r="C3256">
        <v>2024</v>
      </c>
      <c r="D3256">
        <v>3</v>
      </c>
      <c r="E3256" t="s">
        <v>13</v>
      </c>
      <c r="F3256" t="s">
        <v>24</v>
      </c>
      <c r="G3256" t="s">
        <v>102</v>
      </c>
      <c r="H3256" t="s">
        <v>145</v>
      </c>
      <c r="I3256">
        <v>3816.12</v>
      </c>
      <c r="J3256">
        <v>3925.68</v>
      </c>
      <c r="K3256" t="s">
        <v>17</v>
      </c>
      <c r="L3256" t="b">
        <v>0</v>
      </c>
      <c r="N3256" s="2" t="str">
        <f t="shared" si="283"/>
        <v/>
      </c>
      <c r="Q3256" t="str">
        <f t="shared" si="284"/>
        <v/>
      </c>
    </row>
    <row r="3257" spans="1:17" hidden="1">
      <c r="A3257" t="s">
        <v>3362</v>
      </c>
      <c r="B3257" s="1">
        <v>45357</v>
      </c>
      <c r="C3257">
        <v>2024</v>
      </c>
      <c r="D3257">
        <v>3</v>
      </c>
      <c r="E3257" t="s">
        <v>47</v>
      </c>
      <c r="F3257" t="s">
        <v>14</v>
      </c>
      <c r="G3257" t="s">
        <v>77</v>
      </c>
      <c r="H3257" t="s">
        <v>78</v>
      </c>
      <c r="I3257">
        <v>13617.12</v>
      </c>
      <c r="J3257">
        <v>11426.32</v>
      </c>
      <c r="K3257" t="s">
        <v>17</v>
      </c>
      <c r="L3257" t="b">
        <v>0</v>
      </c>
      <c r="N3257" s="2" t="b">
        <f t="shared" si="283"/>
        <v>1</v>
      </c>
      <c r="O3257" t="str">
        <f>IF(AND(E3246="HR",K3246="EXPENSE"),I3246&lt;J3246,"")</f>
        <v/>
      </c>
      <c r="Q3257" t="str">
        <f t="shared" si="284"/>
        <v/>
      </c>
    </row>
    <row r="3258" spans="1:17" hidden="1">
      <c r="A3258" t="s">
        <v>3363</v>
      </c>
      <c r="B3258" s="1">
        <v>45357</v>
      </c>
      <c r="C3258">
        <v>2024</v>
      </c>
      <c r="D3258">
        <v>3</v>
      </c>
      <c r="E3258" t="s">
        <v>19</v>
      </c>
      <c r="F3258" t="s">
        <v>14</v>
      </c>
      <c r="G3258" t="s">
        <v>80</v>
      </c>
      <c r="H3258" t="s">
        <v>81</v>
      </c>
      <c r="I3258">
        <v>3585.23</v>
      </c>
      <c r="J3258">
        <v>3548.6</v>
      </c>
      <c r="K3258" t="s">
        <v>17</v>
      </c>
      <c r="L3258" t="b">
        <v>0</v>
      </c>
      <c r="N3258" s="2" t="str">
        <f t="shared" si="283"/>
        <v/>
      </c>
      <c r="Q3258" t="str">
        <f t="shared" si="284"/>
        <v/>
      </c>
    </row>
    <row r="3259" spans="1:17" hidden="1">
      <c r="A3259" t="s">
        <v>3364</v>
      </c>
      <c r="B3259" s="1">
        <v>45357</v>
      </c>
      <c r="C3259">
        <v>2024</v>
      </c>
      <c r="D3259">
        <v>3</v>
      </c>
      <c r="E3259" t="s">
        <v>19</v>
      </c>
      <c r="F3259" t="s">
        <v>28</v>
      </c>
      <c r="G3259" t="s">
        <v>80</v>
      </c>
      <c r="H3259" t="s">
        <v>113</v>
      </c>
      <c r="I3259">
        <v>7049.72</v>
      </c>
      <c r="J3259">
        <v>7680.2</v>
      </c>
      <c r="K3259" t="s">
        <v>17</v>
      </c>
      <c r="L3259" t="b">
        <v>0</v>
      </c>
      <c r="N3259" s="2" t="str">
        <f t="shared" si="283"/>
        <v/>
      </c>
      <c r="Q3259" t="str">
        <f t="shared" si="284"/>
        <v/>
      </c>
    </row>
    <row r="3260" spans="1:17" hidden="1">
      <c r="A3260" t="s">
        <v>3365</v>
      </c>
      <c r="B3260" s="1">
        <v>45357</v>
      </c>
      <c r="C3260">
        <v>2024</v>
      </c>
      <c r="D3260">
        <v>3</v>
      </c>
      <c r="E3260" t="s">
        <v>23</v>
      </c>
      <c r="F3260" t="s">
        <v>28</v>
      </c>
      <c r="G3260" t="s">
        <v>141</v>
      </c>
      <c r="H3260" t="s">
        <v>142</v>
      </c>
      <c r="I3260">
        <v>4322.6099999999997</v>
      </c>
      <c r="J3260">
        <v>4610.7299999999996</v>
      </c>
      <c r="K3260" t="s">
        <v>17</v>
      </c>
      <c r="L3260" t="b">
        <v>0</v>
      </c>
      <c r="N3260" s="2" t="str">
        <f t="shared" si="283"/>
        <v/>
      </c>
      <c r="Q3260" t="str">
        <f t="shared" si="284"/>
        <v/>
      </c>
    </row>
    <row r="3261" spans="1:17" hidden="1">
      <c r="A3261" t="s">
        <v>3366</v>
      </c>
      <c r="B3261" s="1">
        <v>45357</v>
      </c>
      <c r="C3261">
        <v>2024</v>
      </c>
      <c r="D3261">
        <v>3</v>
      </c>
      <c r="E3261" t="s">
        <v>23</v>
      </c>
      <c r="F3261" t="s">
        <v>24</v>
      </c>
      <c r="G3261" t="s">
        <v>59</v>
      </c>
      <c r="H3261" t="s">
        <v>155</v>
      </c>
      <c r="I3261">
        <v>4749.47</v>
      </c>
      <c r="J3261">
        <v>5052.59</v>
      </c>
      <c r="K3261" t="s">
        <v>17</v>
      </c>
      <c r="L3261" t="b">
        <v>0</v>
      </c>
      <c r="N3261" s="2" t="str">
        <f t="shared" si="283"/>
        <v/>
      </c>
      <c r="Q3261" t="str">
        <f t="shared" si="284"/>
        <v/>
      </c>
    </row>
    <row r="3262" spans="1:17" hidden="1">
      <c r="A3262" t="s">
        <v>3367</v>
      </c>
      <c r="B3262" s="1">
        <v>45357</v>
      </c>
      <c r="C3262">
        <v>2024</v>
      </c>
      <c r="D3262">
        <v>3</v>
      </c>
      <c r="E3262" t="s">
        <v>23</v>
      </c>
      <c r="F3262" t="s">
        <v>24</v>
      </c>
      <c r="G3262" t="s">
        <v>30</v>
      </c>
      <c r="H3262" t="s">
        <v>33</v>
      </c>
      <c r="I3262">
        <v>4261.32</v>
      </c>
      <c r="J3262">
        <v>4022.78</v>
      </c>
      <c r="K3262" t="s">
        <v>17</v>
      </c>
      <c r="L3262" t="b">
        <v>0</v>
      </c>
      <c r="N3262" s="2" t="str">
        <f t="shared" si="283"/>
        <v/>
      </c>
      <c r="Q3262" t="str">
        <f t="shared" si="284"/>
        <v/>
      </c>
    </row>
    <row r="3263" spans="1:17" hidden="1">
      <c r="A3263" t="s">
        <v>3368</v>
      </c>
      <c r="B3263" s="1">
        <v>45357</v>
      </c>
      <c r="C3263">
        <v>2024</v>
      </c>
      <c r="D3263">
        <v>3</v>
      </c>
      <c r="E3263" t="s">
        <v>23</v>
      </c>
      <c r="F3263" t="s">
        <v>24</v>
      </c>
      <c r="G3263" t="s">
        <v>25</v>
      </c>
      <c r="H3263" t="s">
        <v>35</v>
      </c>
      <c r="I3263">
        <v>5087.87</v>
      </c>
      <c r="J3263">
        <v>5009.38</v>
      </c>
      <c r="K3263" t="s">
        <v>17</v>
      </c>
      <c r="L3263" t="b">
        <v>0</v>
      </c>
      <c r="N3263" s="2" t="str">
        <f t="shared" si="283"/>
        <v/>
      </c>
      <c r="Q3263" t="str">
        <f t="shared" si="284"/>
        <v/>
      </c>
    </row>
    <row r="3264" spans="1:17" hidden="1">
      <c r="A3264" t="s">
        <v>3369</v>
      </c>
      <c r="B3264" s="1">
        <v>45357</v>
      </c>
      <c r="C3264">
        <v>2024</v>
      </c>
      <c r="D3264">
        <v>3</v>
      </c>
      <c r="E3264" t="s">
        <v>37</v>
      </c>
      <c r="F3264" t="s">
        <v>14</v>
      </c>
      <c r="G3264" t="s">
        <v>62</v>
      </c>
      <c r="H3264" t="s">
        <v>66</v>
      </c>
      <c r="I3264">
        <v>5152.92</v>
      </c>
      <c r="J3264">
        <v>4807.05</v>
      </c>
      <c r="K3264" t="s">
        <v>17</v>
      </c>
      <c r="L3264" t="b">
        <v>0</v>
      </c>
      <c r="N3264" s="2" t="str">
        <f t="shared" si="283"/>
        <v/>
      </c>
      <c r="Q3264" t="str">
        <f t="shared" si="284"/>
        <v/>
      </c>
    </row>
    <row r="3265" spans="1:17" hidden="1">
      <c r="A3265" t="s">
        <v>3370</v>
      </c>
      <c r="B3265" s="1">
        <v>45357</v>
      </c>
      <c r="C3265">
        <v>2024</v>
      </c>
      <c r="D3265">
        <v>3</v>
      </c>
      <c r="E3265" t="s">
        <v>37</v>
      </c>
      <c r="F3265" t="s">
        <v>14</v>
      </c>
      <c r="G3265" t="s">
        <v>41</v>
      </c>
      <c r="H3265" t="s">
        <v>42</v>
      </c>
      <c r="I3265">
        <v>3271.24</v>
      </c>
      <c r="J3265">
        <v>3308.03</v>
      </c>
      <c r="K3265" t="s">
        <v>17</v>
      </c>
      <c r="L3265" t="b">
        <v>0</v>
      </c>
      <c r="N3265" s="2" t="str">
        <f t="shared" si="283"/>
        <v/>
      </c>
      <c r="Q3265" t="str">
        <f t="shared" si="284"/>
        <v/>
      </c>
    </row>
    <row r="3266" spans="1:17" hidden="1">
      <c r="A3266" t="s">
        <v>3371</v>
      </c>
      <c r="B3266" s="1">
        <v>45357</v>
      </c>
      <c r="C3266">
        <v>2024</v>
      </c>
      <c r="D3266">
        <v>3</v>
      </c>
      <c r="E3266" t="s">
        <v>37</v>
      </c>
      <c r="F3266" t="s">
        <v>24</v>
      </c>
      <c r="G3266" t="s">
        <v>38</v>
      </c>
      <c r="H3266" t="s">
        <v>118</v>
      </c>
      <c r="I3266">
        <v>3162.76</v>
      </c>
      <c r="J3266">
        <v>3065.52</v>
      </c>
      <c r="K3266" t="s">
        <v>17</v>
      </c>
      <c r="L3266" t="b">
        <v>0</v>
      </c>
      <c r="N3266" s="2" t="str">
        <f t="shared" si="283"/>
        <v/>
      </c>
      <c r="Q3266" t="str">
        <f t="shared" si="284"/>
        <v/>
      </c>
    </row>
    <row r="3267" spans="1:17" hidden="1">
      <c r="A3267" t="s">
        <v>3372</v>
      </c>
      <c r="B3267" s="1">
        <v>45358</v>
      </c>
      <c r="C3267">
        <v>2024</v>
      </c>
      <c r="D3267">
        <v>3</v>
      </c>
      <c r="E3267" t="s">
        <v>13</v>
      </c>
      <c r="F3267" t="s">
        <v>24</v>
      </c>
      <c r="G3267" t="s">
        <v>102</v>
      </c>
      <c r="H3267" t="s">
        <v>278</v>
      </c>
      <c r="I3267">
        <v>4071.96</v>
      </c>
      <c r="J3267">
        <v>4422.8100000000004</v>
      </c>
      <c r="K3267" t="s">
        <v>17</v>
      </c>
      <c r="L3267" t="b">
        <v>0</v>
      </c>
      <c r="N3267" s="2" t="str">
        <f t="shared" ref="N3267:N3330" si="287">IF(AND(E3267="IT",K3267="EXPENSE"),I3267&gt;J3267,"")</f>
        <v/>
      </c>
      <c r="Q3267" t="str">
        <f t="shared" ref="Q3267:Q3330" si="288">IF(L3267=TRUE,OR(H3267="Apex Solutions Inc",H3267="Global Trade Partners",H3267="NovaTech Services"),"")</f>
        <v/>
      </c>
    </row>
    <row r="3268" spans="1:17" hidden="1">
      <c r="A3268" t="s">
        <v>3373</v>
      </c>
      <c r="B3268" s="1">
        <v>45358</v>
      </c>
      <c r="C3268">
        <v>2024</v>
      </c>
      <c r="D3268">
        <v>3</v>
      </c>
      <c r="E3268" t="s">
        <v>47</v>
      </c>
      <c r="F3268" t="s">
        <v>14</v>
      </c>
      <c r="G3268" t="s">
        <v>51</v>
      </c>
      <c r="H3268" t="s">
        <v>52</v>
      </c>
      <c r="I3268">
        <v>12352.17</v>
      </c>
      <c r="J3268">
        <v>10538.25</v>
      </c>
      <c r="K3268" t="s">
        <v>17</v>
      </c>
      <c r="L3268" t="b">
        <v>0</v>
      </c>
      <c r="N3268" s="2" t="b">
        <f t="shared" si="287"/>
        <v>1</v>
      </c>
      <c r="O3268" t="str">
        <f t="shared" ref="O3268:O3269" si="289">IF(AND(E3257="HR",K3257="EXPENSE"),I3257&lt;J3257,"")</f>
        <v/>
      </c>
      <c r="Q3268" t="str">
        <f t="shared" si="288"/>
        <v/>
      </c>
    </row>
    <row r="3269" spans="1:17" hidden="1">
      <c r="A3269" t="s">
        <v>3374</v>
      </c>
      <c r="B3269" s="1">
        <v>45358</v>
      </c>
      <c r="C3269">
        <v>2024</v>
      </c>
      <c r="D3269">
        <v>3</v>
      </c>
      <c r="E3269" t="s">
        <v>47</v>
      </c>
      <c r="F3269" t="s">
        <v>28</v>
      </c>
      <c r="G3269" t="s">
        <v>51</v>
      </c>
      <c r="H3269" t="s">
        <v>52</v>
      </c>
      <c r="I3269">
        <v>15081.4</v>
      </c>
      <c r="J3269">
        <v>12434.99</v>
      </c>
      <c r="K3269" t="s">
        <v>17</v>
      </c>
      <c r="L3269" t="b">
        <v>0</v>
      </c>
      <c r="N3269" s="2" t="b">
        <f t="shared" si="287"/>
        <v>1</v>
      </c>
      <c r="O3269" t="str">
        <f t="shared" si="289"/>
        <v/>
      </c>
      <c r="Q3269" t="str">
        <f t="shared" si="288"/>
        <v/>
      </c>
    </row>
    <row r="3270" spans="1:17" hidden="1">
      <c r="A3270" t="s">
        <v>3375</v>
      </c>
      <c r="B3270" s="1">
        <v>45358</v>
      </c>
      <c r="C3270">
        <v>2024</v>
      </c>
      <c r="D3270">
        <v>3</v>
      </c>
      <c r="E3270" t="s">
        <v>19</v>
      </c>
      <c r="F3270" t="s">
        <v>14</v>
      </c>
      <c r="G3270" t="s">
        <v>80</v>
      </c>
      <c r="H3270" t="s">
        <v>113</v>
      </c>
      <c r="I3270">
        <v>5194.09</v>
      </c>
      <c r="J3270">
        <v>4960.82</v>
      </c>
      <c r="K3270" t="s">
        <v>17</v>
      </c>
      <c r="L3270" t="b">
        <v>0</v>
      </c>
      <c r="N3270" s="2" t="str">
        <f t="shared" si="287"/>
        <v/>
      </c>
      <c r="Q3270" t="str">
        <f t="shared" si="288"/>
        <v/>
      </c>
    </row>
    <row r="3271" spans="1:17" hidden="1">
      <c r="A3271" t="s">
        <v>3376</v>
      </c>
      <c r="B3271" s="1">
        <v>45358</v>
      </c>
      <c r="C3271">
        <v>2024</v>
      </c>
      <c r="D3271">
        <v>3</v>
      </c>
      <c r="E3271" t="s">
        <v>19</v>
      </c>
      <c r="F3271" t="s">
        <v>14</v>
      </c>
      <c r="G3271" t="s">
        <v>80</v>
      </c>
      <c r="H3271" t="s">
        <v>217</v>
      </c>
      <c r="I3271">
        <v>5837.65</v>
      </c>
      <c r="J3271">
        <v>6281.81</v>
      </c>
      <c r="K3271" t="s">
        <v>17</v>
      </c>
      <c r="L3271" t="b">
        <v>0</v>
      </c>
      <c r="N3271" s="2" t="str">
        <f t="shared" si="287"/>
        <v/>
      </c>
      <c r="Q3271" t="str">
        <f t="shared" si="288"/>
        <v/>
      </c>
    </row>
    <row r="3272" spans="1:17" hidden="1">
      <c r="A3272" t="s">
        <v>3377</v>
      </c>
      <c r="B3272" s="1">
        <v>45358</v>
      </c>
      <c r="C3272">
        <v>2024</v>
      </c>
      <c r="D3272">
        <v>3</v>
      </c>
      <c r="E3272" t="s">
        <v>19</v>
      </c>
      <c r="F3272" t="s">
        <v>28</v>
      </c>
      <c r="G3272" t="s">
        <v>132</v>
      </c>
      <c r="H3272" t="s">
        <v>171</v>
      </c>
      <c r="I3272">
        <v>4190.92</v>
      </c>
      <c r="J3272">
        <v>4262.57</v>
      </c>
      <c r="K3272" t="s">
        <v>17</v>
      </c>
      <c r="L3272" t="b">
        <v>0</v>
      </c>
      <c r="N3272" s="2" t="str">
        <f t="shared" si="287"/>
        <v/>
      </c>
      <c r="Q3272" t="str">
        <f t="shared" si="288"/>
        <v/>
      </c>
    </row>
    <row r="3273" spans="1:17" hidden="1">
      <c r="A3273" t="s">
        <v>3378</v>
      </c>
      <c r="B3273" s="1">
        <v>45358</v>
      </c>
      <c r="C3273">
        <v>2024</v>
      </c>
      <c r="D3273">
        <v>3</v>
      </c>
      <c r="E3273" t="s">
        <v>19</v>
      </c>
      <c r="F3273" t="s">
        <v>28</v>
      </c>
      <c r="G3273" t="s">
        <v>80</v>
      </c>
      <c r="H3273" t="s">
        <v>217</v>
      </c>
      <c r="I3273">
        <v>5079.3599999999997</v>
      </c>
      <c r="J3273">
        <v>4797.92</v>
      </c>
      <c r="K3273" t="s">
        <v>17</v>
      </c>
      <c r="L3273" t="b">
        <v>0</v>
      </c>
      <c r="N3273" s="2" t="str">
        <f t="shared" si="287"/>
        <v/>
      </c>
      <c r="Q3273" t="str">
        <f t="shared" si="288"/>
        <v/>
      </c>
    </row>
    <row r="3274" spans="1:17" hidden="1">
      <c r="A3274" t="s">
        <v>3379</v>
      </c>
      <c r="B3274" s="1">
        <v>45358</v>
      </c>
      <c r="C3274">
        <v>2024</v>
      </c>
      <c r="D3274">
        <v>3</v>
      </c>
      <c r="E3274" t="s">
        <v>23</v>
      </c>
      <c r="F3274" t="s">
        <v>24</v>
      </c>
      <c r="G3274" t="s">
        <v>141</v>
      </c>
      <c r="H3274" t="s">
        <v>209</v>
      </c>
      <c r="I3274">
        <v>2737.86</v>
      </c>
      <c r="J3274">
        <v>2536.25</v>
      </c>
      <c r="K3274" t="s">
        <v>17</v>
      </c>
      <c r="L3274" t="b">
        <v>0</v>
      </c>
      <c r="N3274" s="2" t="str">
        <f t="shared" si="287"/>
        <v/>
      </c>
      <c r="Q3274" t="str">
        <f t="shared" si="288"/>
        <v/>
      </c>
    </row>
    <row r="3275" spans="1:17" hidden="1">
      <c r="A3275" t="s">
        <v>3380</v>
      </c>
      <c r="B3275" s="1">
        <v>45358</v>
      </c>
      <c r="C3275">
        <v>2024</v>
      </c>
      <c r="D3275">
        <v>3</v>
      </c>
      <c r="E3275" t="s">
        <v>37</v>
      </c>
      <c r="F3275" t="s">
        <v>14</v>
      </c>
      <c r="G3275" t="s">
        <v>98</v>
      </c>
      <c r="H3275" t="s">
        <v>99</v>
      </c>
      <c r="I3275">
        <v>3853.31</v>
      </c>
      <c r="J3275">
        <v>3765.34</v>
      </c>
      <c r="K3275" t="s">
        <v>17</v>
      </c>
      <c r="L3275" t="b">
        <v>0</v>
      </c>
      <c r="N3275" s="2" t="str">
        <f t="shared" si="287"/>
        <v/>
      </c>
      <c r="Q3275" t="str">
        <f t="shared" si="288"/>
        <v/>
      </c>
    </row>
    <row r="3276" spans="1:17" hidden="1">
      <c r="A3276" t="s">
        <v>3381</v>
      </c>
      <c r="B3276" s="1">
        <v>45359</v>
      </c>
      <c r="C3276">
        <v>2024</v>
      </c>
      <c r="D3276">
        <v>3</v>
      </c>
      <c r="E3276" t="s">
        <v>13</v>
      </c>
      <c r="F3276" t="s">
        <v>14</v>
      </c>
      <c r="G3276" t="s">
        <v>108</v>
      </c>
      <c r="H3276" t="s">
        <v>123</v>
      </c>
      <c r="I3276">
        <v>5199.9799999999996</v>
      </c>
      <c r="J3276">
        <v>5169.08</v>
      </c>
      <c r="K3276" t="s">
        <v>17</v>
      </c>
      <c r="L3276" t="b">
        <v>0</v>
      </c>
      <c r="N3276" s="2" t="str">
        <f t="shared" si="287"/>
        <v/>
      </c>
      <c r="Q3276" t="str">
        <f t="shared" si="288"/>
        <v/>
      </c>
    </row>
    <row r="3277" spans="1:17" hidden="1">
      <c r="A3277" t="s">
        <v>3382</v>
      </c>
      <c r="B3277" s="1">
        <v>45359</v>
      </c>
      <c r="C3277">
        <v>2024</v>
      </c>
      <c r="D3277">
        <v>3</v>
      </c>
      <c r="E3277" t="s">
        <v>13</v>
      </c>
      <c r="F3277" t="s">
        <v>28</v>
      </c>
      <c r="G3277" t="s">
        <v>68</v>
      </c>
      <c r="H3277" t="s">
        <v>69</v>
      </c>
      <c r="I3277">
        <v>3215.97</v>
      </c>
      <c r="J3277">
        <v>3429.38</v>
      </c>
      <c r="K3277" t="s">
        <v>17</v>
      </c>
      <c r="L3277" t="b">
        <v>0</v>
      </c>
      <c r="N3277" s="2" t="str">
        <f t="shared" si="287"/>
        <v/>
      </c>
      <c r="Q3277" t="str">
        <f t="shared" si="288"/>
        <v/>
      </c>
    </row>
    <row r="3278" spans="1:17" hidden="1">
      <c r="A3278" t="s">
        <v>3383</v>
      </c>
      <c r="B3278" s="1">
        <v>45359</v>
      </c>
      <c r="C3278">
        <v>2024</v>
      </c>
      <c r="D3278">
        <v>3</v>
      </c>
      <c r="E3278" t="s">
        <v>13</v>
      </c>
      <c r="F3278" t="s">
        <v>28</v>
      </c>
      <c r="G3278" t="s">
        <v>68</v>
      </c>
      <c r="H3278" t="s">
        <v>213</v>
      </c>
      <c r="I3278">
        <v>3646.15</v>
      </c>
      <c r="J3278">
        <v>3641.66</v>
      </c>
      <c r="K3278" t="s">
        <v>17</v>
      </c>
      <c r="L3278" t="b">
        <v>0</v>
      </c>
      <c r="N3278" s="2" t="str">
        <f t="shared" si="287"/>
        <v/>
      </c>
      <c r="Q3278" t="str">
        <f t="shared" si="288"/>
        <v/>
      </c>
    </row>
    <row r="3279" spans="1:17" hidden="1">
      <c r="A3279" t="s">
        <v>3384</v>
      </c>
      <c r="B3279" s="1">
        <v>45359</v>
      </c>
      <c r="C3279">
        <v>2024</v>
      </c>
      <c r="D3279">
        <v>3</v>
      </c>
      <c r="E3279" t="s">
        <v>13</v>
      </c>
      <c r="F3279" t="s">
        <v>24</v>
      </c>
      <c r="G3279" t="s">
        <v>15</v>
      </c>
      <c r="H3279" t="s">
        <v>45</v>
      </c>
      <c r="I3279">
        <v>2045.69</v>
      </c>
      <c r="J3279">
        <v>2000.71</v>
      </c>
      <c r="K3279" t="s">
        <v>17</v>
      </c>
      <c r="L3279" t="b">
        <v>0</v>
      </c>
      <c r="N3279" s="2" t="str">
        <f t="shared" si="287"/>
        <v/>
      </c>
      <c r="Q3279" t="str">
        <f t="shared" si="288"/>
        <v/>
      </c>
    </row>
    <row r="3280" spans="1:17" hidden="1">
      <c r="A3280" t="s">
        <v>3385</v>
      </c>
      <c r="B3280" s="1">
        <v>45359</v>
      </c>
      <c r="C3280">
        <v>2024</v>
      </c>
      <c r="D3280">
        <v>3</v>
      </c>
      <c r="E3280" t="s">
        <v>47</v>
      </c>
      <c r="F3280" t="s">
        <v>14</v>
      </c>
      <c r="G3280" t="s">
        <v>48</v>
      </c>
      <c r="H3280" t="s">
        <v>189</v>
      </c>
      <c r="I3280">
        <v>11536.74</v>
      </c>
      <c r="J3280">
        <v>9489.7900000000009</v>
      </c>
      <c r="K3280" t="s">
        <v>17</v>
      </c>
      <c r="L3280" t="b">
        <v>0</v>
      </c>
      <c r="N3280" s="2" t="b">
        <f t="shared" si="287"/>
        <v>1</v>
      </c>
      <c r="O3280" t="str">
        <f t="shared" ref="O3280:O3283" si="290">IF(AND(E3269="HR",K3269="EXPENSE"),I3269&lt;J3269,"")</f>
        <v/>
      </c>
      <c r="Q3280" t="str">
        <f t="shared" si="288"/>
        <v/>
      </c>
    </row>
    <row r="3281" spans="1:17" hidden="1">
      <c r="A3281" t="s">
        <v>3386</v>
      </c>
      <c r="B3281" s="1">
        <v>45359</v>
      </c>
      <c r="C3281">
        <v>2024</v>
      </c>
      <c r="D3281">
        <v>3</v>
      </c>
      <c r="E3281" t="s">
        <v>47</v>
      </c>
      <c r="F3281" t="s">
        <v>28</v>
      </c>
      <c r="G3281" t="s">
        <v>51</v>
      </c>
      <c r="H3281" t="s">
        <v>52</v>
      </c>
      <c r="I3281">
        <v>16910.7</v>
      </c>
      <c r="J3281">
        <v>14125.29</v>
      </c>
      <c r="K3281" t="s">
        <v>17</v>
      </c>
      <c r="L3281" t="b">
        <v>0</v>
      </c>
      <c r="N3281" s="2" t="b">
        <f t="shared" si="287"/>
        <v>1</v>
      </c>
      <c r="O3281" t="str">
        <f t="shared" si="290"/>
        <v/>
      </c>
      <c r="Q3281" t="str">
        <f t="shared" si="288"/>
        <v/>
      </c>
    </row>
    <row r="3282" spans="1:17" hidden="1">
      <c r="A3282" t="s">
        <v>3387</v>
      </c>
      <c r="B3282" s="1">
        <v>45359</v>
      </c>
      <c r="C3282">
        <v>2024</v>
      </c>
      <c r="D3282">
        <v>3</v>
      </c>
      <c r="E3282" t="s">
        <v>47</v>
      </c>
      <c r="F3282" t="s">
        <v>24</v>
      </c>
      <c r="G3282" t="s">
        <v>51</v>
      </c>
      <c r="H3282" t="s">
        <v>52</v>
      </c>
      <c r="I3282">
        <v>14197.44</v>
      </c>
      <c r="J3282">
        <v>12002</v>
      </c>
      <c r="K3282" t="s">
        <v>17</v>
      </c>
      <c r="L3282" t="b">
        <v>0</v>
      </c>
      <c r="N3282" s="2" t="b">
        <f t="shared" si="287"/>
        <v>1</v>
      </c>
      <c r="O3282" t="str">
        <f t="shared" si="290"/>
        <v/>
      </c>
      <c r="Q3282" t="str">
        <f t="shared" si="288"/>
        <v/>
      </c>
    </row>
    <row r="3283" spans="1:17" hidden="1">
      <c r="A3283" t="s">
        <v>3388</v>
      </c>
      <c r="B3283" s="1">
        <v>45359</v>
      </c>
      <c r="C3283">
        <v>2024</v>
      </c>
      <c r="D3283">
        <v>3</v>
      </c>
      <c r="E3283" t="s">
        <v>47</v>
      </c>
      <c r="F3283" t="s">
        <v>24</v>
      </c>
      <c r="G3283" t="s">
        <v>51</v>
      </c>
      <c r="H3283" t="s">
        <v>52</v>
      </c>
      <c r="I3283">
        <v>23572.13</v>
      </c>
      <c r="J3283">
        <v>20485.61</v>
      </c>
      <c r="K3283" t="s">
        <v>17</v>
      </c>
      <c r="L3283" t="b">
        <v>0</v>
      </c>
      <c r="N3283" s="2" t="b">
        <f t="shared" si="287"/>
        <v>1</v>
      </c>
      <c r="O3283" t="str">
        <f t="shared" si="290"/>
        <v/>
      </c>
      <c r="Q3283" t="str">
        <f t="shared" si="288"/>
        <v/>
      </c>
    </row>
    <row r="3284" spans="1:17" hidden="1">
      <c r="A3284" t="s">
        <v>3389</v>
      </c>
      <c r="B3284" s="1">
        <v>45359</v>
      </c>
      <c r="C3284">
        <v>2024</v>
      </c>
      <c r="D3284">
        <v>3</v>
      </c>
      <c r="E3284" t="s">
        <v>19</v>
      </c>
      <c r="F3284" t="s">
        <v>14</v>
      </c>
      <c r="G3284" t="s">
        <v>132</v>
      </c>
      <c r="H3284" t="s">
        <v>133</v>
      </c>
      <c r="I3284">
        <v>6952.37</v>
      </c>
      <c r="J3284">
        <v>7194.62</v>
      </c>
      <c r="K3284" t="s">
        <v>17</v>
      </c>
      <c r="L3284" t="b">
        <v>0</v>
      </c>
      <c r="N3284" s="2" t="str">
        <f t="shared" si="287"/>
        <v/>
      </c>
      <c r="Q3284" t="str">
        <f t="shared" si="288"/>
        <v/>
      </c>
    </row>
    <row r="3285" spans="1:17" hidden="1">
      <c r="A3285" t="s">
        <v>3390</v>
      </c>
      <c r="B3285" s="1">
        <v>45359</v>
      </c>
      <c r="C3285">
        <v>2024</v>
      </c>
      <c r="D3285">
        <v>3</v>
      </c>
      <c r="E3285" t="s">
        <v>19</v>
      </c>
      <c r="F3285" t="s">
        <v>24</v>
      </c>
      <c r="G3285" t="s">
        <v>20</v>
      </c>
      <c r="H3285" t="s">
        <v>21</v>
      </c>
      <c r="I3285">
        <v>4817</v>
      </c>
      <c r="J3285">
        <v>4821.25</v>
      </c>
      <c r="K3285" t="s">
        <v>17</v>
      </c>
      <c r="L3285" t="b">
        <v>0</v>
      </c>
      <c r="N3285" s="2" t="str">
        <f t="shared" si="287"/>
        <v/>
      </c>
      <c r="Q3285" t="str">
        <f t="shared" si="288"/>
        <v/>
      </c>
    </row>
    <row r="3286" spans="1:17" hidden="1">
      <c r="A3286" t="s">
        <v>3391</v>
      </c>
      <c r="B3286" s="1">
        <v>45359</v>
      </c>
      <c r="C3286">
        <v>2024</v>
      </c>
      <c r="D3286">
        <v>3</v>
      </c>
      <c r="E3286" t="s">
        <v>37</v>
      </c>
      <c r="F3286" t="s">
        <v>28</v>
      </c>
      <c r="G3286" t="s">
        <v>98</v>
      </c>
      <c r="H3286" t="s">
        <v>185</v>
      </c>
      <c r="I3286">
        <v>5799.65</v>
      </c>
      <c r="J3286">
        <v>5366.47</v>
      </c>
      <c r="K3286" t="s">
        <v>17</v>
      </c>
      <c r="L3286" t="b">
        <v>0</v>
      </c>
      <c r="N3286" s="2" t="str">
        <f t="shared" si="287"/>
        <v/>
      </c>
      <c r="Q3286" t="str">
        <f t="shared" si="288"/>
        <v/>
      </c>
    </row>
    <row r="3287" spans="1:17" hidden="1">
      <c r="A3287" t="s">
        <v>3392</v>
      </c>
      <c r="B3287" s="1">
        <v>45359</v>
      </c>
      <c r="C3287">
        <v>2024</v>
      </c>
      <c r="D3287">
        <v>3</v>
      </c>
      <c r="E3287" t="s">
        <v>37</v>
      </c>
      <c r="F3287" t="s">
        <v>24</v>
      </c>
      <c r="G3287" t="s">
        <v>98</v>
      </c>
      <c r="H3287" t="s">
        <v>99</v>
      </c>
      <c r="I3287">
        <v>2532.9899999999998</v>
      </c>
      <c r="J3287">
        <v>2322.1799999999998</v>
      </c>
      <c r="K3287" t="s">
        <v>17</v>
      </c>
      <c r="L3287" t="b">
        <v>0</v>
      </c>
      <c r="N3287" s="2" t="str">
        <f t="shared" si="287"/>
        <v/>
      </c>
      <c r="Q3287" t="str">
        <f t="shared" si="288"/>
        <v/>
      </c>
    </row>
    <row r="3288" spans="1:17" hidden="1">
      <c r="A3288" t="s">
        <v>3393</v>
      </c>
      <c r="B3288" s="1">
        <v>45360</v>
      </c>
      <c r="C3288">
        <v>2024</v>
      </c>
      <c r="D3288">
        <v>3</v>
      </c>
      <c r="E3288" t="s">
        <v>13</v>
      </c>
      <c r="F3288" t="s">
        <v>14</v>
      </c>
      <c r="G3288" t="s">
        <v>68</v>
      </c>
      <c r="H3288" t="s">
        <v>69</v>
      </c>
      <c r="I3288">
        <v>3758.48</v>
      </c>
      <c r="J3288">
        <v>3715.57</v>
      </c>
      <c r="K3288" t="s">
        <v>17</v>
      </c>
      <c r="L3288" t="b">
        <v>0</v>
      </c>
      <c r="N3288" s="2" t="str">
        <f t="shared" si="287"/>
        <v/>
      </c>
      <c r="Q3288" t="str">
        <f t="shared" si="288"/>
        <v/>
      </c>
    </row>
    <row r="3289" spans="1:17" hidden="1">
      <c r="A3289" t="s">
        <v>3394</v>
      </c>
      <c r="B3289" s="1">
        <v>45360</v>
      </c>
      <c r="C3289">
        <v>2024</v>
      </c>
      <c r="D3289">
        <v>3</v>
      </c>
      <c r="E3289" t="s">
        <v>47</v>
      </c>
      <c r="F3289" t="s">
        <v>14</v>
      </c>
      <c r="G3289" t="s">
        <v>77</v>
      </c>
      <c r="H3289" t="s">
        <v>130</v>
      </c>
      <c r="I3289">
        <v>15109.61</v>
      </c>
      <c r="J3289">
        <v>12740.28</v>
      </c>
      <c r="K3289" t="s">
        <v>17</v>
      </c>
      <c r="L3289" t="b">
        <v>0</v>
      </c>
      <c r="N3289" s="2" t="b">
        <f t="shared" si="287"/>
        <v>1</v>
      </c>
      <c r="O3289" t="b">
        <f>IF(AND(E3278="HR",K3278="EXPENSE"),I3278&lt;J3278,"")</f>
        <v>0</v>
      </c>
      <c r="Q3289" t="str">
        <f t="shared" si="288"/>
        <v/>
      </c>
    </row>
    <row r="3290" spans="1:17" hidden="1">
      <c r="A3290" t="s">
        <v>3395</v>
      </c>
      <c r="B3290" s="1">
        <v>45360</v>
      </c>
      <c r="C3290">
        <v>2024</v>
      </c>
      <c r="D3290">
        <v>3</v>
      </c>
      <c r="E3290" t="s">
        <v>23</v>
      </c>
      <c r="F3290" t="s">
        <v>24</v>
      </c>
      <c r="G3290" t="s">
        <v>59</v>
      </c>
      <c r="H3290" t="s">
        <v>155</v>
      </c>
      <c r="I3290">
        <v>4158.1099999999997</v>
      </c>
      <c r="J3290">
        <v>4072.64</v>
      </c>
      <c r="K3290" t="s">
        <v>17</v>
      </c>
      <c r="L3290" t="b">
        <v>0</v>
      </c>
      <c r="N3290" s="2" t="str">
        <f t="shared" si="287"/>
        <v/>
      </c>
      <c r="Q3290" t="str">
        <f t="shared" si="288"/>
        <v/>
      </c>
    </row>
    <row r="3291" spans="1:17" hidden="1">
      <c r="A3291" t="s">
        <v>3396</v>
      </c>
      <c r="B3291" s="1">
        <v>45361</v>
      </c>
      <c r="C3291">
        <v>2024</v>
      </c>
      <c r="D3291">
        <v>3</v>
      </c>
      <c r="E3291" t="s">
        <v>13</v>
      </c>
      <c r="F3291" t="s">
        <v>14</v>
      </c>
      <c r="G3291" t="s">
        <v>68</v>
      </c>
      <c r="H3291" t="s">
        <v>213</v>
      </c>
      <c r="I3291">
        <v>6114.38</v>
      </c>
      <c r="J3291">
        <v>6255.78</v>
      </c>
      <c r="K3291" t="s">
        <v>17</v>
      </c>
      <c r="L3291" t="b">
        <v>0</v>
      </c>
      <c r="N3291" s="2" t="str">
        <f t="shared" si="287"/>
        <v/>
      </c>
      <c r="Q3291" t="str">
        <f t="shared" si="288"/>
        <v/>
      </c>
    </row>
    <row r="3292" spans="1:17" hidden="1">
      <c r="A3292" t="s">
        <v>3397</v>
      </c>
      <c r="B3292" s="1">
        <v>45361</v>
      </c>
      <c r="C3292">
        <v>2024</v>
      </c>
      <c r="D3292">
        <v>3</v>
      </c>
      <c r="E3292" t="s">
        <v>47</v>
      </c>
      <c r="F3292" t="s">
        <v>28</v>
      </c>
      <c r="G3292" t="s">
        <v>91</v>
      </c>
      <c r="H3292" t="s">
        <v>92</v>
      </c>
      <c r="I3292">
        <v>15168.56</v>
      </c>
      <c r="J3292">
        <v>12518.11</v>
      </c>
      <c r="K3292" t="s">
        <v>17</v>
      </c>
      <c r="L3292" t="b">
        <v>0</v>
      </c>
      <c r="N3292" s="2" t="b">
        <f t="shared" si="287"/>
        <v>1</v>
      </c>
      <c r="O3292" t="str">
        <f>IF(AND(E3281="HR",K3281="EXPENSE"),I3281&lt;J3281,"")</f>
        <v/>
      </c>
      <c r="Q3292" t="str">
        <f t="shared" si="288"/>
        <v/>
      </c>
    </row>
    <row r="3293" spans="1:17" hidden="1">
      <c r="A3293" t="s">
        <v>3398</v>
      </c>
      <c r="B3293" s="1">
        <v>45361</v>
      </c>
      <c r="C3293">
        <v>2024</v>
      </c>
      <c r="D3293">
        <v>3</v>
      </c>
      <c r="E3293" t="s">
        <v>23</v>
      </c>
      <c r="F3293" t="s">
        <v>14</v>
      </c>
      <c r="G3293" t="s">
        <v>59</v>
      </c>
      <c r="H3293" t="s">
        <v>60</v>
      </c>
      <c r="I3293">
        <v>3137.25</v>
      </c>
      <c r="J3293">
        <v>3275.56</v>
      </c>
      <c r="K3293" t="s">
        <v>17</v>
      </c>
      <c r="L3293" t="b">
        <v>0</v>
      </c>
      <c r="N3293" s="2" t="str">
        <f t="shared" si="287"/>
        <v/>
      </c>
      <c r="Q3293" t="str">
        <f t="shared" si="288"/>
        <v/>
      </c>
    </row>
    <row r="3294" spans="1:17" hidden="1">
      <c r="A3294" t="s">
        <v>3399</v>
      </c>
      <c r="B3294" s="1">
        <v>45361</v>
      </c>
      <c r="C3294">
        <v>2024</v>
      </c>
      <c r="D3294">
        <v>3</v>
      </c>
      <c r="E3294" t="s">
        <v>23</v>
      </c>
      <c r="F3294" t="s">
        <v>24</v>
      </c>
      <c r="G3294" t="s">
        <v>30</v>
      </c>
      <c r="H3294" t="s">
        <v>106</v>
      </c>
      <c r="I3294">
        <v>4504.3500000000004</v>
      </c>
      <c r="J3294">
        <v>4910.28</v>
      </c>
      <c r="K3294" t="s">
        <v>17</v>
      </c>
      <c r="L3294" t="b">
        <v>0</v>
      </c>
      <c r="N3294" s="2" t="str">
        <f t="shared" si="287"/>
        <v/>
      </c>
      <c r="Q3294" t="str">
        <f t="shared" si="288"/>
        <v/>
      </c>
    </row>
    <row r="3295" spans="1:17" hidden="1">
      <c r="A3295" t="s">
        <v>3400</v>
      </c>
      <c r="B3295" s="1">
        <v>45361</v>
      </c>
      <c r="C3295">
        <v>2024</v>
      </c>
      <c r="D3295">
        <v>3</v>
      </c>
      <c r="E3295" t="s">
        <v>37</v>
      </c>
      <c r="F3295" t="s">
        <v>24</v>
      </c>
      <c r="G3295" t="s">
        <v>98</v>
      </c>
      <c r="H3295" t="s">
        <v>99</v>
      </c>
      <c r="I3295">
        <v>5510.78</v>
      </c>
      <c r="J3295">
        <v>5322.32</v>
      </c>
      <c r="K3295" t="s">
        <v>17</v>
      </c>
      <c r="L3295" t="b">
        <v>0</v>
      </c>
      <c r="N3295" s="2" t="str">
        <f t="shared" si="287"/>
        <v/>
      </c>
      <c r="Q3295" t="str">
        <f t="shared" si="288"/>
        <v/>
      </c>
    </row>
    <row r="3296" spans="1:17" hidden="1">
      <c r="A3296" t="s">
        <v>3401</v>
      </c>
      <c r="B3296" s="1">
        <v>45362</v>
      </c>
      <c r="C3296">
        <v>2024</v>
      </c>
      <c r="D3296">
        <v>3</v>
      </c>
      <c r="E3296" t="s">
        <v>13</v>
      </c>
      <c r="F3296" t="s">
        <v>28</v>
      </c>
      <c r="G3296" t="s">
        <v>102</v>
      </c>
      <c r="H3296" t="s">
        <v>278</v>
      </c>
      <c r="I3296">
        <v>4634.58</v>
      </c>
      <c r="J3296">
        <v>4753.8900000000003</v>
      </c>
      <c r="K3296" t="s">
        <v>17</v>
      </c>
      <c r="L3296" t="b">
        <v>0</v>
      </c>
      <c r="N3296" s="2" t="str">
        <f t="shared" si="287"/>
        <v/>
      </c>
      <c r="Q3296" t="str">
        <f t="shared" si="288"/>
        <v/>
      </c>
    </row>
    <row r="3297" spans="1:17" hidden="1">
      <c r="A3297" t="s">
        <v>3402</v>
      </c>
      <c r="B3297" s="1">
        <v>45362</v>
      </c>
      <c r="C3297">
        <v>2024</v>
      </c>
      <c r="D3297">
        <v>3</v>
      </c>
      <c r="E3297" t="s">
        <v>47</v>
      </c>
      <c r="F3297" t="s">
        <v>14</v>
      </c>
      <c r="G3297" t="s">
        <v>77</v>
      </c>
      <c r="H3297" t="s">
        <v>147</v>
      </c>
      <c r="I3297">
        <v>13423.38</v>
      </c>
      <c r="J3297">
        <v>11030.48</v>
      </c>
      <c r="K3297" t="s">
        <v>17</v>
      </c>
      <c r="L3297" t="b">
        <v>0</v>
      </c>
      <c r="N3297" s="2" t="b">
        <f t="shared" si="287"/>
        <v>1</v>
      </c>
      <c r="O3297" t="str">
        <f t="shared" ref="O3297:O3298" si="291">IF(AND(E3286="HR",K3286="EXPENSE"),I3286&lt;J3286,"")</f>
        <v/>
      </c>
      <c r="Q3297" t="str">
        <f t="shared" si="288"/>
        <v/>
      </c>
    </row>
    <row r="3298" spans="1:17" hidden="1">
      <c r="A3298" t="s">
        <v>3403</v>
      </c>
      <c r="B3298" s="1">
        <v>45362</v>
      </c>
      <c r="C3298">
        <v>2024</v>
      </c>
      <c r="D3298">
        <v>3</v>
      </c>
      <c r="E3298" t="s">
        <v>47</v>
      </c>
      <c r="F3298" t="s">
        <v>28</v>
      </c>
      <c r="G3298" t="s">
        <v>91</v>
      </c>
      <c r="H3298" t="s">
        <v>254</v>
      </c>
      <c r="I3298">
        <v>18155.759999999998</v>
      </c>
      <c r="J3298">
        <v>15482.38</v>
      </c>
      <c r="K3298" t="s">
        <v>17</v>
      </c>
      <c r="L3298" t="b">
        <v>0</v>
      </c>
      <c r="N3298" s="2" t="b">
        <f t="shared" si="287"/>
        <v>1</v>
      </c>
      <c r="O3298" t="str">
        <f t="shared" si="291"/>
        <v/>
      </c>
      <c r="Q3298" t="str">
        <f t="shared" si="288"/>
        <v/>
      </c>
    </row>
    <row r="3299" spans="1:17" hidden="1">
      <c r="A3299" t="s">
        <v>3404</v>
      </c>
      <c r="B3299" s="1">
        <v>45362</v>
      </c>
      <c r="C3299">
        <v>2024</v>
      </c>
      <c r="D3299">
        <v>3</v>
      </c>
      <c r="E3299" t="s">
        <v>19</v>
      </c>
      <c r="F3299" t="s">
        <v>14</v>
      </c>
      <c r="G3299" t="s">
        <v>80</v>
      </c>
      <c r="H3299" t="s">
        <v>217</v>
      </c>
      <c r="I3299">
        <v>5464.53</v>
      </c>
      <c r="J3299">
        <v>5234.1400000000003</v>
      </c>
      <c r="K3299" t="s">
        <v>17</v>
      </c>
      <c r="L3299" t="b">
        <v>0</v>
      </c>
      <c r="N3299" s="2" t="str">
        <f t="shared" si="287"/>
        <v/>
      </c>
      <c r="Q3299" t="str">
        <f t="shared" si="288"/>
        <v/>
      </c>
    </row>
    <row r="3300" spans="1:17" hidden="1">
      <c r="A3300" t="s">
        <v>3405</v>
      </c>
      <c r="B3300" s="1">
        <v>45362</v>
      </c>
      <c r="C3300">
        <v>2024</v>
      </c>
      <c r="D3300">
        <v>3</v>
      </c>
      <c r="E3300" t="s">
        <v>19</v>
      </c>
      <c r="F3300" t="s">
        <v>28</v>
      </c>
      <c r="G3300" t="s">
        <v>20</v>
      </c>
      <c r="H3300" t="s">
        <v>136</v>
      </c>
      <c r="I3300">
        <v>4674.47</v>
      </c>
      <c r="J3300">
        <v>4218.3100000000004</v>
      </c>
      <c r="K3300" t="s">
        <v>17</v>
      </c>
      <c r="L3300" t="b">
        <v>0</v>
      </c>
      <c r="N3300" s="2" t="str">
        <f t="shared" si="287"/>
        <v/>
      </c>
      <c r="Q3300" t="str">
        <f t="shared" si="288"/>
        <v/>
      </c>
    </row>
    <row r="3301" spans="1:17" hidden="1">
      <c r="A3301" t="s">
        <v>3406</v>
      </c>
      <c r="B3301" s="1">
        <v>45362</v>
      </c>
      <c r="C3301">
        <v>2024</v>
      </c>
      <c r="D3301">
        <v>3</v>
      </c>
      <c r="E3301" t="s">
        <v>23</v>
      </c>
      <c r="F3301" t="s">
        <v>14</v>
      </c>
      <c r="G3301" t="s">
        <v>30</v>
      </c>
      <c r="H3301" t="s">
        <v>33</v>
      </c>
      <c r="I3301">
        <v>8467.2099999999991</v>
      </c>
      <c r="J3301">
        <v>8719.02</v>
      </c>
      <c r="K3301" t="s">
        <v>17</v>
      </c>
      <c r="L3301" t="b">
        <v>0</v>
      </c>
      <c r="N3301" s="2" t="str">
        <f t="shared" si="287"/>
        <v/>
      </c>
      <c r="Q3301" t="str">
        <f t="shared" si="288"/>
        <v/>
      </c>
    </row>
    <row r="3302" spans="1:17" hidden="1">
      <c r="A3302" t="s">
        <v>3407</v>
      </c>
      <c r="B3302" s="1">
        <v>45362</v>
      </c>
      <c r="C3302">
        <v>2024</v>
      </c>
      <c r="D3302">
        <v>3</v>
      </c>
      <c r="E3302" t="s">
        <v>37</v>
      </c>
      <c r="F3302" t="s">
        <v>28</v>
      </c>
      <c r="G3302" t="s">
        <v>62</v>
      </c>
      <c r="H3302" t="s">
        <v>121</v>
      </c>
      <c r="I3302">
        <v>6999.76</v>
      </c>
      <c r="J3302">
        <v>7688.56</v>
      </c>
      <c r="K3302" t="s">
        <v>17</v>
      </c>
      <c r="L3302" t="b">
        <v>0</v>
      </c>
      <c r="N3302" s="2" t="str">
        <f t="shared" si="287"/>
        <v/>
      </c>
      <c r="Q3302" t="str">
        <f t="shared" si="288"/>
        <v/>
      </c>
    </row>
    <row r="3303" spans="1:17" hidden="1">
      <c r="A3303" t="s">
        <v>3408</v>
      </c>
      <c r="B3303" s="1">
        <v>45362</v>
      </c>
      <c r="C3303">
        <v>2024</v>
      </c>
      <c r="D3303">
        <v>3</v>
      </c>
      <c r="E3303" t="s">
        <v>37</v>
      </c>
      <c r="F3303" t="s">
        <v>24</v>
      </c>
      <c r="G3303" t="s">
        <v>41</v>
      </c>
      <c r="H3303" t="s">
        <v>42</v>
      </c>
      <c r="I3303">
        <v>6804.01</v>
      </c>
      <c r="J3303">
        <v>6180.6</v>
      </c>
      <c r="K3303" t="s">
        <v>17</v>
      </c>
      <c r="L3303" t="b">
        <v>0</v>
      </c>
      <c r="N3303" s="2" t="str">
        <f t="shared" si="287"/>
        <v/>
      </c>
      <c r="Q3303" t="str">
        <f t="shared" si="288"/>
        <v/>
      </c>
    </row>
    <row r="3304" spans="1:17" hidden="1">
      <c r="A3304" t="s">
        <v>3409</v>
      </c>
      <c r="B3304" s="1">
        <v>45362</v>
      </c>
      <c r="C3304">
        <v>2024</v>
      </c>
      <c r="D3304">
        <v>3</v>
      </c>
      <c r="E3304" t="s">
        <v>37</v>
      </c>
      <c r="F3304" t="s">
        <v>24</v>
      </c>
      <c r="G3304" t="s">
        <v>41</v>
      </c>
      <c r="H3304" t="s">
        <v>42</v>
      </c>
      <c r="I3304">
        <v>4801.3500000000004</v>
      </c>
      <c r="J3304">
        <v>4368.42</v>
      </c>
      <c r="K3304" t="s">
        <v>17</v>
      </c>
      <c r="L3304" t="b">
        <v>0</v>
      </c>
      <c r="N3304" s="2" t="str">
        <f t="shared" si="287"/>
        <v/>
      </c>
      <c r="Q3304" t="str">
        <f t="shared" si="288"/>
        <v/>
      </c>
    </row>
    <row r="3305" spans="1:17" hidden="1">
      <c r="A3305" t="s">
        <v>3410</v>
      </c>
      <c r="B3305" s="1">
        <v>45362</v>
      </c>
      <c r="C3305">
        <v>2024</v>
      </c>
      <c r="D3305">
        <v>3</v>
      </c>
      <c r="E3305" t="s">
        <v>37</v>
      </c>
      <c r="F3305" t="s">
        <v>28</v>
      </c>
      <c r="G3305" t="s">
        <v>83</v>
      </c>
      <c r="H3305" t="s">
        <v>84</v>
      </c>
      <c r="I3305">
        <v>170516.61</v>
      </c>
      <c r="J3305">
        <v>161990.78</v>
      </c>
      <c r="K3305" t="s">
        <v>85</v>
      </c>
      <c r="L3305" t="b">
        <v>0</v>
      </c>
      <c r="N3305" s="2" t="str">
        <f t="shared" si="287"/>
        <v/>
      </c>
      <c r="Q3305" t="str">
        <f t="shared" si="288"/>
        <v/>
      </c>
    </row>
    <row r="3306" spans="1:17" hidden="1">
      <c r="A3306" t="s">
        <v>3411</v>
      </c>
      <c r="B3306" s="1">
        <v>45363</v>
      </c>
      <c r="C3306">
        <v>2024</v>
      </c>
      <c r="D3306">
        <v>3</v>
      </c>
      <c r="E3306" t="s">
        <v>47</v>
      </c>
      <c r="F3306" t="s">
        <v>28</v>
      </c>
      <c r="G3306" t="s">
        <v>91</v>
      </c>
      <c r="H3306" t="s">
        <v>249</v>
      </c>
      <c r="I3306">
        <v>13295.82</v>
      </c>
      <c r="J3306">
        <v>11115.6</v>
      </c>
      <c r="K3306" t="s">
        <v>17</v>
      </c>
      <c r="L3306" t="b">
        <v>0</v>
      </c>
      <c r="N3306" s="2" t="b">
        <f t="shared" si="287"/>
        <v>1</v>
      </c>
      <c r="O3306" t="str">
        <f>IF(AND(E3295="HR",K3295="EXPENSE"),I3295&lt;J3295,"")</f>
        <v/>
      </c>
      <c r="Q3306" t="str">
        <f t="shared" si="288"/>
        <v/>
      </c>
    </row>
    <row r="3307" spans="1:17" hidden="1">
      <c r="A3307" t="s">
        <v>3412</v>
      </c>
      <c r="B3307" s="1">
        <v>45364</v>
      </c>
      <c r="C3307">
        <v>2024</v>
      </c>
      <c r="D3307">
        <v>3</v>
      </c>
      <c r="E3307" t="s">
        <v>13</v>
      </c>
      <c r="F3307" t="s">
        <v>14</v>
      </c>
      <c r="G3307" t="s">
        <v>15</v>
      </c>
      <c r="H3307" t="s">
        <v>89</v>
      </c>
      <c r="I3307">
        <v>4429.4399999999996</v>
      </c>
      <c r="J3307">
        <v>4602.3900000000003</v>
      </c>
      <c r="K3307" t="s">
        <v>17</v>
      </c>
      <c r="L3307" t="b">
        <v>0</v>
      </c>
      <c r="N3307" s="2" t="str">
        <f t="shared" si="287"/>
        <v/>
      </c>
      <c r="Q3307" t="str">
        <f t="shared" si="288"/>
        <v/>
      </c>
    </row>
    <row r="3308" spans="1:17" hidden="1">
      <c r="A3308" t="s">
        <v>3413</v>
      </c>
      <c r="B3308" s="1">
        <v>45364</v>
      </c>
      <c r="C3308">
        <v>2024</v>
      </c>
      <c r="D3308">
        <v>3</v>
      </c>
      <c r="E3308" t="s">
        <v>13</v>
      </c>
      <c r="F3308" t="s">
        <v>24</v>
      </c>
      <c r="G3308" t="s">
        <v>68</v>
      </c>
      <c r="H3308" t="s">
        <v>213</v>
      </c>
      <c r="I3308">
        <v>3959.29</v>
      </c>
      <c r="J3308">
        <v>4010.62</v>
      </c>
      <c r="K3308" t="s">
        <v>17</v>
      </c>
      <c r="L3308" t="b">
        <v>0</v>
      </c>
      <c r="N3308" s="2" t="str">
        <f t="shared" si="287"/>
        <v/>
      </c>
      <c r="Q3308" t="str">
        <f t="shared" si="288"/>
        <v/>
      </c>
    </row>
    <row r="3309" spans="1:17" hidden="1">
      <c r="A3309" t="s">
        <v>3414</v>
      </c>
      <c r="B3309" s="1">
        <v>45364</v>
      </c>
      <c r="C3309">
        <v>2024</v>
      </c>
      <c r="D3309">
        <v>3</v>
      </c>
      <c r="E3309" t="s">
        <v>19</v>
      </c>
      <c r="F3309" t="s">
        <v>24</v>
      </c>
      <c r="G3309" t="s">
        <v>80</v>
      </c>
      <c r="H3309" t="s">
        <v>113</v>
      </c>
      <c r="I3309">
        <v>8451.36</v>
      </c>
      <c r="J3309">
        <v>8829.27</v>
      </c>
      <c r="K3309" t="s">
        <v>17</v>
      </c>
      <c r="L3309" t="b">
        <v>0</v>
      </c>
      <c r="N3309" s="2" t="str">
        <f t="shared" si="287"/>
        <v/>
      </c>
      <c r="Q3309" t="str">
        <f t="shared" si="288"/>
        <v/>
      </c>
    </row>
    <row r="3310" spans="1:17" hidden="1">
      <c r="A3310" t="s">
        <v>3415</v>
      </c>
      <c r="B3310" s="1">
        <v>45364</v>
      </c>
      <c r="C3310">
        <v>2024</v>
      </c>
      <c r="D3310">
        <v>3</v>
      </c>
      <c r="E3310" t="s">
        <v>23</v>
      </c>
      <c r="F3310" t="s">
        <v>14</v>
      </c>
      <c r="G3310" t="s">
        <v>59</v>
      </c>
      <c r="H3310" t="s">
        <v>60</v>
      </c>
      <c r="I3310">
        <v>6282.68</v>
      </c>
      <c r="J3310">
        <v>6392.87</v>
      </c>
      <c r="K3310" t="s">
        <v>17</v>
      </c>
      <c r="L3310" t="b">
        <v>0</v>
      </c>
      <c r="N3310" s="2" t="str">
        <f t="shared" si="287"/>
        <v/>
      </c>
      <c r="Q3310" t="str">
        <f t="shared" si="288"/>
        <v/>
      </c>
    </row>
    <row r="3311" spans="1:17" hidden="1">
      <c r="A3311" t="s">
        <v>3416</v>
      </c>
      <c r="B3311" s="1">
        <v>45364</v>
      </c>
      <c r="C3311">
        <v>2024</v>
      </c>
      <c r="D3311">
        <v>3</v>
      </c>
      <c r="E3311" t="s">
        <v>23</v>
      </c>
      <c r="F3311" t="s">
        <v>14</v>
      </c>
      <c r="G3311" t="s">
        <v>25</v>
      </c>
      <c r="H3311" t="s">
        <v>95</v>
      </c>
      <c r="I3311">
        <v>3455.37</v>
      </c>
      <c r="J3311">
        <v>3785.5</v>
      </c>
      <c r="K3311" t="s">
        <v>17</v>
      </c>
      <c r="L3311" t="b">
        <v>0</v>
      </c>
      <c r="N3311" s="2" t="str">
        <f t="shared" si="287"/>
        <v/>
      </c>
      <c r="Q3311" t="str">
        <f t="shared" si="288"/>
        <v/>
      </c>
    </row>
    <row r="3312" spans="1:17" hidden="1">
      <c r="A3312" t="s">
        <v>3417</v>
      </c>
      <c r="B3312" s="1">
        <v>45364</v>
      </c>
      <c r="C3312">
        <v>2024</v>
      </c>
      <c r="D3312">
        <v>3</v>
      </c>
      <c r="E3312" t="s">
        <v>23</v>
      </c>
      <c r="F3312" t="s">
        <v>24</v>
      </c>
      <c r="G3312" t="s">
        <v>141</v>
      </c>
      <c r="H3312" t="s">
        <v>153</v>
      </c>
      <c r="I3312">
        <v>4669.5600000000004</v>
      </c>
      <c r="J3312">
        <v>4736.17</v>
      </c>
      <c r="K3312" t="s">
        <v>17</v>
      </c>
      <c r="L3312" t="b">
        <v>0</v>
      </c>
      <c r="N3312" s="2" t="str">
        <f t="shared" si="287"/>
        <v/>
      </c>
      <c r="Q3312" t="str">
        <f t="shared" si="288"/>
        <v/>
      </c>
    </row>
    <row r="3313" spans="1:17" hidden="1">
      <c r="A3313" t="s">
        <v>3418</v>
      </c>
      <c r="B3313" s="1">
        <v>45364</v>
      </c>
      <c r="C3313">
        <v>2024</v>
      </c>
      <c r="D3313">
        <v>3</v>
      </c>
      <c r="E3313" t="s">
        <v>37</v>
      </c>
      <c r="F3313" t="s">
        <v>14</v>
      </c>
      <c r="G3313" t="s">
        <v>62</v>
      </c>
      <c r="H3313" t="s">
        <v>360</v>
      </c>
      <c r="I3313">
        <v>3407.33</v>
      </c>
      <c r="J3313">
        <v>3127.81</v>
      </c>
      <c r="K3313" t="s">
        <v>17</v>
      </c>
      <c r="L3313" t="b">
        <v>0</v>
      </c>
      <c r="N3313" s="2" t="str">
        <f t="shared" si="287"/>
        <v/>
      </c>
      <c r="Q3313" t="str">
        <f t="shared" si="288"/>
        <v/>
      </c>
    </row>
    <row r="3314" spans="1:17" hidden="1">
      <c r="A3314" t="s">
        <v>3419</v>
      </c>
      <c r="B3314" s="1">
        <v>45364</v>
      </c>
      <c r="C3314">
        <v>2024</v>
      </c>
      <c r="D3314">
        <v>3</v>
      </c>
      <c r="E3314" t="s">
        <v>37</v>
      </c>
      <c r="F3314" t="s">
        <v>14</v>
      </c>
      <c r="G3314" t="s">
        <v>38</v>
      </c>
      <c r="H3314" t="s">
        <v>227</v>
      </c>
      <c r="I3314">
        <v>3969.78</v>
      </c>
      <c r="J3314">
        <v>4041.83</v>
      </c>
      <c r="K3314" t="s">
        <v>17</v>
      </c>
      <c r="L3314" t="b">
        <v>0</v>
      </c>
      <c r="N3314" s="2" t="str">
        <f t="shared" si="287"/>
        <v/>
      </c>
      <c r="Q3314" t="str">
        <f t="shared" si="288"/>
        <v/>
      </c>
    </row>
    <row r="3315" spans="1:17" hidden="1">
      <c r="A3315" t="s">
        <v>3420</v>
      </c>
      <c r="B3315" s="1">
        <v>45364</v>
      </c>
      <c r="C3315">
        <v>2024</v>
      </c>
      <c r="D3315">
        <v>3</v>
      </c>
      <c r="E3315" t="s">
        <v>37</v>
      </c>
      <c r="F3315" t="s">
        <v>28</v>
      </c>
      <c r="G3315" t="s">
        <v>62</v>
      </c>
      <c r="H3315" t="s">
        <v>66</v>
      </c>
      <c r="I3315">
        <v>4779.03</v>
      </c>
      <c r="J3315">
        <v>4437.8900000000003</v>
      </c>
      <c r="K3315" t="s">
        <v>17</v>
      </c>
      <c r="L3315" t="b">
        <v>0</v>
      </c>
      <c r="N3315" s="2" t="str">
        <f t="shared" si="287"/>
        <v/>
      </c>
      <c r="Q3315" t="str">
        <f t="shared" si="288"/>
        <v/>
      </c>
    </row>
    <row r="3316" spans="1:17" hidden="1">
      <c r="A3316" t="s">
        <v>3421</v>
      </c>
      <c r="B3316" s="1">
        <v>45364</v>
      </c>
      <c r="C3316">
        <v>2024</v>
      </c>
      <c r="D3316">
        <v>3</v>
      </c>
      <c r="E3316" t="s">
        <v>37</v>
      </c>
      <c r="F3316" t="s">
        <v>24</v>
      </c>
      <c r="G3316" t="s">
        <v>38</v>
      </c>
      <c r="H3316" t="s">
        <v>39</v>
      </c>
      <c r="I3316">
        <v>5812.86</v>
      </c>
      <c r="J3316">
        <v>5646.89</v>
      </c>
      <c r="K3316" t="s">
        <v>17</v>
      </c>
      <c r="L3316" t="b">
        <v>0</v>
      </c>
      <c r="N3316" s="2" t="str">
        <f t="shared" si="287"/>
        <v/>
      </c>
      <c r="Q3316" t="str">
        <f t="shared" si="288"/>
        <v/>
      </c>
    </row>
    <row r="3317" spans="1:17" hidden="1">
      <c r="A3317" t="s">
        <v>3422</v>
      </c>
      <c r="B3317" s="1">
        <v>45365</v>
      </c>
      <c r="C3317">
        <v>2024</v>
      </c>
      <c r="D3317">
        <v>3</v>
      </c>
      <c r="E3317" t="s">
        <v>13</v>
      </c>
      <c r="F3317" t="s">
        <v>24</v>
      </c>
      <c r="G3317" t="s">
        <v>15</v>
      </c>
      <c r="H3317" t="s">
        <v>89</v>
      </c>
      <c r="I3317">
        <v>2499.54</v>
      </c>
      <c r="J3317">
        <v>2696.27</v>
      </c>
      <c r="K3317" t="s">
        <v>17</v>
      </c>
      <c r="L3317" t="b">
        <v>0</v>
      </c>
      <c r="N3317" s="2" t="str">
        <f t="shared" si="287"/>
        <v/>
      </c>
      <c r="Q3317" t="str">
        <f t="shared" si="288"/>
        <v/>
      </c>
    </row>
    <row r="3318" spans="1:17" hidden="1">
      <c r="A3318" t="s">
        <v>3423</v>
      </c>
      <c r="B3318" s="1">
        <v>45365</v>
      </c>
      <c r="C3318">
        <v>2024</v>
      </c>
      <c r="D3318">
        <v>3</v>
      </c>
      <c r="E3318" t="s">
        <v>47</v>
      </c>
      <c r="F3318" t="s">
        <v>28</v>
      </c>
      <c r="G3318" t="s">
        <v>77</v>
      </c>
      <c r="H3318" t="s">
        <v>130</v>
      </c>
      <c r="I3318">
        <v>13582.16</v>
      </c>
      <c r="J3318">
        <v>11370.95</v>
      </c>
      <c r="K3318" t="s">
        <v>17</v>
      </c>
      <c r="L3318" t="b">
        <v>0</v>
      </c>
      <c r="N3318" s="2" t="b">
        <f t="shared" si="287"/>
        <v>1</v>
      </c>
      <c r="O3318" t="b">
        <f>IF(AND(E3307="HR",K3307="EXPENSE"),I3307&lt;J3307,"")</f>
        <v>1</v>
      </c>
      <c r="Q3318" t="str">
        <f t="shared" si="288"/>
        <v/>
      </c>
    </row>
    <row r="3319" spans="1:17" hidden="1">
      <c r="A3319" t="s">
        <v>3424</v>
      </c>
      <c r="B3319" s="1">
        <v>45365</v>
      </c>
      <c r="C3319">
        <v>2024</v>
      </c>
      <c r="D3319">
        <v>3</v>
      </c>
      <c r="E3319" t="s">
        <v>19</v>
      </c>
      <c r="F3319" t="s">
        <v>28</v>
      </c>
      <c r="G3319" t="s">
        <v>20</v>
      </c>
      <c r="H3319" t="s">
        <v>21</v>
      </c>
      <c r="I3319">
        <v>4823.1400000000003</v>
      </c>
      <c r="J3319">
        <v>4479.57</v>
      </c>
      <c r="K3319" t="s">
        <v>17</v>
      </c>
      <c r="L3319" t="b">
        <v>0</v>
      </c>
      <c r="N3319" s="2" t="str">
        <f t="shared" si="287"/>
        <v/>
      </c>
      <c r="Q3319" t="str">
        <f t="shared" si="288"/>
        <v/>
      </c>
    </row>
    <row r="3320" spans="1:17" hidden="1">
      <c r="A3320" t="s">
        <v>3425</v>
      </c>
      <c r="B3320" s="1">
        <v>45365</v>
      </c>
      <c r="C3320">
        <v>2024</v>
      </c>
      <c r="D3320">
        <v>3</v>
      </c>
      <c r="E3320" t="s">
        <v>19</v>
      </c>
      <c r="F3320" t="s">
        <v>24</v>
      </c>
      <c r="G3320" t="s">
        <v>20</v>
      </c>
      <c r="H3320" t="s">
        <v>21</v>
      </c>
      <c r="I3320">
        <v>6544.71</v>
      </c>
      <c r="J3320">
        <v>6418.8</v>
      </c>
      <c r="K3320" t="s">
        <v>17</v>
      </c>
      <c r="L3320" t="b">
        <v>0</v>
      </c>
      <c r="N3320" s="2" t="str">
        <f t="shared" si="287"/>
        <v/>
      </c>
      <c r="Q3320" t="str">
        <f t="shared" si="288"/>
        <v/>
      </c>
    </row>
    <row r="3321" spans="1:17" hidden="1">
      <c r="A3321" t="s">
        <v>3426</v>
      </c>
      <c r="B3321" s="1">
        <v>45365</v>
      </c>
      <c r="C3321">
        <v>2024</v>
      </c>
      <c r="D3321">
        <v>3</v>
      </c>
      <c r="E3321" t="s">
        <v>23</v>
      </c>
      <c r="F3321" t="s">
        <v>14</v>
      </c>
      <c r="G3321" t="s">
        <v>59</v>
      </c>
      <c r="H3321" t="s">
        <v>155</v>
      </c>
      <c r="I3321">
        <v>6764.17</v>
      </c>
      <c r="J3321">
        <v>6311.47</v>
      </c>
      <c r="K3321" t="s">
        <v>17</v>
      </c>
      <c r="L3321" t="b">
        <v>0</v>
      </c>
      <c r="N3321" s="2" t="str">
        <f t="shared" si="287"/>
        <v/>
      </c>
      <c r="Q3321" t="str">
        <f t="shared" si="288"/>
        <v/>
      </c>
    </row>
    <row r="3322" spans="1:17" hidden="1">
      <c r="A3322" t="s">
        <v>3427</v>
      </c>
      <c r="B3322" s="1">
        <v>45365</v>
      </c>
      <c r="C3322">
        <v>2024</v>
      </c>
      <c r="D3322">
        <v>3</v>
      </c>
      <c r="E3322" t="s">
        <v>23</v>
      </c>
      <c r="F3322" t="s">
        <v>24</v>
      </c>
      <c r="G3322" t="s">
        <v>25</v>
      </c>
      <c r="H3322" t="s">
        <v>35</v>
      </c>
      <c r="I3322">
        <v>4634.45</v>
      </c>
      <c r="J3322">
        <v>4704.4799999999996</v>
      </c>
      <c r="K3322" t="s">
        <v>17</v>
      </c>
      <c r="L3322" t="b">
        <v>0</v>
      </c>
      <c r="N3322" s="2" t="str">
        <f t="shared" si="287"/>
        <v/>
      </c>
      <c r="Q3322" t="str">
        <f t="shared" si="288"/>
        <v/>
      </c>
    </row>
    <row r="3323" spans="1:17" hidden="1">
      <c r="A3323" t="s">
        <v>3428</v>
      </c>
      <c r="B3323" s="1">
        <v>45365</v>
      </c>
      <c r="C3323">
        <v>2024</v>
      </c>
      <c r="D3323">
        <v>3</v>
      </c>
      <c r="E3323" t="s">
        <v>37</v>
      </c>
      <c r="F3323" t="s">
        <v>28</v>
      </c>
      <c r="G3323" t="s">
        <v>98</v>
      </c>
      <c r="H3323" t="s">
        <v>185</v>
      </c>
      <c r="I3323">
        <v>4640.84</v>
      </c>
      <c r="J3323">
        <v>4623</v>
      </c>
      <c r="K3323" t="s">
        <v>17</v>
      </c>
      <c r="L3323" t="b">
        <v>0</v>
      </c>
      <c r="N3323" s="2" t="str">
        <f t="shared" si="287"/>
        <v/>
      </c>
      <c r="Q3323" t="str">
        <f t="shared" si="288"/>
        <v/>
      </c>
    </row>
    <row r="3324" spans="1:17" hidden="1">
      <c r="A3324" t="s">
        <v>3429</v>
      </c>
      <c r="B3324" s="1">
        <v>45366</v>
      </c>
      <c r="C3324">
        <v>2024</v>
      </c>
      <c r="D3324">
        <v>3</v>
      </c>
      <c r="E3324" t="s">
        <v>13</v>
      </c>
      <c r="F3324" t="s">
        <v>24</v>
      </c>
      <c r="G3324" t="s">
        <v>15</v>
      </c>
      <c r="H3324" t="s">
        <v>16</v>
      </c>
      <c r="I3324">
        <v>2885.85</v>
      </c>
      <c r="J3324">
        <v>2783.51</v>
      </c>
      <c r="K3324" t="s">
        <v>17</v>
      </c>
      <c r="L3324" t="b">
        <v>0</v>
      </c>
      <c r="N3324" s="2" t="str">
        <f t="shared" si="287"/>
        <v/>
      </c>
      <c r="Q3324" t="str">
        <f t="shared" si="288"/>
        <v/>
      </c>
    </row>
    <row r="3325" spans="1:17" hidden="1">
      <c r="A3325" t="s">
        <v>3430</v>
      </c>
      <c r="B3325" s="1">
        <v>45366</v>
      </c>
      <c r="C3325">
        <v>2024</v>
      </c>
      <c r="D3325">
        <v>3</v>
      </c>
      <c r="E3325" t="s">
        <v>47</v>
      </c>
      <c r="F3325" t="s">
        <v>14</v>
      </c>
      <c r="G3325" t="s">
        <v>48</v>
      </c>
      <c r="H3325" t="s">
        <v>191</v>
      </c>
      <c r="I3325">
        <v>9063.0400000000009</v>
      </c>
      <c r="J3325">
        <v>7761.75</v>
      </c>
      <c r="K3325" t="s">
        <v>17</v>
      </c>
      <c r="L3325" t="b">
        <v>0</v>
      </c>
      <c r="N3325" s="2" t="b">
        <f t="shared" si="287"/>
        <v>1</v>
      </c>
      <c r="O3325" t="str">
        <f t="shared" ref="O3325:O3327" si="292">IF(AND(E3314="HR",K3314="EXPENSE"),I3314&lt;J3314,"")</f>
        <v/>
      </c>
      <c r="Q3325" t="str">
        <f t="shared" si="288"/>
        <v/>
      </c>
    </row>
    <row r="3326" spans="1:17" hidden="1">
      <c r="A3326" t="s">
        <v>3431</v>
      </c>
      <c r="B3326" s="1">
        <v>45366</v>
      </c>
      <c r="C3326">
        <v>2024</v>
      </c>
      <c r="D3326">
        <v>3</v>
      </c>
      <c r="E3326" t="s">
        <v>47</v>
      </c>
      <c r="F3326" t="s">
        <v>28</v>
      </c>
      <c r="G3326" t="s">
        <v>91</v>
      </c>
      <c r="H3326" t="s">
        <v>254</v>
      </c>
      <c r="I3326">
        <v>11913.92</v>
      </c>
      <c r="J3326">
        <v>9889.58</v>
      </c>
      <c r="K3326" t="s">
        <v>17</v>
      </c>
      <c r="L3326" t="b">
        <v>0</v>
      </c>
      <c r="N3326" s="2" t="b">
        <f t="shared" si="287"/>
        <v>1</v>
      </c>
      <c r="O3326" t="str">
        <f t="shared" si="292"/>
        <v/>
      </c>
      <c r="Q3326" t="str">
        <f t="shared" si="288"/>
        <v/>
      </c>
    </row>
    <row r="3327" spans="1:17" hidden="1">
      <c r="A3327" t="s">
        <v>3432</v>
      </c>
      <c r="B3327" s="1">
        <v>45366</v>
      </c>
      <c r="C3327">
        <v>2024</v>
      </c>
      <c r="D3327">
        <v>3</v>
      </c>
      <c r="E3327" t="s">
        <v>47</v>
      </c>
      <c r="F3327" t="s">
        <v>24</v>
      </c>
      <c r="G3327" t="s">
        <v>77</v>
      </c>
      <c r="H3327" t="s">
        <v>147</v>
      </c>
      <c r="I3327">
        <v>12802.34</v>
      </c>
      <c r="J3327">
        <v>10862.69</v>
      </c>
      <c r="K3327" t="s">
        <v>17</v>
      </c>
      <c r="L3327" t="b">
        <v>0</v>
      </c>
      <c r="N3327" s="2" t="b">
        <f t="shared" si="287"/>
        <v>1</v>
      </c>
      <c r="O3327" t="str">
        <f t="shared" si="292"/>
        <v/>
      </c>
      <c r="Q3327" t="str">
        <f t="shared" si="288"/>
        <v/>
      </c>
    </row>
    <row r="3328" spans="1:17" hidden="1">
      <c r="A3328" t="s">
        <v>3433</v>
      </c>
      <c r="B3328" s="1">
        <v>45366</v>
      </c>
      <c r="C3328">
        <v>2024</v>
      </c>
      <c r="D3328">
        <v>3</v>
      </c>
      <c r="E3328" t="s">
        <v>19</v>
      </c>
      <c r="F3328" t="s">
        <v>28</v>
      </c>
      <c r="G3328" t="s">
        <v>54</v>
      </c>
      <c r="H3328" t="s">
        <v>55</v>
      </c>
      <c r="I3328">
        <v>5554.52</v>
      </c>
      <c r="J3328">
        <v>5207.9799999999996</v>
      </c>
      <c r="K3328" t="s">
        <v>17</v>
      </c>
      <c r="L3328" t="b">
        <v>0</v>
      </c>
      <c r="N3328" s="2" t="str">
        <f t="shared" si="287"/>
        <v/>
      </c>
      <c r="Q3328" t="str">
        <f t="shared" si="288"/>
        <v/>
      </c>
    </row>
    <row r="3329" spans="1:17" hidden="1">
      <c r="A3329" t="s">
        <v>3434</v>
      </c>
      <c r="B3329" s="1">
        <v>45366</v>
      </c>
      <c r="C3329">
        <v>2024</v>
      </c>
      <c r="D3329">
        <v>3</v>
      </c>
      <c r="E3329" t="s">
        <v>19</v>
      </c>
      <c r="F3329" t="s">
        <v>28</v>
      </c>
      <c r="G3329" t="s">
        <v>80</v>
      </c>
      <c r="H3329" t="s">
        <v>113</v>
      </c>
      <c r="I3329">
        <v>9561.19</v>
      </c>
      <c r="J3329">
        <v>10446.31</v>
      </c>
      <c r="K3329" t="s">
        <v>17</v>
      </c>
      <c r="L3329" t="b">
        <v>0</v>
      </c>
      <c r="N3329" s="2" t="str">
        <f t="shared" si="287"/>
        <v/>
      </c>
      <c r="Q3329" t="str">
        <f t="shared" si="288"/>
        <v/>
      </c>
    </row>
    <row r="3330" spans="1:17" hidden="1">
      <c r="A3330" t="s">
        <v>3435</v>
      </c>
      <c r="B3330" s="1">
        <v>45366</v>
      </c>
      <c r="C3330">
        <v>2024</v>
      </c>
      <c r="D3330">
        <v>3</v>
      </c>
      <c r="E3330" t="s">
        <v>23</v>
      </c>
      <c r="F3330" t="s">
        <v>14</v>
      </c>
      <c r="G3330" t="s">
        <v>59</v>
      </c>
      <c r="H3330" t="s">
        <v>60</v>
      </c>
      <c r="I3330">
        <v>9163.0300000000007</v>
      </c>
      <c r="J3330">
        <v>8849.19</v>
      </c>
      <c r="K3330" t="s">
        <v>17</v>
      </c>
      <c r="L3330" t="b">
        <v>0</v>
      </c>
      <c r="N3330" s="2" t="str">
        <f t="shared" si="287"/>
        <v/>
      </c>
      <c r="Q3330" t="str">
        <f t="shared" si="288"/>
        <v/>
      </c>
    </row>
    <row r="3331" spans="1:17" hidden="1">
      <c r="A3331" t="s">
        <v>3436</v>
      </c>
      <c r="B3331" s="1">
        <v>45366</v>
      </c>
      <c r="C3331">
        <v>2024</v>
      </c>
      <c r="D3331">
        <v>3</v>
      </c>
      <c r="E3331" t="s">
        <v>37</v>
      </c>
      <c r="F3331" t="s">
        <v>14</v>
      </c>
      <c r="G3331" t="s">
        <v>38</v>
      </c>
      <c r="H3331" t="s">
        <v>118</v>
      </c>
      <c r="I3331">
        <v>3230.42</v>
      </c>
      <c r="J3331">
        <v>3387.63</v>
      </c>
      <c r="K3331" t="s">
        <v>17</v>
      </c>
      <c r="L3331" t="b">
        <v>0</v>
      </c>
      <c r="N3331" s="2" t="str">
        <f t="shared" ref="N3331:N3394" si="293">IF(AND(E3331="IT",K3331="EXPENSE"),I3331&gt;J3331,"")</f>
        <v/>
      </c>
      <c r="Q3331" t="str">
        <f t="shared" ref="Q3331:Q3394" si="294">IF(L3331=TRUE,OR(H3331="Apex Solutions Inc",H3331="Global Trade Partners",H3331="NovaTech Services"),"")</f>
        <v/>
      </c>
    </row>
    <row r="3332" spans="1:17" hidden="1">
      <c r="A3332" t="s">
        <v>3437</v>
      </c>
      <c r="B3332" s="1">
        <v>45366</v>
      </c>
      <c r="C3332">
        <v>2024</v>
      </c>
      <c r="D3332">
        <v>3</v>
      </c>
      <c r="E3332" t="s">
        <v>37</v>
      </c>
      <c r="F3332" t="s">
        <v>14</v>
      </c>
      <c r="G3332" t="s">
        <v>41</v>
      </c>
      <c r="H3332" t="s">
        <v>42</v>
      </c>
      <c r="I3332">
        <v>7842.77</v>
      </c>
      <c r="J3332">
        <v>7221.37</v>
      </c>
      <c r="K3332" t="s">
        <v>17</v>
      </c>
      <c r="L3332" t="b">
        <v>0</v>
      </c>
      <c r="N3332" s="2" t="str">
        <f t="shared" si="293"/>
        <v/>
      </c>
      <c r="Q3332" t="str">
        <f t="shared" si="294"/>
        <v/>
      </c>
    </row>
    <row r="3333" spans="1:17" hidden="1">
      <c r="A3333" t="s">
        <v>3438</v>
      </c>
      <c r="B3333" s="1">
        <v>45366</v>
      </c>
      <c r="C3333">
        <v>2024</v>
      </c>
      <c r="D3333">
        <v>3</v>
      </c>
      <c r="E3333" t="s">
        <v>37</v>
      </c>
      <c r="F3333" t="s">
        <v>28</v>
      </c>
      <c r="G3333" t="s">
        <v>62</v>
      </c>
      <c r="H3333" t="s">
        <v>63</v>
      </c>
      <c r="I3333">
        <v>4484.76</v>
      </c>
      <c r="J3333">
        <v>4405.3</v>
      </c>
      <c r="K3333" t="s">
        <v>17</v>
      </c>
      <c r="L3333" t="b">
        <v>0</v>
      </c>
      <c r="N3333" s="2" t="str">
        <f t="shared" si="293"/>
        <v/>
      </c>
      <c r="Q3333" t="str">
        <f t="shared" si="294"/>
        <v/>
      </c>
    </row>
    <row r="3334" spans="1:17" hidden="1">
      <c r="A3334" t="s">
        <v>3439</v>
      </c>
      <c r="B3334" s="1">
        <v>45366</v>
      </c>
      <c r="C3334">
        <v>2024</v>
      </c>
      <c r="D3334">
        <v>3</v>
      </c>
      <c r="E3334" t="s">
        <v>37</v>
      </c>
      <c r="F3334" t="s">
        <v>24</v>
      </c>
      <c r="G3334" t="s">
        <v>83</v>
      </c>
      <c r="H3334" t="s">
        <v>84</v>
      </c>
      <c r="I3334">
        <v>118307.94</v>
      </c>
      <c r="J3334">
        <v>112392.55</v>
      </c>
      <c r="K3334" t="s">
        <v>85</v>
      </c>
      <c r="L3334" t="b">
        <v>0</v>
      </c>
      <c r="N3334" s="2" t="str">
        <f t="shared" si="293"/>
        <v/>
      </c>
      <c r="Q3334" t="str">
        <f t="shared" si="294"/>
        <v/>
      </c>
    </row>
    <row r="3335" spans="1:17" hidden="1">
      <c r="A3335" t="s">
        <v>3440</v>
      </c>
      <c r="B3335" s="1">
        <v>45367</v>
      </c>
      <c r="C3335">
        <v>2024</v>
      </c>
      <c r="D3335">
        <v>3</v>
      </c>
      <c r="E3335" t="s">
        <v>19</v>
      </c>
      <c r="F3335" t="s">
        <v>14</v>
      </c>
      <c r="G3335" t="s">
        <v>80</v>
      </c>
      <c r="H3335" t="s">
        <v>150</v>
      </c>
      <c r="I3335">
        <v>2304.5100000000002</v>
      </c>
      <c r="J3335">
        <v>2276.91</v>
      </c>
      <c r="K3335" t="s">
        <v>17</v>
      </c>
      <c r="L3335" t="b">
        <v>0</v>
      </c>
      <c r="N3335" s="2" t="str">
        <f t="shared" si="293"/>
        <v/>
      </c>
      <c r="Q3335" t="str">
        <f t="shared" si="294"/>
        <v/>
      </c>
    </row>
    <row r="3336" spans="1:17" hidden="1">
      <c r="A3336" t="s">
        <v>3441</v>
      </c>
      <c r="B3336" s="1">
        <v>45367</v>
      </c>
      <c r="C3336">
        <v>2024</v>
      </c>
      <c r="D3336">
        <v>3</v>
      </c>
      <c r="E3336" t="s">
        <v>23</v>
      </c>
      <c r="F3336" t="s">
        <v>14</v>
      </c>
      <c r="G3336" t="s">
        <v>141</v>
      </c>
      <c r="H3336" t="s">
        <v>153</v>
      </c>
      <c r="I3336">
        <v>7847.3</v>
      </c>
      <c r="J3336">
        <v>7080.45</v>
      </c>
      <c r="K3336" t="s">
        <v>17</v>
      </c>
      <c r="L3336" t="b">
        <v>0</v>
      </c>
      <c r="N3336" s="2" t="str">
        <f t="shared" si="293"/>
        <v/>
      </c>
      <c r="Q3336" t="str">
        <f t="shared" si="294"/>
        <v/>
      </c>
    </row>
    <row r="3337" spans="1:17" hidden="1">
      <c r="A3337" t="s">
        <v>3442</v>
      </c>
      <c r="B3337" s="1">
        <v>45367</v>
      </c>
      <c r="C3337">
        <v>2024</v>
      </c>
      <c r="D3337">
        <v>3</v>
      </c>
      <c r="E3337" t="s">
        <v>23</v>
      </c>
      <c r="F3337" t="s">
        <v>14</v>
      </c>
      <c r="G3337" t="s">
        <v>59</v>
      </c>
      <c r="H3337" t="s">
        <v>60</v>
      </c>
      <c r="I3337">
        <v>5472.87</v>
      </c>
      <c r="J3337">
        <v>5447.23</v>
      </c>
      <c r="K3337" t="s">
        <v>17</v>
      </c>
      <c r="L3337" t="b">
        <v>0</v>
      </c>
      <c r="N3337" s="2" t="str">
        <f t="shared" si="293"/>
        <v/>
      </c>
      <c r="Q3337" t="str">
        <f t="shared" si="294"/>
        <v/>
      </c>
    </row>
    <row r="3338" spans="1:17" hidden="1">
      <c r="A3338" t="s">
        <v>3443</v>
      </c>
      <c r="B3338" s="1">
        <v>45367</v>
      </c>
      <c r="C3338">
        <v>2024</v>
      </c>
      <c r="D3338">
        <v>3</v>
      </c>
      <c r="E3338" t="s">
        <v>23</v>
      </c>
      <c r="F3338" t="s">
        <v>28</v>
      </c>
      <c r="G3338" t="s">
        <v>141</v>
      </c>
      <c r="H3338" t="s">
        <v>209</v>
      </c>
      <c r="I3338">
        <v>5576.36</v>
      </c>
      <c r="J3338">
        <v>5427.98</v>
      </c>
      <c r="K3338" t="s">
        <v>17</v>
      </c>
      <c r="L3338" t="b">
        <v>0</v>
      </c>
      <c r="N3338" s="2" t="str">
        <f t="shared" si="293"/>
        <v/>
      </c>
      <c r="Q3338" t="str">
        <f t="shared" si="294"/>
        <v/>
      </c>
    </row>
    <row r="3339" spans="1:17" hidden="1">
      <c r="A3339" t="s">
        <v>3444</v>
      </c>
      <c r="B3339" s="1">
        <v>45367</v>
      </c>
      <c r="C3339">
        <v>2024</v>
      </c>
      <c r="D3339">
        <v>3</v>
      </c>
      <c r="E3339" t="s">
        <v>23</v>
      </c>
      <c r="F3339" t="s">
        <v>24</v>
      </c>
      <c r="G3339" t="s">
        <v>141</v>
      </c>
      <c r="H3339" t="s">
        <v>209</v>
      </c>
      <c r="I3339">
        <v>4098.8999999999996</v>
      </c>
      <c r="J3339">
        <v>4102.49</v>
      </c>
      <c r="K3339" t="s">
        <v>17</v>
      </c>
      <c r="L3339" t="b">
        <v>0</v>
      </c>
      <c r="N3339" s="2" t="str">
        <f t="shared" si="293"/>
        <v/>
      </c>
      <c r="Q3339" t="str">
        <f t="shared" si="294"/>
        <v/>
      </c>
    </row>
    <row r="3340" spans="1:17" hidden="1">
      <c r="A3340" t="s">
        <v>3445</v>
      </c>
      <c r="B3340" s="1">
        <v>45368</v>
      </c>
      <c r="C3340">
        <v>2024</v>
      </c>
      <c r="D3340">
        <v>3</v>
      </c>
      <c r="E3340" t="s">
        <v>13</v>
      </c>
      <c r="F3340" t="s">
        <v>14</v>
      </c>
      <c r="G3340" t="s">
        <v>102</v>
      </c>
      <c r="H3340" t="s">
        <v>145</v>
      </c>
      <c r="I3340">
        <v>5690.24</v>
      </c>
      <c r="J3340">
        <v>6118.48</v>
      </c>
      <c r="K3340" t="s">
        <v>17</v>
      </c>
      <c r="L3340" t="b">
        <v>0</v>
      </c>
      <c r="N3340" s="2" t="str">
        <f t="shared" si="293"/>
        <v/>
      </c>
      <c r="Q3340" t="str">
        <f t="shared" si="294"/>
        <v/>
      </c>
    </row>
    <row r="3341" spans="1:17" hidden="1">
      <c r="A3341" t="s">
        <v>3446</v>
      </c>
      <c r="B3341" s="1">
        <v>45368</v>
      </c>
      <c r="C3341">
        <v>2024</v>
      </c>
      <c r="D3341">
        <v>3</v>
      </c>
      <c r="E3341" t="s">
        <v>13</v>
      </c>
      <c r="F3341" t="s">
        <v>24</v>
      </c>
      <c r="G3341" t="s">
        <v>15</v>
      </c>
      <c r="H3341" t="s">
        <v>89</v>
      </c>
      <c r="I3341">
        <v>2358.69</v>
      </c>
      <c r="J3341">
        <v>2585.14</v>
      </c>
      <c r="K3341" t="s">
        <v>17</v>
      </c>
      <c r="L3341" t="b">
        <v>0</v>
      </c>
      <c r="N3341" s="2" t="str">
        <f t="shared" si="293"/>
        <v/>
      </c>
      <c r="Q3341" t="str">
        <f t="shared" si="294"/>
        <v/>
      </c>
    </row>
    <row r="3342" spans="1:17" hidden="1">
      <c r="A3342" t="s">
        <v>3447</v>
      </c>
      <c r="B3342" s="1">
        <v>45368</v>
      </c>
      <c r="C3342">
        <v>2024</v>
      </c>
      <c r="D3342">
        <v>3</v>
      </c>
      <c r="E3342" t="s">
        <v>47</v>
      </c>
      <c r="F3342" t="s">
        <v>14</v>
      </c>
      <c r="G3342" t="s">
        <v>48</v>
      </c>
      <c r="H3342" t="s">
        <v>189</v>
      </c>
      <c r="I3342">
        <v>7472.09</v>
      </c>
      <c r="J3342">
        <v>6491.44</v>
      </c>
      <c r="K3342" t="s">
        <v>17</v>
      </c>
      <c r="L3342" t="b">
        <v>0</v>
      </c>
      <c r="N3342" s="2" t="b">
        <f t="shared" si="293"/>
        <v>1</v>
      </c>
      <c r="O3342" t="str">
        <f t="shared" ref="O3342:O3344" si="295">IF(AND(E3331="HR",K3331="EXPENSE"),I3331&lt;J3331,"")</f>
        <v/>
      </c>
      <c r="Q3342" t="str">
        <f t="shared" si="294"/>
        <v/>
      </c>
    </row>
    <row r="3343" spans="1:17" hidden="1">
      <c r="A3343" t="s">
        <v>3448</v>
      </c>
      <c r="B3343" s="1">
        <v>45368</v>
      </c>
      <c r="C3343">
        <v>2024</v>
      </c>
      <c r="D3343">
        <v>3</v>
      </c>
      <c r="E3343" t="s">
        <v>47</v>
      </c>
      <c r="F3343" t="s">
        <v>14</v>
      </c>
      <c r="G3343" t="s">
        <v>91</v>
      </c>
      <c r="H3343" t="s">
        <v>254</v>
      </c>
      <c r="I3343">
        <v>9861.23</v>
      </c>
      <c r="J3343">
        <v>8222.19</v>
      </c>
      <c r="K3343" t="s">
        <v>17</v>
      </c>
      <c r="L3343" t="b">
        <v>0</v>
      </c>
      <c r="N3343" s="2" t="b">
        <f t="shared" si="293"/>
        <v>1</v>
      </c>
      <c r="O3343" t="str">
        <f t="shared" si="295"/>
        <v/>
      </c>
      <c r="Q3343" t="str">
        <f t="shared" si="294"/>
        <v/>
      </c>
    </row>
    <row r="3344" spans="1:17" hidden="1">
      <c r="A3344" t="s">
        <v>3449</v>
      </c>
      <c r="B3344" s="1">
        <v>45368</v>
      </c>
      <c r="C3344">
        <v>2024</v>
      </c>
      <c r="D3344">
        <v>3</v>
      </c>
      <c r="E3344" t="s">
        <v>47</v>
      </c>
      <c r="F3344" t="s">
        <v>14</v>
      </c>
      <c r="G3344" t="s">
        <v>48</v>
      </c>
      <c r="H3344" t="s">
        <v>75</v>
      </c>
      <c r="I3344">
        <v>11841.35</v>
      </c>
      <c r="J3344">
        <v>10036.34</v>
      </c>
      <c r="K3344" t="s">
        <v>17</v>
      </c>
      <c r="L3344" t="b">
        <v>0</v>
      </c>
      <c r="N3344" s="2" t="b">
        <f t="shared" si="293"/>
        <v>1</v>
      </c>
      <c r="O3344" t="str">
        <f t="shared" si="295"/>
        <v/>
      </c>
      <c r="Q3344" t="str">
        <f t="shared" si="294"/>
        <v/>
      </c>
    </row>
    <row r="3345" spans="1:17" hidden="1">
      <c r="A3345" t="s">
        <v>3450</v>
      </c>
      <c r="B3345" s="1">
        <v>45368</v>
      </c>
      <c r="C3345">
        <v>2024</v>
      </c>
      <c r="D3345">
        <v>3</v>
      </c>
      <c r="E3345" t="s">
        <v>23</v>
      </c>
      <c r="F3345" t="s">
        <v>28</v>
      </c>
      <c r="G3345" t="s">
        <v>59</v>
      </c>
      <c r="H3345" t="s">
        <v>60</v>
      </c>
      <c r="I3345">
        <v>6892.49</v>
      </c>
      <c r="J3345">
        <v>6804.34</v>
      </c>
      <c r="K3345" t="s">
        <v>17</v>
      </c>
      <c r="L3345" t="b">
        <v>0</v>
      </c>
      <c r="N3345" s="2" t="str">
        <f t="shared" si="293"/>
        <v/>
      </c>
      <c r="Q3345" t="str">
        <f t="shared" si="294"/>
        <v/>
      </c>
    </row>
    <row r="3346" spans="1:17" hidden="1">
      <c r="A3346" t="s">
        <v>3451</v>
      </c>
      <c r="B3346" s="1">
        <v>45369</v>
      </c>
      <c r="C3346">
        <v>2024</v>
      </c>
      <c r="D3346">
        <v>3</v>
      </c>
      <c r="E3346" t="s">
        <v>47</v>
      </c>
      <c r="F3346" t="s">
        <v>14</v>
      </c>
      <c r="G3346" t="s">
        <v>91</v>
      </c>
      <c r="H3346" t="s">
        <v>92</v>
      </c>
      <c r="I3346">
        <v>10596.3</v>
      </c>
      <c r="J3346">
        <v>9055.4699999999993</v>
      </c>
      <c r="K3346" t="s">
        <v>17</v>
      </c>
      <c r="L3346" t="b">
        <v>0</v>
      </c>
      <c r="N3346" s="2" t="b">
        <f t="shared" si="293"/>
        <v>1</v>
      </c>
      <c r="O3346" t="str">
        <f>IF(AND(E3335="HR",K3335="EXPENSE"),I3335&lt;J3335,"")</f>
        <v/>
      </c>
      <c r="Q3346" t="str">
        <f t="shared" si="294"/>
        <v/>
      </c>
    </row>
    <row r="3347" spans="1:17" hidden="1">
      <c r="A3347" t="s">
        <v>3452</v>
      </c>
      <c r="B3347" s="1">
        <v>45369</v>
      </c>
      <c r="C3347">
        <v>2024</v>
      </c>
      <c r="D3347">
        <v>3</v>
      </c>
      <c r="E3347" t="s">
        <v>19</v>
      </c>
      <c r="F3347" t="s">
        <v>14</v>
      </c>
      <c r="G3347" t="s">
        <v>80</v>
      </c>
      <c r="H3347" t="s">
        <v>81</v>
      </c>
      <c r="I3347">
        <v>7307.6</v>
      </c>
      <c r="J3347">
        <v>6964.19</v>
      </c>
      <c r="K3347" t="s">
        <v>17</v>
      </c>
      <c r="L3347" t="b">
        <v>0</v>
      </c>
      <c r="N3347" s="2" t="str">
        <f t="shared" si="293"/>
        <v/>
      </c>
      <c r="Q3347" t="str">
        <f t="shared" si="294"/>
        <v/>
      </c>
    </row>
    <row r="3348" spans="1:17" hidden="1">
      <c r="A3348" t="s">
        <v>3453</v>
      </c>
      <c r="B3348" s="1">
        <v>45369</v>
      </c>
      <c r="C3348">
        <v>2024</v>
      </c>
      <c r="D3348">
        <v>3</v>
      </c>
      <c r="E3348" t="s">
        <v>19</v>
      </c>
      <c r="F3348" t="s">
        <v>28</v>
      </c>
      <c r="G3348" t="s">
        <v>54</v>
      </c>
      <c r="H3348" t="s">
        <v>55</v>
      </c>
      <c r="I3348">
        <v>5050.62</v>
      </c>
      <c r="J3348">
        <v>4682.8599999999997</v>
      </c>
      <c r="K3348" t="s">
        <v>17</v>
      </c>
      <c r="L3348" t="b">
        <v>0</v>
      </c>
      <c r="N3348" s="2" t="str">
        <f t="shared" si="293"/>
        <v/>
      </c>
      <c r="Q3348" t="str">
        <f t="shared" si="294"/>
        <v/>
      </c>
    </row>
    <row r="3349" spans="1:17" hidden="1">
      <c r="A3349" t="s">
        <v>3454</v>
      </c>
      <c r="B3349" s="1">
        <v>45369</v>
      </c>
      <c r="C3349">
        <v>2024</v>
      </c>
      <c r="D3349">
        <v>3</v>
      </c>
      <c r="E3349" t="s">
        <v>37</v>
      </c>
      <c r="F3349" t="s">
        <v>14</v>
      </c>
      <c r="G3349" t="s">
        <v>62</v>
      </c>
      <c r="H3349" t="s">
        <v>66</v>
      </c>
      <c r="I3349">
        <v>2870.33</v>
      </c>
      <c r="J3349">
        <v>2727.63</v>
      </c>
      <c r="K3349" t="s">
        <v>17</v>
      </c>
      <c r="L3349" t="b">
        <v>0</v>
      </c>
      <c r="N3349" s="2" t="str">
        <f t="shared" si="293"/>
        <v/>
      </c>
      <c r="Q3349" t="str">
        <f t="shared" si="294"/>
        <v/>
      </c>
    </row>
    <row r="3350" spans="1:17" hidden="1">
      <c r="A3350" t="s">
        <v>3455</v>
      </c>
      <c r="B3350" s="1">
        <v>45369</v>
      </c>
      <c r="C3350">
        <v>2024</v>
      </c>
      <c r="D3350">
        <v>3</v>
      </c>
      <c r="E3350" t="s">
        <v>37</v>
      </c>
      <c r="F3350" t="s">
        <v>14</v>
      </c>
      <c r="G3350" t="s">
        <v>38</v>
      </c>
      <c r="H3350" t="s">
        <v>39</v>
      </c>
      <c r="I3350">
        <v>4223.96</v>
      </c>
      <c r="J3350">
        <v>4480.87</v>
      </c>
      <c r="K3350" t="s">
        <v>17</v>
      </c>
      <c r="L3350" t="b">
        <v>0</v>
      </c>
      <c r="N3350" s="2" t="str">
        <f t="shared" si="293"/>
        <v/>
      </c>
      <c r="Q3350" t="str">
        <f t="shared" si="294"/>
        <v/>
      </c>
    </row>
    <row r="3351" spans="1:17" hidden="1">
      <c r="A3351" t="s">
        <v>3456</v>
      </c>
      <c r="B3351" s="1">
        <v>45370</v>
      </c>
      <c r="C3351">
        <v>2024</v>
      </c>
      <c r="D3351">
        <v>3</v>
      </c>
      <c r="E3351" t="s">
        <v>13</v>
      </c>
      <c r="F3351" t="s">
        <v>14</v>
      </c>
      <c r="G3351" t="s">
        <v>15</v>
      </c>
      <c r="H3351" t="s">
        <v>45</v>
      </c>
      <c r="I3351">
        <v>4659.33</v>
      </c>
      <c r="J3351">
        <v>4875.95</v>
      </c>
      <c r="K3351" t="s">
        <v>17</v>
      </c>
      <c r="L3351" t="b">
        <v>0</v>
      </c>
      <c r="N3351" s="2" t="str">
        <f t="shared" si="293"/>
        <v/>
      </c>
      <c r="Q3351" t="str">
        <f t="shared" si="294"/>
        <v/>
      </c>
    </row>
    <row r="3352" spans="1:17" hidden="1">
      <c r="A3352" t="s">
        <v>3457</v>
      </c>
      <c r="B3352" s="1">
        <v>45370</v>
      </c>
      <c r="C3352">
        <v>2024</v>
      </c>
      <c r="D3352">
        <v>3</v>
      </c>
      <c r="E3352" t="s">
        <v>13</v>
      </c>
      <c r="F3352" t="s">
        <v>28</v>
      </c>
      <c r="G3352" t="s">
        <v>108</v>
      </c>
      <c r="H3352" t="s">
        <v>126</v>
      </c>
      <c r="I3352">
        <v>3829.42</v>
      </c>
      <c r="J3352">
        <v>3901.67</v>
      </c>
      <c r="K3352" t="s">
        <v>17</v>
      </c>
      <c r="L3352" t="b">
        <v>0</v>
      </c>
      <c r="N3352" s="2" t="str">
        <f t="shared" si="293"/>
        <v/>
      </c>
      <c r="Q3352" t="str">
        <f t="shared" si="294"/>
        <v/>
      </c>
    </row>
    <row r="3353" spans="1:17" hidden="1">
      <c r="A3353" t="s">
        <v>3458</v>
      </c>
      <c r="B3353" s="1">
        <v>45370</v>
      </c>
      <c r="C3353">
        <v>2024</v>
      </c>
      <c r="D3353">
        <v>3</v>
      </c>
      <c r="E3353" t="s">
        <v>13</v>
      </c>
      <c r="F3353" t="s">
        <v>24</v>
      </c>
      <c r="G3353" t="s">
        <v>68</v>
      </c>
      <c r="H3353" t="s">
        <v>213</v>
      </c>
      <c r="I3353">
        <v>2630.14</v>
      </c>
      <c r="J3353">
        <v>2855.94</v>
      </c>
      <c r="K3353" t="s">
        <v>17</v>
      </c>
      <c r="L3353" t="b">
        <v>0</v>
      </c>
      <c r="N3353" s="2" t="str">
        <f t="shared" si="293"/>
        <v/>
      </c>
      <c r="Q3353" t="str">
        <f t="shared" si="294"/>
        <v/>
      </c>
    </row>
    <row r="3354" spans="1:17" hidden="1">
      <c r="A3354" t="s">
        <v>3459</v>
      </c>
      <c r="B3354" s="1">
        <v>45370</v>
      </c>
      <c r="C3354">
        <v>2024</v>
      </c>
      <c r="D3354">
        <v>3</v>
      </c>
      <c r="E3354" t="s">
        <v>47</v>
      </c>
      <c r="F3354" t="s">
        <v>14</v>
      </c>
      <c r="G3354" t="s">
        <v>91</v>
      </c>
      <c r="H3354" t="s">
        <v>128</v>
      </c>
      <c r="I3354">
        <v>16237.37</v>
      </c>
      <c r="J3354">
        <v>13763.9</v>
      </c>
      <c r="K3354" t="s">
        <v>17</v>
      </c>
      <c r="L3354" t="b">
        <v>0</v>
      </c>
      <c r="N3354" s="2" t="b">
        <f t="shared" si="293"/>
        <v>1</v>
      </c>
      <c r="O3354" t="str">
        <f t="shared" ref="O3354:O3355" si="296">IF(AND(E3343="HR",K3343="EXPENSE"),I3343&lt;J3343,"")</f>
        <v/>
      </c>
      <c r="Q3354" t="str">
        <f t="shared" si="294"/>
        <v/>
      </c>
    </row>
    <row r="3355" spans="1:17" hidden="1">
      <c r="A3355" t="s">
        <v>3460</v>
      </c>
      <c r="B3355" s="1">
        <v>45370</v>
      </c>
      <c r="C3355">
        <v>2024</v>
      </c>
      <c r="D3355">
        <v>3</v>
      </c>
      <c r="E3355" t="s">
        <v>47</v>
      </c>
      <c r="F3355" t="s">
        <v>24</v>
      </c>
      <c r="G3355" t="s">
        <v>91</v>
      </c>
      <c r="H3355" t="s">
        <v>128</v>
      </c>
      <c r="I3355">
        <v>18278.080000000002</v>
      </c>
      <c r="J3355">
        <v>15058.92</v>
      </c>
      <c r="K3355" t="s">
        <v>17</v>
      </c>
      <c r="L3355" t="b">
        <v>0</v>
      </c>
      <c r="N3355" s="2" t="b">
        <f t="shared" si="293"/>
        <v>1</v>
      </c>
      <c r="O3355" t="str">
        <f t="shared" si="296"/>
        <v/>
      </c>
      <c r="Q3355" t="str">
        <f t="shared" si="294"/>
        <v/>
      </c>
    </row>
    <row r="3356" spans="1:17" hidden="1">
      <c r="A3356" t="s">
        <v>3461</v>
      </c>
      <c r="B3356" s="1">
        <v>45370</v>
      </c>
      <c r="C3356">
        <v>2024</v>
      </c>
      <c r="D3356">
        <v>3</v>
      </c>
      <c r="E3356" t="s">
        <v>19</v>
      </c>
      <c r="F3356" t="s">
        <v>14</v>
      </c>
      <c r="G3356" t="s">
        <v>54</v>
      </c>
      <c r="H3356" t="s">
        <v>57</v>
      </c>
      <c r="I3356">
        <v>7925.33</v>
      </c>
      <c r="J3356">
        <v>7277.26</v>
      </c>
      <c r="K3356" t="s">
        <v>17</v>
      </c>
      <c r="L3356" t="b">
        <v>0</v>
      </c>
      <c r="N3356" s="2" t="str">
        <f t="shared" si="293"/>
        <v/>
      </c>
      <c r="Q3356" t="str">
        <f t="shared" si="294"/>
        <v/>
      </c>
    </row>
    <row r="3357" spans="1:17" hidden="1">
      <c r="A3357" t="s">
        <v>3462</v>
      </c>
      <c r="B3357" s="1">
        <v>45370</v>
      </c>
      <c r="C3357">
        <v>2024</v>
      </c>
      <c r="D3357">
        <v>3</v>
      </c>
      <c r="E3357" t="s">
        <v>19</v>
      </c>
      <c r="F3357" t="s">
        <v>24</v>
      </c>
      <c r="G3357" t="s">
        <v>20</v>
      </c>
      <c r="H3357" t="s">
        <v>136</v>
      </c>
      <c r="I3357">
        <v>5019.92</v>
      </c>
      <c r="J3357">
        <v>5184.7</v>
      </c>
      <c r="K3357" t="s">
        <v>17</v>
      </c>
      <c r="L3357" t="b">
        <v>0</v>
      </c>
      <c r="N3357" s="2" t="str">
        <f t="shared" si="293"/>
        <v/>
      </c>
      <c r="Q3357" t="str">
        <f t="shared" si="294"/>
        <v/>
      </c>
    </row>
    <row r="3358" spans="1:17" hidden="1">
      <c r="A3358" t="s">
        <v>3463</v>
      </c>
      <c r="B3358" s="1">
        <v>45370</v>
      </c>
      <c r="C3358">
        <v>2024</v>
      </c>
      <c r="D3358">
        <v>3</v>
      </c>
      <c r="E3358" t="s">
        <v>23</v>
      </c>
      <c r="F3358" t="s">
        <v>24</v>
      </c>
      <c r="G3358" t="s">
        <v>59</v>
      </c>
      <c r="H3358" t="s">
        <v>60</v>
      </c>
      <c r="I3358">
        <v>4291.1400000000003</v>
      </c>
      <c r="J3358">
        <v>4588.1899999999996</v>
      </c>
      <c r="K3358" t="s">
        <v>17</v>
      </c>
      <c r="L3358" t="b">
        <v>0</v>
      </c>
      <c r="N3358" s="2" t="str">
        <f t="shared" si="293"/>
        <v/>
      </c>
      <c r="Q3358" t="str">
        <f t="shared" si="294"/>
        <v/>
      </c>
    </row>
    <row r="3359" spans="1:17" hidden="1">
      <c r="A3359" t="s">
        <v>3464</v>
      </c>
      <c r="B3359" s="1">
        <v>45370</v>
      </c>
      <c r="C3359">
        <v>2024</v>
      </c>
      <c r="D3359">
        <v>3</v>
      </c>
      <c r="E3359" t="s">
        <v>23</v>
      </c>
      <c r="F3359" t="s">
        <v>24</v>
      </c>
      <c r="G3359" t="s">
        <v>25</v>
      </c>
      <c r="H3359" t="s">
        <v>26</v>
      </c>
      <c r="I3359">
        <v>4762.68</v>
      </c>
      <c r="J3359">
        <v>4315.46</v>
      </c>
      <c r="K3359" t="s">
        <v>17</v>
      </c>
      <c r="L3359" t="b">
        <v>0</v>
      </c>
      <c r="N3359" s="2" t="str">
        <f t="shared" si="293"/>
        <v/>
      </c>
      <c r="Q3359" t="str">
        <f t="shared" si="294"/>
        <v/>
      </c>
    </row>
    <row r="3360" spans="1:17" hidden="1">
      <c r="A3360" t="s">
        <v>3465</v>
      </c>
      <c r="B3360" s="1">
        <v>45371</v>
      </c>
      <c r="C3360">
        <v>2024</v>
      </c>
      <c r="D3360">
        <v>3</v>
      </c>
      <c r="E3360" t="s">
        <v>13</v>
      </c>
      <c r="F3360" t="s">
        <v>14</v>
      </c>
      <c r="G3360" t="s">
        <v>102</v>
      </c>
      <c r="H3360" t="s">
        <v>103</v>
      </c>
      <c r="I3360">
        <v>3258.8</v>
      </c>
      <c r="J3360">
        <v>2974.95</v>
      </c>
      <c r="K3360" t="s">
        <v>17</v>
      </c>
      <c r="L3360" t="b">
        <v>0</v>
      </c>
      <c r="N3360" s="2" t="str">
        <f t="shared" si="293"/>
        <v/>
      </c>
      <c r="Q3360" t="str">
        <f t="shared" si="294"/>
        <v/>
      </c>
    </row>
    <row r="3361" spans="1:17" hidden="1">
      <c r="A3361" t="s">
        <v>3466</v>
      </c>
      <c r="B3361" s="1">
        <v>45371</v>
      </c>
      <c r="C3361">
        <v>2024</v>
      </c>
      <c r="D3361">
        <v>3</v>
      </c>
      <c r="E3361" t="s">
        <v>13</v>
      </c>
      <c r="F3361" t="s">
        <v>14</v>
      </c>
      <c r="G3361" t="s">
        <v>15</v>
      </c>
      <c r="H3361" t="s">
        <v>45</v>
      </c>
      <c r="I3361">
        <v>2347.17</v>
      </c>
      <c r="J3361">
        <v>2175.34</v>
      </c>
      <c r="K3361" t="s">
        <v>17</v>
      </c>
      <c r="L3361" t="b">
        <v>0</v>
      </c>
      <c r="N3361" s="2" t="str">
        <f t="shared" si="293"/>
        <v/>
      </c>
      <c r="Q3361" t="str">
        <f t="shared" si="294"/>
        <v/>
      </c>
    </row>
    <row r="3362" spans="1:17" hidden="1">
      <c r="A3362" t="s">
        <v>3467</v>
      </c>
      <c r="B3362" s="1">
        <v>45371</v>
      </c>
      <c r="C3362">
        <v>2024</v>
      </c>
      <c r="D3362">
        <v>3</v>
      </c>
      <c r="E3362" t="s">
        <v>13</v>
      </c>
      <c r="F3362" t="s">
        <v>24</v>
      </c>
      <c r="G3362" t="s">
        <v>102</v>
      </c>
      <c r="H3362" t="s">
        <v>278</v>
      </c>
      <c r="I3362">
        <v>4211.92</v>
      </c>
      <c r="J3362">
        <v>4509.43</v>
      </c>
      <c r="K3362" t="s">
        <v>17</v>
      </c>
      <c r="L3362" t="b">
        <v>0</v>
      </c>
      <c r="N3362" s="2" t="str">
        <f t="shared" si="293"/>
        <v/>
      </c>
      <c r="Q3362" t="str">
        <f t="shared" si="294"/>
        <v/>
      </c>
    </row>
    <row r="3363" spans="1:17" hidden="1">
      <c r="A3363" t="s">
        <v>3468</v>
      </c>
      <c r="B3363" s="1">
        <v>45371</v>
      </c>
      <c r="C3363">
        <v>2024</v>
      </c>
      <c r="D3363">
        <v>3</v>
      </c>
      <c r="E3363" t="s">
        <v>13</v>
      </c>
      <c r="F3363" t="s">
        <v>24</v>
      </c>
      <c r="G3363" t="s">
        <v>108</v>
      </c>
      <c r="H3363" t="s">
        <v>123</v>
      </c>
      <c r="I3363">
        <v>2727.54</v>
      </c>
      <c r="J3363">
        <v>2780.16</v>
      </c>
      <c r="K3363" t="s">
        <v>17</v>
      </c>
      <c r="L3363" t="b">
        <v>0</v>
      </c>
      <c r="N3363" s="2" t="str">
        <f t="shared" si="293"/>
        <v/>
      </c>
      <c r="Q3363" t="str">
        <f t="shared" si="294"/>
        <v/>
      </c>
    </row>
    <row r="3364" spans="1:17" hidden="1">
      <c r="A3364" t="s">
        <v>3469</v>
      </c>
      <c r="B3364" s="1">
        <v>45371</v>
      </c>
      <c r="C3364">
        <v>2024</v>
      </c>
      <c r="D3364">
        <v>3</v>
      </c>
      <c r="E3364" t="s">
        <v>19</v>
      </c>
      <c r="F3364" t="s">
        <v>28</v>
      </c>
      <c r="G3364" t="s">
        <v>80</v>
      </c>
      <c r="H3364" t="s">
        <v>150</v>
      </c>
      <c r="I3364">
        <v>6510.42</v>
      </c>
      <c r="J3364">
        <v>6298.08</v>
      </c>
      <c r="K3364" t="s">
        <v>17</v>
      </c>
      <c r="L3364" t="b">
        <v>0</v>
      </c>
      <c r="N3364" s="2" t="str">
        <f t="shared" si="293"/>
        <v/>
      </c>
      <c r="Q3364" t="str">
        <f t="shared" si="294"/>
        <v/>
      </c>
    </row>
    <row r="3365" spans="1:17" hidden="1">
      <c r="A3365" t="s">
        <v>3470</v>
      </c>
      <c r="B3365" s="1">
        <v>45371</v>
      </c>
      <c r="C3365">
        <v>2024</v>
      </c>
      <c r="D3365">
        <v>3</v>
      </c>
      <c r="E3365" t="s">
        <v>19</v>
      </c>
      <c r="F3365" t="s">
        <v>28</v>
      </c>
      <c r="G3365" t="s">
        <v>54</v>
      </c>
      <c r="H3365" t="s">
        <v>57</v>
      </c>
      <c r="I3365">
        <v>8714.8799999999992</v>
      </c>
      <c r="J3365">
        <v>8303.2000000000007</v>
      </c>
      <c r="K3365" t="s">
        <v>17</v>
      </c>
      <c r="L3365" t="b">
        <v>0</v>
      </c>
      <c r="N3365" s="2" t="str">
        <f t="shared" si="293"/>
        <v/>
      </c>
      <c r="Q3365" t="str">
        <f t="shared" si="294"/>
        <v/>
      </c>
    </row>
    <row r="3366" spans="1:17" hidden="1">
      <c r="A3366" t="s">
        <v>3471</v>
      </c>
      <c r="B3366" s="1">
        <v>45371</v>
      </c>
      <c r="C3366">
        <v>2024</v>
      </c>
      <c r="D3366">
        <v>3</v>
      </c>
      <c r="E3366" t="s">
        <v>19</v>
      </c>
      <c r="F3366" t="s">
        <v>24</v>
      </c>
      <c r="G3366" t="s">
        <v>132</v>
      </c>
      <c r="H3366" t="s">
        <v>133</v>
      </c>
      <c r="I3366">
        <v>4274.38</v>
      </c>
      <c r="J3366">
        <v>4071.46</v>
      </c>
      <c r="K3366" t="s">
        <v>17</v>
      </c>
      <c r="L3366" t="b">
        <v>0</v>
      </c>
      <c r="N3366" s="2" t="str">
        <f t="shared" si="293"/>
        <v/>
      </c>
      <c r="Q3366" t="str">
        <f t="shared" si="294"/>
        <v/>
      </c>
    </row>
    <row r="3367" spans="1:17" hidden="1">
      <c r="A3367" t="s">
        <v>3472</v>
      </c>
      <c r="B3367" s="1">
        <v>45371</v>
      </c>
      <c r="C3367">
        <v>2024</v>
      </c>
      <c r="D3367">
        <v>3</v>
      </c>
      <c r="E3367" t="s">
        <v>23</v>
      </c>
      <c r="F3367" t="s">
        <v>14</v>
      </c>
      <c r="G3367" t="s">
        <v>30</v>
      </c>
      <c r="H3367" t="s">
        <v>106</v>
      </c>
      <c r="I3367">
        <v>4295.6400000000003</v>
      </c>
      <c r="J3367">
        <v>4514.6099999999997</v>
      </c>
      <c r="K3367" t="s">
        <v>17</v>
      </c>
      <c r="L3367" t="b">
        <v>0</v>
      </c>
      <c r="N3367" s="2" t="str">
        <f t="shared" si="293"/>
        <v/>
      </c>
      <c r="Q3367" t="str">
        <f t="shared" si="294"/>
        <v/>
      </c>
    </row>
    <row r="3368" spans="1:17" hidden="1">
      <c r="A3368" t="s">
        <v>3473</v>
      </c>
      <c r="B3368" s="1">
        <v>45371</v>
      </c>
      <c r="C3368">
        <v>2024</v>
      </c>
      <c r="D3368">
        <v>3</v>
      </c>
      <c r="E3368" t="s">
        <v>23</v>
      </c>
      <c r="F3368" t="s">
        <v>28</v>
      </c>
      <c r="G3368" t="s">
        <v>141</v>
      </c>
      <c r="H3368" t="s">
        <v>142</v>
      </c>
      <c r="I3368">
        <v>5812.08</v>
      </c>
      <c r="J3368">
        <v>5547.7</v>
      </c>
      <c r="K3368" t="s">
        <v>17</v>
      </c>
      <c r="L3368" t="b">
        <v>0</v>
      </c>
      <c r="N3368" s="2" t="str">
        <f t="shared" si="293"/>
        <v/>
      </c>
      <c r="Q3368" t="str">
        <f t="shared" si="294"/>
        <v/>
      </c>
    </row>
    <row r="3369" spans="1:17" hidden="1">
      <c r="A3369" t="s">
        <v>3474</v>
      </c>
      <c r="B3369" s="1">
        <v>45371</v>
      </c>
      <c r="C3369">
        <v>2024</v>
      </c>
      <c r="D3369">
        <v>3</v>
      </c>
      <c r="E3369" t="s">
        <v>23</v>
      </c>
      <c r="F3369" t="s">
        <v>28</v>
      </c>
      <c r="G3369" t="s">
        <v>59</v>
      </c>
      <c r="H3369" t="s">
        <v>155</v>
      </c>
      <c r="I3369">
        <v>2925.47</v>
      </c>
      <c r="J3369">
        <v>2935.79</v>
      </c>
      <c r="K3369" t="s">
        <v>17</v>
      </c>
      <c r="L3369" t="b">
        <v>0</v>
      </c>
      <c r="N3369" s="2" t="str">
        <f t="shared" si="293"/>
        <v/>
      </c>
      <c r="Q3369" t="str">
        <f t="shared" si="294"/>
        <v/>
      </c>
    </row>
    <row r="3370" spans="1:17" hidden="1">
      <c r="A3370" t="s">
        <v>3475</v>
      </c>
      <c r="B3370" s="1">
        <v>45372</v>
      </c>
      <c r="C3370">
        <v>2024</v>
      </c>
      <c r="D3370">
        <v>3</v>
      </c>
      <c r="E3370" t="s">
        <v>13</v>
      </c>
      <c r="F3370" t="s">
        <v>28</v>
      </c>
      <c r="G3370" t="s">
        <v>15</v>
      </c>
      <c r="H3370" t="s">
        <v>16</v>
      </c>
      <c r="I3370">
        <v>4180.84</v>
      </c>
      <c r="J3370">
        <v>4412.41</v>
      </c>
      <c r="K3370" t="s">
        <v>17</v>
      </c>
      <c r="L3370" t="b">
        <v>0</v>
      </c>
      <c r="N3370" s="2" t="str">
        <f t="shared" si="293"/>
        <v/>
      </c>
      <c r="Q3370" t="str">
        <f t="shared" si="294"/>
        <v/>
      </c>
    </row>
    <row r="3371" spans="1:17" hidden="1">
      <c r="A3371" t="s">
        <v>3476</v>
      </c>
      <c r="B3371" s="1">
        <v>45372</v>
      </c>
      <c r="C3371">
        <v>2024</v>
      </c>
      <c r="D3371">
        <v>3</v>
      </c>
      <c r="E3371" t="s">
        <v>13</v>
      </c>
      <c r="F3371" t="s">
        <v>28</v>
      </c>
      <c r="G3371" t="s">
        <v>15</v>
      </c>
      <c r="H3371" t="s">
        <v>89</v>
      </c>
      <c r="I3371">
        <v>3026.13</v>
      </c>
      <c r="J3371">
        <v>3069.01</v>
      </c>
      <c r="K3371" t="s">
        <v>17</v>
      </c>
      <c r="L3371" t="b">
        <v>0</v>
      </c>
      <c r="N3371" s="2" t="str">
        <f t="shared" si="293"/>
        <v/>
      </c>
      <c r="Q3371" t="str">
        <f t="shared" si="294"/>
        <v/>
      </c>
    </row>
    <row r="3372" spans="1:17" hidden="1">
      <c r="A3372" t="s">
        <v>3477</v>
      </c>
      <c r="B3372" s="1">
        <v>45372</v>
      </c>
      <c r="C3372">
        <v>2024</v>
      </c>
      <c r="D3372">
        <v>3</v>
      </c>
      <c r="E3372" t="s">
        <v>47</v>
      </c>
      <c r="F3372" t="s">
        <v>24</v>
      </c>
      <c r="G3372" t="s">
        <v>48</v>
      </c>
      <c r="H3372" t="s">
        <v>75</v>
      </c>
      <c r="I3372">
        <v>16975.73</v>
      </c>
      <c r="J3372">
        <v>14101.91</v>
      </c>
      <c r="K3372" t="s">
        <v>17</v>
      </c>
      <c r="L3372" t="b">
        <v>0</v>
      </c>
      <c r="N3372" s="2" t="b">
        <f t="shared" si="293"/>
        <v>1</v>
      </c>
      <c r="O3372" t="b">
        <f>IF(AND(E3361="HR",K3361="EXPENSE"),I3361&lt;J3361,"")</f>
        <v>0</v>
      </c>
      <c r="Q3372" t="str">
        <f t="shared" si="294"/>
        <v/>
      </c>
    </row>
    <row r="3373" spans="1:17" hidden="1">
      <c r="A3373" t="s">
        <v>3478</v>
      </c>
      <c r="B3373" s="1">
        <v>45372</v>
      </c>
      <c r="C3373">
        <v>2024</v>
      </c>
      <c r="D3373">
        <v>3</v>
      </c>
      <c r="E3373" t="s">
        <v>19</v>
      </c>
      <c r="F3373" t="s">
        <v>14</v>
      </c>
      <c r="G3373" t="s">
        <v>132</v>
      </c>
      <c r="H3373" t="s">
        <v>171</v>
      </c>
      <c r="I3373">
        <v>7543.04</v>
      </c>
      <c r="J3373">
        <v>7700.33</v>
      </c>
      <c r="K3373" t="s">
        <v>17</v>
      </c>
      <c r="L3373" t="b">
        <v>0</v>
      </c>
      <c r="N3373" s="2" t="str">
        <f t="shared" si="293"/>
        <v/>
      </c>
      <c r="Q3373" t="str">
        <f t="shared" si="294"/>
        <v/>
      </c>
    </row>
    <row r="3374" spans="1:17" hidden="1">
      <c r="A3374" t="s">
        <v>3479</v>
      </c>
      <c r="B3374" s="1">
        <v>45372</v>
      </c>
      <c r="C3374">
        <v>2024</v>
      </c>
      <c r="D3374">
        <v>3</v>
      </c>
      <c r="E3374" t="s">
        <v>23</v>
      </c>
      <c r="F3374" t="s">
        <v>28</v>
      </c>
      <c r="G3374" t="s">
        <v>59</v>
      </c>
      <c r="H3374" t="s">
        <v>155</v>
      </c>
      <c r="I3374">
        <v>7354.29</v>
      </c>
      <c r="J3374">
        <v>7469.35</v>
      </c>
      <c r="K3374" t="s">
        <v>17</v>
      </c>
      <c r="L3374" t="b">
        <v>0</v>
      </c>
      <c r="N3374" s="2" t="str">
        <f t="shared" si="293"/>
        <v/>
      </c>
      <c r="Q3374" t="str">
        <f t="shared" si="294"/>
        <v/>
      </c>
    </row>
    <row r="3375" spans="1:17" hidden="1">
      <c r="A3375" t="s">
        <v>3480</v>
      </c>
      <c r="B3375" s="1">
        <v>45372</v>
      </c>
      <c r="C3375">
        <v>2024</v>
      </c>
      <c r="D3375">
        <v>3</v>
      </c>
      <c r="E3375" t="s">
        <v>23</v>
      </c>
      <c r="F3375" t="s">
        <v>28</v>
      </c>
      <c r="G3375" t="s">
        <v>25</v>
      </c>
      <c r="H3375" t="s">
        <v>26</v>
      </c>
      <c r="I3375">
        <v>5354.97</v>
      </c>
      <c r="J3375">
        <v>4930.62</v>
      </c>
      <c r="K3375" t="s">
        <v>17</v>
      </c>
      <c r="L3375" t="b">
        <v>0</v>
      </c>
      <c r="N3375" s="2" t="str">
        <f t="shared" si="293"/>
        <v/>
      </c>
      <c r="Q3375" t="str">
        <f t="shared" si="294"/>
        <v/>
      </c>
    </row>
    <row r="3376" spans="1:17" hidden="1">
      <c r="A3376" t="s">
        <v>3481</v>
      </c>
      <c r="B3376" s="1">
        <v>45372</v>
      </c>
      <c r="C3376">
        <v>2024</v>
      </c>
      <c r="D3376">
        <v>3</v>
      </c>
      <c r="E3376" t="s">
        <v>23</v>
      </c>
      <c r="F3376" t="s">
        <v>24</v>
      </c>
      <c r="G3376" t="s">
        <v>25</v>
      </c>
      <c r="H3376" t="s">
        <v>95</v>
      </c>
      <c r="I3376">
        <v>5533.55</v>
      </c>
      <c r="J3376">
        <v>5330.23</v>
      </c>
      <c r="K3376" t="s">
        <v>17</v>
      </c>
      <c r="L3376" t="b">
        <v>0</v>
      </c>
      <c r="N3376" s="2" t="str">
        <f t="shared" si="293"/>
        <v/>
      </c>
      <c r="Q3376" t="str">
        <f t="shared" si="294"/>
        <v/>
      </c>
    </row>
    <row r="3377" spans="1:17" hidden="1">
      <c r="A3377" t="s">
        <v>3482</v>
      </c>
      <c r="B3377" s="1">
        <v>45372</v>
      </c>
      <c r="C3377">
        <v>2024</v>
      </c>
      <c r="D3377">
        <v>3</v>
      </c>
      <c r="E3377" t="s">
        <v>37</v>
      </c>
      <c r="F3377" t="s">
        <v>24</v>
      </c>
      <c r="G3377" t="s">
        <v>62</v>
      </c>
      <c r="H3377" t="s">
        <v>360</v>
      </c>
      <c r="I3377">
        <v>6210.92</v>
      </c>
      <c r="J3377">
        <v>6317.98</v>
      </c>
      <c r="K3377" t="s">
        <v>17</v>
      </c>
      <c r="L3377" t="b">
        <v>0</v>
      </c>
      <c r="N3377" s="2" t="str">
        <f t="shared" si="293"/>
        <v/>
      </c>
      <c r="Q3377" t="str">
        <f t="shared" si="294"/>
        <v/>
      </c>
    </row>
    <row r="3378" spans="1:17" hidden="1">
      <c r="A3378" t="s">
        <v>3483</v>
      </c>
      <c r="B3378" s="1">
        <v>45372</v>
      </c>
      <c r="C3378">
        <v>2024</v>
      </c>
      <c r="D3378">
        <v>3</v>
      </c>
      <c r="E3378" t="s">
        <v>37</v>
      </c>
      <c r="F3378" t="s">
        <v>24</v>
      </c>
      <c r="G3378" t="s">
        <v>62</v>
      </c>
      <c r="H3378" t="s">
        <v>121</v>
      </c>
      <c r="I3378">
        <v>5739.98</v>
      </c>
      <c r="J3378">
        <v>6305.72</v>
      </c>
      <c r="K3378" t="s">
        <v>17</v>
      </c>
      <c r="L3378" t="b">
        <v>0</v>
      </c>
      <c r="N3378" s="2" t="str">
        <f t="shared" si="293"/>
        <v/>
      </c>
      <c r="Q3378" t="str">
        <f t="shared" si="294"/>
        <v/>
      </c>
    </row>
    <row r="3379" spans="1:17" hidden="1">
      <c r="A3379" t="s">
        <v>3484</v>
      </c>
      <c r="B3379" s="1">
        <v>45372</v>
      </c>
      <c r="C3379">
        <v>2024</v>
      </c>
      <c r="D3379">
        <v>3</v>
      </c>
      <c r="E3379" t="s">
        <v>37</v>
      </c>
      <c r="F3379" t="s">
        <v>24</v>
      </c>
      <c r="G3379" t="s">
        <v>62</v>
      </c>
      <c r="H3379" t="s">
        <v>121</v>
      </c>
      <c r="I3379">
        <v>4798.2700000000004</v>
      </c>
      <c r="J3379">
        <v>5223.9399999999996</v>
      </c>
      <c r="K3379" t="s">
        <v>17</v>
      </c>
      <c r="L3379" t="b">
        <v>0</v>
      </c>
      <c r="N3379" s="2" t="str">
        <f t="shared" si="293"/>
        <v/>
      </c>
      <c r="Q3379" t="str">
        <f t="shared" si="294"/>
        <v/>
      </c>
    </row>
    <row r="3380" spans="1:17" hidden="1">
      <c r="A3380" t="s">
        <v>3485</v>
      </c>
      <c r="B3380" s="1">
        <v>45373</v>
      </c>
      <c r="C3380">
        <v>2024</v>
      </c>
      <c r="D3380">
        <v>3</v>
      </c>
      <c r="E3380" t="s">
        <v>19</v>
      </c>
      <c r="F3380" t="s">
        <v>14</v>
      </c>
      <c r="G3380" t="s">
        <v>80</v>
      </c>
      <c r="H3380" t="s">
        <v>113</v>
      </c>
      <c r="I3380">
        <v>4006.56</v>
      </c>
      <c r="J3380">
        <v>3783.39</v>
      </c>
      <c r="K3380" t="s">
        <v>17</v>
      </c>
      <c r="L3380" t="b">
        <v>0</v>
      </c>
      <c r="N3380" s="2" t="str">
        <f t="shared" si="293"/>
        <v/>
      </c>
      <c r="Q3380" t="str">
        <f t="shared" si="294"/>
        <v/>
      </c>
    </row>
    <row r="3381" spans="1:17" hidden="1">
      <c r="A3381" t="s">
        <v>3486</v>
      </c>
      <c r="B3381" s="1">
        <v>45373</v>
      </c>
      <c r="C3381">
        <v>2024</v>
      </c>
      <c r="D3381">
        <v>3</v>
      </c>
      <c r="E3381" t="s">
        <v>19</v>
      </c>
      <c r="F3381" t="s">
        <v>14</v>
      </c>
      <c r="G3381" t="s">
        <v>20</v>
      </c>
      <c r="H3381" t="s">
        <v>174</v>
      </c>
      <c r="I3381">
        <v>6559.42</v>
      </c>
      <c r="J3381">
        <v>6444.97</v>
      </c>
      <c r="K3381" t="s">
        <v>17</v>
      </c>
      <c r="L3381" t="b">
        <v>0</v>
      </c>
      <c r="N3381" s="2" t="str">
        <f t="shared" si="293"/>
        <v/>
      </c>
      <c r="Q3381" t="str">
        <f t="shared" si="294"/>
        <v/>
      </c>
    </row>
    <row r="3382" spans="1:17" hidden="1">
      <c r="A3382" t="s">
        <v>3487</v>
      </c>
      <c r="B3382" s="1">
        <v>45373</v>
      </c>
      <c r="C3382">
        <v>2024</v>
      </c>
      <c r="D3382">
        <v>3</v>
      </c>
      <c r="E3382" t="s">
        <v>19</v>
      </c>
      <c r="F3382" t="s">
        <v>14</v>
      </c>
      <c r="G3382" t="s">
        <v>20</v>
      </c>
      <c r="H3382" t="s">
        <v>21</v>
      </c>
      <c r="I3382">
        <v>2843.66</v>
      </c>
      <c r="J3382">
        <v>2579.5500000000002</v>
      </c>
      <c r="K3382" t="s">
        <v>17</v>
      </c>
      <c r="L3382" t="b">
        <v>0</v>
      </c>
      <c r="N3382" s="2" t="str">
        <f t="shared" si="293"/>
        <v/>
      </c>
      <c r="Q3382" t="str">
        <f t="shared" si="294"/>
        <v/>
      </c>
    </row>
    <row r="3383" spans="1:17" hidden="1">
      <c r="A3383" t="s">
        <v>3488</v>
      </c>
      <c r="B3383" s="1">
        <v>45373</v>
      </c>
      <c r="C3383">
        <v>2024</v>
      </c>
      <c r="D3383">
        <v>3</v>
      </c>
      <c r="E3383" t="s">
        <v>23</v>
      </c>
      <c r="F3383" t="s">
        <v>28</v>
      </c>
      <c r="G3383" t="s">
        <v>25</v>
      </c>
      <c r="H3383" t="s">
        <v>35</v>
      </c>
      <c r="I3383">
        <v>5486.17</v>
      </c>
      <c r="J3383">
        <v>5829.53</v>
      </c>
      <c r="K3383" t="s">
        <v>17</v>
      </c>
      <c r="L3383" t="b">
        <v>0</v>
      </c>
      <c r="N3383" s="2" t="str">
        <f t="shared" si="293"/>
        <v/>
      </c>
      <c r="Q3383" t="str">
        <f t="shared" si="294"/>
        <v/>
      </c>
    </row>
    <row r="3384" spans="1:17" hidden="1">
      <c r="A3384" t="s">
        <v>3489</v>
      </c>
      <c r="B3384" s="1">
        <v>45373</v>
      </c>
      <c r="C3384">
        <v>2024</v>
      </c>
      <c r="D3384">
        <v>3</v>
      </c>
      <c r="E3384" t="s">
        <v>37</v>
      </c>
      <c r="F3384" t="s">
        <v>14</v>
      </c>
      <c r="G3384" t="s">
        <v>98</v>
      </c>
      <c r="H3384" t="s">
        <v>99</v>
      </c>
      <c r="I3384">
        <v>5219.62</v>
      </c>
      <c r="J3384">
        <v>4853.78</v>
      </c>
      <c r="K3384" t="s">
        <v>17</v>
      </c>
      <c r="L3384" t="b">
        <v>0</v>
      </c>
      <c r="N3384" s="2" t="str">
        <f t="shared" si="293"/>
        <v/>
      </c>
      <c r="Q3384" t="str">
        <f t="shared" si="294"/>
        <v/>
      </c>
    </row>
    <row r="3385" spans="1:17" hidden="1">
      <c r="A3385" t="s">
        <v>3490</v>
      </c>
      <c r="B3385" s="1">
        <v>45374</v>
      </c>
      <c r="C3385">
        <v>2024</v>
      </c>
      <c r="D3385">
        <v>3</v>
      </c>
      <c r="E3385" t="s">
        <v>13</v>
      </c>
      <c r="F3385" t="s">
        <v>28</v>
      </c>
      <c r="G3385" t="s">
        <v>15</v>
      </c>
      <c r="H3385" t="s">
        <v>45</v>
      </c>
      <c r="I3385">
        <v>2130.1</v>
      </c>
      <c r="J3385">
        <v>2305.87</v>
      </c>
      <c r="K3385" t="s">
        <v>17</v>
      </c>
      <c r="L3385" t="b">
        <v>0</v>
      </c>
      <c r="N3385" s="2" t="str">
        <f t="shared" si="293"/>
        <v/>
      </c>
      <c r="Q3385" t="str">
        <f t="shared" si="294"/>
        <v/>
      </c>
    </row>
    <row r="3386" spans="1:17" hidden="1">
      <c r="A3386" t="s">
        <v>3491</v>
      </c>
      <c r="B3386" s="1">
        <v>45374</v>
      </c>
      <c r="C3386">
        <v>2024</v>
      </c>
      <c r="D3386">
        <v>3</v>
      </c>
      <c r="E3386" t="s">
        <v>47</v>
      </c>
      <c r="F3386" t="s">
        <v>14</v>
      </c>
      <c r="G3386" t="s">
        <v>91</v>
      </c>
      <c r="H3386" t="s">
        <v>254</v>
      </c>
      <c r="I3386">
        <v>10151.89</v>
      </c>
      <c r="J3386">
        <v>8696.49</v>
      </c>
      <c r="K3386" t="s">
        <v>17</v>
      </c>
      <c r="L3386" t="b">
        <v>0</v>
      </c>
      <c r="N3386" s="2" t="b">
        <f t="shared" si="293"/>
        <v>1</v>
      </c>
      <c r="O3386" t="str">
        <f t="shared" ref="O3386:O3387" si="297">IF(AND(E3375="HR",K3375="EXPENSE"),I3375&lt;J3375,"")</f>
        <v/>
      </c>
      <c r="Q3386" t="str">
        <f t="shared" si="294"/>
        <v/>
      </c>
    </row>
    <row r="3387" spans="1:17" hidden="1">
      <c r="A3387" t="s">
        <v>3492</v>
      </c>
      <c r="B3387" s="1">
        <v>45374</v>
      </c>
      <c r="C3387">
        <v>2024</v>
      </c>
      <c r="D3387">
        <v>3</v>
      </c>
      <c r="E3387" t="s">
        <v>47</v>
      </c>
      <c r="F3387" t="s">
        <v>28</v>
      </c>
      <c r="G3387" t="s">
        <v>91</v>
      </c>
      <c r="H3387" t="s">
        <v>128</v>
      </c>
      <c r="I3387">
        <v>23686.57</v>
      </c>
      <c r="J3387">
        <v>19527.36</v>
      </c>
      <c r="K3387" t="s">
        <v>17</v>
      </c>
      <c r="L3387" t="b">
        <v>0</v>
      </c>
      <c r="N3387" s="2" t="b">
        <f t="shared" si="293"/>
        <v>1</v>
      </c>
      <c r="O3387" t="str">
        <f t="shared" si="297"/>
        <v/>
      </c>
      <c r="Q3387" t="str">
        <f t="shared" si="294"/>
        <v/>
      </c>
    </row>
    <row r="3388" spans="1:17" hidden="1">
      <c r="A3388" t="s">
        <v>3493</v>
      </c>
      <c r="B3388" s="1">
        <v>45374</v>
      </c>
      <c r="C3388">
        <v>2024</v>
      </c>
      <c r="D3388">
        <v>3</v>
      </c>
      <c r="E3388" t="s">
        <v>19</v>
      </c>
      <c r="F3388" t="s">
        <v>24</v>
      </c>
      <c r="G3388" t="s">
        <v>80</v>
      </c>
      <c r="H3388" t="s">
        <v>217</v>
      </c>
      <c r="I3388">
        <v>4462.6400000000003</v>
      </c>
      <c r="J3388">
        <v>4755.72</v>
      </c>
      <c r="K3388" t="s">
        <v>17</v>
      </c>
      <c r="L3388" t="b">
        <v>0</v>
      </c>
      <c r="N3388" s="2" t="str">
        <f t="shared" si="293"/>
        <v/>
      </c>
      <c r="Q3388" t="str">
        <f t="shared" si="294"/>
        <v/>
      </c>
    </row>
    <row r="3389" spans="1:17" hidden="1">
      <c r="A3389" t="s">
        <v>3494</v>
      </c>
      <c r="B3389" s="1">
        <v>45374</v>
      </c>
      <c r="C3389">
        <v>2024</v>
      </c>
      <c r="D3389">
        <v>3</v>
      </c>
      <c r="E3389" t="s">
        <v>19</v>
      </c>
      <c r="F3389" t="s">
        <v>24</v>
      </c>
      <c r="G3389" t="s">
        <v>54</v>
      </c>
      <c r="H3389" t="s">
        <v>57</v>
      </c>
      <c r="I3389">
        <v>7271.23</v>
      </c>
      <c r="J3389">
        <v>7164.47</v>
      </c>
      <c r="K3389" t="s">
        <v>17</v>
      </c>
      <c r="L3389" t="b">
        <v>0</v>
      </c>
      <c r="N3389" s="2" t="str">
        <f t="shared" si="293"/>
        <v/>
      </c>
      <c r="Q3389" t="str">
        <f t="shared" si="294"/>
        <v/>
      </c>
    </row>
    <row r="3390" spans="1:17" hidden="1">
      <c r="A3390" t="s">
        <v>3495</v>
      </c>
      <c r="B3390" s="1">
        <v>45374</v>
      </c>
      <c r="C3390">
        <v>2024</v>
      </c>
      <c r="D3390">
        <v>3</v>
      </c>
      <c r="E3390" t="s">
        <v>23</v>
      </c>
      <c r="F3390" t="s">
        <v>28</v>
      </c>
      <c r="G3390" t="s">
        <v>30</v>
      </c>
      <c r="H3390" t="s">
        <v>106</v>
      </c>
      <c r="I3390">
        <v>3597.62</v>
      </c>
      <c r="J3390">
        <v>3454.55</v>
      </c>
      <c r="K3390" t="s">
        <v>17</v>
      </c>
      <c r="L3390" t="b">
        <v>0</v>
      </c>
      <c r="N3390" s="2" t="str">
        <f t="shared" si="293"/>
        <v/>
      </c>
      <c r="Q3390" t="str">
        <f t="shared" si="294"/>
        <v/>
      </c>
    </row>
    <row r="3391" spans="1:17" hidden="1">
      <c r="A3391" t="s">
        <v>3496</v>
      </c>
      <c r="B3391" s="1">
        <v>45374</v>
      </c>
      <c r="C3391">
        <v>2024</v>
      </c>
      <c r="D3391">
        <v>3</v>
      </c>
      <c r="E3391" t="s">
        <v>23</v>
      </c>
      <c r="F3391" t="s">
        <v>28</v>
      </c>
      <c r="G3391" t="s">
        <v>25</v>
      </c>
      <c r="H3391" t="s">
        <v>35</v>
      </c>
      <c r="I3391">
        <v>4279.32</v>
      </c>
      <c r="J3391">
        <v>4704.68</v>
      </c>
      <c r="K3391" t="s">
        <v>17</v>
      </c>
      <c r="L3391" t="b">
        <v>0</v>
      </c>
      <c r="N3391" s="2" t="str">
        <f t="shared" si="293"/>
        <v/>
      </c>
      <c r="Q3391" t="str">
        <f t="shared" si="294"/>
        <v/>
      </c>
    </row>
    <row r="3392" spans="1:17" hidden="1">
      <c r="A3392" t="s">
        <v>3497</v>
      </c>
      <c r="B3392" s="1">
        <v>45374</v>
      </c>
      <c r="C3392">
        <v>2024</v>
      </c>
      <c r="D3392">
        <v>3</v>
      </c>
      <c r="E3392" t="s">
        <v>23</v>
      </c>
      <c r="F3392" t="s">
        <v>28</v>
      </c>
      <c r="G3392" t="s">
        <v>30</v>
      </c>
      <c r="H3392" t="s">
        <v>31</v>
      </c>
      <c r="I3392">
        <v>5898.09</v>
      </c>
      <c r="J3392">
        <v>5810.28</v>
      </c>
      <c r="K3392" t="s">
        <v>17</v>
      </c>
      <c r="L3392" t="b">
        <v>0</v>
      </c>
      <c r="N3392" s="2" t="str">
        <f t="shared" si="293"/>
        <v/>
      </c>
      <c r="Q3392" t="str">
        <f t="shared" si="294"/>
        <v/>
      </c>
    </row>
    <row r="3393" spans="1:17" hidden="1">
      <c r="A3393" t="s">
        <v>3498</v>
      </c>
      <c r="B3393" s="1">
        <v>45374</v>
      </c>
      <c r="C3393">
        <v>2024</v>
      </c>
      <c r="D3393">
        <v>3</v>
      </c>
      <c r="E3393" t="s">
        <v>23</v>
      </c>
      <c r="F3393" t="s">
        <v>24</v>
      </c>
      <c r="G3393" t="s">
        <v>30</v>
      </c>
      <c r="H3393" t="s">
        <v>31</v>
      </c>
      <c r="I3393">
        <v>6791.97</v>
      </c>
      <c r="J3393">
        <v>6258.73</v>
      </c>
      <c r="K3393" t="s">
        <v>17</v>
      </c>
      <c r="L3393" t="b">
        <v>0</v>
      </c>
      <c r="N3393" s="2" t="str">
        <f t="shared" si="293"/>
        <v/>
      </c>
      <c r="Q3393" t="str">
        <f t="shared" si="294"/>
        <v/>
      </c>
    </row>
    <row r="3394" spans="1:17" hidden="1">
      <c r="A3394" t="s">
        <v>3499</v>
      </c>
      <c r="B3394" s="1">
        <v>45374</v>
      </c>
      <c r="C3394">
        <v>2024</v>
      </c>
      <c r="D3394">
        <v>3</v>
      </c>
      <c r="E3394" t="s">
        <v>23</v>
      </c>
      <c r="F3394" t="s">
        <v>24</v>
      </c>
      <c r="G3394" t="s">
        <v>59</v>
      </c>
      <c r="H3394" t="s">
        <v>155</v>
      </c>
      <c r="I3394">
        <v>5331.56</v>
      </c>
      <c r="J3394">
        <v>5012.92</v>
      </c>
      <c r="K3394" t="s">
        <v>17</v>
      </c>
      <c r="L3394" t="b">
        <v>0</v>
      </c>
      <c r="N3394" s="2" t="str">
        <f t="shared" si="293"/>
        <v/>
      </c>
      <c r="Q3394" t="str">
        <f t="shared" si="294"/>
        <v/>
      </c>
    </row>
    <row r="3395" spans="1:17" hidden="1">
      <c r="A3395" t="s">
        <v>3500</v>
      </c>
      <c r="B3395" s="1">
        <v>45374</v>
      </c>
      <c r="C3395">
        <v>2024</v>
      </c>
      <c r="D3395">
        <v>3</v>
      </c>
      <c r="E3395" t="s">
        <v>37</v>
      </c>
      <c r="F3395" t="s">
        <v>24</v>
      </c>
      <c r="G3395" t="s">
        <v>41</v>
      </c>
      <c r="H3395" t="s">
        <v>42</v>
      </c>
      <c r="I3395">
        <v>2970.73</v>
      </c>
      <c r="J3395">
        <v>2877.48</v>
      </c>
      <c r="K3395" t="s">
        <v>17</v>
      </c>
      <c r="L3395" t="b">
        <v>0</v>
      </c>
      <c r="N3395" s="2" t="str">
        <f t="shared" ref="N3395:N3458" si="298">IF(AND(E3395="IT",K3395="EXPENSE"),I3395&gt;J3395,"")</f>
        <v/>
      </c>
      <c r="Q3395" t="str">
        <f t="shared" ref="Q3395:Q3458" si="299">IF(L3395=TRUE,OR(H3395="Apex Solutions Inc",H3395="Global Trade Partners",H3395="NovaTech Services"),"")</f>
        <v/>
      </c>
    </row>
    <row r="3396" spans="1:17" hidden="1">
      <c r="A3396" t="s">
        <v>3501</v>
      </c>
      <c r="B3396" s="1">
        <v>45375</v>
      </c>
      <c r="C3396">
        <v>2024</v>
      </c>
      <c r="D3396">
        <v>3</v>
      </c>
      <c r="E3396" t="s">
        <v>13</v>
      </c>
      <c r="F3396" t="s">
        <v>24</v>
      </c>
      <c r="G3396" t="s">
        <v>108</v>
      </c>
      <c r="H3396" t="s">
        <v>123</v>
      </c>
      <c r="I3396">
        <v>3629.89</v>
      </c>
      <c r="J3396">
        <v>3432</v>
      </c>
      <c r="K3396" t="s">
        <v>17</v>
      </c>
      <c r="L3396" t="b">
        <v>0</v>
      </c>
      <c r="N3396" s="2" t="str">
        <f t="shared" si="298"/>
        <v/>
      </c>
      <c r="Q3396" t="str">
        <f t="shared" si="299"/>
        <v/>
      </c>
    </row>
    <row r="3397" spans="1:17" hidden="1">
      <c r="A3397" t="s">
        <v>3502</v>
      </c>
      <c r="B3397" s="1">
        <v>45375</v>
      </c>
      <c r="C3397">
        <v>2024</v>
      </c>
      <c r="D3397">
        <v>3</v>
      </c>
      <c r="E3397" t="s">
        <v>13</v>
      </c>
      <c r="F3397" t="s">
        <v>24</v>
      </c>
      <c r="G3397" t="s">
        <v>15</v>
      </c>
      <c r="H3397" t="s">
        <v>45</v>
      </c>
      <c r="I3397">
        <v>3439.08</v>
      </c>
      <c r="J3397">
        <v>3149.96</v>
      </c>
      <c r="K3397" t="s">
        <v>17</v>
      </c>
      <c r="L3397" t="b">
        <v>0</v>
      </c>
      <c r="N3397" s="2" t="str">
        <f t="shared" si="298"/>
        <v/>
      </c>
      <c r="Q3397" t="str">
        <f t="shared" si="299"/>
        <v/>
      </c>
    </row>
    <row r="3398" spans="1:17" hidden="1">
      <c r="A3398" t="s">
        <v>3503</v>
      </c>
      <c r="B3398" s="1">
        <v>45375</v>
      </c>
      <c r="C3398">
        <v>2024</v>
      </c>
      <c r="D3398">
        <v>3</v>
      </c>
      <c r="E3398" t="s">
        <v>47</v>
      </c>
      <c r="F3398" t="s">
        <v>28</v>
      </c>
      <c r="G3398" t="s">
        <v>51</v>
      </c>
      <c r="H3398" t="s">
        <v>72</v>
      </c>
      <c r="I3398">
        <v>9875.0400000000009</v>
      </c>
      <c r="J3398">
        <v>8445.92</v>
      </c>
      <c r="K3398" t="s">
        <v>17</v>
      </c>
      <c r="L3398" t="b">
        <v>0</v>
      </c>
      <c r="N3398" s="2" t="b">
        <f t="shared" si="298"/>
        <v>1</v>
      </c>
      <c r="O3398" t="str">
        <f t="shared" ref="O3398:O3399" si="300">IF(AND(E3387="HR",K3387="EXPENSE"),I3387&lt;J3387,"")</f>
        <v/>
      </c>
      <c r="Q3398" t="str">
        <f t="shared" si="299"/>
        <v/>
      </c>
    </row>
    <row r="3399" spans="1:17" hidden="1">
      <c r="A3399" t="s">
        <v>3504</v>
      </c>
      <c r="B3399" s="1">
        <v>45375</v>
      </c>
      <c r="C3399">
        <v>2024</v>
      </c>
      <c r="D3399">
        <v>3</v>
      </c>
      <c r="E3399" t="s">
        <v>47</v>
      </c>
      <c r="F3399" t="s">
        <v>24</v>
      </c>
      <c r="G3399" t="s">
        <v>51</v>
      </c>
      <c r="H3399" t="s">
        <v>72</v>
      </c>
      <c r="I3399">
        <v>16995.830000000002</v>
      </c>
      <c r="J3399">
        <v>14123.22</v>
      </c>
      <c r="K3399" t="s">
        <v>17</v>
      </c>
      <c r="L3399" t="b">
        <v>0</v>
      </c>
      <c r="N3399" s="2" t="b">
        <f t="shared" si="298"/>
        <v>1</v>
      </c>
      <c r="O3399" t="str">
        <f t="shared" si="300"/>
        <v/>
      </c>
      <c r="Q3399" t="str">
        <f t="shared" si="299"/>
        <v/>
      </c>
    </row>
    <row r="3400" spans="1:17" hidden="1">
      <c r="A3400" t="s">
        <v>3505</v>
      </c>
      <c r="B3400" s="1">
        <v>45375</v>
      </c>
      <c r="C3400">
        <v>2024</v>
      </c>
      <c r="D3400">
        <v>3</v>
      </c>
      <c r="E3400" t="s">
        <v>19</v>
      </c>
      <c r="F3400" t="s">
        <v>28</v>
      </c>
      <c r="G3400" t="s">
        <v>80</v>
      </c>
      <c r="H3400" t="s">
        <v>113</v>
      </c>
      <c r="I3400">
        <v>3717.56</v>
      </c>
      <c r="J3400">
        <v>3390.47</v>
      </c>
      <c r="K3400" t="s">
        <v>17</v>
      </c>
      <c r="L3400" t="b">
        <v>0</v>
      </c>
      <c r="N3400" s="2" t="str">
        <f t="shared" si="298"/>
        <v/>
      </c>
      <c r="Q3400" t="str">
        <f t="shared" si="299"/>
        <v/>
      </c>
    </row>
    <row r="3401" spans="1:17" hidden="1">
      <c r="A3401" t="s">
        <v>3506</v>
      </c>
      <c r="B3401" s="1">
        <v>45375</v>
      </c>
      <c r="C3401">
        <v>2024</v>
      </c>
      <c r="D3401">
        <v>3</v>
      </c>
      <c r="E3401" t="s">
        <v>19</v>
      </c>
      <c r="F3401" t="s">
        <v>24</v>
      </c>
      <c r="G3401" t="s">
        <v>20</v>
      </c>
      <c r="H3401" t="s">
        <v>136</v>
      </c>
      <c r="I3401">
        <v>5970.66</v>
      </c>
      <c r="J3401">
        <v>5454.55</v>
      </c>
      <c r="K3401" t="s">
        <v>17</v>
      </c>
      <c r="L3401" t="b">
        <v>0</v>
      </c>
      <c r="N3401" s="2" t="str">
        <f t="shared" si="298"/>
        <v/>
      </c>
      <c r="Q3401" t="str">
        <f t="shared" si="299"/>
        <v/>
      </c>
    </row>
    <row r="3402" spans="1:17" hidden="1">
      <c r="A3402" t="s">
        <v>3507</v>
      </c>
      <c r="B3402" s="1">
        <v>45375</v>
      </c>
      <c r="C3402">
        <v>2024</v>
      </c>
      <c r="D3402">
        <v>3</v>
      </c>
      <c r="E3402" t="s">
        <v>19</v>
      </c>
      <c r="F3402" t="s">
        <v>24</v>
      </c>
      <c r="G3402" t="s">
        <v>54</v>
      </c>
      <c r="H3402" t="s">
        <v>163</v>
      </c>
      <c r="I3402">
        <v>4741.1099999999997</v>
      </c>
      <c r="J3402">
        <v>4635.41</v>
      </c>
      <c r="K3402" t="s">
        <v>17</v>
      </c>
      <c r="L3402" t="b">
        <v>0</v>
      </c>
      <c r="N3402" s="2" t="str">
        <f t="shared" si="298"/>
        <v/>
      </c>
      <c r="Q3402" t="str">
        <f t="shared" si="299"/>
        <v/>
      </c>
    </row>
    <row r="3403" spans="1:17" hidden="1">
      <c r="A3403" t="s">
        <v>3508</v>
      </c>
      <c r="B3403" s="1">
        <v>45375</v>
      </c>
      <c r="C3403">
        <v>2024</v>
      </c>
      <c r="D3403">
        <v>3</v>
      </c>
      <c r="E3403" t="s">
        <v>23</v>
      </c>
      <c r="F3403" t="s">
        <v>14</v>
      </c>
      <c r="G3403" t="s">
        <v>30</v>
      </c>
      <c r="H3403" t="s">
        <v>31</v>
      </c>
      <c r="I3403">
        <v>5264.48</v>
      </c>
      <c r="J3403">
        <v>5096.42</v>
      </c>
      <c r="K3403" t="s">
        <v>17</v>
      </c>
      <c r="L3403" t="b">
        <v>0</v>
      </c>
      <c r="N3403" s="2" t="str">
        <f t="shared" si="298"/>
        <v/>
      </c>
      <c r="Q3403" t="str">
        <f t="shared" si="299"/>
        <v/>
      </c>
    </row>
    <row r="3404" spans="1:17" hidden="1">
      <c r="A3404" t="s">
        <v>3509</v>
      </c>
      <c r="B3404" s="1">
        <v>45375</v>
      </c>
      <c r="C3404">
        <v>2024</v>
      </c>
      <c r="D3404">
        <v>3</v>
      </c>
      <c r="E3404" t="s">
        <v>23</v>
      </c>
      <c r="F3404" t="s">
        <v>28</v>
      </c>
      <c r="G3404" t="s">
        <v>30</v>
      </c>
      <c r="H3404" t="s">
        <v>31</v>
      </c>
      <c r="I3404">
        <v>9506.9599999999991</v>
      </c>
      <c r="J3404">
        <v>9101.32</v>
      </c>
      <c r="K3404" t="s">
        <v>17</v>
      </c>
      <c r="L3404" t="b">
        <v>0</v>
      </c>
      <c r="N3404" s="2" t="str">
        <f t="shared" si="298"/>
        <v/>
      </c>
      <c r="Q3404" t="str">
        <f t="shared" si="299"/>
        <v/>
      </c>
    </row>
    <row r="3405" spans="1:17" hidden="1">
      <c r="A3405" t="s">
        <v>3510</v>
      </c>
      <c r="B3405" s="1">
        <v>45375</v>
      </c>
      <c r="C3405">
        <v>2024</v>
      </c>
      <c r="D3405">
        <v>3</v>
      </c>
      <c r="E3405" t="s">
        <v>37</v>
      </c>
      <c r="F3405" t="s">
        <v>28</v>
      </c>
      <c r="G3405" t="s">
        <v>62</v>
      </c>
      <c r="H3405" t="s">
        <v>63</v>
      </c>
      <c r="I3405">
        <v>4137.88</v>
      </c>
      <c r="J3405">
        <v>4118.54</v>
      </c>
      <c r="K3405" t="s">
        <v>17</v>
      </c>
      <c r="L3405" t="b">
        <v>0</v>
      </c>
      <c r="N3405" s="2" t="str">
        <f t="shared" si="298"/>
        <v/>
      </c>
      <c r="Q3405" t="str">
        <f t="shared" si="299"/>
        <v/>
      </c>
    </row>
    <row r="3406" spans="1:17" hidden="1">
      <c r="A3406" t="s">
        <v>3511</v>
      </c>
      <c r="B3406" s="1">
        <v>45376</v>
      </c>
      <c r="C3406">
        <v>2024</v>
      </c>
      <c r="D3406">
        <v>3</v>
      </c>
      <c r="E3406" t="s">
        <v>13</v>
      </c>
      <c r="F3406" t="s">
        <v>24</v>
      </c>
      <c r="G3406" t="s">
        <v>102</v>
      </c>
      <c r="H3406" t="s">
        <v>103</v>
      </c>
      <c r="I3406">
        <v>3154.82</v>
      </c>
      <c r="J3406">
        <v>3256.74</v>
      </c>
      <c r="K3406" t="s">
        <v>17</v>
      </c>
      <c r="L3406" t="b">
        <v>0</v>
      </c>
      <c r="N3406" s="2" t="str">
        <f t="shared" si="298"/>
        <v/>
      </c>
      <c r="Q3406" t="str">
        <f t="shared" si="299"/>
        <v/>
      </c>
    </row>
    <row r="3407" spans="1:17" hidden="1">
      <c r="A3407" t="s">
        <v>3512</v>
      </c>
      <c r="B3407" s="1">
        <v>45376</v>
      </c>
      <c r="C3407">
        <v>2024</v>
      </c>
      <c r="D3407">
        <v>3</v>
      </c>
      <c r="E3407" t="s">
        <v>47</v>
      </c>
      <c r="F3407" t="s">
        <v>14</v>
      </c>
      <c r="G3407" t="s">
        <v>77</v>
      </c>
      <c r="H3407" t="s">
        <v>78</v>
      </c>
      <c r="I3407">
        <v>10254.34</v>
      </c>
      <c r="J3407">
        <v>8824.91</v>
      </c>
      <c r="K3407" t="s">
        <v>17</v>
      </c>
      <c r="L3407" t="b">
        <v>0</v>
      </c>
      <c r="N3407" s="2" t="b">
        <f t="shared" si="298"/>
        <v>1</v>
      </c>
      <c r="O3407" t="b">
        <f t="shared" ref="O3407:O3410" si="301">IF(AND(E3396="HR",K3396="EXPENSE"),I3396&lt;J3396,"")</f>
        <v>0</v>
      </c>
      <c r="Q3407" t="str">
        <f t="shared" si="299"/>
        <v/>
      </c>
    </row>
    <row r="3408" spans="1:17" hidden="1">
      <c r="A3408" t="s">
        <v>3513</v>
      </c>
      <c r="B3408" s="1">
        <v>45376</v>
      </c>
      <c r="C3408">
        <v>2024</v>
      </c>
      <c r="D3408">
        <v>3</v>
      </c>
      <c r="E3408" t="s">
        <v>47</v>
      </c>
      <c r="F3408" t="s">
        <v>14</v>
      </c>
      <c r="G3408" t="s">
        <v>48</v>
      </c>
      <c r="H3408" t="s">
        <v>189</v>
      </c>
      <c r="I3408">
        <v>14358.43</v>
      </c>
      <c r="J3408">
        <v>11983.71</v>
      </c>
      <c r="K3408" t="s">
        <v>17</v>
      </c>
      <c r="L3408" t="b">
        <v>0</v>
      </c>
      <c r="N3408" s="2" t="b">
        <f t="shared" si="298"/>
        <v>1</v>
      </c>
      <c r="O3408" t="b">
        <f t="shared" si="301"/>
        <v>0</v>
      </c>
      <c r="Q3408" t="str">
        <f t="shared" si="299"/>
        <v/>
      </c>
    </row>
    <row r="3409" spans="1:17" hidden="1">
      <c r="A3409" t="s">
        <v>3514</v>
      </c>
      <c r="B3409" s="1">
        <v>45376</v>
      </c>
      <c r="C3409">
        <v>2024</v>
      </c>
      <c r="D3409">
        <v>3</v>
      </c>
      <c r="E3409" t="s">
        <v>47</v>
      </c>
      <c r="F3409" t="s">
        <v>28</v>
      </c>
      <c r="G3409" t="s">
        <v>91</v>
      </c>
      <c r="H3409" t="s">
        <v>249</v>
      </c>
      <c r="I3409">
        <v>8003.39</v>
      </c>
      <c r="J3409">
        <v>6847.52</v>
      </c>
      <c r="K3409" t="s">
        <v>17</v>
      </c>
      <c r="L3409" t="b">
        <v>0</v>
      </c>
      <c r="N3409" s="2" t="b">
        <f t="shared" si="298"/>
        <v>1</v>
      </c>
      <c r="O3409" t="str">
        <f t="shared" si="301"/>
        <v/>
      </c>
      <c r="Q3409" t="str">
        <f t="shared" si="299"/>
        <v/>
      </c>
    </row>
    <row r="3410" spans="1:17" hidden="1">
      <c r="A3410" t="s">
        <v>3515</v>
      </c>
      <c r="B3410" s="1">
        <v>45376</v>
      </c>
      <c r="C3410">
        <v>2024</v>
      </c>
      <c r="D3410">
        <v>3</v>
      </c>
      <c r="E3410" t="s">
        <v>47</v>
      </c>
      <c r="F3410" t="s">
        <v>24</v>
      </c>
      <c r="G3410" t="s">
        <v>51</v>
      </c>
      <c r="H3410" t="s">
        <v>52</v>
      </c>
      <c r="I3410">
        <v>21981.89</v>
      </c>
      <c r="J3410">
        <v>18936.39</v>
      </c>
      <c r="K3410" t="s">
        <v>17</v>
      </c>
      <c r="L3410" t="b">
        <v>0</v>
      </c>
      <c r="N3410" s="2" t="b">
        <f t="shared" si="298"/>
        <v>1</v>
      </c>
      <c r="O3410" t="str">
        <f t="shared" si="301"/>
        <v/>
      </c>
      <c r="Q3410" t="str">
        <f t="shared" si="299"/>
        <v/>
      </c>
    </row>
    <row r="3411" spans="1:17" hidden="1">
      <c r="A3411" t="s">
        <v>3516</v>
      </c>
      <c r="B3411" s="1">
        <v>45376</v>
      </c>
      <c r="C3411">
        <v>2024</v>
      </c>
      <c r="D3411">
        <v>3</v>
      </c>
      <c r="E3411" t="s">
        <v>19</v>
      </c>
      <c r="F3411" t="s">
        <v>24</v>
      </c>
      <c r="G3411" t="s">
        <v>54</v>
      </c>
      <c r="H3411" t="s">
        <v>163</v>
      </c>
      <c r="I3411">
        <v>3937.67</v>
      </c>
      <c r="J3411">
        <v>3682.58</v>
      </c>
      <c r="K3411" t="s">
        <v>17</v>
      </c>
      <c r="L3411" t="b">
        <v>0</v>
      </c>
      <c r="N3411" s="2" t="str">
        <f t="shared" si="298"/>
        <v/>
      </c>
      <c r="Q3411" t="str">
        <f t="shared" si="299"/>
        <v/>
      </c>
    </row>
    <row r="3412" spans="1:17" hidden="1">
      <c r="A3412" t="s">
        <v>3517</v>
      </c>
      <c r="B3412" s="1">
        <v>45376</v>
      </c>
      <c r="C3412">
        <v>2024</v>
      </c>
      <c r="D3412">
        <v>3</v>
      </c>
      <c r="E3412" t="s">
        <v>23</v>
      </c>
      <c r="F3412" t="s">
        <v>14</v>
      </c>
      <c r="G3412" t="s">
        <v>141</v>
      </c>
      <c r="H3412" t="s">
        <v>209</v>
      </c>
      <c r="I3412">
        <v>6625.19</v>
      </c>
      <c r="J3412">
        <v>6923.21</v>
      </c>
      <c r="K3412" t="s">
        <v>17</v>
      </c>
      <c r="L3412" t="b">
        <v>0</v>
      </c>
      <c r="N3412" s="2" t="str">
        <f t="shared" si="298"/>
        <v/>
      </c>
      <c r="Q3412" t="str">
        <f t="shared" si="299"/>
        <v/>
      </c>
    </row>
    <row r="3413" spans="1:17" hidden="1">
      <c r="A3413" t="s">
        <v>3518</v>
      </c>
      <c r="B3413" s="1">
        <v>45376</v>
      </c>
      <c r="C3413">
        <v>2024</v>
      </c>
      <c r="D3413">
        <v>3</v>
      </c>
      <c r="E3413" t="s">
        <v>23</v>
      </c>
      <c r="F3413" t="s">
        <v>24</v>
      </c>
      <c r="G3413" t="s">
        <v>59</v>
      </c>
      <c r="H3413" t="s">
        <v>60</v>
      </c>
      <c r="I3413">
        <v>3729.97</v>
      </c>
      <c r="J3413">
        <v>3465.36</v>
      </c>
      <c r="K3413" t="s">
        <v>17</v>
      </c>
      <c r="L3413" t="b">
        <v>0</v>
      </c>
      <c r="N3413" s="2" t="str">
        <f t="shared" si="298"/>
        <v/>
      </c>
      <c r="Q3413" t="str">
        <f t="shared" si="299"/>
        <v/>
      </c>
    </row>
    <row r="3414" spans="1:17" hidden="1">
      <c r="A3414" t="s">
        <v>3519</v>
      </c>
      <c r="B3414" s="1">
        <v>45376</v>
      </c>
      <c r="C3414">
        <v>2024</v>
      </c>
      <c r="D3414">
        <v>3</v>
      </c>
      <c r="E3414" t="s">
        <v>37</v>
      </c>
      <c r="F3414" t="s">
        <v>28</v>
      </c>
      <c r="G3414" t="s">
        <v>62</v>
      </c>
      <c r="H3414" t="s">
        <v>66</v>
      </c>
      <c r="I3414">
        <v>7310.76</v>
      </c>
      <c r="J3414">
        <v>7407.91</v>
      </c>
      <c r="K3414" t="s">
        <v>17</v>
      </c>
      <c r="L3414" t="b">
        <v>0</v>
      </c>
      <c r="N3414" s="2" t="str">
        <f t="shared" si="298"/>
        <v/>
      </c>
      <c r="Q3414" t="str">
        <f t="shared" si="299"/>
        <v/>
      </c>
    </row>
    <row r="3415" spans="1:17" hidden="1">
      <c r="A3415" t="s">
        <v>3520</v>
      </c>
      <c r="B3415" s="1">
        <v>45377</v>
      </c>
      <c r="C3415">
        <v>2024</v>
      </c>
      <c r="D3415">
        <v>3</v>
      </c>
      <c r="E3415" t="s">
        <v>13</v>
      </c>
      <c r="F3415" t="s">
        <v>28</v>
      </c>
      <c r="G3415" t="s">
        <v>108</v>
      </c>
      <c r="H3415" t="s">
        <v>109</v>
      </c>
      <c r="I3415">
        <v>3888.43</v>
      </c>
      <c r="J3415">
        <v>4035.95</v>
      </c>
      <c r="K3415" t="s">
        <v>17</v>
      </c>
      <c r="L3415" t="b">
        <v>0</v>
      </c>
      <c r="N3415" s="2" t="str">
        <f t="shared" si="298"/>
        <v/>
      </c>
      <c r="Q3415" t="str">
        <f t="shared" si="299"/>
        <v/>
      </c>
    </row>
    <row r="3416" spans="1:17" hidden="1">
      <c r="A3416" t="s">
        <v>3521</v>
      </c>
      <c r="B3416" s="1">
        <v>45377</v>
      </c>
      <c r="C3416">
        <v>2024</v>
      </c>
      <c r="D3416">
        <v>3</v>
      </c>
      <c r="E3416" t="s">
        <v>47</v>
      </c>
      <c r="F3416" t="s">
        <v>24</v>
      </c>
      <c r="G3416" t="s">
        <v>77</v>
      </c>
      <c r="H3416" t="s">
        <v>130</v>
      </c>
      <c r="I3416">
        <v>16396.490000000002</v>
      </c>
      <c r="J3416">
        <v>13962.26</v>
      </c>
      <c r="K3416" t="s">
        <v>17</v>
      </c>
      <c r="L3416" t="b">
        <v>0</v>
      </c>
      <c r="N3416" s="2" t="b">
        <f t="shared" si="298"/>
        <v>1</v>
      </c>
      <c r="O3416" t="str">
        <f t="shared" ref="O3416:O3417" si="302">IF(AND(E3405="HR",K3405="EXPENSE"),I3405&lt;J3405,"")</f>
        <v/>
      </c>
      <c r="Q3416" t="str">
        <f t="shared" si="299"/>
        <v/>
      </c>
    </row>
    <row r="3417" spans="1:17" hidden="1">
      <c r="A3417" t="s">
        <v>3522</v>
      </c>
      <c r="B3417" s="1">
        <v>45377</v>
      </c>
      <c r="C3417">
        <v>2024</v>
      </c>
      <c r="D3417">
        <v>3</v>
      </c>
      <c r="E3417" t="s">
        <v>47</v>
      </c>
      <c r="F3417" t="s">
        <v>24</v>
      </c>
      <c r="G3417" t="s">
        <v>48</v>
      </c>
      <c r="H3417" t="s">
        <v>75</v>
      </c>
      <c r="I3417">
        <v>15068.07</v>
      </c>
      <c r="J3417">
        <v>12449.21</v>
      </c>
      <c r="K3417" t="s">
        <v>17</v>
      </c>
      <c r="L3417" t="b">
        <v>0</v>
      </c>
      <c r="N3417" s="2" t="b">
        <f t="shared" si="298"/>
        <v>1</v>
      </c>
      <c r="O3417" t="b">
        <f t="shared" si="302"/>
        <v>1</v>
      </c>
      <c r="Q3417" t="str">
        <f t="shared" si="299"/>
        <v/>
      </c>
    </row>
    <row r="3418" spans="1:17" hidden="1">
      <c r="A3418" t="s">
        <v>3523</v>
      </c>
      <c r="B3418" s="1">
        <v>45377</v>
      </c>
      <c r="C3418">
        <v>2024</v>
      </c>
      <c r="D3418">
        <v>3</v>
      </c>
      <c r="E3418" t="s">
        <v>19</v>
      </c>
      <c r="F3418" t="s">
        <v>14</v>
      </c>
      <c r="G3418" t="s">
        <v>54</v>
      </c>
      <c r="H3418" t="s">
        <v>163</v>
      </c>
      <c r="I3418">
        <v>4954.12</v>
      </c>
      <c r="J3418">
        <v>5260.26</v>
      </c>
      <c r="K3418" t="s">
        <v>17</v>
      </c>
      <c r="L3418" t="b">
        <v>0</v>
      </c>
      <c r="N3418" s="2" t="str">
        <f t="shared" si="298"/>
        <v/>
      </c>
      <c r="Q3418" t="str">
        <f t="shared" si="299"/>
        <v/>
      </c>
    </row>
    <row r="3419" spans="1:17" hidden="1">
      <c r="A3419" t="s">
        <v>3524</v>
      </c>
      <c r="B3419" s="1">
        <v>45378</v>
      </c>
      <c r="C3419">
        <v>2024</v>
      </c>
      <c r="D3419">
        <v>3</v>
      </c>
      <c r="E3419" t="s">
        <v>13</v>
      </c>
      <c r="F3419" t="s">
        <v>28</v>
      </c>
      <c r="G3419" t="s">
        <v>102</v>
      </c>
      <c r="H3419" t="s">
        <v>278</v>
      </c>
      <c r="I3419">
        <v>3839.25</v>
      </c>
      <c r="J3419">
        <v>3991.38</v>
      </c>
      <c r="K3419" t="s">
        <v>17</v>
      </c>
      <c r="L3419" t="b">
        <v>0</v>
      </c>
      <c r="N3419" s="2" t="str">
        <f t="shared" si="298"/>
        <v/>
      </c>
      <c r="Q3419" t="str">
        <f t="shared" si="299"/>
        <v/>
      </c>
    </row>
    <row r="3420" spans="1:17" hidden="1">
      <c r="A3420" t="s">
        <v>3525</v>
      </c>
      <c r="B3420" s="1">
        <v>45378</v>
      </c>
      <c r="C3420">
        <v>2024</v>
      </c>
      <c r="D3420">
        <v>3</v>
      </c>
      <c r="E3420" t="s">
        <v>13</v>
      </c>
      <c r="F3420" t="s">
        <v>24</v>
      </c>
      <c r="G3420" t="s">
        <v>102</v>
      </c>
      <c r="H3420" t="s">
        <v>103</v>
      </c>
      <c r="I3420">
        <v>3672.82</v>
      </c>
      <c r="J3420">
        <v>3687.14</v>
      </c>
      <c r="K3420" t="s">
        <v>17</v>
      </c>
      <c r="L3420" t="b">
        <v>0</v>
      </c>
      <c r="N3420" s="2" t="str">
        <f t="shared" si="298"/>
        <v/>
      </c>
      <c r="Q3420" t="str">
        <f t="shared" si="299"/>
        <v/>
      </c>
    </row>
    <row r="3421" spans="1:17" hidden="1">
      <c r="A3421" t="s">
        <v>3526</v>
      </c>
      <c r="B3421" s="1">
        <v>45378</v>
      </c>
      <c r="C3421">
        <v>2024</v>
      </c>
      <c r="D3421">
        <v>3</v>
      </c>
      <c r="E3421" t="s">
        <v>47</v>
      </c>
      <c r="F3421" t="s">
        <v>28</v>
      </c>
      <c r="G3421" t="s">
        <v>48</v>
      </c>
      <c r="H3421" t="s">
        <v>191</v>
      </c>
      <c r="I3421">
        <v>14700.85</v>
      </c>
      <c r="J3421">
        <v>12499.07</v>
      </c>
      <c r="K3421" t="s">
        <v>17</v>
      </c>
      <c r="L3421" t="b">
        <v>0</v>
      </c>
      <c r="N3421" s="2" t="b">
        <f t="shared" si="298"/>
        <v>1</v>
      </c>
      <c r="O3421" t="str">
        <f t="shared" ref="O3421:O3424" si="303">IF(AND(E3410="HR",K3410="EXPENSE"),I3410&lt;J3410,"")</f>
        <v/>
      </c>
      <c r="Q3421" t="str">
        <f t="shared" si="299"/>
        <v/>
      </c>
    </row>
    <row r="3422" spans="1:17" hidden="1">
      <c r="A3422" t="s">
        <v>3527</v>
      </c>
      <c r="B3422" s="1">
        <v>45378</v>
      </c>
      <c r="C3422">
        <v>2024</v>
      </c>
      <c r="D3422">
        <v>3</v>
      </c>
      <c r="E3422" t="s">
        <v>47</v>
      </c>
      <c r="F3422" t="s">
        <v>28</v>
      </c>
      <c r="G3422" t="s">
        <v>91</v>
      </c>
      <c r="H3422" t="s">
        <v>92</v>
      </c>
      <c r="I3422">
        <v>8535.4</v>
      </c>
      <c r="J3422">
        <v>7390.66</v>
      </c>
      <c r="K3422" t="s">
        <v>17</v>
      </c>
      <c r="L3422" t="b">
        <v>0</v>
      </c>
      <c r="N3422" s="2" t="b">
        <f t="shared" si="298"/>
        <v>1</v>
      </c>
      <c r="O3422" t="str">
        <f t="shared" si="303"/>
        <v/>
      </c>
      <c r="Q3422" t="str">
        <f t="shared" si="299"/>
        <v/>
      </c>
    </row>
    <row r="3423" spans="1:17" hidden="1">
      <c r="A3423" t="s">
        <v>3528</v>
      </c>
      <c r="B3423" s="1">
        <v>45378</v>
      </c>
      <c r="C3423">
        <v>2024</v>
      </c>
      <c r="D3423">
        <v>3</v>
      </c>
      <c r="E3423" t="s">
        <v>47</v>
      </c>
      <c r="F3423" t="s">
        <v>24</v>
      </c>
      <c r="G3423" t="s">
        <v>77</v>
      </c>
      <c r="H3423" t="s">
        <v>130</v>
      </c>
      <c r="I3423">
        <v>11493.1</v>
      </c>
      <c r="J3423">
        <v>9956.7000000000007</v>
      </c>
      <c r="K3423" t="s">
        <v>17</v>
      </c>
      <c r="L3423" t="b">
        <v>0</v>
      </c>
      <c r="N3423" s="2" t="b">
        <f t="shared" si="298"/>
        <v>1</v>
      </c>
      <c r="O3423" t="str">
        <f t="shared" si="303"/>
        <v/>
      </c>
      <c r="Q3423" t="str">
        <f t="shared" si="299"/>
        <v/>
      </c>
    </row>
    <row r="3424" spans="1:17" hidden="1">
      <c r="A3424" t="s">
        <v>3529</v>
      </c>
      <c r="B3424" s="1">
        <v>45378</v>
      </c>
      <c r="C3424">
        <v>2024</v>
      </c>
      <c r="D3424">
        <v>3</v>
      </c>
      <c r="E3424" t="s">
        <v>47</v>
      </c>
      <c r="F3424" t="s">
        <v>24</v>
      </c>
      <c r="G3424" t="s">
        <v>77</v>
      </c>
      <c r="H3424" t="s">
        <v>78</v>
      </c>
      <c r="I3424">
        <v>15747.03</v>
      </c>
      <c r="J3424">
        <v>12976.47</v>
      </c>
      <c r="K3424" t="s">
        <v>17</v>
      </c>
      <c r="L3424" t="b">
        <v>0</v>
      </c>
      <c r="N3424" s="2" t="b">
        <f t="shared" si="298"/>
        <v>1</v>
      </c>
      <c r="O3424" t="str">
        <f t="shared" si="303"/>
        <v/>
      </c>
      <c r="Q3424" t="str">
        <f t="shared" si="299"/>
        <v/>
      </c>
    </row>
    <row r="3425" spans="1:17" hidden="1">
      <c r="A3425" t="s">
        <v>3530</v>
      </c>
      <c r="B3425" s="1">
        <v>45378</v>
      </c>
      <c r="C3425">
        <v>2024</v>
      </c>
      <c r="D3425">
        <v>3</v>
      </c>
      <c r="E3425" t="s">
        <v>19</v>
      </c>
      <c r="F3425" t="s">
        <v>14</v>
      </c>
      <c r="G3425" t="s">
        <v>20</v>
      </c>
      <c r="H3425" t="s">
        <v>174</v>
      </c>
      <c r="I3425">
        <v>6205.26</v>
      </c>
      <c r="J3425">
        <v>6045.74</v>
      </c>
      <c r="K3425" t="s">
        <v>17</v>
      </c>
      <c r="L3425" t="b">
        <v>0</v>
      </c>
      <c r="N3425" s="2" t="str">
        <f t="shared" si="298"/>
        <v/>
      </c>
      <c r="Q3425" t="str">
        <f t="shared" si="299"/>
        <v/>
      </c>
    </row>
    <row r="3426" spans="1:17" hidden="1">
      <c r="A3426" t="s">
        <v>3531</v>
      </c>
      <c r="B3426" s="1">
        <v>45378</v>
      </c>
      <c r="C3426">
        <v>2024</v>
      </c>
      <c r="D3426">
        <v>3</v>
      </c>
      <c r="E3426" t="s">
        <v>37</v>
      </c>
      <c r="F3426" t="s">
        <v>14</v>
      </c>
      <c r="G3426" t="s">
        <v>41</v>
      </c>
      <c r="H3426" t="s">
        <v>42</v>
      </c>
      <c r="I3426">
        <v>3416.45</v>
      </c>
      <c r="J3426">
        <v>3218.22</v>
      </c>
      <c r="K3426" t="s">
        <v>17</v>
      </c>
      <c r="L3426" t="b">
        <v>0</v>
      </c>
      <c r="N3426" s="2" t="str">
        <f t="shared" si="298"/>
        <v/>
      </c>
      <c r="Q3426" t="str">
        <f t="shared" si="299"/>
        <v/>
      </c>
    </row>
    <row r="3427" spans="1:17" hidden="1">
      <c r="A3427" t="s">
        <v>3532</v>
      </c>
      <c r="B3427" s="1">
        <v>45378</v>
      </c>
      <c r="C3427">
        <v>2024</v>
      </c>
      <c r="D3427">
        <v>3</v>
      </c>
      <c r="E3427" t="s">
        <v>37</v>
      </c>
      <c r="F3427" t="s">
        <v>14</v>
      </c>
      <c r="G3427" t="s">
        <v>98</v>
      </c>
      <c r="H3427" t="s">
        <v>185</v>
      </c>
      <c r="I3427">
        <v>2994.11</v>
      </c>
      <c r="J3427">
        <v>2989.24</v>
      </c>
      <c r="K3427" t="s">
        <v>17</v>
      </c>
      <c r="L3427" t="b">
        <v>0</v>
      </c>
      <c r="N3427" s="2" t="str">
        <f t="shared" si="298"/>
        <v/>
      </c>
      <c r="Q3427" t="str">
        <f t="shared" si="299"/>
        <v/>
      </c>
    </row>
    <row r="3428" spans="1:17" hidden="1">
      <c r="A3428" t="s">
        <v>3533</v>
      </c>
      <c r="B3428" s="1">
        <v>45378</v>
      </c>
      <c r="C3428">
        <v>2024</v>
      </c>
      <c r="D3428">
        <v>3</v>
      </c>
      <c r="E3428" t="s">
        <v>37</v>
      </c>
      <c r="F3428" t="s">
        <v>28</v>
      </c>
      <c r="G3428" t="s">
        <v>62</v>
      </c>
      <c r="H3428" t="s">
        <v>121</v>
      </c>
      <c r="I3428">
        <v>4734.83</v>
      </c>
      <c r="J3428">
        <v>4643.5</v>
      </c>
      <c r="K3428" t="s">
        <v>17</v>
      </c>
      <c r="L3428" t="b">
        <v>0</v>
      </c>
      <c r="N3428" s="2" t="str">
        <f t="shared" si="298"/>
        <v/>
      </c>
      <c r="Q3428" t="str">
        <f t="shared" si="299"/>
        <v/>
      </c>
    </row>
    <row r="3429" spans="1:17" hidden="1">
      <c r="A3429" t="s">
        <v>3534</v>
      </c>
      <c r="B3429" s="1">
        <v>45379</v>
      </c>
      <c r="C3429">
        <v>2024</v>
      </c>
      <c r="D3429">
        <v>3</v>
      </c>
      <c r="E3429" t="s">
        <v>13</v>
      </c>
      <c r="F3429" t="s">
        <v>28</v>
      </c>
      <c r="G3429" t="s">
        <v>15</v>
      </c>
      <c r="H3429" t="s">
        <v>45</v>
      </c>
      <c r="I3429">
        <v>4560.8599999999997</v>
      </c>
      <c r="J3429">
        <v>4676.51</v>
      </c>
      <c r="K3429" t="s">
        <v>17</v>
      </c>
      <c r="L3429" t="b">
        <v>0</v>
      </c>
      <c r="N3429" s="2" t="str">
        <f t="shared" si="298"/>
        <v/>
      </c>
      <c r="Q3429" t="str">
        <f t="shared" si="299"/>
        <v/>
      </c>
    </row>
    <row r="3430" spans="1:17" hidden="1">
      <c r="A3430" t="s">
        <v>3535</v>
      </c>
      <c r="B3430" s="1">
        <v>45379</v>
      </c>
      <c r="C3430">
        <v>2024</v>
      </c>
      <c r="D3430">
        <v>3</v>
      </c>
      <c r="E3430" t="s">
        <v>13</v>
      </c>
      <c r="F3430" t="s">
        <v>28</v>
      </c>
      <c r="G3430" t="s">
        <v>108</v>
      </c>
      <c r="H3430" t="s">
        <v>126</v>
      </c>
      <c r="I3430">
        <v>3952.54</v>
      </c>
      <c r="J3430">
        <v>3727.75</v>
      </c>
      <c r="K3430" t="s">
        <v>17</v>
      </c>
      <c r="L3430" t="b">
        <v>0</v>
      </c>
      <c r="N3430" s="2" t="str">
        <f t="shared" si="298"/>
        <v/>
      </c>
      <c r="Q3430" t="str">
        <f t="shared" si="299"/>
        <v/>
      </c>
    </row>
    <row r="3431" spans="1:17" hidden="1">
      <c r="A3431" t="s">
        <v>3536</v>
      </c>
      <c r="B3431" s="1">
        <v>45379</v>
      </c>
      <c r="C3431">
        <v>2024</v>
      </c>
      <c r="D3431">
        <v>3</v>
      </c>
      <c r="E3431" t="s">
        <v>13</v>
      </c>
      <c r="F3431" t="s">
        <v>24</v>
      </c>
      <c r="G3431" t="s">
        <v>102</v>
      </c>
      <c r="H3431" t="s">
        <v>145</v>
      </c>
      <c r="I3431">
        <v>3365.59</v>
      </c>
      <c r="J3431">
        <v>3524.63</v>
      </c>
      <c r="K3431" t="s">
        <v>17</v>
      </c>
      <c r="L3431" t="b">
        <v>0</v>
      </c>
      <c r="N3431" s="2" t="str">
        <f t="shared" si="298"/>
        <v/>
      </c>
      <c r="Q3431" t="str">
        <f t="shared" si="299"/>
        <v/>
      </c>
    </row>
    <row r="3432" spans="1:17" hidden="1">
      <c r="A3432" t="s">
        <v>3537</v>
      </c>
      <c r="B3432" s="1">
        <v>45379</v>
      </c>
      <c r="C3432">
        <v>2024</v>
      </c>
      <c r="D3432">
        <v>3</v>
      </c>
      <c r="E3432" t="s">
        <v>47</v>
      </c>
      <c r="F3432" t="s">
        <v>14</v>
      </c>
      <c r="G3432" t="s">
        <v>51</v>
      </c>
      <c r="H3432" t="s">
        <v>52</v>
      </c>
      <c r="I3432">
        <v>13139.41</v>
      </c>
      <c r="J3432">
        <v>10783.63</v>
      </c>
      <c r="K3432" t="s">
        <v>17</v>
      </c>
      <c r="L3432" t="b">
        <v>0</v>
      </c>
      <c r="N3432" s="2" t="b">
        <f t="shared" si="298"/>
        <v>1</v>
      </c>
      <c r="O3432" t="str">
        <f t="shared" ref="O3432:O3433" si="304">IF(AND(E3421="HR",K3421="EXPENSE"),I3421&lt;J3421,"")</f>
        <v/>
      </c>
      <c r="Q3432" t="str">
        <f t="shared" si="299"/>
        <v/>
      </c>
    </row>
    <row r="3433" spans="1:17" hidden="1">
      <c r="A3433" t="s">
        <v>3538</v>
      </c>
      <c r="B3433" s="1">
        <v>45379</v>
      </c>
      <c r="C3433">
        <v>2024</v>
      </c>
      <c r="D3433">
        <v>3</v>
      </c>
      <c r="E3433" t="s">
        <v>47</v>
      </c>
      <c r="F3433" t="s">
        <v>24</v>
      </c>
      <c r="G3433" t="s">
        <v>48</v>
      </c>
      <c r="H3433" t="s">
        <v>191</v>
      </c>
      <c r="I3433">
        <v>21612.34</v>
      </c>
      <c r="J3433">
        <v>18072.38</v>
      </c>
      <c r="K3433" t="s">
        <v>17</v>
      </c>
      <c r="L3433" t="b">
        <v>0</v>
      </c>
      <c r="N3433" s="2" t="b">
        <f t="shared" si="298"/>
        <v>1</v>
      </c>
      <c r="O3433" t="str">
        <f t="shared" si="304"/>
        <v/>
      </c>
      <c r="Q3433" t="str">
        <f t="shared" si="299"/>
        <v/>
      </c>
    </row>
    <row r="3434" spans="1:17" hidden="1">
      <c r="A3434" t="s">
        <v>3539</v>
      </c>
      <c r="B3434" s="1">
        <v>45379</v>
      </c>
      <c r="C3434">
        <v>2024</v>
      </c>
      <c r="D3434">
        <v>3</v>
      </c>
      <c r="E3434" t="s">
        <v>19</v>
      </c>
      <c r="F3434" t="s">
        <v>28</v>
      </c>
      <c r="G3434" t="s">
        <v>20</v>
      </c>
      <c r="H3434" t="s">
        <v>21</v>
      </c>
      <c r="I3434">
        <v>8659.69</v>
      </c>
      <c r="J3434">
        <v>8101.11</v>
      </c>
      <c r="K3434" t="s">
        <v>17</v>
      </c>
      <c r="L3434" t="b">
        <v>0</v>
      </c>
      <c r="N3434" s="2" t="str">
        <f t="shared" si="298"/>
        <v/>
      </c>
      <c r="Q3434" t="str">
        <f t="shared" si="299"/>
        <v/>
      </c>
    </row>
    <row r="3435" spans="1:17" hidden="1">
      <c r="A3435" t="s">
        <v>3540</v>
      </c>
      <c r="B3435" s="1">
        <v>45379</v>
      </c>
      <c r="C3435">
        <v>2024</v>
      </c>
      <c r="D3435">
        <v>3</v>
      </c>
      <c r="E3435" t="s">
        <v>19</v>
      </c>
      <c r="F3435" t="s">
        <v>28</v>
      </c>
      <c r="G3435" t="s">
        <v>20</v>
      </c>
      <c r="H3435" t="s">
        <v>174</v>
      </c>
      <c r="I3435">
        <v>6594.06</v>
      </c>
      <c r="J3435">
        <v>6638.54</v>
      </c>
      <c r="K3435" t="s">
        <v>17</v>
      </c>
      <c r="L3435" t="b">
        <v>0</v>
      </c>
      <c r="N3435" s="2" t="str">
        <f t="shared" si="298"/>
        <v/>
      </c>
      <c r="Q3435" t="str">
        <f t="shared" si="299"/>
        <v/>
      </c>
    </row>
    <row r="3436" spans="1:17" hidden="1">
      <c r="A3436" t="s">
        <v>3541</v>
      </c>
      <c r="B3436" s="1">
        <v>45379</v>
      </c>
      <c r="C3436">
        <v>2024</v>
      </c>
      <c r="D3436">
        <v>3</v>
      </c>
      <c r="E3436" t="s">
        <v>37</v>
      </c>
      <c r="F3436" t="s">
        <v>24</v>
      </c>
      <c r="G3436" t="s">
        <v>98</v>
      </c>
      <c r="H3436" t="s">
        <v>99</v>
      </c>
      <c r="I3436">
        <v>7812.78</v>
      </c>
      <c r="J3436">
        <v>8469.36</v>
      </c>
      <c r="K3436" t="s">
        <v>17</v>
      </c>
      <c r="L3436" t="b">
        <v>0</v>
      </c>
      <c r="N3436" s="2" t="str">
        <f t="shared" si="298"/>
        <v/>
      </c>
      <c r="Q3436" t="str">
        <f t="shared" si="299"/>
        <v/>
      </c>
    </row>
    <row r="3437" spans="1:17" hidden="1">
      <c r="A3437" t="s">
        <v>3542</v>
      </c>
      <c r="B3437" s="1">
        <v>45380</v>
      </c>
      <c r="C3437">
        <v>2024</v>
      </c>
      <c r="D3437">
        <v>3</v>
      </c>
      <c r="E3437" t="s">
        <v>13</v>
      </c>
      <c r="F3437" t="s">
        <v>14</v>
      </c>
      <c r="G3437" t="s">
        <v>102</v>
      </c>
      <c r="H3437" t="s">
        <v>278</v>
      </c>
      <c r="I3437">
        <v>4164.96</v>
      </c>
      <c r="J3437">
        <v>3926.98</v>
      </c>
      <c r="K3437" t="s">
        <v>17</v>
      </c>
      <c r="L3437" t="b">
        <v>0</v>
      </c>
      <c r="N3437" s="2" t="str">
        <f t="shared" si="298"/>
        <v/>
      </c>
      <c r="Q3437" t="str">
        <f t="shared" si="299"/>
        <v/>
      </c>
    </row>
    <row r="3438" spans="1:17" hidden="1">
      <c r="A3438" t="s">
        <v>3543</v>
      </c>
      <c r="B3438" s="1">
        <v>45380</v>
      </c>
      <c r="C3438">
        <v>2024</v>
      </c>
      <c r="D3438">
        <v>3</v>
      </c>
      <c r="E3438" t="s">
        <v>47</v>
      </c>
      <c r="F3438" t="s">
        <v>14</v>
      </c>
      <c r="G3438" t="s">
        <v>91</v>
      </c>
      <c r="H3438" t="s">
        <v>254</v>
      </c>
      <c r="I3438">
        <v>12938.61</v>
      </c>
      <c r="J3438">
        <v>11043.04</v>
      </c>
      <c r="K3438" t="s">
        <v>17</v>
      </c>
      <c r="L3438" t="b">
        <v>0</v>
      </c>
      <c r="N3438" s="2" t="b">
        <f t="shared" si="298"/>
        <v>1</v>
      </c>
      <c r="O3438" t="str">
        <f>IF(AND(E3427="HR",K3427="EXPENSE"),I3427&lt;J3427,"")</f>
        <v/>
      </c>
      <c r="Q3438" t="str">
        <f t="shared" si="299"/>
        <v/>
      </c>
    </row>
    <row r="3439" spans="1:17" hidden="1">
      <c r="A3439" t="s">
        <v>3544</v>
      </c>
      <c r="B3439" s="1">
        <v>45380</v>
      </c>
      <c r="C3439">
        <v>2024</v>
      </c>
      <c r="D3439">
        <v>3</v>
      </c>
      <c r="E3439" t="s">
        <v>19</v>
      </c>
      <c r="F3439" t="s">
        <v>24</v>
      </c>
      <c r="G3439" t="s">
        <v>132</v>
      </c>
      <c r="H3439" t="s">
        <v>171</v>
      </c>
      <c r="I3439">
        <v>9692.86</v>
      </c>
      <c r="J3439">
        <v>10522.38</v>
      </c>
      <c r="K3439" t="s">
        <v>17</v>
      </c>
      <c r="L3439" t="b">
        <v>0</v>
      </c>
      <c r="N3439" s="2" t="str">
        <f t="shared" si="298"/>
        <v/>
      </c>
      <c r="Q3439" t="str">
        <f t="shared" si="299"/>
        <v/>
      </c>
    </row>
    <row r="3440" spans="1:17" hidden="1">
      <c r="A3440" t="s">
        <v>3545</v>
      </c>
      <c r="B3440" s="1">
        <v>45380</v>
      </c>
      <c r="C3440">
        <v>2024</v>
      </c>
      <c r="D3440">
        <v>3</v>
      </c>
      <c r="E3440" t="s">
        <v>19</v>
      </c>
      <c r="F3440" t="s">
        <v>24</v>
      </c>
      <c r="G3440" t="s">
        <v>54</v>
      </c>
      <c r="H3440" t="s">
        <v>55</v>
      </c>
      <c r="I3440">
        <v>8807.33</v>
      </c>
      <c r="J3440">
        <v>9482.59</v>
      </c>
      <c r="K3440" t="s">
        <v>17</v>
      </c>
      <c r="L3440" t="b">
        <v>0</v>
      </c>
      <c r="N3440" s="2" t="str">
        <f t="shared" si="298"/>
        <v/>
      </c>
      <c r="Q3440" t="str">
        <f t="shared" si="299"/>
        <v/>
      </c>
    </row>
    <row r="3441" spans="1:17" hidden="1">
      <c r="A3441" t="s">
        <v>3546</v>
      </c>
      <c r="B3441" s="1">
        <v>45380</v>
      </c>
      <c r="C3441">
        <v>2024</v>
      </c>
      <c r="D3441">
        <v>3</v>
      </c>
      <c r="E3441" t="s">
        <v>19</v>
      </c>
      <c r="F3441" t="s">
        <v>24</v>
      </c>
      <c r="G3441" t="s">
        <v>20</v>
      </c>
      <c r="H3441" t="s">
        <v>21</v>
      </c>
      <c r="I3441">
        <v>6318.61</v>
      </c>
      <c r="J3441">
        <v>6313.2</v>
      </c>
      <c r="K3441" t="s">
        <v>17</v>
      </c>
      <c r="L3441" t="b">
        <v>0</v>
      </c>
      <c r="N3441" s="2" t="str">
        <f t="shared" si="298"/>
        <v/>
      </c>
      <c r="Q3441" t="str">
        <f t="shared" si="299"/>
        <v/>
      </c>
    </row>
    <row r="3442" spans="1:17" hidden="1">
      <c r="A3442" t="s">
        <v>3547</v>
      </c>
      <c r="B3442" s="1">
        <v>45380</v>
      </c>
      <c r="C3442">
        <v>2024</v>
      </c>
      <c r="D3442">
        <v>3</v>
      </c>
      <c r="E3442" t="s">
        <v>23</v>
      </c>
      <c r="F3442" t="s">
        <v>24</v>
      </c>
      <c r="G3442" t="s">
        <v>141</v>
      </c>
      <c r="H3442" t="s">
        <v>142</v>
      </c>
      <c r="I3442">
        <v>5283.87</v>
      </c>
      <c r="J3442">
        <v>5302</v>
      </c>
      <c r="K3442" t="s">
        <v>17</v>
      </c>
      <c r="L3442" t="b">
        <v>0</v>
      </c>
      <c r="N3442" s="2" t="str">
        <f t="shared" si="298"/>
        <v/>
      </c>
      <c r="Q3442" t="str">
        <f t="shared" si="299"/>
        <v/>
      </c>
    </row>
    <row r="3443" spans="1:17" hidden="1">
      <c r="A3443" t="s">
        <v>3548</v>
      </c>
      <c r="B3443" s="1">
        <v>45381</v>
      </c>
      <c r="C3443">
        <v>2024</v>
      </c>
      <c r="D3443">
        <v>3</v>
      </c>
      <c r="E3443" t="s">
        <v>47</v>
      </c>
      <c r="F3443" t="s">
        <v>14</v>
      </c>
      <c r="G3443" t="s">
        <v>77</v>
      </c>
      <c r="H3443" t="s">
        <v>78</v>
      </c>
      <c r="I3443">
        <v>14746.54</v>
      </c>
      <c r="J3443">
        <v>12683.17</v>
      </c>
      <c r="K3443" t="s">
        <v>17</v>
      </c>
      <c r="L3443" t="b">
        <v>0</v>
      </c>
      <c r="N3443" s="2" t="b">
        <f t="shared" si="298"/>
        <v>1</v>
      </c>
      <c r="O3443" t="str">
        <f t="shared" ref="O3443:O3444" si="305">IF(AND(E3432="HR",K3432="EXPENSE"),I3432&lt;J3432,"")</f>
        <v/>
      </c>
      <c r="Q3443" t="str">
        <f t="shared" si="299"/>
        <v/>
      </c>
    </row>
    <row r="3444" spans="1:17" hidden="1">
      <c r="A3444" t="s">
        <v>3549</v>
      </c>
      <c r="B3444" s="1">
        <v>45381</v>
      </c>
      <c r="C3444">
        <v>2024</v>
      </c>
      <c r="D3444">
        <v>3</v>
      </c>
      <c r="E3444" t="s">
        <v>47</v>
      </c>
      <c r="F3444" t="s">
        <v>28</v>
      </c>
      <c r="G3444" t="s">
        <v>48</v>
      </c>
      <c r="H3444" t="s">
        <v>191</v>
      </c>
      <c r="I3444">
        <v>4989.9799999999996</v>
      </c>
      <c r="J3444">
        <v>4313.99</v>
      </c>
      <c r="K3444" t="s">
        <v>17</v>
      </c>
      <c r="L3444" t="b">
        <v>0</v>
      </c>
      <c r="N3444" s="2" t="b">
        <f t="shared" si="298"/>
        <v>1</v>
      </c>
      <c r="O3444" t="str">
        <f t="shared" si="305"/>
        <v/>
      </c>
      <c r="Q3444" t="str">
        <f t="shared" si="299"/>
        <v/>
      </c>
    </row>
    <row r="3445" spans="1:17" hidden="1">
      <c r="A3445" t="s">
        <v>3550</v>
      </c>
      <c r="B3445" s="1">
        <v>45381</v>
      </c>
      <c r="C3445">
        <v>2024</v>
      </c>
      <c r="D3445">
        <v>3</v>
      </c>
      <c r="E3445" t="s">
        <v>19</v>
      </c>
      <c r="F3445" t="s">
        <v>14</v>
      </c>
      <c r="G3445" t="s">
        <v>20</v>
      </c>
      <c r="H3445" t="s">
        <v>174</v>
      </c>
      <c r="I3445">
        <v>3598.88</v>
      </c>
      <c r="J3445">
        <v>3351.1</v>
      </c>
      <c r="K3445" t="s">
        <v>17</v>
      </c>
      <c r="L3445" t="b">
        <v>0</v>
      </c>
      <c r="N3445" s="2" t="str">
        <f t="shared" si="298"/>
        <v/>
      </c>
      <c r="Q3445" t="str">
        <f t="shared" si="299"/>
        <v/>
      </c>
    </row>
    <row r="3446" spans="1:17" hidden="1">
      <c r="A3446" t="s">
        <v>3551</v>
      </c>
      <c r="B3446" s="1">
        <v>45381</v>
      </c>
      <c r="C3446">
        <v>2024</v>
      </c>
      <c r="D3446">
        <v>3</v>
      </c>
      <c r="E3446" t="s">
        <v>19</v>
      </c>
      <c r="F3446" t="s">
        <v>24</v>
      </c>
      <c r="G3446" t="s">
        <v>132</v>
      </c>
      <c r="H3446" t="s">
        <v>171</v>
      </c>
      <c r="I3446">
        <v>7562.59</v>
      </c>
      <c r="J3446">
        <v>7139.19</v>
      </c>
      <c r="K3446" t="s">
        <v>17</v>
      </c>
      <c r="L3446" t="b">
        <v>0</v>
      </c>
      <c r="N3446" s="2" t="str">
        <f t="shared" si="298"/>
        <v/>
      </c>
      <c r="Q3446" t="str">
        <f t="shared" si="299"/>
        <v/>
      </c>
    </row>
    <row r="3447" spans="1:17" hidden="1">
      <c r="A3447" t="s">
        <v>3552</v>
      </c>
      <c r="B3447" s="1">
        <v>45381</v>
      </c>
      <c r="C3447">
        <v>2024</v>
      </c>
      <c r="D3447">
        <v>3</v>
      </c>
      <c r="E3447" t="s">
        <v>23</v>
      </c>
      <c r="F3447" t="s">
        <v>14</v>
      </c>
      <c r="G3447" t="s">
        <v>141</v>
      </c>
      <c r="H3447" t="s">
        <v>209</v>
      </c>
      <c r="I3447">
        <v>9905.52</v>
      </c>
      <c r="J3447">
        <v>10294.82</v>
      </c>
      <c r="K3447" t="s">
        <v>17</v>
      </c>
      <c r="L3447" t="b">
        <v>0</v>
      </c>
      <c r="N3447" s="2" t="str">
        <f t="shared" si="298"/>
        <v/>
      </c>
      <c r="Q3447" t="str">
        <f t="shared" si="299"/>
        <v/>
      </c>
    </row>
    <row r="3448" spans="1:17" hidden="1">
      <c r="A3448" t="s">
        <v>3553</v>
      </c>
      <c r="B3448" s="1">
        <v>45381</v>
      </c>
      <c r="C3448">
        <v>2024</v>
      </c>
      <c r="D3448">
        <v>3</v>
      </c>
      <c r="E3448" t="s">
        <v>23</v>
      </c>
      <c r="F3448" t="s">
        <v>28</v>
      </c>
      <c r="G3448" t="s">
        <v>25</v>
      </c>
      <c r="H3448" t="s">
        <v>35</v>
      </c>
      <c r="I3448">
        <v>7528.27</v>
      </c>
      <c r="J3448">
        <v>7323.35</v>
      </c>
      <c r="K3448" t="s">
        <v>17</v>
      </c>
      <c r="L3448" t="b">
        <v>0</v>
      </c>
      <c r="N3448" s="2" t="str">
        <f t="shared" si="298"/>
        <v/>
      </c>
      <c r="Q3448" t="str">
        <f t="shared" si="299"/>
        <v/>
      </c>
    </row>
    <row r="3449" spans="1:17" hidden="1">
      <c r="A3449" t="s">
        <v>3554</v>
      </c>
      <c r="B3449" s="1">
        <v>45381</v>
      </c>
      <c r="C3449">
        <v>2024</v>
      </c>
      <c r="D3449">
        <v>3</v>
      </c>
      <c r="E3449" t="s">
        <v>37</v>
      </c>
      <c r="F3449" t="s">
        <v>28</v>
      </c>
      <c r="G3449" t="s">
        <v>41</v>
      </c>
      <c r="H3449" t="s">
        <v>42</v>
      </c>
      <c r="I3449">
        <v>3914.42</v>
      </c>
      <c r="J3449">
        <v>3892.31</v>
      </c>
      <c r="K3449" t="s">
        <v>17</v>
      </c>
      <c r="L3449" t="b">
        <v>0</v>
      </c>
      <c r="N3449" s="2" t="str">
        <f t="shared" si="298"/>
        <v/>
      </c>
      <c r="Q3449" t="str">
        <f t="shared" si="299"/>
        <v/>
      </c>
    </row>
    <row r="3450" spans="1:17" hidden="1">
      <c r="A3450" t="s">
        <v>3555</v>
      </c>
      <c r="B3450" s="1">
        <v>45381</v>
      </c>
      <c r="C3450">
        <v>2024</v>
      </c>
      <c r="D3450">
        <v>3</v>
      </c>
      <c r="E3450" t="s">
        <v>37</v>
      </c>
      <c r="F3450" t="s">
        <v>28</v>
      </c>
      <c r="G3450" t="s">
        <v>98</v>
      </c>
      <c r="H3450" t="s">
        <v>99</v>
      </c>
      <c r="I3450">
        <v>8294.6</v>
      </c>
      <c r="J3450">
        <v>7610.75</v>
      </c>
      <c r="K3450" t="s">
        <v>17</v>
      </c>
      <c r="L3450" t="b">
        <v>0</v>
      </c>
      <c r="N3450" s="2" t="str">
        <f t="shared" si="298"/>
        <v/>
      </c>
      <c r="Q3450" t="str">
        <f t="shared" si="299"/>
        <v/>
      </c>
    </row>
    <row r="3451" spans="1:17" hidden="1">
      <c r="A3451" t="s">
        <v>3556</v>
      </c>
      <c r="B3451" s="1">
        <v>45381</v>
      </c>
      <c r="C3451">
        <v>2024</v>
      </c>
      <c r="D3451">
        <v>3</v>
      </c>
      <c r="E3451" t="s">
        <v>37</v>
      </c>
      <c r="F3451" t="s">
        <v>24</v>
      </c>
      <c r="G3451" t="s">
        <v>98</v>
      </c>
      <c r="H3451" t="s">
        <v>185</v>
      </c>
      <c r="I3451">
        <v>5717.54</v>
      </c>
      <c r="J3451">
        <v>5620.16</v>
      </c>
      <c r="K3451" t="s">
        <v>17</v>
      </c>
      <c r="L3451" t="b">
        <v>0</v>
      </c>
      <c r="N3451" s="2" t="str">
        <f t="shared" si="298"/>
        <v/>
      </c>
      <c r="Q3451" t="str">
        <f t="shared" si="299"/>
        <v/>
      </c>
    </row>
    <row r="3452" spans="1:17" hidden="1">
      <c r="A3452" t="s">
        <v>3557</v>
      </c>
      <c r="B3452" s="1">
        <v>45382</v>
      </c>
      <c r="C3452">
        <v>2024</v>
      </c>
      <c r="D3452">
        <v>3</v>
      </c>
      <c r="E3452" t="s">
        <v>13</v>
      </c>
      <c r="F3452" t="s">
        <v>28</v>
      </c>
      <c r="G3452" t="s">
        <v>102</v>
      </c>
      <c r="H3452" t="s">
        <v>103</v>
      </c>
      <c r="I3452">
        <v>3825.69</v>
      </c>
      <c r="J3452">
        <v>4077.56</v>
      </c>
      <c r="K3452" t="s">
        <v>17</v>
      </c>
      <c r="L3452" t="b">
        <v>0</v>
      </c>
      <c r="N3452" s="2" t="str">
        <f t="shared" si="298"/>
        <v/>
      </c>
      <c r="Q3452" t="str">
        <f t="shared" si="299"/>
        <v/>
      </c>
    </row>
    <row r="3453" spans="1:17" hidden="1">
      <c r="A3453" t="s">
        <v>3558</v>
      </c>
      <c r="B3453" s="1">
        <v>45382</v>
      </c>
      <c r="C3453">
        <v>2024</v>
      </c>
      <c r="D3453">
        <v>3</v>
      </c>
      <c r="E3453" t="s">
        <v>47</v>
      </c>
      <c r="F3453" t="s">
        <v>24</v>
      </c>
      <c r="G3453" t="s">
        <v>51</v>
      </c>
      <c r="H3453" t="s">
        <v>52</v>
      </c>
      <c r="I3453">
        <v>19252.45</v>
      </c>
      <c r="J3453">
        <v>16147.13</v>
      </c>
      <c r="K3453" t="s">
        <v>17</v>
      </c>
      <c r="L3453" t="b">
        <v>0</v>
      </c>
      <c r="N3453" s="2" t="b">
        <f t="shared" si="298"/>
        <v>1</v>
      </c>
      <c r="O3453" t="str">
        <f>IF(AND(E3442="HR",K3442="EXPENSE"),I3442&lt;J3442,"")</f>
        <v/>
      </c>
      <c r="Q3453" t="str">
        <f t="shared" si="299"/>
        <v/>
      </c>
    </row>
    <row r="3454" spans="1:17" hidden="1">
      <c r="A3454" t="s">
        <v>3559</v>
      </c>
      <c r="B3454" s="1">
        <v>45382</v>
      </c>
      <c r="C3454">
        <v>2024</v>
      </c>
      <c r="D3454">
        <v>3</v>
      </c>
      <c r="E3454" t="s">
        <v>19</v>
      </c>
      <c r="F3454" t="s">
        <v>28</v>
      </c>
      <c r="G3454" t="s">
        <v>54</v>
      </c>
      <c r="H3454" t="s">
        <v>57</v>
      </c>
      <c r="I3454">
        <v>5919.24</v>
      </c>
      <c r="J3454">
        <v>5712.67</v>
      </c>
      <c r="K3454" t="s">
        <v>17</v>
      </c>
      <c r="L3454" t="b">
        <v>0</v>
      </c>
      <c r="N3454" s="2" t="str">
        <f t="shared" si="298"/>
        <v/>
      </c>
      <c r="Q3454" t="str">
        <f t="shared" si="299"/>
        <v/>
      </c>
    </row>
    <row r="3455" spans="1:17" hidden="1">
      <c r="A3455" t="s">
        <v>3560</v>
      </c>
      <c r="B3455" s="1">
        <v>45382</v>
      </c>
      <c r="C3455">
        <v>2024</v>
      </c>
      <c r="D3455">
        <v>3</v>
      </c>
      <c r="E3455" t="s">
        <v>23</v>
      </c>
      <c r="F3455" t="s">
        <v>24</v>
      </c>
      <c r="G3455" t="s">
        <v>141</v>
      </c>
      <c r="H3455" t="s">
        <v>153</v>
      </c>
      <c r="I3455">
        <v>6319.6</v>
      </c>
      <c r="J3455">
        <v>6274.51</v>
      </c>
      <c r="K3455" t="s">
        <v>17</v>
      </c>
      <c r="L3455" t="b">
        <v>0</v>
      </c>
      <c r="N3455" s="2" t="str">
        <f t="shared" si="298"/>
        <v/>
      </c>
      <c r="Q3455" t="str">
        <f t="shared" si="299"/>
        <v/>
      </c>
    </row>
    <row r="3456" spans="1:17" hidden="1">
      <c r="A3456" t="s">
        <v>3561</v>
      </c>
      <c r="B3456" s="1">
        <v>45382</v>
      </c>
      <c r="C3456">
        <v>2024</v>
      </c>
      <c r="D3456">
        <v>3</v>
      </c>
      <c r="E3456" t="s">
        <v>37</v>
      </c>
      <c r="F3456" t="s">
        <v>24</v>
      </c>
      <c r="G3456" t="s">
        <v>98</v>
      </c>
      <c r="H3456" t="s">
        <v>99</v>
      </c>
      <c r="I3456">
        <v>3904.15</v>
      </c>
      <c r="J3456">
        <v>3834.43</v>
      </c>
      <c r="K3456" t="s">
        <v>17</v>
      </c>
      <c r="L3456" t="b">
        <v>0</v>
      </c>
      <c r="N3456" s="2" t="str">
        <f t="shared" si="298"/>
        <v/>
      </c>
      <c r="Q3456" t="str">
        <f t="shared" si="299"/>
        <v/>
      </c>
    </row>
    <row r="3457" spans="1:17" hidden="1">
      <c r="A3457" t="s">
        <v>3562</v>
      </c>
      <c r="B3457" s="1">
        <v>45383</v>
      </c>
      <c r="C3457">
        <v>2024</v>
      </c>
      <c r="D3457">
        <v>4</v>
      </c>
      <c r="E3457" t="s">
        <v>13</v>
      </c>
      <c r="F3457" t="s">
        <v>14</v>
      </c>
      <c r="G3457" t="s">
        <v>15</v>
      </c>
      <c r="H3457" t="s">
        <v>16</v>
      </c>
      <c r="I3457">
        <v>3738.02</v>
      </c>
      <c r="J3457">
        <v>3619.68</v>
      </c>
      <c r="K3457" t="s">
        <v>17</v>
      </c>
      <c r="L3457" t="b">
        <v>0</v>
      </c>
      <c r="N3457" s="2" t="str">
        <f t="shared" si="298"/>
        <v/>
      </c>
      <c r="Q3457" t="str">
        <f t="shared" si="299"/>
        <v/>
      </c>
    </row>
    <row r="3458" spans="1:17" hidden="1">
      <c r="A3458" t="s">
        <v>3563</v>
      </c>
      <c r="B3458" s="1">
        <v>45383</v>
      </c>
      <c r="C3458">
        <v>2024</v>
      </c>
      <c r="D3458">
        <v>4</v>
      </c>
      <c r="E3458" t="s">
        <v>13</v>
      </c>
      <c r="F3458" t="s">
        <v>14</v>
      </c>
      <c r="G3458" t="s">
        <v>15</v>
      </c>
      <c r="H3458" t="s">
        <v>16</v>
      </c>
      <c r="I3458">
        <v>938.28</v>
      </c>
      <c r="J3458">
        <v>884.75</v>
      </c>
      <c r="K3458" t="s">
        <v>17</v>
      </c>
      <c r="L3458" t="b">
        <v>0</v>
      </c>
      <c r="N3458" s="2" t="str">
        <f t="shared" si="298"/>
        <v/>
      </c>
      <c r="Q3458" t="str">
        <f t="shared" si="299"/>
        <v/>
      </c>
    </row>
    <row r="3459" spans="1:17" hidden="1">
      <c r="A3459" t="s">
        <v>3564</v>
      </c>
      <c r="B3459" s="1">
        <v>45383</v>
      </c>
      <c r="C3459">
        <v>2024</v>
      </c>
      <c r="D3459">
        <v>4</v>
      </c>
      <c r="E3459" t="s">
        <v>13</v>
      </c>
      <c r="F3459" t="s">
        <v>28</v>
      </c>
      <c r="G3459" t="s">
        <v>108</v>
      </c>
      <c r="H3459" t="s">
        <v>123</v>
      </c>
      <c r="I3459">
        <v>4329.04</v>
      </c>
      <c r="J3459">
        <v>3958.71</v>
      </c>
      <c r="K3459" t="s">
        <v>17</v>
      </c>
      <c r="L3459" t="b">
        <v>0</v>
      </c>
      <c r="N3459" s="2" t="str">
        <f t="shared" ref="N3459:N3522" si="306">IF(AND(E3459="IT",K3459="EXPENSE"),I3459&gt;J3459,"")</f>
        <v/>
      </c>
      <c r="Q3459" t="str">
        <f t="shared" ref="Q3459:Q3522" si="307">IF(L3459=TRUE,OR(H3459="Apex Solutions Inc",H3459="Global Trade Partners",H3459="NovaTech Services"),"")</f>
        <v/>
      </c>
    </row>
    <row r="3460" spans="1:17" hidden="1">
      <c r="A3460" t="s">
        <v>3565</v>
      </c>
      <c r="B3460" s="1">
        <v>45383</v>
      </c>
      <c r="C3460">
        <v>2024</v>
      </c>
      <c r="D3460">
        <v>4</v>
      </c>
      <c r="E3460" t="s">
        <v>13</v>
      </c>
      <c r="F3460" t="s">
        <v>28</v>
      </c>
      <c r="G3460" t="s">
        <v>15</v>
      </c>
      <c r="H3460" t="s">
        <v>45</v>
      </c>
      <c r="I3460">
        <v>5155.1000000000004</v>
      </c>
      <c r="J3460">
        <v>5190.18</v>
      </c>
      <c r="K3460" t="s">
        <v>17</v>
      </c>
      <c r="L3460" t="b">
        <v>0</v>
      </c>
      <c r="N3460" s="2" t="str">
        <f t="shared" si="306"/>
        <v/>
      </c>
      <c r="Q3460" t="str">
        <f t="shared" si="307"/>
        <v/>
      </c>
    </row>
    <row r="3461" spans="1:17" hidden="1">
      <c r="A3461" t="s">
        <v>3566</v>
      </c>
      <c r="B3461" s="1">
        <v>45383</v>
      </c>
      <c r="C3461">
        <v>2024</v>
      </c>
      <c r="D3461">
        <v>4</v>
      </c>
      <c r="E3461" t="s">
        <v>47</v>
      </c>
      <c r="F3461" t="s">
        <v>14</v>
      </c>
      <c r="G3461" t="s">
        <v>91</v>
      </c>
      <c r="H3461" t="s">
        <v>249</v>
      </c>
      <c r="I3461">
        <v>13975.37</v>
      </c>
      <c r="J3461">
        <v>11480.41</v>
      </c>
      <c r="K3461" t="s">
        <v>17</v>
      </c>
      <c r="L3461" t="b">
        <v>0</v>
      </c>
      <c r="N3461" s="2" t="b">
        <f t="shared" si="306"/>
        <v>1</v>
      </c>
      <c r="O3461" t="str">
        <f>IF(AND(E3450="HR",K3450="EXPENSE"),I3450&lt;J3450,"")</f>
        <v/>
      </c>
      <c r="Q3461" t="str">
        <f t="shared" si="307"/>
        <v/>
      </c>
    </row>
    <row r="3462" spans="1:17" hidden="1">
      <c r="A3462" t="s">
        <v>3567</v>
      </c>
      <c r="B3462" s="1">
        <v>45383</v>
      </c>
      <c r="C3462">
        <v>2024</v>
      </c>
      <c r="D3462">
        <v>4</v>
      </c>
      <c r="E3462" t="s">
        <v>23</v>
      </c>
      <c r="F3462" t="s">
        <v>14</v>
      </c>
      <c r="G3462" t="s">
        <v>59</v>
      </c>
      <c r="H3462" t="s">
        <v>60</v>
      </c>
      <c r="I3462">
        <v>8340.67</v>
      </c>
      <c r="J3462">
        <v>7841.26</v>
      </c>
      <c r="K3462" t="s">
        <v>17</v>
      </c>
      <c r="L3462" t="b">
        <v>0</v>
      </c>
      <c r="N3462" s="2" t="str">
        <f t="shared" si="306"/>
        <v/>
      </c>
      <c r="Q3462" t="str">
        <f t="shared" si="307"/>
        <v/>
      </c>
    </row>
    <row r="3463" spans="1:17" hidden="1">
      <c r="A3463" t="s">
        <v>3568</v>
      </c>
      <c r="B3463" s="1">
        <v>45383</v>
      </c>
      <c r="C3463">
        <v>2024</v>
      </c>
      <c r="D3463">
        <v>4</v>
      </c>
      <c r="E3463" t="s">
        <v>37</v>
      </c>
      <c r="F3463" t="s">
        <v>14</v>
      </c>
      <c r="G3463" t="s">
        <v>41</v>
      </c>
      <c r="H3463" t="s">
        <v>42</v>
      </c>
      <c r="I3463">
        <v>4066.9</v>
      </c>
      <c r="J3463">
        <v>4373.07</v>
      </c>
      <c r="K3463" t="s">
        <v>17</v>
      </c>
      <c r="L3463" t="b">
        <v>0</v>
      </c>
      <c r="N3463" s="2" t="str">
        <f t="shared" si="306"/>
        <v/>
      </c>
      <c r="Q3463" t="str">
        <f t="shared" si="307"/>
        <v/>
      </c>
    </row>
    <row r="3464" spans="1:17" hidden="1">
      <c r="A3464" t="s">
        <v>3569</v>
      </c>
      <c r="B3464" s="1">
        <v>45383</v>
      </c>
      <c r="C3464">
        <v>2024</v>
      </c>
      <c r="D3464">
        <v>4</v>
      </c>
      <c r="E3464" t="s">
        <v>37</v>
      </c>
      <c r="F3464" t="s">
        <v>24</v>
      </c>
      <c r="G3464" t="s">
        <v>41</v>
      </c>
      <c r="H3464" t="s">
        <v>42</v>
      </c>
      <c r="I3464">
        <v>3524.19</v>
      </c>
      <c r="J3464">
        <v>3507.21</v>
      </c>
      <c r="K3464" t="s">
        <v>17</v>
      </c>
      <c r="L3464" t="b">
        <v>0</v>
      </c>
      <c r="N3464" s="2" t="str">
        <f t="shared" si="306"/>
        <v/>
      </c>
      <c r="Q3464" t="str">
        <f t="shared" si="307"/>
        <v/>
      </c>
    </row>
    <row r="3465" spans="1:17" hidden="1">
      <c r="A3465" t="s">
        <v>3570</v>
      </c>
      <c r="B3465" s="1">
        <v>45384</v>
      </c>
      <c r="C3465">
        <v>2024</v>
      </c>
      <c r="D3465">
        <v>4</v>
      </c>
      <c r="E3465" t="s">
        <v>47</v>
      </c>
      <c r="F3465" t="s">
        <v>14</v>
      </c>
      <c r="G3465" t="s">
        <v>48</v>
      </c>
      <c r="H3465" t="s">
        <v>49</v>
      </c>
      <c r="I3465">
        <v>17486.14</v>
      </c>
      <c r="J3465">
        <v>14438.85</v>
      </c>
      <c r="K3465" t="s">
        <v>17</v>
      </c>
      <c r="L3465" t="b">
        <v>0</v>
      </c>
      <c r="N3465" s="2" t="b">
        <f t="shared" si="306"/>
        <v>1</v>
      </c>
      <c r="O3465" t="str">
        <f>IF(AND(E3454="HR",K3454="EXPENSE"),I3454&lt;J3454,"")</f>
        <v/>
      </c>
      <c r="Q3465" t="str">
        <f t="shared" si="307"/>
        <v/>
      </c>
    </row>
    <row r="3466" spans="1:17" hidden="1">
      <c r="A3466" t="s">
        <v>3571</v>
      </c>
      <c r="B3466" s="1">
        <v>45384</v>
      </c>
      <c r="C3466">
        <v>2024</v>
      </c>
      <c r="D3466">
        <v>4</v>
      </c>
      <c r="E3466" t="s">
        <v>19</v>
      </c>
      <c r="F3466" t="s">
        <v>14</v>
      </c>
      <c r="G3466" t="s">
        <v>54</v>
      </c>
      <c r="H3466" t="s">
        <v>57</v>
      </c>
      <c r="I3466">
        <v>6542.28</v>
      </c>
      <c r="J3466">
        <v>6286.02</v>
      </c>
      <c r="K3466" t="s">
        <v>17</v>
      </c>
      <c r="L3466" t="b">
        <v>0</v>
      </c>
      <c r="N3466" s="2" t="str">
        <f t="shared" si="306"/>
        <v/>
      </c>
      <c r="Q3466" t="str">
        <f t="shared" si="307"/>
        <v/>
      </c>
    </row>
    <row r="3467" spans="1:17" hidden="1">
      <c r="A3467" t="s">
        <v>3572</v>
      </c>
      <c r="B3467" s="1">
        <v>45384</v>
      </c>
      <c r="C3467">
        <v>2024</v>
      </c>
      <c r="D3467">
        <v>4</v>
      </c>
      <c r="E3467" t="s">
        <v>23</v>
      </c>
      <c r="F3467" t="s">
        <v>24</v>
      </c>
      <c r="G3467" t="s">
        <v>141</v>
      </c>
      <c r="H3467" t="s">
        <v>142</v>
      </c>
      <c r="I3467">
        <v>6065.25</v>
      </c>
      <c r="J3467">
        <v>5886.24</v>
      </c>
      <c r="K3467" t="s">
        <v>17</v>
      </c>
      <c r="L3467" t="b">
        <v>0</v>
      </c>
      <c r="N3467" s="2" t="str">
        <f t="shared" si="306"/>
        <v/>
      </c>
      <c r="Q3467" t="str">
        <f t="shared" si="307"/>
        <v/>
      </c>
    </row>
    <row r="3468" spans="1:17" hidden="1">
      <c r="A3468" t="s">
        <v>3573</v>
      </c>
      <c r="B3468" s="1">
        <v>45384</v>
      </c>
      <c r="C3468">
        <v>2024</v>
      </c>
      <c r="D3468">
        <v>4</v>
      </c>
      <c r="E3468" t="s">
        <v>37</v>
      </c>
      <c r="F3468" t="s">
        <v>28</v>
      </c>
      <c r="G3468" t="s">
        <v>62</v>
      </c>
      <c r="H3468" t="s">
        <v>63</v>
      </c>
      <c r="I3468">
        <v>4208.04</v>
      </c>
      <c r="J3468">
        <v>3919.68</v>
      </c>
      <c r="K3468" t="s">
        <v>17</v>
      </c>
      <c r="L3468" t="b">
        <v>0</v>
      </c>
      <c r="N3468" s="2" t="str">
        <f t="shared" si="306"/>
        <v/>
      </c>
      <c r="Q3468" t="str">
        <f t="shared" si="307"/>
        <v/>
      </c>
    </row>
    <row r="3469" spans="1:17" hidden="1">
      <c r="A3469" t="s">
        <v>3574</v>
      </c>
      <c r="B3469" s="1">
        <v>45385</v>
      </c>
      <c r="C3469">
        <v>2024</v>
      </c>
      <c r="D3469">
        <v>4</v>
      </c>
      <c r="E3469" t="s">
        <v>13</v>
      </c>
      <c r="F3469" t="s">
        <v>24</v>
      </c>
      <c r="G3469" t="s">
        <v>15</v>
      </c>
      <c r="H3469" t="s">
        <v>89</v>
      </c>
      <c r="I3469">
        <v>3869.88</v>
      </c>
      <c r="J3469">
        <v>3654.04</v>
      </c>
      <c r="K3469" t="s">
        <v>17</v>
      </c>
      <c r="L3469" t="b">
        <v>0</v>
      </c>
      <c r="N3469" s="2" t="str">
        <f t="shared" si="306"/>
        <v/>
      </c>
      <c r="Q3469" t="str">
        <f t="shared" si="307"/>
        <v/>
      </c>
    </row>
    <row r="3470" spans="1:17" hidden="1">
      <c r="A3470" t="s">
        <v>3575</v>
      </c>
      <c r="B3470" s="1">
        <v>45385</v>
      </c>
      <c r="C3470">
        <v>2024</v>
      </c>
      <c r="D3470">
        <v>4</v>
      </c>
      <c r="E3470" t="s">
        <v>47</v>
      </c>
      <c r="F3470" t="s">
        <v>14</v>
      </c>
      <c r="G3470" t="s">
        <v>48</v>
      </c>
      <c r="H3470" t="s">
        <v>189</v>
      </c>
      <c r="I3470">
        <v>9791.5400000000009</v>
      </c>
      <c r="J3470">
        <v>8409.7000000000007</v>
      </c>
      <c r="K3470" t="s">
        <v>17</v>
      </c>
      <c r="L3470" t="b">
        <v>0</v>
      </c>
      <c r="N3470" s="2" t="b">
        <f t="shared" si="306"/>
        <v>1</v>
      </c>
      <c r="O3470" t="b">
        <f t="shared" ref="O3470:O3472" si="308">IF(AND(E3459="HR",K3459="EXPENSE"),I3459&lt;J3459,"")</f>
        <v>0</v>
      </c>
      <c r="Q3470" t="str">
        <f t="shared" si="307"/>
        <v/>
      </c>
    </row>
    <row r="3471" spans="1:17" hidden="1">
      <c r="A3471" t="s">
        <v>3576</v>
      </c>
      <c r="B3471" s="1">
        <v>45385</v>
      </c>
      <c r="C3471">
        <v>2024</v>
      </c>
      <c r="D3471">
        <v>4</v>
      </c>
      <c r="E3471" t="s">
        <v>47</v>
      </c>
      <c r="F3471" t="s">
        <v>14</v>
      </c>
      <c r="G3471" t="s">
        <v>48</v>
      </c>
      <c r="H3471" t="s">
        <v>191</v>
      </c>
      <c r="I3471">
        <v>5655.95</v>
      </c>
      <c r="J3471">
        <v>4877.18</v>
      </c>
      <c r="K3471" t="s">
        <v>17</v>
      </c>
      <c r="L3471" t="b">
        <v>0</v>
      </c>
      <c r="N3471" s="2" t="b">
        <f t="shared" si="306"/>
        <v>1</v>
      </c>
      <c r="O3471" t="b">
        <f t="shared" si="308"/>
        <v>1</v>
      </c>
      <c r="Q3471" t="str">
        <f t="shared" si="307"/>
        <v/>
      </c>
    </row>
    <row r="3472" spans="1:17" hidden="1">
      <c r="A3472" t="s">
        <v>3577</v>
      </c>
      <c r="B3472" s="1">
        <v>45385</v>
      </c>
      <c r="C3472">
        <v>2024</v>
      </c>
      <c r="D3472">
        <v>4</v>
      </c>
      <c r="E3472" t="s">
        <v>47</v>
      </c>
      <c r="F3472" t="s">
        <v>24</v>
      </c>
      <c r="G3472" t="s">
        <v>48</v>
      </c>
      <c r="H3472" t="s">
        <v>49</v>
      </c>
      <c r="I3472">
        <v>12570.06</v>
      </c>
      <c r="J3472">
        <v>10481.379999999999</v>
      </c>
      <c r="K3472" t="s">
        <v>17</v>
      </c>
      <c r="L3472" t="b">
        <v>0</v>
      </c>
      <c r="N3472" s="2" t="b">
        <f t="shared" si="306"/>
        <v>1</v>
      </c>
      <c r="O3472" t="str">
        <f t="shared" si="308"/>
        <v/>
      </c>
      <c r="Q3472" t="str">
        <f t="shared" si="307"/>
        <v/>
      </c>
    </row>
    <row r="3473" spans="1:17" hidden="1">
      <c r="A3473" t="s">
        <v>3578</v>
      </c>
      <c r="B3473" s="1">
        <v>45385</v>
      </c>
      <c r="C3473">
        <v>2024</v>
      </c>
      <c r="D3473">
        <v>4</v>
      </c>
      <c r="E3473" t="s">
        <v>19</v>
      </c>
      <c r="F3473" t="s">
        <v>28</v>
      </c>
      <c r="G3473" t="s">
        <v>80</v>
      </c>
      <c r="H3473" t="s">
        <v>113</v>
      </c>
      <c r="I3473">
        <v>7844.27</v>
      </c>
      <c r="J3473">
        <v>8387.93</v>
      </c>
      <c r="K3473" t="s">
        <v>17</v>
      </c>
      <c r="L3473" t="b">
        <v>0</v>
      </c>
      <c r="N3473" s="2" t="str">
        <f t="shared" si="306"/>
        <v/>
      </c>
      <c r="Q3473" t="str">
        <f t="shared" si="307"/>
        <v/>
      </c>
    </row>
    <row r="3474" spans="1:17" hidden="1">
      <c r="A3474" t="s">
        <v>3579</v>
      </c>
      <c r="B3474" s="1">
        <v>45385</v>
      </c>
      <c r="C3474">
        <v>2024</v>
      </c>
      <c r="D3474">
        <v>4</v>
      </c>
      <c r="E3474" t="s">
        <v>23</v>
      </c>
      <c r="F3474" t="s">
        <v>14</v>
      </c>
      <c r="G3474" t="s">
        <v>30</v>
      </c>
      <c r="H3474" t="s">
        <v>33</v>
      </c>
      <c r="I3474">
        <v>6808.14</v>
      </c>
      <c r="J3474">
        <v>6271.28</v>
      </c>
      <c r="K3474" t="s">
        <v>17</v>
      </c>
      <c r="L3474" t="b">
        <v>0</v>
      </c>
      <c r="N3474" s="2" t="str">
        <f t="shared" si="306"/>
        <v/>
      </c>
      <c r="Q3474" t="str">
        <f t="shared" si="307"/>
        <v/>
      </c>
    </row>
    <row r="3475" spans="1:17" hidden="1">
      <c r="A3475" t="s">
        <v>3580</v>
      </c>
      <c r="B3475" s="1">
        <v>45385</v>
      </c>
      <c r="C3475">
        <v>2024</v>
      </c>
      <c r="D3475">
        <v>4</v>
      </c>
      <c r="E3475" t="s">
        <v>37</v>
      </c>
      <c r="F3475" t="s">
        <v>14</v>
      </c>
      <c r="G3475" t="s">
        <v>62</v>
      </c>
      <c r="H3475" t="s">
        <v>66</v>
      </c>
      <c r="I3475">
        <v>3533.84</v>
      </c>
      <c r="J3475">
        <v>3322.98</v>
      </c>
      <c r="K3475" t="s">
        <v>17</v>
      </c>
      <c r="L3475" t="b">
        <v>0</v>
      </c>
      <c r="N3475" s="2" t="str">
        <f t="shared" si="306"/>
        <v/>
      </c>
      <c r="Q3475" t="str">
        <f t="shared" si="307"/>
        <v/>
      </c>
    </row>
    <row r="3476" spans="1:17" hidden="1">
      <c r="A3476" t="s">
        <v>3581</v>
      </c>
      <c r="B3476" s="1">
        <v>45385</v>
      </c>
      <c r="C3476">
        <v>2024</v>
      </c>
      <c r="D3476">
        <v>4</v>
      </c>
      <c r="E3476" t="s">
        <v>37</v>
      </c>
      <c r="F3476" t="s">
        <v>28</v>
      </c>
      <c r="G3476" t="s">
        <v>98</v>
      </c>
      <c r="H3476" t="s">
        <v>185</v>
      </c>
      <c r="I3476">
        <v>3930.27</v>
      </c>
      <c r="J3476">
        <v>3900.51</v>
      </c>
      <c r="K3476" t="s">
        <v>17</v>
      </c>
      <c r="L3476" t="b">
        <v>0</v>
      </c>
      <c r="N3476" s="2" t="str">
        <f t="shared" si="306"/>
        <v/>
      </c>
      <c r="Q3476" t="str">
        <f t="shared" si="307"/>
        <v/>
      </c>
    </row>
    <row r="3477" spans="1:17" hidden="1">
      <c r="A3477" t="s">
        <v>3582</v>
      </c>
      <c r="B3477" s="1">
        <v>45385</v>
      </c>
      <c r="C3477">
        <v>2024</v>
      </c>
      <c r="D3477">
        <v>4</v>
      </c>
      <c r="E3477" t="s">
        <v>37</v>
      </c>
      <c r="F3477" t="s">
        <v>28</v>
      </c>
      <c r="G3477" t="s">
        <v>38</v>
      </c>
      <c r="H3477" t="s">
        <v>39</v>
      </c>
      <c r="I3477">
        <v>4583.33</v>
      </c>
      <c r="J3477">
        <v>4628.38</v>
      </c>
      <c r="K3477" t="s">
        <v>17</v>
      </c>
      <c r="L3477" t="b">
        <v>0</v>
      </c>
      <c r="N3477" s="2" t="str">
        <f t="shared" si="306"/>
        <v/>
      </c>
      <c r="Q3477" t="str">
        <f t="shared" si="307"/>
        <v/>
      </c>
    </row>
    <row r="3478" spans="1:17" hidden="1">
      <c r="A3478" t="s">
        <v>3583</v>
      </c>
      <c r="B3478" s="1">
        <v>45385</v>
      </c>
      <c r="C3478">
        <v>2024</v>
      </c>
      <c r="D3478">
        <v>4</v>
      </c>
      <c r="E3478" t="s">
        <v>37</v>
      </c>
      <c r="F3478" t="s">
        <v>24</v>
      </c>
      <c r="G3478" t="s">
        <v>98</v>
      </c>
      <c r="H3478" t="s">
        <v>99</v>
      </c>
      <c r="I3478">
        <v>2589.7600000000002</v>
      </c>
      <c r="J3478">
        <v>2604.0700000000002</v>
      </c>
      <c r="K3478" t="s">
        <v>17</v>
      </c>
      <c r="L3478" t="b">
        <v>0</v>
      </c>
      <c r="N3478" s="2" t="str">
        <f t="shared" si="306"/>
        <v/>
      </c>
      <c r="Q3478" t="str">
        <f t="shared" si="307"/>
        <v/>
      </c>
    </row>
    <row r="3479" spans="1:17" hidden="1">
      <c r="A3479" t="s">
        <v>3584</v>
      </c>
      <c r="B3479" s="1">
        <v>45386</v>
      </c>
      <c r="C3479">
        <v>2024</v>
      </c>
      <c r="D3479">
        <v>4</v>
      </c>
      <c r="E3479" t="s">
        <v>19</v>
      </c>
      <c r="F3479" t="s">
        <v>24</v>
      </c>
      <c r="G3479" t="s">
        <v>20</v>
      </c>
      <c r="H3479" t="s">
        <v>174</v>
      </c>
      <c r="I3479">
        <v>7478.3</v>
      </c>
      <c r="J3479">
        <v>7390.36</v>
      </c>
      <c r="K3479" t="s">
        <v>17</v>
      </c>
      <c r="L3479" t="b">
        <v>0</v>
      </c>
      <c r="N3479" s="2" t="str">
        <f t="shared" si="306"/>
        <v/>
      </c>
      <c r="Q3479" t="str">
        <f t="shared" si="307"/>
        <v/>
      </c>
    </row>
    <row r="3480" spans="1:17" hidden="1">
      <c r="A3480" t="s">
        <v>3585</v>
      </c>
      <c r="B3480" s="1">
        <v>45386</v>
      </c>
      <c r="C3480">
        <v>2024</v>
      </c>
      <c r="D3480">
        <v>4</v>
      </c>
      <c r="E3480" t="s">
        <v>23</v>
      </c>
      <c r="F3480" t="s">
        <v>14</v>
      </c>
      <c r="G3480" t="s">
        <v>59</v>
      </c>
      <c r="H3480" t="s">
        <v>60</v>
      </c>
      <c r="I3480">
        <v>8267.68</v>
      </c>
      <c r="J3480">
        <v>8079.91</v>
      </c>
      <c r="K3480" t="s">
        <v>17</v>
      </c>
      <c r="L3480" t="b">
        <v>0</v>
      </c>
      <c r="N3480" s="2" t="str">
        <f t="shared" si="306"/>
        <v/>
      </c>
      <c r="Q3480" t="str">
        <f t="shared" si="307"/>
        <v/>
      </c>
    </row>
    <row r="3481" spans="1:17" hidden="1">
      <c r="A3481" t="s">
        <v>3586</v>
      </c>
      <c r="B3481" s="1">
        <v>45386</v>
      </c>
      <c r="C3481">
        <v>2024</v>
      </c>
      <c r="D3481">
        <v>4</v>
      </c>
      <c r="E3481" t="s">
        <v>23</v>
      </c>
      <c r="F3481" t="s">
        <v>14</v>
      </c>
      <c r="G3481" t="s">
        <v>141</v>
      </c>
      <c r="H3481" t="s">
        <v>142</v>
      </c>
      <c r="I3481">
        <v>4782.6099999999997</v>
      </c>
      <c r="J3481">
        <v>4940.25</v>
      </c>
      <c r="K3481" t="s">
        <v>17</v>
      </c>
      <c r="L3481" t="b">
        <v>0</v>
      </c>
      <c r="N3481" s="2" t="str">
        <f t="shared" si="306"/>
        <v/>
      </c>
      <c r="Q3481" t="str">
        <f t="shared" si="307"/>
        <v/>
      </c>
    </row>
    <row r="3482" spans="1:17" hidden="1">
      <c r="A3482" t="s">
        <v>3587</v>
      </c>
      <c r="B3482" s="1">
        <v>45386</v>
      </c>
      <c r="C3482">
        <v>2024</v>
      </c>
      <c r="D3482">
        <v>4</v>
      </c>
      <c r="E3482" t="s">
        <v>23</v>
      </c>
      <c r="F3482" t="s">
        <v>28</v>
      </c>
      <c r="G3482" t="s">
        <v>30</v>
      </c>
      <c r="H3482" t="s">
        <v>33</v>
      </c>
      <c r="I3482">
        <v>7140.51</v>
      </c>
      <c r="J3482">
        <v>7423.38</v>
      </c>
      <c r="K3482" t="s">
        <v>17</v>
      </c>
      <c r="L3482" t="b">
        <v>0</v>
      </c>
      <c r="N3482" s="2" t="str">
        <f t="shared" si="306"/>
        <v/>
      </c>
      <c r="Q3482" t="str">
        <f t="shared" si="307"/>
        <v/>
      </c>
    </row>
    <row r="3483" spans="1:17" hidden="1">
      <c r="A3483" t="s">
        <v>3588</v>
      </c>
      <c r="B3483" s="1">
        <v>45386</v>
      </c>
      <c r="C3483">
        <v>2024</v>
      </c>
      <c r="D3483">
        <v>4</v>
      </c>
      <c r="E3483" t="s">
        <v>23</v>
      </c>
      <c r="F3483" t="s">
        <v>24</v>
      </c>
      <c r="G3483" t="s">
        <v>141</v>
      </c>
      <c r="H3483" t="s">
        <v>209</v>
      </c>
      <c r="I3483">
        <v>7045.73</v>
      </c>
      <c r="J3483">
        <v>6584.39</v>
      </c>
      <c r="K3483" t="s">
        <v>17</v>
      </c>
      <c r="L3483" t="b">
        <v>0</v>
      </c>
      <c r="N3483" s="2" t="str">
        <f t="shared" si="306"/>
        <v/>
      </c>
      <c r="Q3483" t="str">
        <f t="shared" si="307"/>
        <v/>
      </c>
    </row>
    <row r="3484" spans="1:17" hidden="1">
      <c r="A3484" t="s">
        <v>3589</v>
      </c>
      <c r="B3484" s="1">
        <v>45386</v>
      </c>
      <c r="C3484">
        <v>2024</v>
      </c>
      <c r="D3484">
        <v>4</v>
      </c>
      <c r="E3484" t="s">
        <v>37</v>
      </c>
      <c r="F3484" t="s">
        <v>28</v>
      </c>
      <c r="G3484" t="s">
        <v>41</v>
      </c>
      <c r="H3484" t="s">
        <v>42</v>
      </c>
      <c r="I3484">
        <v>2213.5300000000002</v>
      </c>
      <c r="J3484">
        <v>2228.9699999999998</v>
      </c>
      <c r="K3484" t="s">
        <v>17</v>
      </c>
      <c r="L3484" t="b">
        <v>0</v>
      </c>
      <c r="N3484" s="2" t="str">
        <f t="shared" si="306"/>
        <v/>
      </c>
      <c r="Q3484" t="str">
        <f t="shared" si="307"/>
        <v/>
      </c>
    </row>
    <row r="3485" spans="1:17" hidden="1">
      <c r="A3485" t="s">
        <v>3590</v>
      </c>
      <c r="B3485" s="1">
        <v>45387</v>
      </c>
      <c r="C3485">
        <v>2024</v>
      </c>
      <c r="D3485">
        <v>4</v>
      </c>
      <c r="E3485" t="s">
        <v>13</v>
      </c>
      <c r="F3485" t="s">
        <v>14</v>
      </c>
      <c r="G3485" t="s">
        <v>15</v>
      </c>
      <c r="H3485" t="s">
        <v>45</v>
      </c>
      <c r="I3485">
        <v>2867.41</v>
      </c>
      <c r="J3485">
        <v>3002.76</v>
      </c>
      <c r="K3485" t="s">
        <v>17</v>
      </c>
      <c r="L3485" t="b">
        <v>0</v>
      </c>
      <c r="N3485" s="2" t="str">
        <f t="shared" si="306"/>
        <v/>
      </c>
      <c r="Q3485" t="str">
        <f t="shared" si="307"/>
        <v/>
      </c>
    </row>
    <row r="3486" spans="1:17" hidden="1">
      <c r="A3486" t="s">
        <v>3591</v>
      </c>
      <c r="B3486" s="1">
        <v>45387</v>
      </c>
      <c r="C3486">
        <v>2024</v>
      </c>
      <c r="D3486">
        <v>4</v>
      </c>
      <c r="E3486" t="s">
        <v>47</v>
      </c>
      <c r="F3486" t="s">
        <v>28</v>
      </c>
      <c r="G3486" t="s">
        <v>51</v>
      </c>
      <c r="H3486" t="s">
        <v>72</v>
      </c>
      <c r="I3486">
        <v>11581.9</v>
      </c>
      <c r="J3486">
        <v>9899.11</v>
      </c>
      <c r="K3486" t="s">
        <v>17</v>
      </c>
      <c r="L3486" t="b">
        <v>0</v>
      </c>
      <c r="N3486" s="2" t="b">
        <f t="shared" si="306"/>
        <v>1</v>
      </c>
      <c r="O3486" t="str">
        <f>IF(AND(E3475="HR",K3475="EXPENSE"),I3475&lt;J3475,"")</f>
        <v/>
      </c>
      <c r="Q3486" t="str">
        <f t="shared" si="307"/>
        <v/>
      </c>
    </row>
    <row r="3487" spans="1:17" hidden="1">
      <c r="A3487" t="s">
        <v>3592</v>
      </c>
      <c r="B3487" s="1">
        <v>45387</v>
      </c>
      <c r="C3487">
        <v>2024</v>
      </c>
      <c r="D3487">
        <v>4</v>
      </c>
      <c r="E3487" t="s">
        <v>19</v>
      </c>
      <c r="F3487" t="s">
        <v>14</v>
      </c>
      <c r="G3487" t="s">
        <v>80</v>
      </c>
      <c r="H3487" t="s">
        <v>217</v>
      </c>
      <c r="I3487">
        <v>9931.83</v>
      </c>
      <c r="J3487">
        <v>9027.5400000000009</v>
      </c>
      <c r="K3487" t="s">
        <v>17</v>
      </c>
      <c r="L3487" t="b">
        <v>0</v>
      </c>
      <c r="N3487" s="2" t="str">
        <f t="shared" si="306"/>
        <v/>
      </c>
      <c r="Q3487" t="str">
        <f t="shared" si="307"/>
        <v/>
      </c>
    </row>
    <row r="3488" spans="1:17" hidden="1">
      <c r="A3488" t="s">
        <v>3593</v>
      </c>
      <c r="B3488" s="1">
        <v>45387</v>
      </c>
      <c r="C3488">
        <v>2024</v>
      </c>
      <c r="D3488">
        <v>4</v>
      </c>
      <c r="E3488" t="s">
        <v>19</v>
      </c>
      <c r="F3488" t="s">
        <v>28</v>
      </c>
      <c r="G3488" t="s">
        <v>54</v>
      </c>
      <c r="H3488" t="s">
        <v>57</v>
      </c>
      <c r="I3488">
        <v>8856.0499999999993</v>
      </c>
      <c r="J3488">
        <v>9052.5499999999993</v>
      </c>
      <c r="K3488" t="s">
        <v>17</v>
      </c>
      <c r="L3488" t="b">
        <v>0</v>
      </c>
      <c r="N3488" s="2" t="str">
        <f t="shared" si="306"/>
        <v/>
      </c>
      <c r="Q3488" t="str">
        <f t="shared" si="307"/>
        <v/>
      </c>
    </row>
    <row r="3489" spans="1:17" hidden="1">
      <c r="A3489" t="s">
        <v>3594</v>
      </c>
      <c r="B3489" s="1">
        <v>45387</v>
      </c>
      <c r="C3489">
        <v>2024</v>
      </c>
      <c r="D3489">
        <v>4</v>
      </c>
      <c r="E3489" t="s">
        <v>19</v>
      </c>
      <c r="F3489" t="s">
        <v>24</v>
      </c>
      <c r="G3489" t="s">
        <v>80</v>
      </c>
      <c r="H3489" t="s">
        <v>81</v>
      </c>
      <c r="I3489">
        <v>6548.99</v>
      </c>
      <c r="J3489">
        <v>6852.57</v>
      </c>
      <c r="K3489" t="s">
        <v>17</v>
      </c>
      <c r="L3489" t="b">
        <v>0</v>
      </c>
      <c r="N3489" s="2" t="str">
        <f t="shared" si="306"/>
        <v/>
      </c>
      <c r="Q3489" t="str">
        <f t="shared" si="307"/>
        <v/>
      </c>
    </row>
    <row r="3490" spans="1:17" hidden="1">
      <c r="A3490" t="s">
        <v>3595</v>
      </c>
      <c r="B3490" s="1">
        <v>45387</v>
      </c>
      <c r="C3490">
        <v>2024</v>
      </c>
      <c r="D3490">
        <v>4</v>
      </c>
      <c r="E3490" t="s">
        <v>23</v>
      </c>
      <c r="F3490" t="s">
        <v>14</v>
      </c>
      <c r="G3490" t="s">
        <v>30</v>
      </c>
      <c r="H3490" t="s">
        <v>33</v>
      </c>
      <c r="I3490">
        <v>4708.91</v>
      </c>
      <c r="J3490">
        <v>5119.8599999999997</v>
      </c>
      <c r="K3490" t="s">
        <v>17</v>
      </c>
      <c r="L3490" t="b">
        <v>0</v>
      </c>
      <c r="N3490" s="2" t="str">
        <f t="shared" si="306"/>
        <v/>
      </c>
      <c r="Q3490" t="str">
        <f t="shared" si="307"/>
        <v/>
      </c>
    </row>
    <row r="3491" spans="1:17" hidden="1">
      <c r="A3491" t="s">
        <v>3596</v>
      </c>
      <c r="B3491" s="1">
        <v>45387</v>
      </c>
      <c r="C3491">
        <v>2024</v>
      </c>
      <c r="D3491">
        <v>4</v>
      </c>
      <c r="E3491" t="s">
        <v>23</v>
      </c>
      <c r="F3491" t="s">
        <v>14</v>
      </c>
      <c r="G3491" t="s">
        <v>30</v>
      </c>
      <c r="H3491" t="s">
        <v>33</v>
      </c>
      <c r="I3491">
        <v>6318.53</v>
      </c>
      <c r="J3491">
        <v>6432.05</v>
      </c>
      <c r="K3491" t="s">
        <v>17</v>
      </c>
      <c r="L3491" t="b">
        <v>0</v>
      </c>
      <c r="N3491" s="2" t="str">
        <f t="shared" si="306"/>
        <v/>
      </c>
      <c r="Q3491" t="str">
        <f t="shared" si="307"/>
        <v/>
      </c>
    </row>
    <row r="3492" spans="1:17" hidden="1">
      <c r="A3492" t="s">
        <v>3597</v>
      </c>
      <c r="B3492" s="1">
        <v>45387</v>
      </c>
      <c r="C3492">
        <v>2024</v>
      </c>
      <c r="D3492">
        <v>4</v>
      </c>
      <c r="E3492" t="s">
        <v>23</v>
      </c>
      <c r="F3492" t="s">
        <v>28</v>
      </c>
      <c r="G3492" t="s">
        <v>59</v>
      </c>
      <c r="H3492" t="s">
        <v>155</v>
      </c>
      <c r="I3492">
        <v>5305.47</v>
      </c>
      <c r="J3492">
        <v>5013.55</v>
      </c>
      <c r="K3492" t="s">
        <v>17</v>
      </c>
      <c r="L3492" t="b">
        <v>0</v>
      </c>
      <c r="N3492" s="2" t="str">
        <f t="shared" si="306"/>
        <v/>
      </c>
      <c r="Q3492" t="str">
        <f t="shared" si="307"/>
        <v/>
      </c>
    </row>
    <row r="3493" spans="1:17" hidden="1">
      <c r="A3493" t="s">
        <v>3598</v>
      </c>
      <c r="B3493" s="1">
        <v>45387</v>
      </c>
      <c r="C3493">
        <v>2024</v>
      </c>
      <c r="D3493">
        <v>4</v>
      </c>
      <c r="E3493" t="s">
        <v>23</v>
      </c>
      <c r="F3493" t="s">
        <v>28</v>
      </c>
      <c r="G3493" t="s">
        <v>25</v>
      </c>
      <c r="H3493" t="s">
        <v>95</v>
      </c>
      <c r="I3493">
        <v>4405.41</v>
      </c>
      <c r="J3493">
        <v>4315.67</v>
      </c>
      <c r="K3493" t="s">
        <v>17</v>
      </c>
      <c r="L3493" t="b">
        <v>0</v>
      </c>
      <c r="N3493" s="2" t="str">
        <f t="shared" si="306"/>
        <v/>
      </c>
      <c r="Q3493" t="str">
        <f t="shared" si="307"/>
        <v/>
      </c>
    </row>
    <row r="3494" spans="1:17" hidden="1">
      <c r="A3494" t="s">
        <v>3599</v>
      </c>
      <c r="B3494" s="1">
        <v>45387</v>
      </c>
      <c r="C3494">
        <v>2024</v>
      </c>
      <c r="D3494">
        <v>4</v>
      </c>
      <c r="E3494" t="s">
        <v>37</v>
      </c>
      <c r="F3494" t="s">
        <v>24</v>
      </c>
      <c r="G3494" t="s">
        <v>38</v>
      </c>
      <c r="H3494" t="s">
        <v>118</v>
      </c>
      <c r="I3494">
        <v>3784.13</v>
      </c>
      <c r="J3494">
        <v>3599.66</v>
      </c>
      <c r="K3494" t="s">
        <v>17</v>
      </c>
      <c r="L3494" t="b">
        <v>0</v>
      </c>
      <c r="N3494" s="2" t="str">
        <f t="shared" si="306"/>
        <v/>
      </c>
      <c r="Q3494" t="str">
        <f t="shared" si="307"/>
        <v/>
      </c>
    </row>
    <row r="3495" spans="1:17" hidden="1">
      <c r="A3495" t="s">
        <v>3600</v>
      </c>
      <c r="B3495" s="1">
        <v>45388</v>
      </c>
      <c r="C3495">
        <v>2024</v>
      </c>
      <c r="D3495">
        <v>4</v>
      </c>
      <c r="E3495" t="s">
        <v>13</v>
      </c>
      <c r="F3495" t="s">
        <v>14</v>
      </c>
      <c r="G3495" t="s">
        <v>108</v>
      </c>
      <c r="H3495" t="s">
        <v>126</v>
      </c>
      <c r="I3495">
        <v>3117.93</v>
      </c>
      <c r="J3495">
        <v>2922.32</v>
      </c>
      <c r="K3495" t="s">
        <v>17</v>
      </c>
      <c r="L3495" t="b">
        <v>0</v>
      </c>
      <c r="N3495" s="2" t="str">
        <f t="shared" si="306"/>
        <v/>
      </c>
      <c r="Q3495" t="str">
        <f t="shared" si="307"/>
        <v/>
      </c>
    </row>
    <row r="3496" spans="1:17" hidden="1">
      <c r="A3496" t="s">
        <v>3601</v>
      </c>
      <c r="B3496" s="1">
        <v>45388</v>
      </c>
      <c r="C3496">
        <v>2024</v>
      </c>
      <c r="D3496">
        <v>4</v>
      </c>
      <c r="E3496" t="s">
        <v>13</v>
      </c>
      <c r="F3496" t="s">
        <v>14</v>
      </c>
      <c r="G3496" t="s">
        <v>68</v>
      </c>
      <c r="H3496" t="s">
        <v>213</v>
      </c>
      <c r="I3496">
        <v>3542.27</v>
      </c>
      <c r="J3496">
        <v>3445.44</v>
      </c>
      <c r="K3496" t="s">
        <v>17</v>
      </c>
      <c r="L3496" t="b">
        <v>0</v>
      </c>
      <c r="N3496" s="2" t="str">
        <f t="shared" si="306"/>
        <v/>
      </c>
      <c r="Q3496" t="str">
        <f t="shared" si="307"/>
        <v/>
      </c>
    </row>
    <row r="3497" spans="1:17" hidden="1">
      <c r="A3497" t="s">
        <v>3602</v>
      </c>
      <c r="B3497" s="1">
        <v>45388</v>
      </c>
      <c r="C3497">
        <v>2024</v>
      </c>
      <c r="D3497">
        <v>4</v>
      </c>
      <c r="E3497" t="s">
        <v>13</v>
      </c>
      <c r="F3497" t="s">
        <v>28</v>
      </c>
      <c r="G3497" t="s">
        <v>15</v>
      </c>
      <c r="H3497" t="s">
        <v>89</v>
      </c>
      <c r="I3497">
        <v>3182.11</v>
      </c>
      <c r="J3497">
        <v>3162.41</v>
      </c>
      <c r="K3497" t="s">
        <v>17</v>
      </c>
      <c r="L3497" t="b">
        <v>0</v>
      </c>
      <c r="N3497" s="2" t="str">
        <f t="shared" si="306"/>
        <v/>
      </c>
      <c r="Q3497" t="str">
        <f t="shared" si="307"/>
        <v/>
      </c>
    </row>
    <row r="3498" spans="1:17" hidden="1">
      <c r="A3498" t="s">
        <v>3603</v>
      </c>
      <c r="B3498" s="1">
        <v>45388</v>
      </c>
      <c r="C3498">
        <v>2024</v>
      </c>
      <c r="D3498">
        <v>4</v>
      </c>
      <c r="E3498" t="s">
        <v>13</v>
      </c>
      <c r="F3498" t="s">
        <v>24</v>
      </c>
      <c r="G3498" t="s">
        <v>102</v>
      </c>
      <c r="H3498" t="s">
        <v>145</v>
      </c>
      <c r="I3498">
        <v>2204.6799999999998</v>
      </c>
      <c r="J3498">
        <v>2040.58</v>
      </c>
      <c r="K3498" t="s">
        <v>17</v>
      </c>
      <c r="L3498" t="b">
        <v>0</v>
      </c>
      <c r="N3498" s="2" t="str">
        <f t="shared" si="306"/>
        <v/>
      </c>
      <c r="Q3498" t="str">
        <f t="shared" si="307"/>
        <v/>
      </c>
    </row>
    <row r="3499" spans="1:17" hidden="1">
      <c r="A3499" t="s">
        <v>3604</v>
      </c>
      <c r="B3499" s="1">
        <v>45388</v>
      </c>
      <c r="C3499">
        <v>2024</v>
      </c>
      <c r="D3499">
        <v>4</v>
      </c>
      <c r="E3499" t="s">
        <v>19</v>
      </c>
      <c r="F3499" t="s">
        <v>24</v>
      </c>
      <c r="G3499" t="s">
        <v>132</v>
      </c>
      <c r="H3499" t="s">
        <v>133</v>
      </c>
      <c r="I3499">
        <v>7071.88</v>
      </c>
      <c r="J3499">
        <v>7378.06</v>
      </c>
      <c r="K3499" t="s">
        <v>17</v>
      </c>
      <c r="L3499" t="b">
        <v>0</v>
      </c>
      <c r="N3499" s="2" t="str">
        <f t="shared" si="306"/>
        <v/>
      </c>
      <c r="Q3499" t="str">
        <f t="shared" si="307"/>
        <v/>
      </c>
    </row>
    <row r="3500" spans="1:17" hidden="1">
      <c r="A3500" t="s">
        <v>3605</v>
      </c>
      <c r="B3500" s="1">
        <v>45388</v>
      </c>
      <c r="C3500">
        <v>2024</v>
      </c>
      <c r="D3500">
        <v>4</v>
      </c>
      <c r="E3500" t="s">
        <v>23</v>
      </c>
      <c r="F3500" t="s">
        <v>28</v>
      </c>
      <c r="G3500" t="s">
        <v>59</v>
      </c>
      <c r="H3500" t="s">
        <v>155</v>
      </c>
      <c r="I3500">
        <v>7353.19</v>
      </c>
      <c r="J3500">
        <v>6905.49</v>
      </c>
      <c r="K3500" t="s">
        <v>17</v>
      </c>
      <c r="L3500" t="b">
        <v>0</v>
      </c>
      <c r="N3500" s="2" t="str">
        <f t="shared" si="306"/>
        <v/>
      </c>
      <c r="Q3500" t="str">
        <f t="shared" si="307"/>
        <v/>
      </c>
    </row>
    <row r="3501" spans="1:17" hidden="1">
      <c r="A3501" t="s">
        <v>3606</v>
      </c>
      <c r="B3501" s="1">
        <v>45389</v>
      </c>
      <c r="C3501">
        <v>2024</v>
      </c>
      <c r="D3501">
        <v>4</v>
      </c>
      <c r="E3501" t="s">
        <v>47</v>
      </c>
      <c r="F3501" t="s">
        <v>14</v>
      </c>
      <c r="G3501" t="s">
        <v>48</v>
      </c>
      <c r="H3501" t="s">
        <v>49</v>
      </c>
      <c r="I3501">
        <v>11402.29</v>
      </c>
      <c r="J3501">
        <v>9459.02</v>
      </c>
      <c r="K3501" t="s">
        <v>17</v>
      </c>
      <c r="L3501" t="b">
        <v>0</v>
      </c>
      <c r="N3501" s="2" t="b">
        <f t="shared" si="306"/>
        <v>1</v>
      </c>
      <c r="O3501" t="str">
        <f t="shared" ref="O3501:O3502" si="309">IF(AND(E3490="HR",K3490="EXPENSE"),I3490&lt;J3490,"")</f>
        <v/>
      </c>
      <c r="Q3501" t="str">
        <f t="shared" si="307"/>
        <v/>
      </c>
    </row>
    <row r="3502" spans="1:17" hidden="1">
      <c r="A3502" t="s">
        <v>3607</v>
      </c>
      <c r="B3502" s="1">
        <v>45389</v>
      </c>
      <c r="C3502">
        <v>2024</v>
      </c>
      <c r="D3502">
        <v>4</v>
      </c>
      <c r="E3502" t="s">
        <v>47</v>
      </c>
      <c r="F3502" t="s">
        <v>24</v>
      </c>
      <c r="G3502" t="s">
        <v>51</v>
      </c>
      <c r="H3502" t="s">
        <v>189</v>
      </c>
      <c r="I3502">
        <v>8027.18</v>
      </c>
      <c r="J3502">
        <v>6686.74</v>
      </c>
      <c r="K3502" t="s">
        <v>17</v>
      </c>
      <c r="L3502" t="b">
        <v>0</v>
      </c>
      <c r="N3502" s="2" t="b">
        <f t="shared" si="306"/>
        <v>1</v>
      </c>
      <c r="O3502" t="str">
        <f t="shared" si="309"/>
        <v/>
      </c>
      <c r="Q3502" t="str">
        <f t="shared" si="307"/>
        <v/>
      </c>
    </row>
    <row r="3503" spans="1:17" hidden="1">
      <c r="A3503" t="s">
        <v>3608</v>
      </c>
      <c r="B3503" s="1">
        <v>45389</v>
      </c>
      <c r="C3503">
        <v>2024</v>
      </c>
      <c r="D3503">
        <v>4</v>
      </c>
      <c r="E3503" t="s">
        <v>19</v>
      </c>
      <c r="F3503" t="s">
        <v>24</v>
      </c>
      <c r="G3503" t="s">
        <v>20</v>
      </c>
      <c r="H3503" t="s">
        <v>174</v>
      </c>
      <c r="I3503">
        <v>7687.38</v>
      </c>
      <c r="J3503">
        <v>8033.91</v>
      </c>
      <c r="K3503" t="s">
        <v>17</v>
      </c>
      <c r="L3503" t="b">
        <v>0</v>
      </c>
      <c r="N3503" s="2" t="str">
        <f t="shared" si="306"/>
        <v/>
      </c>
      <c r="Q3503" t="str">
        <f t="shared" si="307"/>
        <v/>
      </c>
    </row>
    <row r="3504" spans="1:17" hidden="1">
      <c r="A3504" t="s">
        <v>3609</v>
      </c>
      <c r="B3504" s="1">
        <v>45389</v>
      </c>
      <c r="C3504">
        <v>2024</v>
      </c>
      <c r="D3504">
        <v>4</v>
      </c>
      <c r="E3504" t="s">
        <v>23</v>
      </c>
      <c r="F3504" t="s">
        <v>28</v>
      </c>
      <c r="G3504" t="s">
        <v>141</v>
      </c>
      <c r="H3504" t="s">
        <v>209</v>
      </c>
      <c r="I3504">
        <v>4853.6899999999996</v>
      </c>
      <c r="J3504">
        <v>4610.33</v>
      </c>
      <c r="K3504" t="s">
        <v>17</v>
      </c>
      <c r="L3504" t="b">
        <v>0</v>
      </c>
      <c r="N3504" s="2" t="str">
        <f t="shared" si="306"/>
        <v/>
      </c>
      <c r="Q3504" t="str">
        <f t="shared" si="307"/>
        <v/>
      </c>
    </row>
    <row r="3505" spans="1:17" hidden="1">
      <c r="A3505" t="s">
        <v>3610</v>
      </c>
      <c r="B3505" s="1">
        <v>45390</v>
      </c>
      <c r="C3505">
        <v>2024</v>
      </c>
      <c r="D3505">
        <v>4</v>
      </c>
      <c r="E3505" t="s">
        <v>13</v>
      </c>
      <c r="F3505" t="s">
        <v>14</v>
      </c>
      <c r="G3505" t="s">
        <v>108</v>
      </c>
      <c r="H3505" t="s">
        <v>123</v>
      </c>
      <c r="I3505">
        <v>2793.15</v>
      </c>
      <c r="J3505">
        <v>2524.83</v>
      </c>
      <c r="K3505" t="s">
        <v>17</v>
      </c>
      <c r="L3505" t="b">
        <v>0</v>
      </c>
      <c r="N3505" s="2" t="str">
        <f t="shared" si="306"/>
        <v/>
      </c>
      <c r="Q3505" t="str">
        <f t="shared" si="307"/>
        <v/>
      </c>
    </row>
    <row r="3506" spans="1:17" hidden="1">
      <c r="A3506" t="s">
        <v>3611</v>
      </c>
      <c r="B3506" s="1">
        <v>45390</v>
      </c>
      <c r="C3506">
        <v>2024</v>
      </c>
      <c r="D3506">
        <v>4</v>
      </c>
      <c r="E3506" t="s">
        <v>47</v>
      </c>
      <c r="F3506" t="s">
        <v>28</v>
      </c>
      <c r="G3506" t="s">
        <v>91</v>
      </c>
      <c r="H3506" t="s">
        <v>254</v>
      </c>
      <c r="I3506">
        <v>7109.79</v>
      </c>
      <c r="J3506">
        <v>6000.83</v>
      </c>
      <c r="K3506" t="s">
        <v>17</v>
      </c>
      <c r="L3506" t="b">
        <v>0</v>
      </c>
      <c r="N3506" s="2" t="b">
        <f t="shared" si="306"/>
        <v>1</v>
      </c>
      <c r="O3506" t="b">
        <f t="shared" ref="O3506:O3507" si="310">IF(AND(E3495="HR",K3495="EXPENSE"),I3495&lt;J3495,"")</f>
        <v>0</v>
      </c>
      <c r="Q3506" t="str">
        <f t="shared" si="307"/>
        <v/>
      </c>
    </row>
    <row r="3507" spans="1:17" hidden="1">
      <c r="A3507" t="s">
        <v>3612</v>
      </c>
      <c r="B3507" s="1">
        <v>45390</v>
      </c>
      <c r="C3507">
        <v>2024</v>
      </c>
      <c r="D3507">
        <v>4</v>
      </c>
      <c r="E3507" t="s">
        <v>47</v>
      </c>
      <c r="F3507" t="s">
        <v>24</v>
      </c>
      <c r="G3507" t="s">
        <v>77</v>
      </c>
      <c r="H3507" t="s">
        <v>147</v>
      </c>
      <c r="I3507">
        <v>14537.03</v>
      </c>
      <c r="J3507">
        <v>12564.02</v>
      </c>
      <c r="K3507" t="s">
        <v>17</v>
      </c>
      <c r="L3507" t="b">
        <v>0</v>
      </c>
      <c r="N3507" s="2" t="b">
        <f t="shared" si="306"/>
        <v>1</v>
      </c>
      <c r="O3507" t="b">
        <f t="shared" si="310"/>
        <v>0</v>
      </c>
      <c r="Q3507" t="str">
        <f t="shared" si="307"/>
        <v/>
      </c>
    </row>
    <row r="3508" spans="1:17" hidden="1">
      <c r="A3508" t="s">
        <v>3613</v>
      </c>
      <c r="B3508" s="1">
        <v>45390</v>
      </c>
      <c r="C3508">
        <v>2024</v>
      </c>
      <c r="D3508">
        <v>4</v>
      </c>
      <c r="E3508" t="s">
        <v>23</v>
      </c>
      <c r="F3508" t="s">
        <v>28</v>
      </c>
      <c r="G3508" t="s">
        <v>25</v>
      </c>
      <c r="H3508" t="s">
        <v>35</v>
      </c>
      <c r="I3508">
        <v>2931.93</v>
      </c>
      <c r="J3508">
        <v>2936.8</v>
      </c>
      <c r="K3508" t="s">
        <v>17</v>
      </c>
      <c r="L3508" t="b">
        <v>0</v>
      </c>
      <c r="N3508" s="2" t="str">
        <f t="shared" si="306"/>
        <v/>
      </c>
      <c r="Q3508" t="str">
        <f t="shared" si="307"/>
        <v/>
      </c>
    </row>
    <row r="3509" spans="1:17" hidden="1">
      <c r="A3509" t="s">
        <v>3614</v>
      </c>
      <c r="B3509" s="1">
        <v>45390</v>
      </c>
      <c r="C3509">
        <v>2024</v>
      </c>
      <c r="D3509">
        <v>4</v>
      </c>
      <c r="E3509" t="s">
        <v>23</v>
      </c>
      <c r="F3509" t="s">
        <v>24</v>
      </c>
      <c r="G3509" t="s">
        <v>25</v>
      </c>
      <c r="H3509" t="s">
        <v>26</v>
      </c>
      <c r="I3509">
        <v>4463.96</v>
      </c>
      <c r="J3509">
        <v>4763.5600000000004</v>
      </c>
      <c r="K3509" t="s">
        <v>17</v>
      </c>
      <c r="L3509" t="b">
        <v>0</v>
      </c>
      <c r="N3509" s="2" t="str">
        <f t="shared" si="306"/>
        <v/>
      </c>
      <c r="Q3509" t="str">
        <f t="shared" si="307"/>
        <v/>
      </c>
    </row>
    <row r="3510" spans="1:17" hidden="1">
      <c r="A3510" t="s">
        <v>3615</v>
      </c>
      <c r="B3510" s="1">
        <v>45390</v>
      </c>
      <c r="C3510">
        <v>2024</v>
      </c>
      <c r="D3510">
        <v>4</v>
      </c>
      <c r="E3510" t="s">
        <v>37</v>
      </c>
      <c r="F3510" t="s">
        <v>14</v>
      </c>
      <c r="G3510" t="s">
        <v>98</v>
      </c>
      <c r="H3510" t="s">
        <v>99</v>
      </c>
      <c r="I3510">
        <v>3977.83</v>
      </c>
      <c r="J3510">
        <v>4116.26</v>
      </c>
      <c r="K3510" t="s">
        <v>17</v>
      </c>
      <c r="L3510" t="b">
        <v>0</v>
      </c>
      <c r="N3510" s="2" t="str">
        <f t="shared" si="306"/>
        <v/>
      </c>
      <c r="Q3510" t="str">
        <f t="shared" si="307"/>
        <v/>
      </c>
    </row>
    <row r="3511" spans="1:17" hidden="1">
      <c r="A3511" t="s">
        <v>3616</v>
      </c>
      <c r="B3511" s="1">
        <v>45390</v>
      </c>
      <c r="C3511">
        <v>2024</v>
      </c>
      <c r="D3511">
        <v>4</v>
      </c>
      <c r="E3511" t="s">
        <v>37</v>
      </c>
      <c r="F3511" t="s">
        <v>14</v>
      </c>
      <c r="G3511" t="s">
        <v>62</v>
      </c>
      <c r="H3511" t="s">
        <v>66</v>
      </c>
      <c r="I3511">
        <v>2306.0300000000002</v>
      </c>
      <c r="J3511">
        <v>2325.1799999999998</v>
      </c>
      <c r="K3511" t="s">
        <v>17</v>
      </c>
      <c r="L3511" t="b">
        <v>0</v>
      </c>
      <c r="N3511" s="2" t="str">
        <f t="shared" si="306"/>
        <v/>
      </c>
      <c r="Q3511" t="str">
        <f t="shared" si="307"/>
        <v/>
      </c>
    </row>
    <row r="3512" spans="1:17" hidden="1">
      <c r="A3512" t="s">
        <v>3617</v>
      </c>
      <c r="B3512" s="1">
        <v>45391</v>
      </c>
      <c r="C3512">
        <v>2024</v>
      </c>
      <c r="D3512">
        <v>4</v>
      </c>
      <c r="E3512" t="s">
        <v>13</v>
      </c>
      <c r="F3512" t="s">
        <v>14</v>
      </c>
      <c r="G3512" t="s">
        <v>68</v>
      </c>
      <c r="H3512" t="s">
        <v>87</v>
      </c>
      <c r="I3512">
        <v>2779.98</v>
      </c>
      <c r="J3512">
        <v>2949.18</v>
      </c>
      <c r="K3512" t="s">
        <v>17</v>
      </c>
      <c r="L3512" t="b">
        <v>0</v>
      </c>
      <c r="N3512" s="2" t="str">
        <f t="shared" si="306"/>
        <v/>
      </c>
      <c r="Q3512" t="str">
        <f t="shared" si="307"/>
        <v/>
      </c>
    </row>
    <row r="3513" spans="1:17" hidden="1">
      <c r="A3513" t="s">
        <v>3618</v>
      </c>
      <c r="B3513" s="1">
        <v>45391</v>
      </c>
      <c r="C3513">
        <v>2024</v>
      </c>
      <c r="D3513">
        <v>4</v>
      </c>
      <c r="E3513" t="s">
        <v>13</v>
      </c>
      <c r="F3513" t="s">
        <v>24</v>
      </c>
      <c r="G3513" t="s">
        <v>102</v>
      </c>
      <c r="H3513" t="s">
        <v>145</v>
      </c>
      <c r="I3513">
        <v>2011.89</v>
      </c>
      <c r="J3513">
        <v>1828.37</v>
      </c>
      <c r="K3513" t="s">
        <v>17</v>
      </c>
      <c r="L3513" t="b">
        <v>0</v>
      </c>
      <c r="N3513" s="2" t="str">
        <f t="shared" si="306"/>
        <v/>
      </c>
      <c r="Q3513" t="str">
        <f t="shared" si="307"/>
        <v/>
      </c>
    </row>
    <row r="3514" spans="1:17" hidden="1">
      <c r="A3514" t="s">
        <v>3619</v>
      </c>
      <c r="B3514" s="1">
        <v>45391</v>
      </c>
      <c r="C3514">
        <v>2024</v>
      </c>
      <c r="D3514">
        <v>4</v>
      </c>
      <c r="E3514" t="s">
        <v>47</v>
      </c>
      <c r="F3514" t="s">
        <v>28</v>
      </c>
      <c r="G3514" t="s">
        <v>48</v>
      </c>
      <c r="H3514" t="s">
        <v>111</v>
      </c>
      <c r="I3514">
        <v>12766.7</v>
      </c>
      <c r="J3514">
        <v>10922.93</v>
      </c>
      <c r="K3514" t="s">
        <v>17</v>
      </c>
      <c r="L3514" t="b">
        <v>0</v>
      </c>
      <c r="N3514" s="2" t="b">
        <f t="shared" si="306"/>
        <v>1</v>
      </c>
      <c r="O3514" t="str">
        <f>IF(AND(E3503="HR",K3503="EXPENSE"),I3503&lt;J3503,"")</f>
        <v/>
      </c>
      <c r="Q3514" t="str">
        <f t="shared" si="307"/>
        <v/>
      </c>
    </row>
    <row r="3515" spans="1:17" hidden="1">
      <c r="A3515" t="s">
        <v>3620</v>
      </c>
      <c r="B3515" s="1">
        <v>45391</v>
      </c>
      <c r="C3515">
        <v>2024</v>
      </c>
      <c r="D3515">
        <v>4</v>
      </c>
      <c r="E3515" t="s">
        <v>23</v>
      </c>
      <c r="F3515" t="s">
        <v>24</v>
      </c>
      <c r="G3515" t="s">
        <v>141</v>
      </c>
      <c r="H3515" t="s">
        <v>209</v>
      </c>
      <c r="I3515">
        <v>6804.24</v>
      </c>
      <c r="J3515">
        <v>7275.84</v>
      </c>
      <c r="K3515" t="s">
        <v>17</v>
      </c>
      <c r="L3515" t="b">
        <v>0</v>
      </c>
      <c r="N3515" s="2" t="str">
        <f t="shared" si="306"/>
        <v/>
      </c>
      <c r="Q3515" t="str">
        <f t="shared" si="307"/>
        <v/>
      </c>
    </row>
    <row r="3516" spans="1:17" hidden="1">
      <c r="A3516" t="s">
        <v>3621</v>
      </c>
      <c r="B3516" s="1">
        <v>45391</v>
      </c>
      <c r="C3516">
        <v>2024</v>
      </c>
      <c r="D3516">
        <v>4</v>
      </c>
      <c r="E3516" t="s">
        <v>37</v>
      </c>
      <c r="F3516" t="s">
        <v>24</v>
      </c>
      <c r="G3516" t="s">
        <v>98</v>
      </c>
      <c r="H3516" t="s">
        <v>99</v>
      </c>
      <c r="I3516">
        <v>4472.8599999999997</v>
      </c>
      <c r="J3516">
        <v>4088.98</v>
      </c>
      <c r="K3516" t="s">
        <v>17</v>
      </c>
      <c r="L3516" t="b">
        <v>0</v>
      </c>
      <c r="N3516" s="2" t="str">
        <f t="shared" si="306"/>
        <v/>
      </c>
      <c r="Q3516" t="str">
        <f t="shared" si="307"/>
        <v/>
      </c>
    </row>
    <row r="3517" spans="1:17" hidden="1">
      <c r="A3517" t="s">
        <v>3622</v>
      </c>
      <c r="B3517" s="1">
        <v>45391</v>
      </c>
      <c r="C3517">
        <v>2024</v>
      </c>
      <c r="D3517">
        <v>4</v>
      </c>
      <c r="E3517" t="s">
        <v>37</v>
      </c>
      <c r="F3517" t="s">
        <v>24</v>
      </c>
      <c r="G3517" t="s">
        <v>98</v>
      </c>
      <c r="H3517" t="s">
        <v>185</v>
      </c>
      <c r="I3517">
        <v>2762.5</v>
      </c>
      <c r="J3517">
        <v>2510.88</v>
      </c>
      <c r="K3517" t="s">
        <v>17</v>
      </c>
      <c r="L3517" t="b">
        <v>0</v>
      </c>
      <c r="N3517" s="2" t="str">
        <f t="shared" si="306"/>
        <v/>
      </c>
      <c r="Q3517" t="str">
        <f t="shared" si="307"/>
        <v/>
      </c>
    </row>
    <row r="3518" spans="1:17" hidden="1">
      <c r="A3518" t="s">
        <v>3623</v>
      </c>
      <c r="B3518" s="1">
        <v>45392</v>
      </c>
      <c r="C3518">
        <v>2024</v>
      </c>
      <c r="D3518">
        <v>4</v>
      </c>
      <c r="E3518" t="s">
        <v>13</v>
      </c>
      <c r="F3518" t="s">
        <v>24</v>
      </c>
      <c r="G3518" t="s">
        <v>108</v>
      </c>
      <c r="H3518" t="s">
        <v>123</v>
      </c>
      <c r="I3518">
        <v>2671.89</v>
      </c>
      <c r="J3518">
        <v>2817.5</v>
      </c>
      <c r="K3518" t="s">
        <v>17</v>
      </c>
      <c r="L3518" t="b">
        <v>0</v>
      </c>
      <c r="N3518" s="2" t="str">
        <f t="shared" si="306"/>
        <v/>
      </c>
      <c r="Q3518" t="str">
        <f t="shared" si="307"/>
        <v/>
      </c>
    </row>
    <row r="3519" spans="1:17" hidden="1">
      <c r="A3519" t="s">
        <v>3624</v>
      </c>
      <c r="B3519" s="1">
        <v>45392</v>
      </c>
      <c r="C3519">
        <v>2024</v>
      </c>
      <c r="D3519">
        <v>4</v>
      </c>
      <c r="E3519" t="s">
        <v>47</v>
      </c>
      <c r="F3519" t="s">
        <v>28</v>
      </c>
      <c r="G3519" t="s">
        <v>48</v>
      </c>
      <c r="H3519" t="s">
        <v>75</v>
      </c>
      <c r="I3519">
        <v>18124.169999999998</v>
      </c>
      <c r="J3519">
        <v>15414.34</v>
      </c>
      <c r="K3519" t="s">
        <v>17</v>
      </c>
      <c r="L3519" t="b">
        <v>0</v>
      </c>
      <c r="N3519" s="2" t="b">
        <f t="shared" si="306"/>
        <v>1</v>
      </c>
      <c r="O3519" t="str">
        <f t="shared" ref="O3519:O3520" si="311">IF(AND(E3508="HR",K3508="EXPENSE"),I3508&lt;J3508,"")</f>
        <v/>
      </c>
      <c r="Q3519" t="str">
        <f t="shared" si="307"/>
        <v/>
      </c>
    </row>
    <row r="3520" spans="1:17" hidden="1">
      <c r="A3520" t="s">
        <v>3625</v>
      </c>
      <c r="B3520" s="1">
        <v>45392</v>
      </c>
      <c r="C3520">
        <v>2024</v>
      </c>
      <c r="D3520">
        <v>4</v>
      </c>
      <c r="E3520" t="s">
        <v>47</v>
      </c>
      <c r="F3520" t="s">
        <v>24</v>
      </c>
      <c r="G3520" t="s">
        <v>91</v>
      </c>
      <c r="H3520" t="s">
        <v>249</v>
      </c>
      <c r="I3520">
        <v>18534.09</v>
      </c>
      <c r="J3520">
        <v>15462.03</v>
      </c>
      <c r="K3520" t="s">
        <v>17</v>
      </c>
      <c r="L3520" t="b">
        <v>0</v>
      </c>
      <c r="N3520" s="2" t="b">
        <f t="shared" si="306"/>
        <v>1</v>
      </c>
      <c r="O3520" t="str">
        <f t="shared" si="311"/>
        <v/>
      </c>
      <c r="Q3520" t="str">
        <f t="shared" si="307"/>
        <v/>
      </c>
    </row>
    <row r="3521" spans="1:17" hidden="1">
      <c r="A3521" t="s">
        <v>3626</v>
      </c>
      <c r="B3521" s="1">
        <v>45392</v>
      </c>
      <c r="C3521">
        <v>2024</v>
      </c>
      <c r="D3521">
        <v>4</v>
      </c>
      <c r="E3521" t="s">
        <v>19</v>
      </c>
      <c r="F3521" t="s">
        <v>28</v>
      </c>
      <c r="G3521" t="s">
        <v>80</v>
      </c>
      <c r="H3521" t="s">
        <v>113</v>
      </c>
      <c r="I3521">
        <v>12605.88</v>
      </c>
      <c r="J3521">
        <v>13737.15</v>
      </c>
      <c r="K3521" t="s">
        <v>17</v>
      </c>
      <c r="L3521" t="b">
        <v>0</v>
      </c>
      <c r="N3521" s="2" t="str">
        <f t="shared" si="306"/>
        <v/>
      </c>
      <c r="Q3521" t="str">
        <f t="shared" si="307"/>
        <v/>
      </c>
    </row>
    <row r="3522" spans="1:17" hidden="1">
      <c r="A3522" t="s">
        <v>3627</v>
      </c>
      <c r="B3522" s="1">
        <v>45392</v>
      </c>
      <c r="C3522">
        <v>2024</v>
      </c>
      <c r="D3522">
        <v>4</v>
      </c>
      <c r="E3522" t="s">
        <v>19</v>
      </c>
      <c r="F3522" t="s">
        <v>24</v>
      </c>
      <c r="G3522" t="s">
        <v>54</v>
      </c>
      <c r="H3522" t="s">
        <v>163</v>
      </c>
      <c r="I3522">
        <v>4426.54</v>
      </c>
      <c r="J3522">
        <v>4293.62</v>
      </c>
      <c r="K3522" t="s">
        <v>17</v>
      </c>
      <c r="L3522" t="b">
        <v>0</v>
      </c>
      <c r="N3522" s="2" t="str">
        <f t="shared" si="306"/>
        <v/>
      </c>
      <c r="Q3522" t="str">
        <f t="shared" si="307"/>
        <v/>
      </c>
    </row>
    <row r="3523" spans="1:17" hidden="1">
      <c r="A3523" t="s">
        <v>3628</v>
      </c>
      <c r="B3523" s="1">
        <v>45392</v>
      </c>
      <c r="C3523">
        <v>2024</v>
      </c>
      <c r="D3523">
        <v>4</v>
      </c>
      <c r="E3523" t="s">
        <v>23</v>
      </c>
      <c r="F3523" t="s">
        <v>14</v>
      </c>
      <c r="G3523" t="s">
        <v>30</v>
      </c>
      <c r="H3523" t="s">
        <v>31</v>
      </c>
      <c r="I3523">
        <v>5501.61</v>
      </c>
      <c r="J3523">
        <v>5483.56</v>
      </c>
      <c r="K3523" t="s">
        <v>17</v>
      </c>
      <c r="L3523" t="b">
        <v>0</v>
      </c>
      <c r="N3523" s="2" t="str">
        <f t="shared" ref="N3523:N3586" si="312">IF(AND(E3523="IT",K3523="EXPENSE"),I3523&gt;J3523,"")</f>
        <v/>
      </c>
      <c r="Q3523" t="str">
        <f t="shared" ref="Q3523:Q3586" si="313">IF(L3523=TRUE,OR(H3523="Apex Solutions Inc",H3523="Global Trade Partners",H3523="NovaTech Services"),"")</f>
        <v/>
      </c>
    </row>
    <row r="3524" spans="1:17" hidden="1">
      <c r="A3524" t="s">
        <v>3629</v>
      </c>
      <c r="B3524" s="1">
        <v>45392</v>
      </c>
      <c r="C3524">
        <v>2024</v>
      </c>
      <c r="D3524">
        <v>4</v>
      </c>
      <c r="E3524" t="s">
        <v>37</v>
      </c>
      <c r="F3524" t="s">
        <v>14</v>
      </c>
      <c r="G3524" t="s">
        <v>41</v>
      </c>
      <c r="H3524" t="s">
        <v>42</v>
      </c>
      <c r="I3524">
        <v>4923.8100000000004</v>
      </c>
      <c r="J3524">
        <v>4488.83</v>
      </c>
      <c r="K3524" t="s">
        <v>17</v>
      </c>
      <c r="L3524" t="b">
        <v>0</v>
      </c>
      <c r="N3524" s="2" t="str">
        <f t="shared" si="312"/>
        <v/>
      </c>
      <c r="Q3524" t="str">
        <f t="shared" si="313"/>
        <v/>
      </c>
    </row>
    <row r="3525" spans="1:17" hidden="1">
      <c r="A3525" t="s">
        <v>3630</v>
      </c>
      <c r="B3525" s="1">
        <v>45392</v>
      </c>
      <c r="C3525">
        <v>2024</v>
      </c>
      <c r="D3525">
        <v>4</v>
      </c>
      <c r="E3525" t="s">
        <v>37</v>
      </c>
      <c r="F3525" t="s">
        <v>14</v>
      </c>
      <c r="G3525" t="s">
        <v>41</v>
      </c>
      <c r="H3525" t="s">
        <v>42</v>
      </c>
      <c r="I3525">
        <v>4460.3599999999997</v>
      </c>
      <c r="J3525">
        <v>4488.3100000000004</v>
      </c>
      <c r="K3525" t="s">
        <v>17</v>
      </c>
      <c r="L3525" t="b">
        <v>0</v>
      </c>
      <c r="N3525" s="2" t="str">
        <f t="shared" si="312"/>
        <v/>
      </c>
      <c r="Q3525" t="str">
        <f t="shared" si="313"/>
        <v/>
      </c>
    </row>
    <row r="3526" spans="1:17" hidden="1">
      <c r="A3526" t="s">
        <v>3631</v>
      </c>
      <c r="B3526" s="1">
        <v>45392</v>
      </c>
      <c r="C3526">
        <v>2024</v>
      </c>
      <c r="D3526">
        <v>4</v>
      </c>
      <c r="E3526" t="s">
        <v>37</v>
      </c>
      <c r="F3526" t="s">
        <v>28</v>
      </c>
      <c r="G3526" t="s">
        <v>62</v>
      </c>
      <c r="H3526" t="s">
        <v>63</v>
      </c>
      <c r="I3526">
        <v>4145.92</v>
      </c>
      <c r="J3526">
        <v>4136.25</v>
      </c>
      <c r="K3526" t="s">
        <v>17</v>
      </c>
      <c r="L3526" t="b">
        <v>0</v>
      </c>
      <c r="N3526" s="2" t="str">
        <f t="shared" si="312"/>
        <v/>
      </c>
      <c r="Q3526" t="str">
        <f t="shared" si="313"/>
        <v/>
      </c>
    </row>
    <row r="3527" spans="1:17" hidden="1">
      <c r="A3527" t="s">
        <v>3632</v>
      </c>
      <c r="B3527" s="1">
        <v>45392</v>
      </c>
      <c r="C3527">
        <v>2024</v>
      </c>
      <c r="D3527">
        <v>4</v>
      </c>
      <c r="E3527" t="s">
        <v>37</v>
      </c>
      <c r="F3527" t="s">
        <v>28</v>
      </c>
      <c r="G3527" t="s">
        <v>98</v>
      </c>
      <c r="H3527" t="s">
        <v>185</v>
      </c>
      <c r="I3527">
        <v>2684.5</v>
      </c>
      <c r="J3527">
        <v>2776.3</v>
      </c>
      <c r="K3527" t="s">
        <v>17</v>
      </c>
      <c r="L3527" t="b">
        <v>0</v>
      </c>
      <c r="N3527" s="2" t="str">
        <f t="shared" si="312"/>
        <v/>
      </c>
      <c r="Q3527" t="str">
        <f t="shared" si="313"/>
        <v/>
      </c>
    </row>
    <row r="3528" spans="1:17" hidden="1">
      <c r="A3528" t="s">
        <v>3633</v>
      </c>
      <c r="B3528" s="1">
        <v>45393</v>
      </c>
      <c r="C3528">
        <v>2024</v>
      </c>
      <c r="D3528">
        <v>4</v>
      </c>
      <c r="E3528" t="s">
        <v>13</v>
      </c>
      <c r="F3528" t="s">
        <v>24</v>
      </c>
      <c r="G3528" t="s">
        <v>68</v>
      </c>
      <c r="H3528" t="s">
        <v>69</v>
      </c>
      <c r="I3528">
        <v>2640</v>
      </c>
      <c r="J3528">
        <v>2574.2600000000002</v>
      </c>
      <c r="K3528" t="s">
        <v>17</v>
      </c>
      <c r="L3528" t="b">
        <v>0</v>
      </c>
      <c r="N3528" s="2" t="str">
        <f t="shared" si="312"/>
        <v/>
      </c>
      <c r="Q3528" t="str">
        <f t="shared" si="313"/>
        <v/>
      </c>
    </row>
    <row r="3529" spans="1:17" hidden="1">
      <c r="A3529" t="s">
        <v>3634</v>
      </c>
      <c r="B3529" s="1">
        <v>45393</v>
      </c>
      <c r="C3529">
        <v>2024</v>
      </c>
      <c r="D3529">
        <v>4</v>
      </c>
      <c r="E3529" t="s">
        <v>47</v>
      </c>
      <c r="F3529" t="s">
        <v>14</v>
      </c>
      <c r="G3529" t="s">
        <v>91</v>
      </c>
      <c r="H3529" t="s">
        <v>254</v>
      </c>
      <c r="I3529">
        <v>9545.26</v>
      </c>
      <c r="J3529">
        <v>7952.94</v>
      </c>
      <c r="K3529" t="s">
        <v>17</v>
      </c>
      <c r="L3529" t="b">
        <v>0</v>
      </c>
      <c r="N3529" s="2" t="b">
        <f t="shared" si="312"/>
        <v>1</v>
      </c>
      <c r="O3529" t="b">
        <f t="shared" ref="O3529:O3530" si="314">IF(AND(E3518="HR",K3518="EXPENSE"),I3518&lt;J3518,"")</f>
        <v>1</v>
      </c>
      <c r="Q3529" t="str">
        <f t="shared" si="313"/>
        <v/>
      </c>
    </row>
    <row r="3530" spans="1:17" hidden="1">
      <c r="A3530" t="s">
        <v>3635</v>
      </c>
      <c r="B3530" s="1">
        <v>45393</v>
      </c>
      <c r="C3530">
        <v>2024</v>
      </c>
      <c r="D3530">
        <v>4</v>
      </c>
      <c r="E3530" t="s">
        <v>47</v>
      </c>
      <c r="F3530" t="s">
        <v>14</v>
      </c>
      <c r="G3530" t="s">
        <v>91</v>
      </c>
      <c r="H3530" t="s">
        <v>92</v>
      </c>
      <c r="I3530">
        <v>12005.8</v>
      </c>
      <c r="J3530">
        <v>10154.85</v>
      </c>
      <c r="K3530" t="s">
        <v>17</v>
      </c>
      <c r="L3530" t="b">
        <v>0</v>
      </c>
      <c r="N3530" s="2" t="b">
        <f t="shared" si="312"/>
        <v>1</v>
      </c>
      <c r="O3530" t="str">
        <f t="shared" si="314"/>
        <v/>
      </c>
      <c r="Q3530" t="str">
        <f t="shared" si="313"/>
        <v/>
      </c>
    </row>
    <row r="3531" spans="1:17" hidden="1">
      <c r="A3531" t="s">
        <v>3636</v>
      </c>
      <c r="B3531" s="1">
        <v>45393</v>
      </c>
      <c r="C3531">
        <v>2024</v>
      </c>
      <c r="D3531">
        <v>4</v>
      </c>
      <c r="E3531" t="s">
        <v>19</v>
      </c>
      <c r="F3531" t="s">
        <v>14</v>
      </c>
      <c r="G3531" t="s">
        <v>54</v>
      </c>
      <c r="H3531" t="s">
        <v>163</v>
      </c>
      <c r="I3531">
        <v>3751.54</v>
      </c>
      <c r="J3531">
        <v>3662.33</v>
      </c>
      <c r="K3531" t="s">
        <v>17</v>
      </c>
      <c r="L3531" t="b">
        <v>0</v>
      </c>
      <c r="N3531" s="2" t="str">
        <f t="shared" si="312"/>
        <v/>
      </c>
      <c r="Q3531" t="str">
        <f t="shared" si="313"/>
        <v/>
      </c>
    </row>
    <row r="3532" spans="1:17" hidden="1">
      <c r="A3532" t="s">
        <v>3637</v>
      </c>
      <c r="B3532" s="1">
        <v>45393</v>
      </c>
      <c r="C3532">
        <v>2024</v>
      </c>
      <c r="D3532">
        <v>4</v>
      </c>
      <c r="E3532" t="s">
        <v>37</v>
      </c>
      <c r="F3532" t="s">
        <v>14</v>
      </c>
      <c r="G3532" t="s">
        <v>98</v>
      </c>
      <c r="H3532" t="s">
        <v>185</v>
      </c>
      <c r="I3532">
        <v>2387.02</v>
      </c>
      <c r="J3532">
        <v>2532.91</v>
      </c>
      <c r="K3532" t="s">
        <v>17</v>
      </c>
      <c r="L3532" t="b">
        <v>0</v>
      </c>
      <c r="N3532" s="2" t="str">
        <f t="shared" si="312"/>
        <v/>
      </c>
      <c r="Q3532" t="str">
        <f t="shared" si="313"/>
        <v/>
      </c>
    </row>
    <row r="3533" spans="1:17" hidden="1">
      <c r="A3533" t="s">
        <v>3638</v>
      </c>
      <c r="B3533" s="1">
        <v>45393</v>
      </c>
      <c r="C3533">
        <v>2024</v>
      </c>
      <c r="D3533">
        <v>4</v>
      </c>
      <c r="E3533" t="s">
        <v>37</v>
      </c>
      <c r="F3533" t="s">
        <v>24</v>
      </c>
      <c r="G3533" t="s">
        <v>41</v>
      </c>
      <c r="H3533" t="s">
        <v>42</v>
      </c>
      <c r="I3533">
        <v>2967</v>
      </c>
      <c r="J3533">
        <v>3041.91</v>
      </c>
      <c r="K3533" t="s">
        <v>17</v>
      </c>
      <c r="L3533" t="b">
        <v>0</v>
      </c>
      <c r="N3533" s="2" t="str">
        <f t="shared" si="312"/>
        <v/>
      </c>
      <c r="Q3533" t="str">
        <f t="shared" si="313"/>
        <v/>
      </c>
    </row>
    <row r="3534" spans="1:17" hidden="1">
      <c r="A3534" t="s">
        <v>3639</v>
      </c>
      <c r="B3534" s="1">
        <v>45393</v>
      </c>
      <c r="C3534">
        <v>2024</v>
      </c>
      <c r="D3534">
        <v>4</v>
      </c>
      <c r="E3534" t="s">
        <v>37</v>
      </c>
      <c r="F3534" t="s">
        <v>24</v>
      </c>
      <c r="G3534" t="s">
        <v>83</v>
      </c>
      <c r="H3534" t="s">
        <v>84</v>
      </c>
      <c r="I3534">
        <v>117189.37</v>
      </c>
      <c r="J3534">
        <v>111329.9</v>
      </c>
      <c r="K3534" t="s">
        <v>85</v>
      </c>
      <c r="L3534" t="b">
        <v>0</v>
      </c>
      <c r="N3534" s="2" t="str">
        <f t="shared" si="312"/>
        <v/>
      </c>
      <c r="Q3534" t="str">
        <f t="shared" si="313"/>
        <v/>
      </c>
    </row>
    <row r="3535" spans="1:17" hidden="1">
      <c r="A3535" t="s">
        <v>3640</v>
      </c>
      <c r="B3535" s="1">
        <v>45394</v>
      </c>
      <c r="C3535">
        <v>2024</v>
      </c>
      <c r="D3535">
        <v>4</v>
      </c>
      <c r="E3535" t="s">
        <v>13</v>
      </c>
      <c r="F3535" t="s">
        <v>24</v>
      </c>
      <c r="G3535" t="s">
        <v>102</v>
      </c>
      <c r="H3535" t="s">
        <v>103</v>
      </c>
      <c r="I3535">
        <v>3525.73</v>
      </c>
      <c r="J3535">
        <v>3307.45</v>
      </c>
      <c r="K3535" t="s">
        <v>17</v>
      </c>
      <c r="L3535" t="b">
        <v>0</v>
      </c>
      <c r="N3535" s="2" t="str">
        <f t="shared" si="312"/>
        <v/>
      </c>
      <c r="Q3535" t="str">
        <f t="shared" si="313"/>
        <v/>
      </c>
    </row>
    <row r="3536" spans="1:17" hidden="1">
      <c r="A3536" t="s">
        <v>3641</v>
      </c>
      <c r="B3536" s="1">
        <v>45394</v>
      </c>
      <c r="C3536">
        <v>2024</v>
      </c>
      <c r="D3536">
        <v>4</v>
      </c>
      <c r="E3536" t="s">
        <v>47</v>
      </c>
      <c r="F3536" t="s">
        <v>24</v>
      </c>
      <c r="G3536" t="s">
        <v>48</v>
      </c>
      <c r="H3536" t="s">
        <v>111</v>
      </c>
      <c r="I3536">
        <v>12276.3</v>
      </c>
      <c r="J3536">
        <v>10478.81</v>
      </c>
      <c r="K3536" t="s">
        <v>17</v>
      </c>
      <c r="L3536" t="b">
        <v>0</v>
      </c>
      <c r="N3536" s="2" t="b">
        <f t="shared" si="312"/>
        <v>1</v>
      </c>
      <c r="O3536" t="str">
        <f>IF(AND(E3525="HR",K3525="EXPENSE"),I3525&lt;J3525,"")</f>
        <v/>
      </c>
      <c r="Q3536" t="str">
        <f t="shared" si="313"/>
        <v/>
      </c>
    </row>
    <row r="3537" spans="1:17" hidden="1">
      <c r="A3537" t="s">
        <v>3642</v>
      </c>
      <c r="B3537" s="1">
        <v>45394</v>
      </c>
      <c r="C3537">
        <v>2024</v>
      </c>
      <c r="D3537">
        <v>4</v>
      </c>
      <c r="E3537" t="s">
        <v>23</v>
      </c>
      <c r="F3537" t="s">
        <v>14</v>
      </c>
      <c r="G3537" t="s">
        <v>141</v>
      </c>
      <c r="H3537" t="s">
        <v>142</v>
      </c>
      <c r="I3537">
        <v>7580.63</v>
      </c>
      <c r="J3537">
        <v>6894.71</v>
      </c>
      <c r="K3537" t="s">
        <v>17</v>
      </c>
      <c r="L3537" t="b">
        <v>0</v>
      </c>
      <c r="N3537" s="2" t="str">
        <f t="shared" si="312"/>
        <v/>
      </c>
      <c r="Q3537" t="str">
        <f t="shared" si="313"/>
        <v/>
      </c>
    </row>
    <row r="3538" spans="1:17" hidden="1">
      <c r="A3538" t="s">
        <v>3643</v>
      </c>
      <c r="B3538" s="1">
        <v>45394</v>
      </c>
      <c r="C3538">
        <v>2024</v>
      </c>
      <c r="D3538">
        <v>4</v>
      </c>
      <c r="E3538" t="s">
        <v>37</v>
      </c>
      <c r="F3538" t="s">
        <v>28</v>
      </c>
      <c r="G3538" t="s">
        <v>62</v>
      </c>
      <c r="H3538" t="s">
        <v>121</v>
      </c>
      <c r="I3538">
        <v>4981.28</v>
      </c>
      <c r="J3538">
        <v>4859.7700000000004</v>
      </c>
      <c r="K3538" t="s">
        <v>17</v>
      </c>
      <c r="L3538" t="b">
        <v>0</v>
      </c>
      <c r="N3538" s="2" t="str">
        <f t="shared" si="312"/>
        <v/>
      </c>
      <c r="Q3538" t="str">
        <f t="shared" si="313"/>
        <v/>
      </c>
    </row>
    <row r="3539" spans="1:17" hidden="1">
      <c r="A3539" t="s">
        <v>3644</v>
      </c>
      <c r="B3539" s="1">
        <v>45395</v>
      </c>
      <c r="C3539">
        <v>2024</v>
      </c>
      <c r="D3539">
        <v>4</v>
      </c>
      <c r="E3539" t="s">
        <v>47</v>
      </c>
      <c r="F3539" t="s">
        <v>14</v>
      </c>
      <c r="G3539" t="s">
        <v>91</v>
      </c>
      <c r="H3539" t="s">
        <v>249</v>
      </c>
      <c r="I3539">
        <v>10600.95</v>
      </c>
      <c r="J3539">
        <v>8813.2199999999993</v>
      </c>
      <c r="K3539" t="s">
        <v>17</v>
      </c>
      <c r="L3539" t="b">
        <v>0</v>
      </c>
      <c r="N3539" s="2" t="b">
        <f t="shared" si="312"/>
        <v>1</v>
      </c>
      <c r="O3539" t="b">
        <f t="shared" ref="O3539:O3541" si="315">IF(AND(E3528="HR",K3528="EXPENSE"),I3528&lt;J3528,"")</f>
        <v>0</v>
      </c>
      <c r="Q3539" t="str">
        <f t="shared" si="313"/>
        <v/>
      </c>
    </row>
    <row r="3540" spans="1:17" hidden="1">
      <c r="A3540" t="s">
        <v>3645</v>
      </c>
      <c r="B3540" s="1">
        <v>45395</v>
      </c>
      <c r="C3540">
        <v>2024</v>
      </c>
      <c r="D3540">
        <v>4</v>
      </c>
      <c r="E3540" t="s">
        <v>47</v>
      </c>
      <c r="F3540" t="s">
        <v>14</v>
      </c>
      <c r="G3540" t="s">
        <v>77</v>
      </c>
      <c r="H3540" t="s">
        <v>78</v>
      </c>
      <c r="I3540">
        <v>12669.12</v>
      </c>
      <c r="J3540">
        <v>10627.78</v>
      </c>
      <c r="K3540" t="s">
        <v>17</v>
      </c>
      <c r="L3540" t="b">
        <v>0</v>
      </c>
      <c r="N3540" s="2" t="b">
        <f t="shared" si="312"/>
        <v>1</v>
      </c>
      <c r="O3540" t="str">
        <f t="shared" si="315"/>
        <v/>
      </c>
      <c r="Q3540" t="str">
        <f t="shared" si="313"/>
        <v/>
      </c>
    </row>
    <row r="3541" spans="1:17" hidden="1">
      <c r="A3541" t="s">
        <v>3646</v>
      </c>
      <c r="B3541" s="1">
        <v>45395</v>
      </c>
      <c r="C3541">
        <v>2024</v>
      </c>
      <c r="D3541">
        <v>4</v>
      </c>
      <c r="E3541" t="s">
        <v>47</v>
      </c>
      <c r="F3541" t="s">
        <v>24</v>
      </c>
      <c r="G3541" t="s">
        <v>48</v>
      </c>
      <c r="H3541" t="s">
        <v>191</v>
      </c>
      <c r="I3541">
        <v>11821.93</v>
      </c>
      <c r="J3541">
        <v>10203.799999999999</v>
      </c>
      <c r="K3541" t="s">
        <v>17</v>
      </c>
      <c r="L3541" t="b">
        <v>0</v>
      </c>
      <c r="N3541" s="2" t="b">
        <f t="shared" si="312"/>
        <v>1</v>
      </c>
      <c r="O3541" t="str">
        <f t="shared" si="315"/>
        <v/>
      </c>
      <c r="Q3541" t="str">
        <f t="shared" si="313"/>
        <v/>
      </c>
    </row>
    <row r="3542" spans="1:17" hidden="1">
      <c r="A3542" t="s">
        <v>3647</v>
      </c>
      <c r="B3542" s="1">
        <v>45395</v>
      </c>
      <c r="C3542">
        <v>2024</v>
      </c>
      <c r="D3542">
        <v>4</v>
      </c>
      <c r="E3542" t="s">
        <v>19</v>
      </c>
      <c r="F3542" t="s">
        <v>14</v>
      </c>
      <c r="G3542" t="s">
        <v>20</v>
      </c>
      <c r="H3542" t="s">
        <v>174</v>
      </c>
      <c r="I3542">
        <v>7927.01</v>
      </c>
      <c r="J3542">
        <v>7937.99</v>
      </c>
      <c r="K3542" t="s">
        <v>17</v>
      </c>
      <c r="L3542" t="b">
        <v>0</v>
      </c>
      <c r="N3542" s="2" t="str">
        <f t="shared" si="312"/>
        <v/>
      </c>
      <c r="Q3542" t="str">
        <f t="shared" si="313"/>
        <v/>
      </c>
    </row>
    <row r="3543" spans="1:17" hidden="1">
      <c r="A3543" t="s">
        <v>3648</v>
      </c>
      <c r="B3543" s="1">
        <v>45395</v>
      </c>
      <c r="C3543">
        <v>2024</v>
      </c>
      <c r="D3543">
        <v>4</v>
      </c>
      <c r="E3543" t="s">
        <v>19</v>
      </c>
      <c r="F3543" t="s">
        <v>28</v>
      </c>
      <c r="G3543" t="s">
        <v>132</v>
      </c>
      <c r="H3543" t="s">
        <v>171</v>
      </c>
      <c r="I3543">
        <v>7683.78</v>
      </c>
      <c r="J3543">
        <v>7050.83</v>
      </c>
      <c r="K3543" t="s">
        <v>17</v>
      </c>
      <c r="L3543" t="b">
        <v>0</v>
      </c>
      <c r="N3543" s="2" t="str">
        <f t="shared" si="312"/>
        <v/>
      </c>
      <c r="Q3543" t="str">
        <f t="shared" si="313"/>
        <v/>
      </c>
    </row>
    <row r="3544" spans="1:17" hidden="1">
      <c r="A3544" t="s">
        <v>3649</v>
      </c>
      <c r="B3544" s="1">
        <v>45395</v>
      </c>
      <c r="C3544">
        <v>2024</v>
      </c>
      <c r="D3544">
        <v>4</v>
      </c>
      <c r="E3544" t="s">
        <v>37</v>
      </c>
      <c r="F3544" t="s">
        <v>14</v>
      </c>
      <c r="G3544" t="s">
        <v>62</v>
      </c>
      <c r="H3544" t="s">
        <v>63</v>
      </c>
      <c r="I3544">
        <v>4497.8</v>
      </c>
      <c r="J3544">
        <v>4222.53</v>
      </c>
      <c r="K3544" t="s">
        <v>17</v>
      </c>
      <c r="L3544" t="b">
        <v>0</v>
      </c>
      <c r="N3544" s="2" t="str">
        <f t="shared" si="312"/>
        <v/>
      </c>
      <c r="Q3544" t="str">
        <f t="shared" si="313"/>
        <v/>
      </c>
    </row>
    <row r="3545" spans="1:17" hidden="1">
      <c r="A3545" t="s">
        <v>3650</v>
      </c>
      <c r="B3545" s="1">
        <v>45395</v>
      </c>
      <c r="C3545">
        <v>2024</v>
      </c>
      <c r="D3545">
        <v>4</v>
      </c>
      <c r="E3545" t="s">
        <v>37</v>
      </c>
      <c r="F3545" t="s">
        <v>14</v>
      </c>
      <c r="G3545" t="s">
        <v>62</v>
      </c>
      <c r="H3545" t="s">
        <v>63</v>
      </c>
      <c r="I3545">
        <v>4832.37</v>
      </c>
      <c r="J3545">
        <v>5103.75</v>
      </c>
      <c r="K3545" t="s">
        <v>17</v>
      </c>
      <c r="L3545" t="b">
        <v>0</v>
      </c>
      <c r="N3545" s="2" t="str">
        <f t="shared" si="312"/>
        <v/>
      </c>
      <c r="Q3545" t="str">
        <f t="shared" si="313"/>
        <v/>
      </c>
    </row>
    <row r="3546" spans="1:17" hidden="1">
      <c r="A3546" t="s">
        <v>3651</v>
      </c>
      <c r="B3546" s="1">
        <v>45395</v>
      </c>
      <c r="C3546">
        <v>2024</v>
      </c>
      <c r="D3546">
        <v>4</v>
      </c>
      <c r="E3546" t="s">
        <v>37</v>
      </c>
      <c r="F3546" t="s">
        <v>24</v>
      </c>
      <c r="G3546" t="s">
        <v>38</v>
      </c>
      <c r="H3546" t="s">
        <v>118</v>
      </c>
      <c r="I3546">
        <v>4823.83</v>
      </c>
      <c r="J3546">
        <v>4840.67</v>
      </c>
      <c r="K3546" t="s">
        <v>17</v>
      </c>
      <c r="L3546" t="b">
        <v>0</v>
      </c>
      <c r="N3546" s="2" t="str">
        <f t="shared" si="312"/>
        <v/>
      </c>
      <c r="Q3546" t="str">
        <f t="shared" si="313"/>
        <v/>
      </c>
    </row>
    <row r="3547" spans="1:17" hidden="1">
      <c r="A3547" t="s">
        <v>3652</v>
      </c>
      <c r="B3547" s="1">
        <v>45396</v>
      </c>
      <c r="C3547">
        <v>2024</v>
      </c>
      <c r="D3547">
        <v>4</v>
      </c>
      <c r="E3547" t="s">
        <v>13</v>
      </c>
      <c r="F3547" t="s">
        <v>28</v>
      </c>
      <c r="G3547" t="s">
        <v>68</v>
      </c>
      <c r="H3547" t="s">
        <v>213</v>
      </c>
      <c r="I3547">
        <v>4574.43</v>
      </c>
      <c r="J3547">
        <v>4731.55</v>
      </c>
      <c r="K3547" t="s">
        <v>17</v>
      </c>
      <c r="L3547" t="b">
        <v>0</v>
      </c>
      <c r="N3547" s="2" t="str">
        <f t="shared" si="312"/>
        <v/>
      </c>
      <c r="Q3547" t="str">
        <f t="shared" si="313"/>
        <v/>
      </c>
    </row>
    <row r="3548" spans="1:17" hidden="1">
      <c r="A3548" t="s">
        <v>3653</v>
      </c>
      <c r="B3548" s="1">
        <v>45396</v>
      </c>
      <c r="C3548">
        <v>2024</v>
      </c>
      <c r="D3548">
        <v>4</v>
      </c>
      <c r="E3548" t="s">
        <v>13</v>
      </c>
      <c r="F3548" t="s">
        <v>28</v>
      </c>
      <c r="G3548" t="s">
        <v>108</v>
      </c>
      <c r="H3548" t="s">
        <v>123</v>
      </c>
      <c r="I3548">
        <v>4497.97</v>
      </c>
      <c r="J3548">
        <v>4444.76</v>
      </c>
      <c r="K3548" t="s">
        <v>17</v>
      </c>
      <c r="L3548" t="b">
        <v>0</v>
      </c>
      <c r="N3548" s="2" t="str">
        <f t="shared" si="312"/>
        <v/>
      </c>
      <c r="Q3548" t="str">
        <f t="shared" si="313"/>
        <v/>
      </c>
    </row>
    <row r="3549" spans="1:17" hidden="1">
      <c r="A3549" t="s">
        <v>3654</v>
      </c>
      <c r="B3549" s="1">
        <v>45396</v>
      </c>
      <c r="C3549">
        <v>2024</v>
      </c>
      <c r="D3549">
        <v>4</v>
      </c>
      <c r="E3549" t="s">
        <v>13</v>
      </c>
      <c r="F3549" t="s">
        <v>28</v>
      </c>
      <c r="G3549" t="s">
        <v>102</v>
      </c>
      <c r="H3549" t="s">
        <v>103</v>
      </c>
      <c r="I3549">
        <v>4343.29</v>
      </c>
      <c r="J3549">
        <v>4627.1099999999997</v>
      </c>
      <c r="K3549" t="s">
        <v>17</v>
      </c>
      <c r="L3549" t="b">
        <v>0</v>
      </c>
      <c r="N3549" s="2" t="str">
        <f t="shared" si="312"/>
        <v/>
      </c>
      <c r="Q3549" t="str">
        <f t="shared" si="313"/>
        <v/>
      </c>
    </row>
    <row r="3550" spans="1:17" hidden="1">
      <c r="A3550" t="s">
        <v>3655</v>
      </c>
      <c r="B3550" s="1">
        <v>45396</v>
      </c>
      <c r="C3550">
        <v>2024</v>
      </c>
      <c r="D3550">
        <v>4</v>
      </c>
      <c r="E3550" t="s">
        <v>13</v>
      </c>
      <c r="F3550" t="s">
        <v>24</v>
      </c>
      <c r="G3550" t="s">
        <v>68</v>
      </c>
      <c r="H3550" t="s">
        <v>69</v>
      </c>
      <c r="I3550">
        <v>2873.3</v>
      </c>
      <c r="J3550">
        <v>3040.53</v>
      </c>
      <c r="K3550" t="s">
        <v>17</v>
      </c>
      <c r="L3550" t="b">
        <v>0</v>
      </c>
      <c r="N3550" s="2" t="str">
        <f t="shared" si="312"/>
        <v/>
      </c>
      <c r="Q3550" t="str">
        <f t="shared" si="313"/>
        <v/>
      </c>
    </row>
    <row r="3551" spans="1:17" hidden="1">
      <c r="A3551" t="s">
        <v>3656</v>
      </c>
      <c r="B3551" s="1">
        <v>45396</v>
      </c>
      <c r="C3551">
        <v>2024</v>
      </c>
      <c r="D3551">
        <v>4</v>
      </c>
      <c r="E3551" t="s">
        <v>47</v>
      </c>
      <c r="F3551" t="s">
        <v>28</v>
      </c>
      <c r="G3551" t="s">
        <v>77</v>
      </c>
      <c r="H3551" t="s">
        <v>78</v>
      </c>
      <c r="I3551">
        <v>17200.53</v>
      </c>
      <c r="J3551">
        <v>14415.29</v>
      </c>
      <c r="K3551" t="s">
        <v>17</v>
      </c>
      <c r="L3551" t="b">
        <v>0</v>
      </c>
      <c r="N3551" s="2" t="b">
        <f t="shared" si="312"/>
        <v>1</v>
      </c>
      <c r="O3551" t="str">
        <f t="shared" ref="O3551:O3553" si="316">IF(AND(E3540="HR",K3540="EXPENSE"),I3540&lt;J3540,"")</f>
        <v/>
      </c>
      <c r="Q3551" t="str">
        <f t="shared" si="313"/>
        <v/>
      </c>
    </row>
    <row r="3552" spans="1:17" hidden="1">
      <c r="A3552" t="s">
        <v>3657</v>
      </c>
      <c r="B3552" s="1">
        <v>45396</v>
      </c>
      <c r="C3552">
        <v>2024</v>
      </c>
      <c r="D3552">
        <v>4</v>
      </c>
      <c r="E3552" t="s">
        <v>47</v>
      </c>
      <c r="F3552" t="s">
        <v>28</v>
      </c>
      <c r="G3552" t="s">
        <v>48</v>
      </c>
      <c r="H3552" t="s">
        <v>191</v>
      </c>
      <c r="I3552">
        <v>9262.2900000000009</v>
      </c>
      <c r="J3552">
        <v>7768.12</v>
      </c>
      <c r="K3552" t="s">
        <v>17</v>
      </c>
      <c r="L3552" t="b">
        <v>0</v>
      </c>
      <c r="N3552" s="2" t="b">
        <f t="shared" si="312"/>
        <v>1</v>
      </c>
      <c r="O3552" t="str">
        <f t="shared" si="316"/>
        <v/>
      </c>
      <c r="Q3552" t="str">
        <f t="shared" si="313"/>
        <v/>
      </c>
    </row>
    <row r="3553" spans="1:17" hidden="1">
      <c r="A3553" t="s">
        <v>3658</v>
      </c>
      <c r="B3553" s="1">
        <v>45396</v>
      </c>
      <c r="C3553">
        <v>2024</v>
      </c>
      <c r="D3553">
        <v>4</v>
      </c>
      <c r="E3553" t="s">
        <v>47</v>
      </c>
      <c r="F3553" t="s">
        <v>24</v>
      </c>
      <c r="G3553" t="s">
        <v>48</v>
      </c>
      <c r="H3553" t="s">
        <v>49</v>
      </c>
      <c r="I3553">
        <v>18362.330000000002</v>
      </c>
      <c r="J3553">
        <v>15517.33</v>
      </c>
      <c r="K3553" t="s">
        <v>17</v>
      </c>
      <c r="L3553" t="b">
        <v>0</v>
      </c>
      <c r="N3553" s="2" t="b">
        <f t="shared" si="312"/>
        <v>1</v>
      </c>
      <c r="O3553" t="str">
        <f t="shared" si="316"/>
        <v/>
      </c>
      <c r="Q3553" t="str">
        <f t="shared" si="313"/>
        <v/>
      </c>
    </row>
    <row r="3554" spans="1:17" hidden="1">
      <c r="A3554" t="s">
        <v>3659</v>
      </c>
      <c r="B3554" s="1">
        <v>45396</v>
      </c>
      <c r="C3554">
        <v>2024</v>
      </c>
      <c r="D3554">
        <v>4</v>
      </c>
      <c r="E3554" t="s">
        <v>19</v>
      </c>
      <c r="F3554" t="s">
        <v>14</v>
      </c>
      <c r="G3554" t="s">
        <v>20</v>
      </c>
      <c r="H3554" t="s">
        <v>21</v>
      </c>
      <c r="I3554">
        <v>6000.51</v>
      </c>
      <c r="J3554">
        <v>5691.11</v>
      </c>
      <c r="K3554" t="s">
        <v>17</v>
      </c>
      <c r="L3554" t="b">
        <v>0</v>
      </c>
      <c r="N3554" s="2" t="str">
        <f t="shared" si="312"/>
        <v/>
      </c>
      <c r="Q3554" t="str">
        <f t="shared" si="313"/>
        <v/>
      </c>
    </row>
    <row r="3555" spans="1:17" hidden="1">
      <c r="A3555" t="s">
        <v>3660</v>
      </c>
      <c r="B3555" s="1">
        <v>45396</v>
      </c>
      <c r="C3555">
        <v>2024</v>
      </c>
      <c r="D3555">
        <v>4</v>
      </c>
      <c r="E3555" t="s">
        <v>19</v>
      </c>
      <c r="F3555" t="s">
        <v>28</v>
      </c>
      <c r="G3555" t="s">
        <v>80</v>
      </c>
      <c r="H3555" t="s">
        <v>217</v>
      </c>
      <c r="I3555">
        <v>8395.23</v>
      </c>
      <c r="J3555">
        <v>9139.77</v>
      </c>
      <c r="K3555" t="s">
        <v>17</v>
      </c>
      <c r="L3555" t="b">
        <v>0</v>
      </c>
      <c r="N3555" s="2" t="str">
        <f t="shared" si="312"/>
        <v/>
      </c>
      <c r="Q3555" t="str">
        <f t="shared" si="313"/>
        <v/>
      </c>
    </row>
    <row r="3556" spans="1:17" hidden="1">
      <c r="A3556" t="s">
        <v>3661</v>
      </c>
      <c r="B3556" s="1">
        <v>45396</v>
      </c>
      <c r="C3556">
        <v>2024</v>
      </c>
      <c r="D3556">
        <v>4</v>
      </c>
      <c r="E3556" t="s">
        <v>19</v>
      </c>
      <c r="F3556" t="s">
        <v>24</v>
      </c>
      <c r="G3556" t="s">
        <v>20</v>
      </c>
      <c r="H3556" t="s">
        <v>21</v>
      </c>
      <c r="I3556">
        <v>6922.6</v>
      </c>
      <c r="J3556">
        <v>7351.35</v>
      </c>
      <c r="K3556" t="s">
        <v>17</v>
      </c>
      <c r="L3556" t="b">
        <v>0</v>
      </c>
      <c r="N3556" s="2" t="str">
        <f t="shared" si="312"/>
        <v/>
      </c>
      <c r="Q3556" t="str">
        <f t="shared" si="313"/>
        <v/>
      </c>
    </row>
    <row r="3557" spans="1:17" hidden="1">
      <c r="A3557" t="s">
        <v>3662</v>
      </c>
      <c r="B3557" s="1">
        <v>45396</v>
      </c>
      <c r="C3557">
        <v>2024</v>
      </c>
      <c r="D3557">
        <v>4</v>
      </c>
      <c r="E3557" t="s">
        <v>23</v>
      </c>
      <c r="F3557" t="s">
        <v>14</v>
      </c>
      <c r="G3557" t="s">
        <v>25</v>
      </c>
      <c r="H3557" t="s">
        <v>95</v>
      </c>
      <c r="I3557">
        <v>6458.07</v>
      </c>
      <c r="J3557">
        <v>6310.15</v>
      </c>
      <c r="K3557" t="s">
        <v>17</v>
      </c>
      <c r="L3557" t="b">
        <v>0</v>
      </c>
      <c r="N3557" s="2" t="str">
        <f t="shared" si="312"/>
        <v/>
      </c>
      <c r="Q3557" t="str">
        <f t="shared" si="313"/>
        <v/>
      </c>
    </row>
    <row r="3558" spans="1:17" hidden="1">
      <c r="A3558" t="s">
        <v>3663</v>
      </c>
      <c r="B3558" s="1">
        <v>45396</v>
      </c>
      <c r="C3558">
        <v>2024</v>
      </c>
      <c r="D3558">
        <v>4</v>
      </c>
      <c r="E3558" t="s">
        <v>23</v>
      </c>
      <c r="F3558" t="s">
        <v>28</v>
      </c>
      <c r="G3558" t="s">
        <v>59</v>
      </c>
      <c r="H3558" t="s">
        <v>155</v>
      </c>
      <c r="I3558">
        <v>6818.2</v>
      </c>
      <c r="J3558">
        <v>6484.12</v>
      </c>
      <c r="K3558" t="s">
        <v>17</v>
      </c>
      <c r="L3558" t="b">
        <v>0</v>
      </c>
      <c r="N3558" s="2" t="str">
        <f t="shared" si="312"/>
        <v/>
      </c>
      <c r="Q3558" t="str">
        <f t="shared" si="313"/>
        <v/>
      </c>
    </row>
    <row r="3559" spans="1:17" hidden="1">
      <c r="A3559" t="s">
        <v>3664</v>
      </c>
      <c r="B3559" s="1">
        <v>45396</v>
      </c>
      <c r="C3559">
        <v>2024</v>
      </c>
      <c r="D3559">
        <v>4</v>
      </c>
      <c r="E3559" t="s">
        <v>37</v>
      </c>
      <c r="F3559" t="s">
        <v>14</v>
      </c>
      <c r="G3559" t="s">
        <v>38</v>
      </c>
      <c r="H3559" t="s">
        <v>227</v>
      </c>
      <c r="I3559">
        <v>3854.24</v>
      </c>
      <c r="J3559">
        <v>4221.17</v>
      </c>
      <c r="K3559" t="s">
        <v>17</v>
      </c>
      <c r="L3559" t="b">
        <v>0</v>
      </c>
      <c r="N3559" s="2" t="str">
        <f t="shared" si="312"/>
        <v/>
      </c>
      <c r="Q3559" t="str">
        <f t="shared" si="313"/>
        <v/>
      </c>
    </row>
    <row r="3560" spans="1:17" hidden="1">
      <c r="A3560" t="s">
        <v>3665</v>
      </c>
      <c r="B3560" s="1">
        <v>45397</v>
      </c>
      <c r="C3560">
        <v>2024</v>
      </c>
      <c r="D3560">
        <v>4</v>
      </c>
      <c r="E3560" t="s">
        <v>13</v>
      </c>
      <c r="F3560" t="s">
        <v>28</v>
      </c>
      <c r="G3560" t="s">
        <v>102</v>
      </c>
      <c r="H3560" t="s">
        <v>103</v>
      </c>
      <c r="I3560">
        <v>2537.0500000000002</v>
      </c>
      <c r="J3560">
        <v>2648.84</v>
      </c>
      <c r="K3560" t="s">
        <v>17</v>
      </c>
      <c r="L3560" t="b">
        <v>0</v>
      </c>
      <c r="N3560" s="2" t="str">
        <f t="shared" si="312"/>
        <v/>
      </c>
      <c r="Q3560" t="str">
        <f t="shared" si="313"/>
        <v/>
      </c>
    </row>
    <row r="3561" spans="1:17" hidden="1">
      <c r="A3561" t="s">
        <v>3666</v>
      </c>
      <c r="B3561" s="1">
        <v>45397</v>
      </c>
      <c r="C3561">
        <v>2024</v>
      </c>
      <c r="D3561">
        <v>4</v>
      </c>
      <c r="E3561" t="s">
        <v>13</v>
      </c>
      <c r="F3561" t="s">
        <v>24</v>
      </c>
      <c r="G3561" t="s">
        <v>108</v>
      </c>
      <c r="H3561" t="s">
        <v>109</v>
      </c>
      <c r="I3561">
        <v>2438.7199999999998</v>
      </c>
      <c r="J3561">
        <v>2219.89</v>
      </c>
      <c r="K3561" t="s">
        <v>17</v>
      </c>
      <c r="L3561" t="b">
        <v>0</v>
      </c>
      <c r="N3561" s="2" t="str">
        <f t="shared" si="312"/>
        <v/>
      </c>
      <c r="Q3561" t="str">
        <f t="shared" si="313"/>
        <v/>
      </c>
    </row>
    <row r="3562" spans="1:17" hidden="1">
      <c r="A3562" t="s">
        <v>3667</v>
      </c>
      <c r="B3562" s="1">
        <v>45397</v>
      </c>
      <c r="C3562">
        <v>2024</v>
      </c>
      <c r="D3562">
        <v>4</v>
      </c>
      <c r="E3562" t="s">
        <v>13</v>
      </c>
      <c r="F3562" t="s">
        <v>24</v>
      </c>
      <c r="G3562" t="s">
        <v>108</v>
      </c>
      <c r="H3562" t="s">
        <v>109</v>
      </c>
      <c r="I3562">
        <v>3302.76</v>
      </c>
      <c r="J3562">
        <v>3019.71</v>
      </c>
      <c r="K3562" t="s">
        <v>17</v>
      </c>
      <c r="L3562" t="b">
        <v>0</v>
      </c>
      <c r="N3562" s="2" t="str">
        <f t="shared" si="312"/>
        <v/>
      </c>
      <c r="Q3562" t="str">
        <f t="shared" si="313"/>
        <v/>
      </c>
    </row>
    <row r="3563" spans="1:17" hidden="1">
      <c r="A3563" t="s">
        <v>3668</v>
      </c>
      <c r="B3563" s="1">
        <v>45397</v>
      </c>
      <c r="C3563">
        <v>2024</v>
      </c>
      <c r="D3563">
        <v>4</v>
      </c>
      <c r="E3563" t="s">
        <v>47</v>
      </c>
      <c r="F3563" t="s">
        <v>28</v>
      </c>
      <c r="G3563" t="s">
        <v>51</v>
      </c>
      <c r="H3563" t="s">
        <v>52</v>
      </c>
      <c r="I3563">
        <v>13556.91</v>
      </c>
      <c r="J3563">
        <v>11561.38</v>
      </c>
      <c r="K3563" t="s">
        <v>17</v>
      </c>
      <c r="L3563" t="b">
        <v>0</v>
      </c>
      <c r="N3563" s="2" t="b">
        <f t="shared" si="312"/>
        <v>1</v>
      </c>
      <c r="O3563" t="str">
        <f>IF(AND(E3552="HR",K3552="EXPENSE"),I3552&lt;J3552,"")</f>
        <v/>
      </c>
      <c r="Q3563" t="str">
        <f t="shared" si="313"/>
        <v/>
      </c>
    </row>
    <row r="3564" spans="1:17" hidden="1">
      <c r="A3564" t="s">
        <v>3669</v>
      </c>
      <c r="B3564" s="1">
        <v>45397</v>
      </c>
      <c r="C3564">
        <v>2024</v>
      </c>
      <c r="D3564">
        <v>4</v>
      </c>
      <c r="E3564" t="s">
        <v>23</v>
      </c>
      <c r="F3564" t="s">
        <v>14</v>
      </c>
      <c r="G3564" t="s">
        <v>59</v>
      </c>
      <c r="H3564" t="s">
        <v>155</v>
      </c>
      <c r="I3564">
        <v>5477.08</v>
      </c>
      <c r="J3564">
        <v>5665.78</v>
      </c>
      <c r="K3564" t="s">
        <v>17</v>
      </c>
      <c r="L3564" t="b">
        <v>0</v>
      </c>
      <c r="N3564" s="2" t="str">
        <f t="shared" si="312"/>
        <v/>
      </c>
      <c r="Q3564" t="str">
        <f t="shared" si="313"/>
        <v/>
      </c>
    </row>
    <row r="3565" spans="1:17" hidden="1">
      <c r="A3565" t="s">
        <v>3670</v>
      </c>
      <c r="B3565" s="1">
        <v>45397</v>
      </c>
      <c r="C3565">
        <v>2024</v>
      </c>
      <c r="D3565">
        <v>4</v>
      </c>
      <c r="E3565" t="s">
        <v>37</v>
      </c>
      <c r="F3565" t="s">
        <v>24</v>
      </c>
      <c r="G3565" t="s">
        <v>98</v>
      </c>
      <c r="H3565" t="s">
        <v>99</v>
      </c>
      <c r="I3565">
        <v>4261.63</v>
      </c>
      <c r="J3565">
        <v>4332.38</v>
      </c>
      <c r="K3565" t="s">
        <v>17</v>
      </c>
      <c r="L3565" t="b">
        <v>0</v>
      </c>
      <c r="N3565" s="2" t="str">
        <f t="shared" si="312"/>
        <v/>
      </c>
      <c r="Q3565" t="str">
        <f t="shared" si="313"/>
        <v/>
      </c>
    </row>
    <row r="3566" spans="1:17" hidden="1">
      <c r="A3566" t="s">
        <v>3671</v>
      </c>
      <c r="B3566" s="1">
        <v>45398</v>
      </c>
      <c r="C3566">
        <v>2024</v>
      </c>
      <c r="D3566">
        <v>4</v>
      </c>
      <c r="E3566" t="s">
        <v>13</v>
      </c>
      <c r="F3566" t="s">
        <v>28</v>
      </c>
      <c r="G3566" t="s">
        <v>15</v>
      </c>
      <c r="H3566" t="s">
        <v>16</v>
      </c>
      <c r="I3566">
        <v>4730.12</v>
      </c>
      <c r="J3566">
        <v>4734.6099999999997</v>
      </c>
      <c r="K3566" t="s">
        <v>17</v>
      </c>
      <c r="L3566" t="b">
        <v>0</v>
      </c>
      <c r="N3566" s="2" t="str">
        <f t="shared" si="312"/>
        <v/>
      </c>
      <c r="Q3566" t="str">
        <f t="shared" si="313"/>
        <v/>
      </c>
    </row>
    <row r="3567" spans="1:17" hidden="1">
      <c r="A3567" t="s">
        <v>3672</v>
      </c>
      <c r="B3567" s="1">
        <v>45398</v>
      </c>
      <c r="C3567">
        <v>2024</v>
      </c>
      <c r="D3567">
        <v>4</v>
      </c>
      <c r="E3567" t="s">
        <v>47</v>
      </c>
      <c r="F3567" t="s">
        <v>14</v>
      </c>
      <c r="G3567" t="s">
        <v>51</v>
      </c>
      <c r="H3567" t="s">
        <v>52</v>
      </c>
      <c r="I3567">
        <v>11634.09</v>
      </c>
      <c r="J3567">
        <v>10073.049999999999</v>
      </c>
      <c r="K3567" t="s">
        <v>17</v>
      </c>
      <c r="L3567" t="b">
        <v>0</v>
      </c>
      <c r="N3567" s="2" t="b">
        <f t="shared" si="312"/>
        <v>1</v>
      </c>
      <c r="O3567" t="str">
        <f t="shared" ref="O3567:O3570" si="317">IF(AND(E3556="HR",K3556="EXPENSE"),I3556&lt;J3556,"")</f>
        <v/>
      </c>
      <c r="Q3567" t="str">
        <f t="shared" si="313"/>
        <v/>
      </c>
    </row>
    <row r="3568" spans="1:17" hidden="1">
      <c r="A3568" t="s">
        <v>3673</v>
      </c>
      <c r="B3568" s="1">
        <v>45398</v>
      </c>
      <c r="C3568">
        <v>2024</v>
      </c>
      <c r="D3568">
        <v>4</v>
      </c>
      <c r="E3568" t="s">
        <v>47</v>
      </c>
      <c r="F3568" t="s">
        <v>14</v>
      </c>
      <c r="G3568" t="s">
        <v>91</v>
      </c>
      <c r="H3568" t="s">
        <v>254</v>
      </c>
      <c r="I3568">
        <v>10398.73</v>
      </c>
      <c r="J3568">
        <v>8616.8799999999992</v>
      </c>
      <c r="K3568" t="s">
        <v>17</v>
      </c>
      <c r="L3568" t="b">
        <v>0</v>
      </c>
      <c r="N3568" s="2" t="b">
        <f t="shared" si="312"/>
        <v>1</v>
      </c>
      <c r="O3568" t="str">
        <f t="shared" si="317"/>
        <v/>
      </c>
      <c r="Q3568" t="str">
        <f t="shared" si="313"/>
        <v/>
      </c>
    </row>
    <row r="3569" spans="1:17" hidden="1">
      <c r="A3569" t="s">
        <v>3674</v>
      </c>
      <c r="B3569" s="1">
        <v>45398</v>
      </c>
      <c r="C3569">
        <v>2024</v>
      </c>
      <c r="D3569">
        <v>4</v>
      </c>
      <c r="E3569" t="s">
        <v>47</v>
      </c>
      <c r="F3569" t="s">
        <v>28</v>
      </c>
      <c r="G3569" t="s">
        <v>48</v>
      </c>
      <c r="H3569" t="s">
        <v>189</v>
      </c>
      <c r="I3569">
        <v>13236.1</v>
      </c>
      <c r="J3569">
        <v>10940.02</v>
      </c>
      <c r="K3569" t="s">
        <v>17</v>
      </c>
      <c r="L3569" t="b">
        <v>0</v>
      </c>
      <c r="N3569" s="2" t="b">
        <f t="shared" si="312"/>
        <v>1</v>
      </c>
      <c r="O3569" t="str">
        <f t="shared" si="317"/>
        <v/>
      </c>
      <c r="Q3569" t="str">
        <f t="shared" si="313"/>
        <v/>
      </c>
    </row>
    <row r="3570" spans="1:17" hidden="1">
      <c r="A3570" t="s">
        <v>3675</v>
      </c>
      <c r="B3570" s="1">
        <v>45398</v>
      </c>
      <c r="C3570">
        <v>2024</v>
      </c>
      <c r="D3570">
        <v>4</v>
      </c>
      <c r="E3570" t="s">
        <v>47</v>
      </c>
      <c r="F3570" t="s">
        <v>28</v>
      </c>
      <c r="G3570" t="s">
        <v>77</v>
      </c>
      <c r="H3570" t="s">
        <v>147</v>
      </c>
      <c r="I3570">
        <v>6383.81</v>
      </c>
      <c r="J3570">
        <v>5331.7</v>
      </c>
      <c r="K3570" t="s">
        <v>17</v>
      </c>
      <c r="L3570" t="b">
        <v>0</v>
      </c>
      <c r="N3570" s="2" t="b">
        <f t="shared" si="312"/>
        <v>1</v>
      </c>
      <c r="O3570" t="str">
        <f t="shared" si="317"/>
        <v/>
      </c>
      <c r="Q3570" t="str">
        <f t="shared" si="313"/>
        <v/>
      </c>
    </row>
    <row r="3571" spans="1:17" hidden="1">
      <c r="A3571" t="s">
        <v>3676</v>
      </c>
      <c r="B3571" s="1">
        <v>45398</v>
      </c>
      <c r="C3571">
        <v>2024</v>
      </c>
      <c r="D3571">
        <v>4</v>
      </c>
      <c r="E3571" t="s">
        <v>19</v>
      </c>
      <c r="F3571" t="s">
        <v>14</v>
      </c>
      <c r="G3571" t="s">
        <v>132</v>
      </c>
      <c r="H3571" t="s">
        <v>138</v>
      </c>
      <c r="I3571">
        <v>5389.08</v>
      </c>
      <c r="J3571">
        <v>5007.55</v>
      </c>
      <c r="K3571" t="s">
        <v>17</v>
      </c>
      <c r="L3571" t="b">
        <v>0</v>
      </c>
      <c r="N3571" s="2" t="str">
        <f t="shared" si="312"/>
        <v/>
      </c>
      <c r="Q3571" t="str">
        <f t="shared" si="313"/>
        <v/>
      </c>
    </row>
    <row r="3572" spans="1:17" hidden="1">
      <c r="A3572" t="s">
        <v>3677</v>
      </c>
      <c r="B3572" s="1">
        <v>45398</v>
      </c>
      <c r="C3572">
        <v>2024</v>
      </c>
      <c r="D3572">
        <v>4</v>
      </c>
      <c r="E3572" t="s">
        <v>19</v>
      </c>
      <c r="F3572" t="s">
        <v>28</v>
      </c>
      <c r="G3572" t="s">
        <v>80</v>
      </c>
      <c r="H3572" t="s">
        <v>150</v>
      </c>
      <c r="I3572">
        <v>9174.09</v>
      </c>
      <c r="J3572">
        <v>9580.52</v>
      </c>
      <c r="K3572" t="s">
        <v>17</v>
      </c>
      <c r="L3572" t="b">
        <v>0</v>
      </c>
      <c r="N3572" s="2" t="str">
        <f t="shared" si="312"/>
        <v/>
      </c>
      <c r="Q3572" t="str">
        <f t="shared" si="313"/>
        <v/>
      </c>
    </row>
    <row r="3573" spans="1:17" hidden="1">
      <c r="A3573" t="s">
        <v>3678</v>
      </c>
      <c r="B3573" s="1">
        <v>45398</v>
      </c>
      <c r="C3573">
        <v>2024</v>
      </c>
      <c r="D3573">
        <v>4</v>
      </c>
      <c r="E3573" t="s">
        <v>23</v>
      </c>
      <c r="F3573" t="s">
        <v>14</v>
      </c>
      <c r="G3573" t="s">
        <v>59</v>
      </c>
      <c r="H3573" t="s">
        <v>155</v>
      </c>
      <c r="I3573">
        <v>5103.8100000000004</v>
      </c>
      <c r="J3573">
        <v>4612.34</v>
      </c>
      <c r="K3573" t="s">
        <v>17</v>
      </c>
      <c r="L3573" t="b">
        <v>0</v>
      </c>
      <c r="N3573" s="2" t="str">
        <f t="shared" si="312"/>
        <v/>
      </c>
      <c r="Q3573" t="str">
        <f t="shared" si="313"/>
        <v/>
      </c>
    </row>
    <row r="3574" spans="1:17" hidden="1">
      <c r="A3574" t="s">
        <v>3679</v>
      </c>
      <c r="B3574" s="1">
        <v>45398</v>
      </c>
      <c r="C3574">
        <v>2024</v>
      </c>
      <c r="D3574">
        <v>4</v>
      </c>
      <c r="E3574" t="s">
        <v>23</v>
      </c>
      <c r="F3574" t="s">
        <v>28</v>
      </c>
      <c r="G3574" t="s">
        <v>30</v>
      </c>
      <c r="H3574" t="s">
        <v>106</v>
      </c>
      <c r="I3574">
        <v>7699.98</v>
      </c>
      <c r="J3574">
        <v>7003.16</v>
      </c>
      <c r="K3574" t="s">
        <v>17</v>
      </c>
      <c r="L3574" t="b">
        <v>0</v>
      </c>
      <c r="N3574" s="2" t="str">
        <f t="shared" si="312"/>
        <v/>
      </c>
      <c r="Q3574" t="str">
        <f t="shared" si="313"/>
        <v/>
      </c>
    </row>
    <row r="3575" spans="1:17" hidden="1">
      <c r="A3575" t="s">
        <v>3680</v>
      </c>
      <c r="B3575" s="1">
        <v>45398</v>
      </c>
      <c r="C3575">
        <v>2024</v>
      </c>
      <c r="D3575">
        <v>4</v>
      </c>
      <c r="E3575" t="s">
        <v>23</v>
      </c>
      <c r="F3575" t="s">
        <v>24</v>
      </c>
      <c r="G3575" t="s">
        <v>25</v>
      </c>
      <c r="H3575" t="s">
        <v>26</v>
      </c>
      <c r="I3575">
        <v>5232.71</v>
      </c>
      <c r="J3575">
        <v>5180.99</v>
      </c>
      <c r="K3575" t="s">
        <v>17</v>
      </c>
      <c r="L3575" t="b">
        <v>0</v>
      </c>
      <c r="N3575" s="2" t="str">
        <f t="shared" si="312"/>
        <v/>
      </c>
      <c r="Q3575" t="str">
        <f t="shared" si="313"/>
        <v/>
      </c>
    </row>
    <row r="3576" spans="1:17" hidden="1">
      <c r="A3576" t="s">
        <v>3681</v>
      </c>
      <c r="B3576" s="1">
        <v>45398</v>
      </c>
      <c r="C3576">
        <v>2024</v>
      </c>
      <c r="D3576">
        <v>4</v>
      </c>
      <c r="E3576" t="s">
        <v>23</v>
      </c>
      <c r="F3576" t="s">
        <v>24</v>
      </c>
      <c r="G3576" t="s">
        <v>59</v>
      </c>
      <c r="H3576" t="s">
        <v>60</v>
      </c>
      <c r="I3576">
        <v>4557.78</v>
      </c>
      <c r="J3576">
        <v>4451.22</v>
      </c>
      <c r="K3576" t="s">
        <v>17</v>
      </c>
      <c r="L3576" t="b">
        <v>0</v>
      </c>
      <c r="N3576" s="2" t="str">
        <f t="shared" si="312"/>
        <v/>
      </c>
      <c r="Q3576" t="str">
        <f t="shared" si="313"/>
        <v/>
      </c>
    </row>
    <row r="3577" spans="1:17" hidden="1">
      <c r="A3577" t="s">
        <v>3682</v>
      </c>
      <c r="B3577" s="1">
        <v>45398</v>
      </c>
      <c r="C3577">
        <v>2024</v>
      </c>
      <c r="D3577">
        <v>4</v>
      </c>
      <c r="E3577" t="s">
        <v>23</v>
      </c>
      <c r="F3577" t="s">
        <v>24</v>
      </c>
      <c r="G3577" t="s">
        <v>30</v>
      </c>
      <c r="H3577" t="s">
        <v>33</v>
      </c>
      <c r="I3577">
        <v>8154.34</v>
      </c>
      <c r="J3577">
        <v>8612.18</v>
      </c>
      <c r="K3577" t="s">
        <v>17</v>
      </c>
      <c r="L3577" t="b">
        <v>0</v>
      </c>
      <c r="N3577" s="2" t="str">
        <f t="shared" si="312"/>
        <v/>
      </c>
      <c r="Q3577" t="str">
        <f t="shared" si="313"/>
        <v/>
      </c>
    </row>
    <row r="3578" spans="1:17" hidden="1">
      <c r="A3578" t="s">
        <v>3683</v>
      </c>
      <c r="B3578" s="1">
        <v>45398</v>
      </c>
      <c r="C3578">
        <v>2024</v>
      </c>
      <c r="D3578">
        <v>4</v>
      </c>
      <c r="E3578" t="s">
        <v>37</v>
      </c>
      <c r="F3578" t="s">
        <v>14</v>
      </c>
      <c r="G3578" t="s">
        <v>83</v>
      </c>
      <c r="H3578" t="s">
        <v>84</v>
      </c>
      <c r="I3578">
        <v>283145.94</v>
      </c>
      <c r="J3578">
        <v>268988.64</v>
      </c>
      <c r="K3578" t="s">
        <v>85</v>
      </c>
      <c r="L3578" t="b">
        <v>0</v>
      </c>
      <c r="N3578" s="2" t="str">
        <f t="shared" si="312"/>
        <v/>
      </c>
      <c r="Q3578" t="str">
        <f t="shared" si="313"/>
        <v/>
      </c>
    </row>
    <row r="3579" spans="1:17" hidden="1">
      <c r="A3579" t="s">
        <v>3684</v>
      </c>
      <c r="B3579" s="1">
        <v>45399</v>
      </c>
      <c r="C3579">
        <v>2024</v>
      </c>
      <c r="D3579">
        <v>4</v>
      </c>
      <c r="E3579" t="s">
        <v>13</v>
      </c>
      <c r="F3579" t="s">
        <v>14</v>
      </c>
      <c r="G3579" t="s">
        <v>108</v>
      </c>
      <c r="H3579" t="s">
        <v>126</v>
      </c>
      <c r="I3579">
        <v>4379.07</v>
      </c>
      <c r="J3579">
        <v>4737.51</v>
      </c>
      <c r="K3579" t="s">
        <v>17</v>
      </c>
      <c r="L3579" t="b">
        <v>0</v>
      </c>
      <c r="N3579" s="2" t="str">
        <f t="shared" si="312"/>
        <v/>
      </c>
      <c r="Q3579" t="str">
        <f t="shared" si="313"/>
        <v/>
      </c>
    </row>
    <row r="3580" spans="1:17" hidden="1">
      <c r="A3580" t="s">
        <v>3685</v>
      </c>
      <c r="B3580" s="1">
        <v>45399</v>
      </c>
      <c r="C3580">
        <v>2024</v>
      </c>
      <c r="D3580">
        <v>4</v>
      </c>
      <c r="E3580" t="s">
        <v>13</v>
      </c>
      <c r="F3580" t="s">
        <v>14</v>
      </c>
      <c r="G3580" t="s">
        <v>102</v>
      </c>
      <c r="H3580" t="s">
        <v>103</v>
      </c>
      <c r="I3580">
        <v>3200.25</v>
      </c>
      <c r="J3580">
        <v>3012.71</v>
      </c>
      <c r="K3580" t="s">
        <v>17</v>
      </c>
      <c r="L3580" t="b">
        <v>0</v>
      </c>
      <c r="N3580" s="2" t="str">
        <f t="shared" si="312"/>
        <v/>
      </c>
      <c r="Q3580" t="str">
        <f t="shared" si="313"/>
        <v/>
      </c>
    </row>
    <row r="3581" spans="1:17" hidden="1">
      <c r="A3581" t="s">
        <v>3686</v>
      </c>
      <c r="B3581" s="1">
        <v>45399</v>
      </c>
      <c r="C3581">
        <v>2024</v>
      </c>
      <c r="D3581">
        <v>4</v>
      </c>
      <c r="E3581" t="s">
        <v>13</v>
      </c>
      <c r="F3581" t="s">
        <v>28</v>
      </c>
      <c r="G3581" t="s">
        <v>68</v>
      </c>
      <c r="H3581" t="s">
        <v>213</v>
      </c>
      <c r="I3581">
        <v>4026.95</v>
      </c>
      <c r="J3581">
        <v>3942.78</v>
      </c>
      <c r="K3581" t="s">
        <v>17</v>
      </c>
      <c r="L3581" t="b">
        <v>0</v>
      </c>
      <c r="N3581" s="2" t="str">
        <f t="shared" si="312"/>
        <v/>
      </c>
      <c r="Q3581" t="str">
        <f t="shared" si="313"/>
        <v/>
      </c>
    </row>
    <row r="3582" spans="1:17" hidden="1">
      <c r="A3582" t="s">
        <v>3687</v>
      </c>
      <c r="B3582" s="1">
        <v>45399</v>
      </c>
      <c r="C3582">
        <v>2024</v>
      </c>
      <c r="D3582">
        <v>4</v>
      </c>
      <c r="E3582" t="s">
        <v>13</v>
      </c>
      <c r="F3582" t="s">
        <v>24</v>
      </c>
      <c r="G3582" t="s">
        <v>68</v>
      </c>
      <c r="H3582" t="s">
        <v>69</v>
      </c>
      <c r="I3582">
        <v>3830.74</v>
      </c>
      <c r="J3582">
        <v>3867.22</v>
      </c>
      <c r="K3582" t="s">
        <v>17</v>
      </c>
      <c r="L3582" t="b">
        <v>0</v>
      </c>
      <c r="N3582" s="2" t="str">
        <f t="shared" si="312"/>
        <v/>
      </c>
      <c r="Q3582" t="str">
        <f t="shared" si="313"/>
        <v/>
      </c>
    </row>
    <row r="3583" spans="1:17" hidden="1">
      <c r="A3583" t="s">
        <v>3688</v>
      </c>
      <c r="B3583" s="1">
        <v>45399</v>
      </c>
      <c r="C3583">
        <v>2024</v>
      </c>
      <c r="D3583">
        <v>4</v>
      </c>
      <c r="E3583" t="s">
        <v>13</v>
      </c>
      <c r="F3583" t="s">
        <v>24</v>
      </c>
      <c r="G3583" t="s">
        <v>68</v>
      </c>
      <c r="H3583" t="s">
        <v>87</v>
      </c>
      <c r="I3583">
        <v>2393.36</v>
      </c>
      <c r="J3583">
        <v>2203.9899999999998</v>
      </c>
      <c r="K3583" t="s">
        <v>17</v>
      </c>
      <c r="L3583" t="b">
        <v>0</v>
      </c>
      <c r="N3583" s="2" t="str">
        <f t="shared" si="312"/>
        <v/>
      </c>
      <c r="Q3583" t="str">
        <f t="shared" si="313"/>
        <v/>
      </c>
    </row>
    <row r="3584" spans="1:17" hidden="1">
      <c r="A3584" t="s">
        <v>3689</v>
      </c>
      <c r="B3584" s="1">
        <v>45399</v>
      </c>
      <c r="C3584">
        <v>2024</v>
      </c>
      <c r="D3584">
        <v>4</v>
      </c>
      <c r="E3584" t="s">
        <v>19</v>
      </c>
      <c r="F3584" t="s">
        <v>24</v>
      </c>
      <c r="G3584" t="s">
        <v>54</v>
      </c>
      <c r="H3584" t="s">
        <v>55</v>
      </c>
      <c r="I3584">
        <v>4028.8</v>
      </c>
      <c r="J3584">
        <v>4135.7</v>
      </c>
      <c r="K3584" t="s">
        <v>17</v>
      </c>
      <c r="L3584" t="b">
        <v>0</v>
      </c>
      <c r="N3584" s="2" t="str">
        <f t="shared" si="312"/>
        <v/>
      </c>
      <c r="Q3584" t="str">
        <f t="shared" si="313"/>
        <v/>
      </c>
    </row>
    <row r="3585" spans="1:17" hidden="1">
      <c r="A3585" t="s">
        <v>3690</v>
      </c>
      <c r="B3585" s="1">
        <v>45399</v>
      </c>
      <c r="C3585">
        <v>2024</v>
      </c>
      <c r="D3585">
        <v>4</v>
      </c>
      <c r="E3585" t="s">
        <v>23</v>
      </c>
      <c r="F3585" t="s">
        <v>28</v>
      </c>
      <c r="G3585" t="s">
        <v>141</v>
      </c>
      <c r="H3585" t="s">
        <v>142</v>
      </c>
      <c r="I3585">
        <v>5522.53</v>
      </c>
      <c r="J3585">
        <v>5610.85</v>
      </c>
      <c r="K3585" t="s">
        <v>17</v>
      </c>
      <c r="L3585" t="b">
        <v>0</v>
      </c>
      <c r="N3585" s="2" t="str">
        <f t="shared" si="312"/>
        <v/>
      </c>
      <c r="Q3585" t="str">
        <f t="shared" si="313"/>
        <v/>
      </c>
    </row>
    <row r="3586" spans="1:17" hidden="1">
      <c r="A3586" t="s">
        <v>3691</v>
      </c>
      <c r="B3586" s="1">
        <v>45399</v>
      </c>
      <c r="C3586">
        <v>2024</v>
      </c>
      <c r="D3586">
        <v>4</v>
      </c>
      <c r="E3586" t="s">
        <v>23</v>
      </c>
      <c r="F3586" t="s">
        <v>24</v>
      </c>
      <c r="G3586" t="s">
        <v>141</v>
      </c>
      <c r="H3586" t="s">
        <v>153</v>
      </c>
      <c r="I3586">
        <v>5975.21</v>
      </c>
      <c r="J3586">
        <v>5847.76</v>
      </c>
      <c r="K3586" t="s">
        <v>17</v>
      </c>
      <c r="L3586" t="b">
        <v>0</v>
      </c>
      <c r="N3586" s="2" t="str">
        <f t="shared" si="312"/>
        <v/>
      </c>
      <c r="Q3586" t="str">
        <f t="shared" si="313"/>
        <v/>
      </c>
    </row>
    <row r="3587" spans="1:17" hidden="1">
      <c r="A3587" t="s">
        <v>3692</v>
      </c>
      <c r="B3587" s="1">
        <v>45399</v>
      </c>
      <c r="C3587">
        <v>2024</v>
      </c>
      <c r="D3587">
        <v>4</v>
      </c>
      <c r="E3587" t="s">
        <v>37</v>
      </c>
      <c r="F3587" t="s">
        <v>28</v>
      </c>
      <c r="G3587" t="s">
        <v>41</v>
      </c>
      <c r="H3587" t="s">
        <v>42</v>
      </c>
      <c r="I3587">
        <v>4052.22</v>
      </c>
      <c r="J3587">
        <v>4210.5200000000004</v>
      </c>
      <c r="K3587" t="s">
        <v>17</v>
      </c>
      <c r="L3587" t="b">
        <v>0</v>
      </c>
      <c r="N3587" s="2" t="str">
        <f t="shared" ref="N3587:N3650" si="318">IF(AND(E3587="IT",K3587="EXPENSE"),I3587&gt;J3587,"")</f>
        <v/>
      </c>
      <c r="Q3587" t="str">
        <f t="shared" ref="Q3587:Q3650" si="319">IF(L3587=TRUE,OR(H3587="Apex Solutions Inc",H3587="Global Trade Partners",H3587="NovaTech Services"),"")</f>
        <v/>
      </c>
    </row>
    <row r="3588" spans="1:17" hidden="1">
      <c r="A3588" t="s">
        <v>3693</v>
      </c>
      <c r="B3588" s="1">
        <v>45399</v>
      </c>
      <c r="C3588">
        <v>2024</v>
      </c>
      <c r="D3588">
        <v>4</v>
      </c>
      <c r="E3588" t="s">
        <v>37</v>
      </c>
      <c r="F3588" t="s">
        <v>28</v>
      </c>
      <c r="G3588" t="s">
        <v>41</v>
      </c>
      <c r="H3588" t="s">
        <v>42</v>
      </c>
      <c r="I3588">
        <v>5238.7299999999996</v>
      </c>
      <c r="J3588">
        <v>5030.1400000000003</v>
      </c>
      <c r="K3588" t="s">
        <v>17</v>
      </c>
      <c r="L3588" t="b">
        <v>0</v>
      </c>
      <c r="N3588" s="2" t="str">
        <f t="shared" si="318"/>
        <v/>
      </c>
      <c r="Q3588" t="str">
        <f t="shared" si="319"/>
        <v/>
      </c>
    </row>
    <row r="3589" spans="1:17" hidden="1">
      <c r="A3589" t="s">
        <v>3694</v>
      </c>
      <c r="B3589" s="1">
        <v>45400</v>
      </c>
      <c r="C3589">
        <v>2024</v>
      </c>
      <c r="D3589">
        <v>4</v>
      </c>
      <c r="E3589" t="s">
        <v>13</v>
      </c>
      <c r="F3589" t="s">
        <v>28</v>
      </c>
      <c r="G3589" t="s">
        <v>102</v>
      </c>
      <c r="H3589" t="s">
        <v>278</v>
      </c>
      <c r="I3589">
        <v>2238.9499999999998</v>
      </c>
      <c r="J3589">
        <v>2414.0300000000002</v>
      </c>
      <c r="K3589" t="s">
        <v>17</v>
      </c>
      <c r="L3589" t="b">
        <v>0</v>
      </c>
      <c r="N3589" s="2" t="str">
        <f t="shared" si="318"/>
        <v/>
      </c>
      <c r="Q3589" t="str">
        <f t="shared" si="319"/>
        <v/>
      </c>
    </row>
    <row r="3590" spans="1:17">
      <c r="A3590" t="s">
        <v>3695</v>
      </c>
      <c r="B3590" s="1">
        <v>45400</v>
      </c>
      <c r="C3590">
        <v>2024</v>
      </c>
      <c r="D3590">
        <v>4</v>
      </c>
      <c r="E3590" t="s">
        <v>19</v>
      </c>
      <c r="F3590" t="s">
        <v>28</v>
      </c>
      <c r="G3590" t="s">
        <v>20</v>
      </c>
      <c r="H3590" t="s">
        <v>651</v>
      </c>
      <c r="I3590">
        <v>41483.449999999997</v>
      </c>
      <c r="J3590">
        <v>11537.54</v>
      </c>
      <c r="K3590" t="s">
        <v>17</v>
      </c>
      <c r="L3590" t="b">
        <v>1</v>
      </c>
      <c r="N3590" s="2" t="str">
        <f t="shared" si="318"/>
        <v/>
      </c>
      <c r="Q3590" t="b">
        <f t="shared" si="319"/>
        <v>1</v>
      </c>
    </row>
    <row r="3591" spans="1:17" hidden="1">
      <c r="A3591" t="s">
        <v>3696</v>
      </c>
      <c r="B3591" s="1">
        <v>45400</v>
      </c>
      <c r="C3591">
        <v>2024</v>
      </c>
      <c r="D3591">
        <v>4</v>
      </c>
      <c r="E3591" t="s">
        <v>37</v>
      </c>
      <c r="F3591" t="s">
        <v>14</v>
      </c>
      <c r="G3591" t="s">
        <v>62</v>
      </c>
      <c r="H3591" t="s">
        <v>360</v>
      </c>
      <c r="I3591">
        <v>5917.86</v>
      </c>
      <c r="J3591">
        <v>5553.05</v>
      </c>
      <c r="K3591" t="s">
        <v>17</v>
      </c>
      <c r="L3591" t="b">
        <v>0</v>
      </c>
      <c r="N3591" s="2" t="str">
        <f t="shared" si="318"/>
        <v/>
      </c>
      <c r="Q3591" t="str">
        <f t="shared" si="319"/>
        <v/>
      </c>
    </row>
    <row r="3592" spans="1:17" hidden="1">
      <c r="A3592" t="s">
        <v>3697</v>
      </c>
      <c r="B3592" s="1">
        <v>45400</v>
      </c>
      <c r="C3592">
        <v>2024</v>
      </c>
      <c r="D3592">
        <v>4</v>
      </c>
      <c r="E3592" t="s">
        <v>37</v>
      </c>
      <c r="F3592" t="s">
        <v>28</v>
      </c>
      <c r="G3592" t="s">
        <v>98</v>
      </c>
      <c r="H3592" t="s">
        <v>185</v>
      </c>
      <c r="I3592">
        <v>4895.28</v>
      </c>
      <c r="J3592">
        <v>4700.1099999999997</v>
      </c>
      <c r="K3592" t="s">
        <v>17</v>
      </c>
      <c r="L3592" t="b">
        <v>0</v>
      </c>
      <c r="N3592" s="2" t="str">
        <f t="shared" si="318"/>
        <v/>
      </c>
      <c r="Q3592" t="str">
        <f t="shared" si="319"/>
        <v/>
      </c>
    </row>
    <row r="3593" spans="1:17" hidden="1">
      <c r="A3593" t="s">
        <v>3698</v>
      </c>
      <c r="B3593" s="1">
        <v>45400</v>
      </c>
      <c r="C3593">
        <v>2024</v>
      </c>
      <c r="D3593">
        <v>4</v>
      </c>
      <c r="E3593" t="s">
        <v>37</v>
      </c>
      <c r="F3593" t="s">
        <v>28</v>
      </c>
      <c r="G3593" t="s">
        <v>38</v>
      </c>
      <c r="H3593" t="s">
        <v>227</v>
      </c>
      <c r="I3593">
        <v>3826.53</v>
      </c>
      <c r="J3593">
        <v>3621.63</v>
      </c>
      <c r="K3593" t="s">
        <v>17</v>
      </c>
      <c r="L3593" t="b">
        <v>0</v>
      </c>
      <c r="N3593" s="2" t="str">
        <f t="shared" si="318"/>
        <v/>
      </c>
      <c r="Q3593" t="str">
        <f t="shared" si="319"/>
        <v/>
      </c>
    </row>
    <row r="3594" spans="1:17" hidden="1">
      <c r="A3594" t="s">
        <v>3699</v>
      </c>
      <c r="B3594" s="1">
        <v>45400</v>
      </c>
      <c r="C3594">
        <v>2024</v>
      </c>
      <c r="D3594">
        <v>4</v>
      </c>
      <c r="E3594" t="s">
        <v>37</v>
      </c>
      <c r="F3594" t="s">
        <v>24</v>
      </c>
      <c r="G3594" t="s">
        <v>41</v>
      </c>
      <c r="H3594" t="s">
        <v>42</v>
      </c>
      <c r="I3594">
        <v>4975.24</v>
      </c>
      <c r="J3594">
        <v>4907.97</v>
      </c>
      <c r="K3594" t="s">
        <v>17</v>
      </c>
      <c r="L3594" t="b">
        <v>0</v>
      </c>
      <c r="N3594" s="2" t="str">
        <f t="shared" si="318"/>
        <v/>
      </c>
      <c r="Q3594" t="str">
        <f t="shared" si="319"/>
        <v/>
      </c>
    </row>
    <row r="3595" spans="1:17" hidden="1">
      <c r="A3595" t="s">
        <v>3700</v>
      </c>
      <c r="B3595" s="1">
        <v>45401</v>
      </c>
      <c r="C3595">
        <v>2024</v>
      </c>
      <c r="D3595">
        <v>4</v>
      </c>
      <c r="E3595" t="s">
        <v>13</v>
      </c>
      <c r="F3595" t="s">
        <v>14</v>
      </c>
      <c r="G3595" t="s">
        <v>68</v>
      </c>
      <c r="H3595" t="s">
        <v>87</v>
      </c>
      <c r="I3595">
        <v>2536.42</v>
      </c>
      <c r="J3595">
        <v>2430.52</v>
      </c>
      <c r="K3595" t="s">
        <v>17</v>
      </c>
      <c r="L3595" t="b">
        <v>0</v>
      </c>
      <c r="N3595" s="2" t="str">
        <f t="shared" si="318"/>
        <v/>
      </c>
      <c r="Q3595" t="str">
        <f t="shared" si="319"/>
        <v/>
      </c>
    </row>
    <row r="3596" spans="1:17" hidden="1">
      <c r="A3596" t="s">
        <v>3701</v>
      </c>
      <c r="B3596" s="1">
        <v>45401</v>
      </c>
      <c r="C3596">
        <v>2024</v>
      </c>
      <c r="D3596">
        <v>4</v>
      </c>
      <c r="E3596" t="s">
        <v>13</v>
      </c>
      <c r="F3596" t="s">
        <v>14</v>
      </c>
      <c r="G3596" t="s">
        <v>102</v>
      </c>
      <c r="H3596" t="s">
        <v>145</v>
      </c>
      <c r="I3596">
        <v>3020.96</v>
      </c>
      <c r="J3596">
        <v>2999.37</v>
      </c>
      <c r="K3596" t="s">
        <v>17</v>
      </c>
      <c r="L3596" t="b">
        <v>0</v>
      </c>
      <c r="N3596" s="2" t="str">
        <f t="shared" si="318"/>
        <v/>
      </c>
      <c r="Q3596" t="str">
        <f t="shared" si="319"/>
        <v/>
      </c>
    </row>
    <row r="3597" spans="1:17" hidden="1">
      <c r="A3597" t="s">
        <v>3702</v>
      </c>
      <c r="B3597" s="1">
        <v>45401</v>
      </c>
      <c r="C3597">
        <v>2024</v>
      </c>
      <c r="D3597">
        <v>4</v>
      </c>
      <c r="E3597" t="s">
        <v>13</v>
      </c>
      <c r="F3597" t="s">
        <v>14</v>
      </c>
      <c r="G3597" t="s">
        <v>15</v>
      </c>
      <c r="H3597" t="s">
        <v>16</v>
      </c>
      <c r="I3597">
        <v>3545.73</v>
      </c>
      <c r="J3597">
        <v>3519.97</v>
      </c>
      <c r="K3597" t="s">
        <v>17</v>
      </c>
      <c r="L3597" t="b">
        <v>0</v>
      </c>
      <c r="N3597" s="2" t="str">
        <f t="shared" si="318"/>
        <v/>
      </c>
      <c r="Q3597" t="str">
        <f t="shared" si="319"/>
        <v/>
      </c>
    </row>
    <row r="3598" spans="1:17" hidden="1">
      <c r="A3598" t="s">
        <v>3703</v>
      </c>
      <c r="B3598" s="1">
        <v>45401</v>
      </c>
      <c r="C3598">
        <v>2024</v>
      </c>
      <c r="D3598">
        <v>4</v>
      </c>
      <c r="E3598" t="s">
        <v>47</v>
      </c>
      <c r="F3598" t="s">
        <v>14</v>
      </c>
      <c r="G3598" t="s">
        <v>91</v>
      </c>
      <c r="H3598" t="s">
        <v>249</v>
      </c>
      <c r="I3598">
        <v>12451.56</v>
      </c>
      <c r="J3598">
        <v>10438.49</v>
      </c>
      <c r="K3598" t="s">
        <v>17</v>
      </c>
      <c r="L3598" t="b">
        <v>0</v>
      </c>
      <c r="N3598" s="2" t="b">
        <f t="shared" si="318"/>
        <v>1</v>
      </c>
      <c r="O3598" t="str">
        <f>IF(AND(E3587="HR",K3587="EXPENSE"),I3587&lt;J3587,"")</f>
        <v/>
      </c>
      <c r="Q3598" t="str">
        <f t="shared" si="319"/>
        <v/>
      </c>
    </row>
    <row r="3599" spans="1:17" hidden="1">
      <c r="A3599" t="s">
        <v>3704</v>
      </c>
      <c r="B3599" s="1">
        <v>45401</v>
      </c>
      <c r="C3599">
        <v>2024</v>
      </c>
      <c r="D3599">
        <v>4</v>
      </c>
      <c r="E3599" t="s">
        <v>19</v>
      </c>
      <c r="F3599" t="s">
        <v>14</v>
      </c>
      <c r="G3599" t="s">
        <v>132</v>
      </c>
      <c r="H3599" t="s">
        <v>133</v>
      </c>
      <c r="I3599">
        <v>7531.02</v>
      </c>
      <c r="J3599">
        <v>7152.26</v>
      </c>
      <c r="K3599" t="s">
        <v>17</v>
      </c>
      <c r="L3599" t="b">
        <v>0</v>
      </c>
      <c r="N3599" s="2" t="str">
        <f t="shared" si="318"/>
        <v/>
      </c>
      <c r="Q3599" t="str">
        <f t="shared" si="319"/>
        <v/>
      </c>
    </row>
    <row r="3600" spans="1:17" hidden="1">
      <c r="A3600" t="s">
        <v>3705</v>
      </c>
      <c r="B3600" s="1">
        <v>45401</v>
      </c>
      <c r="C3600">
        <v>2024</v>
      </c>
      <c r="D3600">
        <v>4</v>
      </c>
      <c r="E3600" t="s">
        <v>19</v>
      </c>
      <c r="F3600" t="s">
        <v>28</v>
      </c>
      <c r="G3600" t="s">
        <v>132</v>
      </c>
      <c r="H3600" t="s">
        <v>171</v>
      </c>
      <c r="I3600">
        <v>10377.620000000001</v>
      </c>
      <c r="J3600">
        <v>10463.11</v>
      </c>
      <c r="K3600" t="s">
        <v>17</v>
      </c>
      <c r="L3600" t="b">
        <v>0</v>
      </c>
      <c r="N3600" s="2" t="str">
        <f t="shared" si="318"/>
        <v/>
      </c>
      <c r="Q3600" t="str">
        <f t="shared" si="319"/>
        <v/>
      </c>
    </row>
    <row r="3601" spans="1:17" hidden="1">
      <c r="A3601" t="s">
        <v>3706</v>
      </c>
      <c r="B3601" s="1">
        <v>45401</v>
      </c>
      <c r="C3601">
        <v>2024</v>
      </c>
      <c r="D3601">
        <v>4</v>
      </c>
      <c r="E3601" t="s">
        <v>19</v>
      </c>
      <c r="F3601" t="s">
        <v>24</v>
      </c>
      <c r="G3601" t="s">
        <v>80</v>
      </c>
      <c r="H3601" t="s">
        <v>150</v>
      </c>
      <c r="I3601">
        <v>4600.8999999999996</v>
      </c>
      <c r="J3601">
        <v>4651.75</v>
      </c>
      <c r="K3601" t="s">
        <v>17</v>
      </c>
      <c r="L3601" t="b">
        <v>0</v>
      </c>
      <c r="N3601" s="2" t="str">
        <f t="shared" si="318"/>
        <v/>
      </c>
      <c r="Q3601" t="str">
        <f t="shared" si="319"/>
        <v/>
      </c>
    </row>
    <row r="3602" spans="1:17" hidden="1">
      <c r="A3602" t="s">
        <v>3707</v>
      </c>
      <c r="B3602" s="1">
        <v>45401</v>
      </c>
      <c r="C3602">
        <v>2024</v>
      </c>
      <c r="D3602">
        <v>4</v>
      </c>
      <c r="E3602" t="s">
        <v>37</v>
      </c>
      <c r="F3602" t="s">
        <v>14</v>
      </c>
      <c r="G3602" t="s">
        <v>98</v>
      </c>
      <c r="H3602" t="s">
        <v>185</v>
      </c>
      <c r="I3602">
        <v>4758.46</v>
      </c>
      <c r="J3602">
        <v>4936.21</v>
      </c>
      <c r="K3602" t="s">
        <v>17</v>
      </c>
      <c r="L3602" t="b">
        <v>0</v>
      </c>
      <c r="N3602" s="2" t="str">
        <f t="shared" si="318"/>
        <v/>
      </c>
      <c r="Q3602" t="str">
        <f t="shared" si="319"/>
        <v/>
      </c>
    </row>
    <row r="3603" spans="1:17" hidden="1">
      <c r="A3603" t="s">
        <v>3708</v>
      </c>
      <c r="B3603" s="1">
        <v>45401</v>
      </c>
      <c r="C3603">
        <v>2024</v>
      </c>
      <c r="D3603">
        <v>4</v>
      </c>
      <c r="E3603" t="s">
        <v>37</v>
      </c>
      <c r="F3603" t="s">
        <v>28</v>
      </c>
      <c r="G3603" t="s">
        <v>62</v>
      </c>
      <c r="H3603" t="s">
        <v>63</v>
      </c>
      <c r="I3603">
        <v>5395.82</v>
      </c>
      <c r="J3603">
        <v>5802.23</v>
      </c>
      <c r="K3603" t="s">
        <v>17</v>
      </c>
      <c r="L3603" t="b">
        <v>0</v>
      </c>
      <c r="N3603" s="2" t="str">
        <f t="shared" si="318"/>
        <v/>
      </c>
      <c r="Q3603" t="str">
        <f t="shared" si="319"/>
        <v/>
      </c>
    </row>
    <row r="3604" spans="1:17" hidden="1">
      <c r="A3604" t="s">
        <v>3709</v>
      </c>
      <c r="B3604" s="1">
        <v>45401</v>
      </c>
      <c r="C3604">
        <v>2024</v>
      </c>
      <c r="D3604">
        <v>4</v>
      </c>
      <c r="E3604" t="s">
        <v>37</v>
      </c>
      <c r="F3604" t="s">
        <v>28</v>
      </c>
      <c r="G3604" t="s">
        <v>41</v>
      </c>
      <c r="H3604" t="s">
        <v>42</v>
      </c>
      <c r="I3604">
        <v>2985.24</v>
      </c>
      <c r="J3604">
        <v>3021</v>
      </c>
      <c r="K3604" t="s">
        <v>17</v>
      </c>
      <c r="L3604" t="b">
        <v>0</v>
      </c>
      <c r="N3604" s="2" t="str">
        <f t="shared" si="318"/>
        <v/>
      </c>
      <c r="Q3604" t="str">
        <f t="shared" si="319"/>
        <v/>
      </c>
    </row>
    <row r="3605" spans="1:17" hidden="1">
      <c r="A3605" t="s">
        <v>3710</v>
      </c>
      <c r="B3605" s="1">
        <v>45401</v>
      </c>
      <c r="C3605">
        <v>2024</v>
      </c>
      <c r="D3605">
        <v>4</v>
      </c>
      <c r="E3605" t="s">
        <v>37</v>
      </c>
      <c r="F3605" t="s">
        <v>24</v>
      </c>
      <c r="G3605" t="s">
        <v>98</v>
      </c>
      <c r="H3605" t="s">
        <v>99</v>
      </c>
      <c r="I3605">
        <v>4661.8100000000004</v>
      </c>
      <c r="J3605">
        <v>4466.6099999999997</v>
      </c>
      <c r="K3605" t="s">
        <v>17</v>
      </c>
      <c r="L3605" t="b">
        <v>0</v>
      </c>
      <c r="N3605" s="2" t="str">
        <f t="shared" si="318"/>
        <v/>
      </c>
      <c r="Q3605" t="str">
        <f t="shared" si="319"/>
        <v/>
      </c>
    </row>
    <row r="3606" spans="1:17" hidden="1">
      <c r="A3606" t="s">
        <v>3711</v>
      </c>
      <c r="B3606" s="1">
        <v>45402</v>
      </c>
      <c r="C3606">
        <v>2024</v>
      </c>
      <c r="D3606">
        <v>4</v>
      </c>
      <c r="E3606" t="s">
        <v>13</v>
      </c>
      <c r="F3606" t="s">
        <v>14</v>
      </c>
      <c r="G3606" t="s">
        <v>15</v>
      </c>
      <c r="H3606" t="s">
        <v>45</v>
      </c>
      <c r="I3606">
        <v>2576.2600000000002</v>
      </c>
      <c r="J3606">
        <v>2678.39</v>
      </c>
      <c r="K3606" t="s">
        <v>17</v>
      </c>
      <c r="L3606" t="b">
        <v>0</v>
      </c>
      <c r="N3606" s="2" t="str">
        <f t="shared" si="318"/>
        <v/>
      </c>
      <c r="Q3606" t="str">
        <f t="shared" si="319"/>
        <v/>
      </c>
    </row>
    <row r="3607" spans="1:17" hidden="1">
      <c r="A3607" t="s">
        <v>3712</v>
      </c>
      <c r="B3607" s="1">
        <v>45402</v>
      </c>
      <c r="C3607">
        <v>2024</v>
      </c>
      <c r="D3607">
        <v>4</v>
      </c>
      <c r="E3607" t="s">
        <v>47</v>
      </c>
      <c r="F3607" t="s">
        <v>14</v>
      </c>
      <c r="G3607" t="s">
        <v>48</v>
      </c>
      <c r="H3607" t="s">
        <v>75</v>
      </c>
      <c r="I3607">
        <v>13496.76</v>
      </c>
      <c r="J3607">
        <v>11246.07</v>
      </c>
      <c r="K3607" t="s">
        <v>17</v>
      </c>
      <c r="L3607" t="b">
        <v>0</v>
      </c>
      <c r="N3607" s="2" t="b">
        <f t="shared" si="318"/>
        <v>1</v>
      </c>
      <c r="O3607" t="b">
        <f t="shared" ref="O3607:O3609" si="320">IF(AND(E3596="HR",K3596="EXPENSE"),I3596&lt;J3596,"")</f>
        <v>0</v>
      </c>
      <c r="Q3607" t="str">
        <f t="shared" si="319"/>
        <v/>
      </c>
    </row>
    <row r="3608" spans="1:17" hidden="1">
      <c r="A3608" t="s">
        <v>3713</v>
      </c>
      <c r="B3608" s="1">
        <v>45402</v>
      </c>
      <c r="C3608">
        <v>2024</v>
      </c>
      <c r="D3608">
        <v>4</v>
      </c>
      <c r="E3608" t="s">
        <v>47</v>
      </c>
      <c r="F3608" t="s">
        <v>14</v>
      </c>
      <c r="G3608" t="s">
        <v>77</v>
      </c>
      <c r="H3608" t="s">
        <v>130</v>
      </c>
      <c r="I3608">
        <v>12636.9</v>
      </c>
      <c r="J3608">
        <v>10440.69</v>
      </c>
      <c r="K3608" t="s">
        <v>17</v>
      </c>
      <c r="L3608" t="b">
        <v>0</v>
      </c>
      <c r="N3608" s="2" t="b">
        <f t="shared" si="318"/>
        <v>1</v>
      </c>
      <c r="O3608" t="b">
        <f t="shared" si="320"/>
        <v>0</v>
      </c>
      <c r="Q3608" t="str">
        <f t="shared" si="319"/>
        <v/>
      </c>
    </row>
    <row r="3609" spans="1:17" hidden="1">
      <c r="A3609" t="s">
        <v>3714</v>
      </c>
      <c r="B3609" s="1">
        <v>45402</v>
      </c>
      <c r="C3609">
        <v>2024</v>
      </c>
      <c r="D3609">
        <v>4</v>
      </c>
      <c r="E3609" t="s">
        <v>47</v>
      </c>
      <c r="F3609" t="s">
        <v>28</v>
      </c>
      <c r="G3609" t="s">
        <v>51</v>
      </c>
      <c r="H3609" t="s">
        <v>189</v>
      </c>
      <c r="I3609">
        <v>12789.22</v>
      </c>
      <c r="J3609">
        <v>10637.92</v>
      </c>
      <c r="K3609" t="s">
        <v>17</v>
      </c>
      <c r="L3609" t="b">
        <v>0</v>
      </c>
      <c r="N3609" s="2" t="b">
        <f t="shared" si="318"/>
        <v>1</v>
      </c>
      <c r="O3609" t="str">
        <f t="shared" si="320"/>
        <v/>
      </c>
      <c r="Q3609" t="str">
        <f t="shared" si="319"/>
        <v/>
      </c>
    </row>
    <row r="3610" spans="1:17" hidden="1">
      <c r="A3610" t="s">
        <v>3715</v>
      </c>
      <c r="B3610" s="1">
        <v>45402</v>
      </c>
      <c r="C3610">
        <v>2024</v>
      </c>
      <c r="D3610">
        <v>4</v>
      </c>
      <c r="E3610" t="s">
        <v>19</v>
      </c>
      <c r="F3610" t="s">
        <v>14</v>
      </c>
      <c r="G3610" t="s">
        <v>80</v>
      </c>
      <c r="H3610" t="s">
        <v>150</v>
      </c>
      <c r="I3610">
        <v>5531.38</v>
      </c>
      <c r="J3610">
        <v>5298.15</v>
      </c>
      <c r="K3610" t="s">
        <v>17</v>
      </c>
      <c r="L3610" t="b">
        <v>0</v>
      </c>
      <c r="N3610" s="2" t="str">
        <f t="shared" si="318"/>
        <v/>
      </c>
      <c r="Q3610" t="str">
        <f t="shared" si="319"/>
        <v/>
      </c>
    </row>
    <row r="3611" spans="1:17" hidden="1">
      <c r="A3611" t="s">
        <v>3716</v>
      </c>
      <c r="B3611" s="1">
        <v>45402</v>
      </c>
      <c r="C3611">
        <v>2024</v>
      </c>
      <c r="D3611">
        <v>4</v>
      </c>
      <c r="E3611" t="s">
        <v>37</v>
      </c>
      <c r="F3611" t="s">
        <v>24</v>
      </c>
      <c r="G3611" t="s">
        <v>98</v>
      </c>
      <c r="H3611" t="s">
        <v>185</v>
      </c>
      <c r="I3611">
        <v>3696.88</v>
      </c>
      <c r="J3611">
        <v>3673.08</v>
      </c>
      <c r="K3611" t="s">
        <v>17</v>
      </c>
      <c r="L3611" t="b">
        <v>0</v>
      </c>
      <c r="N3611" s="2" t="str">
        <f t="shared" si="318"/>
        <v/>
      </c>
      <c r="Q3611" t="str">
        <f t="shared" si="319"/>
        <v/>
      </c>
    </row>
    <row r="3612" spans="1:17" hidden="1">
      <c r="A3612" t="s">
        <v>3717</v>
      </c>
      <c r="B3612" s="1">
        <v>45402</v>
      </c>
      <c r="C3612">
        <v>2024</v>
      </c>
      <c r="D3612">
        <v>4</v>
      </c>
      <c r="E3612" t="s">
        <v>37</v>
      </c>
      <c r="F3612" t="s">
        <v>28</v>
      </c>
      <c r="G3612" t="s">
        <v>83</v>
      </c>
      <c r="H3612" t="s">
        <v>84</v>
      </c>
      <c r="I3612">
        <v>156283.47</v>
      </c>
      <c r="J3612">
        <v>148469.29</v>
      </c>
      <c r="K3612" t="s">
        <v>85</v>
      </c>
      <c r="L3612" t="b">
        <v>0</v>
      </c>
      <c r="N3612" s="2" t="str">
        <f t="shared" si="318"/>
        <v/>
      </c>
      <c r="Q3612" t="str">
        <f t="shared" si="319"/>
        <v/>
      </c>
    </row>
    <row r="3613" spans="1:17" hidden="1">
      <c r="A3613" t="s">
        <v>3718</v>
      </c>
      <c r="B3613" s="1">
        <v>45403</v>
      </c>
      <c r="C3613">
        <v>2024</v>
      </c>
      <c r="D3613">
        <v>4</v>
      </c>
      <c r="E3613" t="s">
        <v>13</v>
      </c>
      <c r="F3613" t="s">
        <v>28</v>
      </c>
      <c r="G3613" t="s">
        <v>15</v>
      </c>
      <c r="H3613" t="s">
        <v>16</v>
      </c>
      <c r="I3613">
        <v>2131.67</v>
      </c>
      <c r="J3613">
        <v>2114.91</v>
      </c>
      <c r="K3613" t="s">
        <v>17</v>
      </c>
      <c r="L3613" t="b">
        <v>0</v>
      </c>
      <c r="N3613" s="2" t="str">
        <f t="shared" si="318"/>
        <v/>
      </c>
      <c r="Q3613" t="str">
        <f t="shared" si="319"/>
        <v/>
      </c>
    </row>
    <row r="3614" spans="1:17" hidden="1">
      <c r="A3614" t="s">
        <v>3719</v>
      </c>
      <c r="B3614" s="1">
        <v>45403</v>
      </c>
      <c r="C3614">
        <v>2024</v>
      </c>
      <c r="D3614">
        <v>4</v>
      </c>
      <c r="E3614" t="s">
        <v>13</v>
      </c>
      <c r="F3614" t="s">
        <v>28</v>
      </c>
      <c r="G3614" t="s">
        <v>68</v>
      </c>
      <c r="H3614" t="s">
        <v>69</v>
      </c>
      <c r="I3614">
        <v>3256.27</v>
      </c>
      <c r="J3614">
        <v>3435.03</v>
      </c>
      <c r="K3614" t="s">
        <v>17</v>
      </c>
      <c r="L3614" t="b">
        <v>0</v>
      </c>
      <c r="N3614" s="2" t="str">
        <f t="shared" si="318"/>
        <v/>
      </c>
      <c r="Q3614" t="str">
        <f t="shared" si="319"/>
        <v/>
      </c>
    </row>
    <row r="3615" spans="1:17" hidden="1">
      <c r="A3615" t="s">
        <v>3720</v>
      </c>
      <c r="B3615" s="1">
        <v>45403</v>
      </c>
      <c r="C3615">
        <v>2024</v>
      </c>
      <c r="D3615">
        <v>4</v>
      </c>
      <c r="E3615" t="s">
        <v>47</v>
      </c>
      <c r="F3615" t="s">
        <v>14</v>
      </c>
      <c r="G3615" t="s">
        <v>77</v>
      </c>
      <c r="H3615" t="s">
        <v>130</v>
      </c>
      <c r="I3615">
        <v>16164.81</v>
      </c>
      <c r="J3615">
        <v>13432.28</v>
      </c>
      <c r="K3615" t="s">
        <v>17</v>
      </c>
      <c r="L3615" t="b">
        <v>0</v>
      </c>
      <c r="N3615" s="2" t="b">
        <f t="shared" si="318"/>
        <v>1</v>
      </c>
      <c r="O3615" t="str">
        <f t="shared" ref="O3615:O3618" si="321">IF(AND(E3604="HR",K3604="EXPENSE"),I3604&lt;J3604,"")</f>
        <v/>
      </c>
      <c r="Q3615" t="str">
        <f t="shared" si="319"/>
        <v/>
      </c>
    </row>
    <row r="3616" spans="1:17" hidden="1">
      <c r="A3616" t="s">
        <v>3721</v>
      </c>
      <c r="B3616" s="1">
        <v>45403</v>
      </c>
      <c r="C3616">
        <v>2024</v>
      </c>
      <c r="D3616">
        <v>4</v>
      </c>
      <c r="E3616" t="s">
        <v>47</v>
      </c>
      <c r="F3616" t="s">
        <v>28</v>
      </c>
      <c r="G3616" t="s">
        <v>51</v>
      </c>
      <c r="H3616" t="s">
        <v>189</v>
      </c>
      <c r="I3616">
        <v>8729.41</v>
      </c>
      <c r="J3616">
        <v>7361.6</v>
      </c>
      <c r="K3616" t="s">
        <v>17</v>
      </c>
      <c r="L3616" t="b">
        <v>0</v>
      </c>
      <c r="N3616" s="2" t="b">
        <f t="shared" si="318"/>
        <v>1</v>
      </c>
      <c r="O3616" t="str">
        <f t="shared" si="321"/>
        <v/>
      </c>
      <c r="Q3616" t="str">
        <f t="shared" si="319"/>
        <v/>
      </c>
    </row>
    <row r="3617" spans="1:17" hidden="1">
      <c r="A3617" t="s">
        <v>3722</v>
      </c>
      <c r="B3617" s="1">
        <v>45403</v>
      </c>
      <c r="C3617">
        <v>2024</v>
      </c>
      <c r="D3617">
        <v>4</v>
      </c>
      <c r="E3617" t="s">
        <v>47</v>
      </c>
      <c r="F3617" t="s">
        <v>28</v>
      </c>
      <c r="G3617" t="s">
        <v>91</v>
      </c>
      <c r="H3617" t="s">
        <v>249</v>
      </c>
      <c r="I3617">
        <v>11426.21</v>
      </c>
      <c r="J3617">
        <v>9693.31</v>
      </c>
      <c r="K3617" t="s">
        <v>17</v>
      </c>
      <c r="L3617" t="b">
        <v>0</v>
      </c>
      <c r="N3617" s="2" t="b">
        <f t="shared" si="318"/>
        <v>1</v>
      </c>
      <c r="O3617" t="b">
        <f t="shared" si="321"/>
        <v>1</v>
      </c>
      <c r="Q3617" t="str">
        <f t="shared" si="319"/>
        <v/>
      </c>
    </row>
    <row r="3618" spans="1:17" hidden="1">
      <c r="A3618" t="s">
        <v>3723</v>
      </c>
      <c r="B3618" s="1">
        <v>45403</v>
      </c>
      <c r="C3618">
        <v>2024</v>
      </c>
      <c r="D3618">
        <v>4</v>
      </c>
      <c r="E3618" t="s">
        <v>47</v>
      </c>
      <c r="F3618" t="s">
        <v>24</v>
      </c>
      <c r="G3618" t="s">
        <v>77</v>
      </c>
      <c r="H3618" t="s">
        <v>78</v>
      </c>
      <c r="I3618">
        <v>12458.19</v>
      </c>
      <c r="J3618">
        <v>10596.39</v>
      </c>
      <c r="K3618" t="s">
        <v>17</v>
      </c>
      <c r="L3618" t="b">
        <v>0</v>
      </c>
      <c r="N3618" s="2" t="b">
        <f t="shared" si="318"/>
        <v>1</v>
      </c>
      <c r="O3618" t="str">
        <f t="shared" si="321"/>
        <v/>
      </c>
      <c r="Q3618" t="str">
        <f t="shared" si="319"/>
        <v/>
      </c>
    </row>
    <row r="3619" spans="1:17" hidden="1">
      <c r="A3619" t="s">
        <v>3724</v>
      </c>
      <c r="B3619" s="1">
        <v>45403</v>
      </c>
      <c r="C3619">
        <v>2024</v>
      </c>
      <c r="D3619">
        <v>4</v>
      </c>
      <c r="E3619" t="s">
        <v>19</v>
      </c>
      <c r="F3619" t="s">
        <v>24</v>
      </c>
      <c r="G3619" t="s">
        <v>20</v>
      </c>
      <c r="H3619" t="s">
        <v>136</v>
      </c>
      <c r="I3619">
        <v>6391.92</v>
      </c>
      <c r="J3619">
        <v>6540.5</v>
      </c>
      <c r="K3619" t="s">
        <v>17</v>
      </c>
      <c r="L3619" t="b">
        <v>0</v>
      </c>
      <c r="N3619" s="2" t="str">
        <f t="shared" si="318"/>
        <v/>
      </c>
      <c r="Q3619" t="str">
        <f t="shared" si="319"/>
        <v/>
      </c>
    </row>
    <row r="3620" spans="1:17" hidden="1">
      <c r="A3620" t="s">
        <v>3725</v>
      </c>
      <c r="B3620" s="1">
        <v>45403</v>
      </c>
      <c r="C3620">
        <v>2024</v>
      </c>
      <c r="D3620">
        <v>4</v>
      </c>
      <c r="E3620" t="s">
        <v>37</v>
      </c>
      <c r="F3620" t="s">
        <v>14</v>
      </c>
      <c r="G3620" t="s">
        <v>41</v>
      </c>
      <c r="H3620" t="s">
        <v>42</v>
      </c>
      <c r="I3620">
        <v>4849.68</v>
      </c>
      <c r="J3620">
        <v>5195.26</v>
      </c>
      <c r="K3620" t="s">
        <v>17</v>
      </c>
      <c r="L3620" t="b">
        <v>0</v>
      </c>
      <c r="N3620" s="2" t="str">
        <f t="shared" si="318"/>
        <v/>
      </c>
      <c r="Q3620" t="str">
        <f t="shared" si="319"/>
        <v/>
      </c>
    </row>
    <row r="3621" spans="1:17" hidden="1">
      <c r="A3621" t="s">
        <v>3726</v>
      </c>
      <c r="B3621" s="1">
        <v>45403</v>
      </c>
      <c r="C3621">
        <v>2024</v>
      </c>
      <c r="D3621">
        <v>4</v>
      </c>
      <c r="E3621" t="s">
        <v>37</v>
      </c>
      <c r="F3621" t="s">
        <v>14</v>
      </c>
      <c r="G3621" t="s">
        <v>62</v>
      </c>
      <c r="H3621" t="s">
        <v>360</v>
      </c>
      <c r="I3621">
        <v>4063.14</v>
      </c>
      <c r="J3621">
        <v>4351.1000000000004</v>
      </c>
      <c r="K3621" t="s">
        <v>17</v>
      </c>
      <c r="L3621" t="b">
        <v>0</v>
      </c>
      <c r="N3621" s="2" t="str">
        <f t="shared" si="318"/>
        <v/>
      </c>
      <c r="Q3621" t="str">
        <f t="shared" si="319"/>
        <v/>
      </c>
    </row>
    <row r="3622" spans="1:17" hidden="1">
      <c r="A3622" t="s">
        <v>3727</v>
      </c>
      <c r="B3622" s="1">
        <v>45403</v>
      </c>
      <c r="C3622">
        <v>2024</v>
      </c>
      <c r="D3622">
        <v>4</v>
      </c>
      <c r="E3622" t="s">
        <v>37</v>
      </c>
      <c r="F3622" t="s">
        <v>24</v>
      </c>
      <c r="G3622" t="s">
        <v>98</v>
      </c>
      <c r="H3622" t="s">
        <v>185</v>
      </c>
      <c r="I3622">
        <v>3662.57</v>
      </c>
      <c r="J3622">
        <v>3903.32</v>
      </c>
      <c r="K3622" t="s">
        <v>17</v>
      </c>
      <c r="L3622" t="b">
        <v>0</v>
      </c>
      <c r="N3622" s="2" t="str">
        <f t="shared" si="318"/>
        <v/>
      </c>
      <c r="Q3622" t="str">
        <f t="shared" si="319"/>
        <v/>
      </c>
    </row>
    <row r="3623" spans="1:17" hidden="1">
      <c r="A3623" t="s">
        <v>3728</v>
      </c>
      <c r="B3623" s="1">
        <v>45404</v>
      </c>
      <c r="C3623">
        <v>2024</v>
      </c>
      <c r="D3623">
        <v>4</v>
      </c>
      <c r="E3623" t="s">
        <v>13</v>
      </c>
      <c r="F3623" t="s">
        <v>14</v>
      </c>
      <c r="G3623" t="s">
        <v>68</v>
      </c>
      <c r="H3623" t="s">
        <v>87</v>
      </c>
      <c r="I3623">
        <v>2530.87</v>
      </c>
      <c r="J3623">
        <v>2368.48</v>
      </c>
      <c r="K3623" t="s">
        <v>17</v>
      </c>
      <c r="L3623" t="b">
        <v>0</v>
      </c>
      <c r="N3623" s="2" t="str">
        <f t="shared" si="318"/>
        <v/>
      </c>
      <c r="Q3623" t="str">
        <f t="shared" si="319"/>
        <v/>
      </c>
    </row>
    <row r="3624" spans="1:17" hidden="1">
      <c r="A3624" t="s">
        <v>3729</v>
      </c>
      <c r="B3624" s="1">
        <v>45404</v>
      </c>
      <c r="C3624">
        <v>2024</v>
      </c>
      <c r="D3624">
        <v>4</v>
      </c>
      <c r="E3624" t="s">
        <v>47</v>
      </c>
      <c r="F3624" t="s">
        <v>14</v>
      </c>
      <c r="G3624" t="s">
        <v>91</v>
      </c>
      <c r="H3624" t="s">
        <v>249</v>
      </c>
      <c r="I3624">
        <v>11369.29</v>
      </c>
      <c r="J3624">
        <v>9834.7099999999991</v>
      </c>
      <c r="K3624" t="s">
        <v>17</v>
      </c>
      <c r="L3624" t="b">
        <v>0</v>
      </c>
      <c r="N3624" s="2" t="b">
        <f t="shared" si="318"/>
        <v>1</v>
      </c>
      <c r="O3624" t="b">
        <f t="shared" ref="O3624:O3625" si="322">IF(AND(E3613="HR",K3613="EXPENSE"),I3613&lt;J3613,"")</f>
        <v>0</v>
      </c>
      <c r="Q3624" t="str">
        <f t="shared" si="319"/>
        <v/>
      </c>
    </row>
    <row r="3625" spans="1:17" hidden="1">
      <c r="A3625" t="s">
        <v>3730</v>
      </c>
      <c r="B3625" s="1">
        <v>45404</v>
      </c>
      <c r="C3625">
        <v>2024</v>
      </c>
      <c r="D3625">
        <v>4</v>
      </c>
      <c r="E3625" t="s">
        <v>47</v>
      </c>
      <c r="F3625" t="s">
        <v>14</v>
      </c>
      <c r="G3625" t="s">
        <v>51</v>
      </c>
      <c r="H3625" t="s">
        <v>52</v>
      </c>
      <c r="I3625">
        <v>13742.01</v>
      </c>
      <c r="J3625">
        <v>11613.34</v>
      </c>
      <c r="K3625" t="s">
        <v>17</v>
      </c>
      <c r="L3625" t="b">
        <v>0</v>
      </c>
      <c r="N3625" s="2" t="b">
        <f t="shared" si="318"/>
        <v>1</v>
      </c>
      <c r="O3625" t="b">
        <f t="shared" si="322"/>
        <v>1</v>
      </c>
      <c r="Q3625" t="str">
        <f t="shared" si="319"/>
        <v/>
      </c>
    </row>
    <row r="3626" spans="1:17" hidden="1">
      <c r="A3626" t="s">
        <v>3731</v>
      </c>
      <c r="B3626" s="1">
        <v>45404</v>
      </c>
      <c r="C3626">
        <v>2024</v>
      </c>
      <c r="D3626">
        <v>4</v>
      </c>
      <c r="E3626" t="s">
        <v>19</v>
      </c>
      <c r="F3626" t="s">
        <v>14</v>
      </c>
      <c r="G3626" t="s">
        <v>20</v>
      </c>
      <c r="H3626" t="s">
        <v>136</v>
      </c>
      <c r="I3626">
        <v>6473.34</v>
      </c>
      <c r="J3626">
        <v>6413.47</v>
      </c>
      <c r="K3626" t="s">
        <v>17</v>
      </c>
      <c r="L3626" t="b">
        <v>0</v>
      </c>
      <c r="N3626" s="2" t="str">
        <f t="shared" si="318"/>
        <v/>
      </c>
      <c r="Q3626" t="str">
        <f t="shared" si="319"/>
        <v/>
      </c>
    </row>
    <row r="3627" spans="1:17" hidden="1">
      <c r="A3627" t="s">
        <v>3732</v>
      </c>
      <c r="B3627" s="1">
        <v>45404</v>
      </c>
      <c r="C3627">
        <v>2024</v>
      </c>
      <c r="D3627">
        <v>4</v>
      </c>
      <c r="E3627" t="s">
        <v>23</v>
      </c>
      <c r="F3627" t="s">
        <v>28</v>
      </c>
      <c r="G3627" t="s">
        <v>141</v>
      </c>
      <c r="H3627" t="s">
        <v>142</v>
      </c>
      <c r="I3627">
        <v>7743.71</v>
      </c>
      <c r="J3627">
        <v>7837.01</v>
      </c>
      <c r="K3627" t="s">
        <v>17</v>
      </c>
      <c r="L3627" t="b">
        <v>0</v>
      </c>
      <c r="N3627" s="2" t="str">
        <f t="shared" si="318"/>
        <v/>
      </c>
      <c r="Q3627" t="str">
        <f t="shared" si="319"/>
        <v/>
      </c>
    </row>
    <row r="3628" spans="1:17" hidden="1">
      <c r="A3628" t="s">
        <v>3733</v>
      </c>
      <c r="B3628" s="1">
        <v>45404</v>
      </c>
      <c r="C3628">
        <v>2024</v>
      </c>
      <c r="D3628">
        <v>4</v>
      </c>
      <c r="E3628" t="s">
        <v>37</v>
      </c>
      <c r="F3628" t="s">
        <v>28</v>
      </c>
      <c r="G3628" t="s">
        <v>62</v>
      </c>
      <c r="H3628" t="s">
        <v>63</v>
      </c>
      <c r="I3628">
        <v>3974.91</v>
      </c>
      <c r="J3628">
        <v>3902.92</v>
      </c>
      <c r="K3628" t="s">
        <v>17</v>
      </c>
      <c r="L3628" t="b">
        <v>0</v>
      </c>
      <c r="N3628" s="2" t="str">
        <f t="shared" si="318"/>
        <v/>
      </c>
      <c r="Q3628" t="str">
        <f t="shared" si="319"/>
        <v/>
      </c>
    </row>
    <row r="3629" spans="1:17" hidden="1">
      <c r="A3629" t="s">
        <v>3734</v>
      </c>
      <c r="B3629" s="1">
        <v>45404</v>
      </c>
      <c r="C3629">
        <v>2024</v>
      </c>
      <c r="D3629">
        <v>4</v>
      </c>
      <c r="E3629" t="s">
        <v>37</v>
      </c>
      <c r="F3629" t="s">
        <v>28</v>
      </c>
      <c r="G3629" t="s">
        <v>98</v>
      </c>
      <c r="H3629" t="s">
        <v>99</v>
      </c>
      <c r="I3629">
        <v>3217.07</v>
      </c>
      <c r="J3629">
        <v>2900.58</v>
      </c>
      <c r="K3629" t="s">
        <v>17</v>
      </c>
      <c r="L3629" t="b">
        <v>0</v>
      </c>
      <c r="N3629" s="2" t="str">
        <f t="shared" si="318"/>
        <v/>
      </c>
      <c r="Q3629" t="str">
        <f t="shared" si="319"/>
        <v/>
      </c>
    </row>
    <row r="3630" spans="1:17" hidden="1">
      <c r="A3630" t="s">
        <v>3735</v>
      </c>
      <c r="B3630" s="1">
        <v>45404</v>
      </c>
      <c r="C3630">
        <v>2024</v>
      </c>
      <c r="D3630">
        <v>4</v>
      </c>
      <c r="E3630" t="s">
        <v>37</v>
      </c>
      <c r="F3630" t="s">
        <v>28</v>
      </c>
      <c r="G3630" t="s">
        <v>62</v>
      </c>
      <c r="H3630" t="s">
        <v>121</v>
      </c>
      <c r="I3630">
        <v>3908.46</v>
      </c>
      <c r="J3630">
        <v>3535.25</v>
      </c>
      <c r="K3630" t="s">
        <v>17</v>
      </c>
      <c r="L3630" t="b">
        <v>0</v>
      </c>
      <c r="N3630" s="2" t="str">
        <f t="shared" si="318"/>
        <v/>
      </c>
      <c r="Q3630" t="str">
        <f t="shared" si="319"/>
        <v/>
      </c>
    </row>
    <row r="3631" spans="1:17" hidden="1">
      <c r="A3631" t="s">
        <v>3736</v>
      </c>
      <c r="B3631" s="1">
        <v>45404</v>
      </c>
      <c r="C3631">
        <v>2024</v>
      </c>
      <c r="D3631">
        <v>4</v>
      </c>
      <c r="E3631" t="s">
        <v>37</v>
      </c>
      <c r="F3631" t="s">
        <v>28</v>
      </c>
      <c r="G3631" t="s">
        <v>98</v>
      </c>
      <c r="H3631" t="s">
        <v>185</v>
      </c>
      <c r="I3631">
        <v>2946.95</v>
      </c>
      <c r="J3631">
        <v>2967.46</v>
      </c>
      <c r="K3631" t="s">
        <v>17</v>
      </c>
      <c r="L3631" t="b">
        <v>0</v>
      </c>
      <c r="N3631" s="2" t="str">
        <f t="shared" si="318"/>
        <v/>
      </c>
      <c r="Q3631" t="str">
        <f t="shared" si="319"/>
        <v/>
      </c>
    </row>
    <row r="3632" spans="1:17" hidden="1">
      <c r="A3632" t="s">
        <v>3737</v>
      </c>
      <c r="B3632" s="1">
        <v>45404</v>
      </c>
      <c r="C3632">
        <v>2024</v>
      </c>
      <c r="D3632">
        <v>4</v>
      </c>
      <c r="E3632" t="s">
        <v>37</v>
      </c>
      <c r="F3632" t="s">
        <v>24</v>
      </c>
      <c r="G3632" t="s">
        <v>62</v>
      </c>
      <c r="H3632" t="s">
        <v>121</v>
      </c>
      <c r="I3632">
        <v>4987.71</v>
      </c>
      <c r="J3632">
        <v>4889.6099999999997</v>
      </c>
      <c r="K3632" t="s">
        <v>17</v>
      </c>
      <c r="L3632" t="b">
        <v>0</v>
      </c>
      <c r="N3632" s="2" t="str">
        <f t="shared" si="318"/>
        <v/>
      </c>
      <c r="Q3632" t="str">
        <f t="shared" si="319"/>
        <v/>
      </c>
    </row>
    <row r="3633" spans="1:17" hidden="1">
      <c r="A3633" t="s">
        <v>3738</v>
      </c>
      <c r="B3633" s="1">
        <v>45404</v>
      </c>
      <c r="C3633">
        <v>2024</v>
      </c>
      <c r="D3633">
        <v>4</v>
      </c>
      <c r="E3633" t="s">
        <v>37</v>
      </c>
      <c r="F3633" t="s">
        <v>24</v>
      </c>
      <c r="G3633" t="s">
        <v>62</v>
      </c>
      <c r="H3633" t="s">
        <v>66</v>
      </c>
      <c r="I3633">
        <v>2936.49</v>
      </c>
      <c r="J3633">
        <v>2906.27</v>
      </c>
      <c r="K3633" t="s">
        <v>17</v>
      </c>
      <c r="L3633" t="b">
        <v>0</v>
      </c>
      <c r="N3633" s="2" t="str">
        <f t="shared" si="318"/>
        <v/>
      </c>
      <c r="Q3633" t="str">
        <f t="shared" si="319"/>
        <v/>
      </c>
    </row>
    <row r="3634" spans="1:17" hidden="1">
      <c r="A3634" t="s">
        <v>3739</v>
      </c>
      <c r="B3634" s="1">
        <v>45405</v>
      </c>
      <c r="C3634">
        <v>2024</v>
      </c>
      <c r="D3634">
        <v>4</v>
      </c>
      <c r="E3634" t="s">
        <v>47</v>
      </c>
      <c r="F3634" t="s">
        <v>24</v>
      </c>
      <c r="G3634" t="s">
        <v>51</v>
      </c>
      <c r="H3634" t="s">
        <v>72</v>
      </c>
      <c r="I3634">
        <v>15192.6</v>
      </c>
      <c r="J3634">
        <v>12864.12</v>
      </c>
      <c r="K3634" t="s">
        <v>17</v>
      </c>
      <c r="L3634" t="b">
        <v>0</v>
      </c>
      <c r="N3634" s="2" t="b">
        <f t="shared" si="318"/>
        <v>1</v>
      </c>
      <c r="O3634" t="b">
        <f>IF(AND(E3623="HR",K3623="EXPENSE"),I3623&lt;J3623,"")</f>
        <v>0</v>
      </c>
      <c r="Q3634" t="str">
        <f t="shared" si="319"/>
        <v/>
      </c>
    </row>
    <row r="3635" spans="1:17" hidden="1">
      <c r="A3635" t="s">
        <v>3740</v>
      </c>
      <c r="B3635" s="1">
        <v>45405</v>
      </c>
      <c r="C3635">
        <v>2024</v>
      </c>
      <c r="D3635">
        <v>4</v>
      </c>
      <c r="E3635" t="s">
        <v>19</v>
      </c>
      <c r="F3635" t="s">
        <v>14</v>
      </c>
      <c r="G3635" t="s">
        <v>132</v>
      </c>
      <c r="H3635" t="s">
        <v>171</v>
      </c>
      <c r="I3635">
        <v>5611.91</v>
      </c>
      <c r="J3635">
        <v>5376.52</v>
      </c>
      <c r="K3635" t="s">
        <v>17</v>
      </c>
      <c r="L3635" t="b">
        <v>0</v>
      </c>
      <c r="N3635" s="2" t="str">
        <f t="shared" si="318"/>
        <v/>
      </c>
      <c r="Q3635" t="str">
        <f t="shared" si="319"/>
        <v/>
      </c>
    </row>
    <row r="3636" spans="1:17" hidden="1">
      <c r="A3636" t="s">
        <v>3741</v>
      </c>
      <c r="B3636" s="1">
        <v>45405</v>
      </c>
      <c r="C3636">
        <v>2024</v>
      </c>
      <c r="D3636">
        <v>4</v>
      </c>
      <c r="E3636" t="s">
        <v>19</v>
      </c>
      <c r="F3636" t="s">
        <v>24</v>
      </c>
      <c r="G3636" t="s">
        <v>132</v>
      </c>
      <c r="H3636" t="s">
        <v>133</v>
      </c>
      <c r="I3636">
        <v>3357.95</v>
      </c>
      <c r="J3636">
        <v>3361.42</v>
      </c>
      <c r="K3636" t="s">
        <v>17</v>
      </c>
      <c r="L3636" t="b">
        <v>0</v>
      </c>
      <c r="N3636" s="2" t="str">
        <f t="shared" si="318"/>
        <v/>
      </c>
      <c r="Q3636" t="str">
        <f t="shared" si="319"/>
        <v/>
      </c>
    </row>
    <row r="3637" spans="1:17" hidden="1">
      <c r="A3637" t="s">
        <v>3742</v>
      </c>
      <c r="B3637" s="1">
        <v>45405</v>
      </c>
      <c r="C3637">
        <v>2024</v>
      </c>
      <c r="D3637">
        <v>4</v>
      </c>
      <c r="E3637" t="s">
        <v>19</v>
      </c>
      <c r="F3637" t="s">
        <v>24</v>
      </c>
      <c r="G3637" t="s">
        <v>20</v>
      </c>
      <c r="H3637" t="s">
        <v>21</v>
      </c>
      <c r="I3637">
        <v>8044.5</v>
      </c>
      <c r="J3637">
        <v>7400.83</v>
      </c>
      <c r="K3637" t="s">
        <v>17</v>
      </c>
      <c r="L3637" t="b">
        <v>0</v>
      </c>
      <c r="N3637" s="2" t="str">
        <f t="shared" si="318"/>
        <v/>
      </c>
      <c r="Q3637" t="str">
        <f t="shared" si="319"/>
        <v/>
      </c>
    </row>
    <row r="3638" spans="1:17" hidden="1">
      <c r="A3638" t="s">
        <v>3743</v>
      </c>
      <c r="B3638" s="1">
        <v>45405</v>
      </c>
      <c r="C3638">
        <v>2024</v>
      </c>
      <c r="D3638">
        <v>4</v>
      </c>
      <c r="E3638" t="s">
        <v>23</v>
      </c>
      <c r="F3638" t="s">
        <v>24</v>
      </c>
      <c r="G3638" t="s">
        <v>25</v>
      </c>
      <c r="H3638" t="s">
        <v>26</v>
      </c>
      <c r="I3638">
        <v>8378.5</v>
      </c>
      <c r="J3638">
        <v>7927.64</v>
      </c>
      <c r="K3638" t="s">
        <v>17</v>
      </c>
      <c r="L3638" t="b">
        <v>0</v>
      </c>
      <c r="N3638" s="2" t="str">
        <f t="shared" si="318"/>
        <v/>
      </c>
      <c r="Q3638" t="str">
        <f t="shared" si="319"/>
        <v/>
      </c>
    </row>
    <row r="3639" spans="1:17" hidden="1">
      <c r="A3639" t="s">
        <v>3744</v>
      </c>
      <c r="B3639" s="1">
        <v>45405</v>
      </c>
      <c r="C3639">
        <v>2024</v>
      </c>
      <c r="D3639">
        <v>4</v>
      </c>
      <c r="E3639" t="s">
        <v>37</v>
      </c>
      <c r="F3639" t="s">
        <v>14</v>
      </c>
      <c r="G3639" t="s">
        <v>41</v>
      </c>
      <c r="H3639" t="s">
        <v>42</v>
      </c>
      <c r="I3639">
        <v>5826.61</v>
      </c>
      <c r="J3639">
        <v>5732.51</v>
      </c>
      <c r="K3639" t="s">
        <v>17</v>
      </c>
      <c r="L3639" t="b">
        <v>0</v>
      </c>
      <c r="N3639" s="2" t="str">
        <f t="shared" si="318"/>
        <v/>
      </c>
      <c r="Q3639" t="str">
        <f t="shared" si="319"/>
        <v/>
      </c>
    </row>
    <row r="3640" spans="1:17" hidden="1">
      <c r="A3640" t="s">
        <v>3745</v>
      </c>
      <c r="B3640" s="1">
        <v>45405</v>
      </c>
      <c r="C3640">
        <v>2024</v>
      </c>
      <c r="D3640">
        <v>4</v>
      </c>
      <c r="E3640" t="s">
        <v>37</v>
      </c>
      <c r="F3640" t="s">
        <v>24</v>
      </c>
      <c r="G3640" t="s">
        <v>38</v>
      </c>
      <c r="H3640" t="s">
        <v>227</v>
      </c>
      <c r="I3640">
        <v>3689.56</v>
      </c>
      <c r="J3640">
        <v>3837.98</v>
      </c>
      <c r="K3640" t="s">
        <v>17</v>
      </c>
      <c r="L3640" t="b">
        <v>0</v>
      </c>
      <c r="N3640" s="2" t="str">
        <f t="shared" si="318"/>
        <v/>
      </c>
      <c r="Q3640" t="str">
        <f t="shared" si="319"/>
        <v/>
      </c>
    </row>
    <row r="3641" spans="1:17" hidden="1">
      <c r="A3641" t="s">
        <v>3746</v>
      </c>
      <c r="B3641" s="1">
        <v>45406</v>
      </c>
      <c r="C3641">
        <v>2024</v>
      </c>
      <c r="D3641">
        <v>4</v>
      </c>
      <c r="E3641" t="s">
        <v>13</v>
      </c>
      <c r="F3641" t="s">
        <v>28</v>
      </c>
      <c r="G3641" t="s">
        <v>108</v>
      </c>
      <c r="H3641" t="s">
        <v>126</v>
      </c>
      <c r="I3641">
        <v>3627.95</v>
      </c>
      <c r="J3641">
        <v>3516.17</v>
      </c>
      <c r="K3641" t="s">
        <v>17</v>
      </c>
      <c r="L3641" t="b">
        <v>0</v>
      </c>
      <c r="N3641" s="2" t="str">
        <f t="shared" si="318"/>
        <v/>
      </c>
      <c r="Q3641" t="str">
        <f t="shared" si="319"/>
        <v/>
      </c>
    </row>
    <row r="3642" spans="1:17" hidden="1">
      <c r="A3642" t="s">
        <v>3747</v>
      </c>
      <c r="B3642" s="1">
        <v>45406</v>
      </c>
      <c r="C3642">
        <v>2024</v>
      </c>
      <c r="D3642">
        <v>4</v>
      </c>
      <c r="E3642" t="s">
        <v>13</v>
      </c>
      <c r="F3642" t="s">
        <v>28</v>
      </c>
      <c r="G3642" t="s">
        <v>108</v>
      </c>
      <c r="H3642" t="s">
        <v>126</v>
      </c>
      <c r="I3642">
        <v>2891.28</v>
      </c>
      <c r="J3642">
        <v>2621.48</v>
      </c>
      <c r="K3642" t="s">
        <v>17</v>
      </c>
      <c r="L3642" t="b">
        <v>0</v>
      </c>
      <c r="N3642" s="2" t="str">
        <f t="shared" si="318"/>
        <v/>
      </c>
      <c r="Q3642" t="str">
        <f t="shared" si="319"/>
        <v/>
      </c>
    </row>
    <row r="3643" spans="1:17" hidden="1">
      <c r="A3643" t="s">
        <v>3748</v>
      </c>
      <c r="B3643" s="1">
        <v>45406</v>
      </c>
      <c r="C3643">
        <v>2024</v>
      </c>
      <c r="D3643">
        <v>4</v>
      </c>
      <c r="E3643" t="s">
        <v>13</v>
      </c>
      <c r="F3643" t="s">
        <v>24</v>
      </c>
      <c r="G3643" t="s">
        <v>68</v>
      </c>
      <c r="H3643" t="s">
        <v>69</v>
      </c>
      <c r="I3643">
        <v>2259.54</v>
      </c>
      <c r="J3643">
        <v>2406.29</v>
      </c>
      <c r="K3643" t="s">
        <v>17</v>
      </c>
      <c r="L3643" t="b">
        <v>0</v>
      </c>
      <c r="N3643" s="2" t="str">
        <f t="shared" si="318"/>
        <v/>
      </c>
      <c r="Q3643" t="str">
        <f t="shared" si="319"/>
        <v/>
      </c>
    </row>
    <row r="3644" spans="1:17" hidden="1">
      <c r="A3644" t="s">
        <v>3749</v>
      </c>
      <c r="B3644" s="1">
        <v>45406</v>
      </c>
      <c r="C3644">
        <v>2024</v>
      </c>
      <c r="D3644">
        <v>4</v>
      </c>
      <c r="E3644" t="s">
        <v>13</v>
      </c>
      <c r="F3644" t="s">
        <v>24</v>
      </c>
      <c r="G3644" t="s">
        <v>15</v>
      </c>
      <c r="H3644" t="s">
        <v>89</v>
      </c>
      <c r="I3644">
        <v>4178.33</v>
      </c>
      <c r="J3644">
        <v>4172.91</v>
      </c>
      <c r="K3644" t="s">
        <v>17</v>
      </c>
      <c r="L3644" t="b">
        <v>0</v>
      </c>
      <c r="N3644" s="2" t="str">
        <f t="shared" si="318"/>
        <v/>
      </c>
      <c r="Q3644" t="str">
        <f t="shared" si="319"/>
        <v/>
      </c>
    </row>
    <row r="3645" spans="1:17" hidden="1">
      <c r="A3645" t="s">
        <v>3750</v>
      </c>
      <c r="B3645" s="1">
        <v>45406</v>
      </c>
      <c r="C3645">
        <v>2024</v>
      </c>
      <c r="D3645">
        <v>4</v>
      </c>
      <c r="E3645" t="s">
        <v>47</v>
      </c>
      <c r="F3645" t="s">
        <v>28</v>
      </c>
      <c r="G3645" t="s">
        <v>77</v>
      </c>
      <c r="H3645" t="s">
        <v>130</v>
      </c>
      <c r="I3645">
        <v>12264.77</v>
      </c>
      <c r="J3645">
        <v>10583.75</v>
      </c>
      <c r="K3645" t="s">
        <v>17</v>
      </c>
      <c r="L3645" t="b">
        <v>0</v>
      </c>
      <c r="N3645" s="2" t="b">
        <f t="shared" si="318"/>
        <v>1</v>
      </c>
      <c r="O3645" t="str">
        <f t="shared" ref="O3645:O3647" si="323">IF(AND(E3634="HR",K3634="EXPENSE"),I3634&lt;J3634,"")</f>
        <v/>
      </c>
      <c r="Q3645" t="str">
        <f t="shared" si="319"/>
        <v/>
      </c>
    </row>
    <row r="3646" spans="1:17" hidden="1">
      <c r="A3646" t="s">
        <v>3751</v>
      </c>
      <c r="B3646" s="1">
        <v>45406</v>
      </c>
      <c r="C3646">
        <v>2024</v>
      </c>
      <c r="D3646">
        <v>4</v>
      </c>
      <c r="E3646" t="s">
        <v>47</v>
      </c>
      <c r="F3646" t="s">
        <v>24</v>
      </c>
      <c r="G3646" t="s">
        <v>91</v>
      </c>
      <c r="H3646" t="s">
        <v>128</v>
      </c>
      <c r="I3646">
        <v>11745.31</v>
      </c>
      <c r="J3646">
        <v>10012.549999999999</v>
      </c>
      <c r="K3646" t="s">
        <v>17</v>
      </c>
      <c r="L3646" t="b">
        <v>0</v>
      </c>
      <c r="N3646" s="2" t="b">
        <f t="shared" si="318"/>
        <v>1</v>
      </c>
      <c r="O3646" t="str">
        <f t="shared" si="323"/>
        <v/>
      </c>
      <c r="Q3646" t="str">
        <f t="shared" si="319"/>
        <v/>
      </c>
    </row>
    <row r="3647" spans="1:17" hidden="1">
      <c r="A3647" t="s">
        <v>3752</v>
      </c>
      <c r="B3647" s="1">
        <v>45406</v>
      </c>
      <c r="C3647">
        <v>2024</v>
      </c>
      <c r="D3647">
        <v>4</v>
      </c>
      <c r="E3647" t="s">
        <v>47</v>
      </c>
      <c r="F3647" t="s">
        <v>24</v>
      </c>
      <c r="G3647" t="s">
        <v>91</v>
      </c>
      <c r="H3647" t="s">
        <v>128</v>
      </c>
      <c r="I3647">
        <v>15245.72</v>
      </c>
      <c r="J3647">
        <v>12903.5</v>
      </c>
      <c r="K3647" t="s">
        <v>17</v>
      </c>
      <c r="L3647" t="b">
        <v>0</v>
      </c>
      <c r="N3647" s="2" t="b">
        <f t="shared" si="318"/>
        <v>1</v>
      </c>
      <c r="O3647" t="str">
        <f t="shared" si="323"/>
        <v/>
      </c>
      <c r="Q3647" t="str">
        <f t="shared" si="319"/>
        <v/>
      </c>
    </row>
    <row r="3648" spans="1:17" hidden="1">
      <c r="A3648" t="s">
        <v>3753</v>
      </c>
      <c r="B3648" s="1">
        <v>45406</v>
      </c>
      <c r="C3648">
        <v>2024</v>
      </c>
      <c r="D3648">
        <v>4</v>
      </c>
      <c r="E3648" t="s">
        <v>19</v>
      </c>
      <c r="F3648" t="s">
        <v>14</v>
      </c>
      <c r="G3648" t="s">
        <v>132</v>
      </c>
      <c r="H3648" t="s">
        <v>138</v>
      </c>
      <c r="I3648">
        <v>7716.79</v>
      </c>
      <c r="J3648">
        <v>7969.44</v>
      </c>
      <c r="K3648" t="s">
        <v>17</v>
      </c>
      <c r="L3648" t="b">
        <v>0</v>
      </c>
      <c r="N3648" s="2" t="str">
        <f t="shared" si="318"/>
        <v/>
      </c>
      <c r="Q3648" t="str">
        <f t="shared" si="319"/>
        <v/>
      </c>
    </row>
    <row r="3649" spans="1:17" hidden="1">
      <c r="A3649" t="s">
        <v>3754</v>
      </c>
      <c r="B3649" s="1">
        <v>45406</v>
      </c>
      <c r="C3649">
        <v>2024</v>
      </c>
      <c r="D3649">
        <v>4</v>
      </c>
      <c r="E3649" t="s">
        <v>19</v>
      </c>
      <c r="F3649" t="s">
        <v>28</v>
      </c>
      <c r="G3649" t="s">
        <v>20</v>
      </c>
      <c r="H3649" t="s">
        <v>136</v>
      </c>
      <c r="I3649">
        <v>5194.0600000000004</v>
      </c>
      <c r="J3649">
        <v>5206.55</v>
      </c>
      <c r="K3649" t="s">
        <v>17</v>
      </c>
      <c r="L3649" t="b">
        <v>0</v>
      </c>
      <c r="N3649" s="2" t="str">
        <f t="shared" si="318"/>
        <v/>
      </c>
      <c r="Q3649" t="str">
        <f t="shared" si="319"/>
        <v/>
      </c>
    </row>
    <row r="3650" spans="1:17" hidden="1">
      <c r="A3650" t="s">
        <v>3755</v>
      </c>
      <c r="B3650" s="1">
        <v>45406</v>
      </c>
      <c r="C3650">
        <v>2024</v>
      </c>
      <c r="D3650">
        <v>4</v>
      </c>
      <c r="E3650" t="s">
        <v>19</v>
      </c>
      <c r="F3650" t="s">
        <v>24</v>
      </c>
      <c r="G3650" t="s">
        <v>54</v>
      </c>
      <c r="H3650" t="s">
        <v>57</v>
      </c>
      <c r="I3650">
        <v>5594.52</v>
      </c>
      <c r="J3650">
        <v>5514.77</v>
      </c>
      <c r="K3650" t="s">
        <v>17</v>
      </c>
      <c r="L3650" t="b">
        <v>0</v>
      </c>
      <c r="N3650" s="2" t="str">
        <f t="shared" si="318"/>
        <v/>
      </c>
      <c r="Q3650" t="str">
        <f t="shared" si="319"/>
        <v/>
      </c>
    </row>
    <row r="3651" spans="1:17" hidden="1">
      <c r="A3651" t="s">
        <v>3756</v>
      </c>
      <c r="B3651" s="1">
        <v>45406</v>
      </c>
      <c r="C3651">
        <v>2024</v>
      </c>
      <c r="D3651">
        <v>4</v>
      </c>
      <c r="E3651" t="s">
        <v>23</v>
      </c>
      <c r="F3651" t="s">
        <v>28</v>
      </c>
      <c r="G3651" t="s">
        <v>30</v>
      </c>
      <c r="H3651" t="s">
        <v>31</v>
      </c>
      <c r="I3651">
        <v>10202.9</v>
      </c>
      <c r="J3651">
        <v>11110.85</v>
      </c>
      <c r="K3651" t="s">
        <v>17</v>
      </c>
      <c r="L3651" t="b">
        <v>0</v>
      </c>
      <c r="N3651" s="2" t="str">
        <f t="shared" ref="N3651:N3714" si="324">IF(AND(E3651="IT",K3651="EXPENSE"),I3651&gt;J3651,"")</f>
        <v/>
      </c>
      <c r="Q3651" t="str">
        <f t="shared" ref="Q3651:Q3714" si="325">IF(L3651=TRUE,OR(H3651="Apex Solutions Inc",H3651="Global Trade Partners",H3651="NovaTech Services"),"")</f>
        <v/>
      </c>
    </row>
    <row r="3652" spans="1:17" hidden="1">
      <c r="A3652" t="s">
        <v>3757</v>
      </c>
      <c r="B3652" s="1">
        <v>45406</v>
      </c>
      <c r="C3652">
        <v>2024</v>
      </c>
      <c r="D3652">
        <v>4</v>
      </c>
      <c r="E3652" t="s">
        <v>23</v>
      </c>
      <c r="F3652" t="s">
        <v>28</v>
      </c>
      <c r="G3652" t="s">
        <v>30</v>
      </c>
      <c r="H3652" t="s">
        <v>106</v>
      </c>
      <c r="I3652">
        <v>7536.66</v>
      </c>
      <c r="J3652">
        <v>7469.31</v>
      </c>
      <c r="K3652" t="s">
        <v>17</v>
      </c>
      <c r="L3652" t="b">
        <v>0</v>
      </c>
      <c r="N3652" s="2" t="str">
        <f t="shared" si="324"/>
        <v/>
      </c>
      <c r="Q3652" t="str">
        <f t="shared" si="325"/>
        <v/>
      </c>
    </row>
    <row r="3653" spans="1:17" hidden="1">
      <c r="A3653" t="s">
        <v>3758</v>
      </c>
      <c r="B3653" s="1">
        <v>45406</v>
      </c>
      <c r="C3653">
        <v>2024</v>
      </c>
      <c r="D3653">
        <v>4</v>
      </c>
      <c r="E3653" t="s">
        <v>23</v>
      </c>
      <c r="F3653" t="s">
        <v>24</v>
      </c>
      <c r="G3653" t="s">
        <v>30</v>
      </c>
      <c r="H3653" t="s">
        <v>106</v>
      </c>
      <c r="I3653">
        <v>7506.28</v>
      </c>
      <c r="J3653">
        <v>7587.26</v>
      </c>
      <c r="K3653" t="s">
        <v>17</v>
      </c>
      <c r="L3653" t="b">
        <v>0</v>
      </c>
      <c r="N3653" s="2" t="str">
        <f t="shared" si="324"/>
        <v/>
      </c>
      <c r="Q3653" t="str">
        <f t="shared" si="325"/>
        <v/>
      </c>
    </row>
    <row r="3654" spans="1:17" hidden="1">
      <c r="A3654" t="s">
        <v>3759</v>
      </c>
      <c r="B3654" s="1">
        <v>45406</v>
      </c>
      <c r="C3654">
        <v>2024</v>
      </c>
      <c r="D3654">
        <v>4</v>
      </c>
      <c r="E3654" t="s">
        <v>23</v>
      </c>
      <c r="F3654" t="s">
        <v>24</v>
      </c>
      <c r="G3654" t="s">
        <v>25</v>
      </c>
      <c r="H3654" t="s">
        <v>35</v>
      </c>
      <c r="I3654">
        <v>6287.03</v>
      </c>
      <c r="J3654">
        <v>5928.68</v>
      </c>
      <c r="K3654" t="s">
        <v>17</v>
      </c>
      <c r="L3654" t="b">
        <v>0</v>
      </c>
      <c r="N3654" s="2" t="str">
        <f t="shared" si="324"/>
        <v/>
      </c>
      <c r="Q3654" t="str">
        <f t="shared" si="325"/>
        <v/>
      </c>
    </row>
    <row r="3655" spans="1:17" hidden="1">
      <c r="A3655" t="s">
        <v>3760</v>
      </c>
      <c r="B3655" s="1">
        <v>45407</v>
      </c>
      <c r="C3655">
        <v>2024</v>
      </c>
      <c r="D3655">
        <v>4</v>
      </c>
      <c r="E3655" t="s">
        <v>13</v>
      </c>
      <c r="F3655" t="s">
        <v>14</v>
      </c>
      <c r="G3655" t="s">
        <v>68</v>
      </c>
      <c r="H3655" t="s">
        <v>87</v>
      </c>
      <c r="I3655">
        <v>2404.5</v>
      </c>
      <c r="J3655">
        <v>2420.04</v>
      </c>
      <c r="K3655" t="s">
        <v>17</v>
      </c>
      <c r="L3655" t="b">
        <v>0</v>
      </c>
      <c r="N3655" s="2" t="str">
        <f t="shared" si="324"/>
        <v/>
      </c>
      <c r="Q3655" t="str">
        <f t="shared" si="325"/>
        <v/>
      </c>
    </row>
    <row r="3656" spans="1:17" hidden="1">
      <c r="A3656" t="s">
        <v>3761</v>
      </c>
      <c r="B3656" s="1">
        <v>45407</v>
      </c>
      <c r="C3656">
        <v>2024</v>
      </c>
      <c r="D3656">
        <v>4</v>
      </c>
      <c r="E3656" t="s">
        <v>47</v>
      </c>
      <c r="F3656" t="s">
        <v>24</v>
      </c>
      <c r="G3656" t="s">
        <v>91</v>
      </c>
      <c r="H3656" t="s">
        <v>254</v>
      </c>
      <c r="I3656">
        <v>12888.31</v>
      </c>
      <c r="J3656">
        <v>10599.46</v>
      </c>
      <c r="K3656" t="s">
        <v>17</v>
      </c>
      <c r="L3656" t="b">
        <v>0</v>
      </c>
      <c r="N3656" s="2" t="b">
        <f t="shared" si="324"/>
        <v>1</v>
      </c>
      <c r="O3656" t="str">
        <f>IF(AND(E3645="HR",K3645="EXPENSE"),I3645&lt;J3645,"")</f>
        <v/>
      </c>
      <c r="Q3656" t="str">
        <f t="shared" si="325"/>
        <v/>
      </c>
    </row>
    <row r="3657" spans="1:17" hidden="1">
      <c r="A3657" t="s">
        <v>3762</v>
      </c>
      <c r="B3657" s="1">
        <v>45407</v>
      </c>
      <c r="C3657">
        <v>2024</v>
      </c>
      <c r="D3657">
        <v>4</v>
      </c>
      <c r="E3657" t="s">
        <v>19</v>
      </c>
      <c r="F3657" t="s">
        <v>28</v>
      </c>
      <c r="G3657" t="s">
        <v>80</v>
      </c>
      <c r="H3657" t="s">
        <v>217</v>
      </c>
      <c r="I3657">
        <v>8513.2000000000007</v>
      </c>
      <c r="J3657">
        <v>7829.58</v>
      </c>
      <c r="K3657" t="s">
        <v>17</v>
      </c>
      <c r="L3657" t="b">
        <v>0</v>
      </c>
      <c r="N3657" s="2" t="str">
        <f t="shared" si="324"/>
        <v/>
      </c>
      <c r="Q3657" t="str">
        <f t="shared" si="325"/>
        <v/>
      </c>
    </row>
    <row r="3658" spans="1:17" hidden="1">
      <c r="A3658" t="s">
        <v>3763</v>
      </c>
      <c r="B3658" s="1">
        <v>45407</v>
      </c>
      <c r="C3658">
        <v>2024</v>
      </c>
      <c r="D3658">
        <v>4</v>
      </c>
      <c r="E3658" t="s">
        <v>23</v>
      </c>
      <c r="F3658" t="s">
        <v>28</v>
      </c>
      <c r="G3658" t="s">
        <v>141</v>
      </c>
      <c r="H3658" t="s">
        <v>142</v>
      </c>
      <c r="I3658">
        <v>4776.09</v>
      </c>
      <c r="J3658">
        <v>4507.96</v>
      </c>
      <c r="K3658" t="s">
        <v>17</v>
      </c>
      <c r="L3658" t="b">
        <v>0</v>
      </c>
      <c r="N3658" s="2" t="str">
        <f t="shared" si="324"/>
        <v/>
      </c>
      <c r="Q3658" t="str">
        <f t="shared" si="325"/>
        <v/>
      </c>
    </row>
    <row r="3659" spans="1:17" hidden="1">
      <c r="A3659" t="s">
        <v>3764</v>
      </c>
      <c r="B3659" s="1">
        <v>45407</v>
      </c>
      <c r="C3659">
        <v>2024</v>
      </c>
      <c r="D3659">
        <v>4</v>
      </c>
      <c r="E3659" t="s">
        <v>37</v>
      </c>
      <c r="F3659" t="s">
        <v>14</v>
      </c>
      <c r="G3659" t="s">
        <v>98</v>
      </c>
      <c r="H3659" t="s">
        <v>99</v>
      </c>
      <c r="I3659">
        <v>5083.6099999999997</v>
      </c>
      <c r="J3659">
        <v>5590.36</v>
      </c>
      <c r="K3659" t="s">
        <v>17</v>
      </c>
      <c r="L3659" t="b">
        <v>0</v>
      </c>
      <c r="N3659" s="2" t="str">
        <f t="shared" si="324"/>
        <v/>
      </c>
      <c r="Q3659" t="str">
        <f t="shared" si="325"/>
        <v/>
      </c>
    </row>
    <row r="3660" spans="1:17" hidden="1">
      <c r="A3660" t="s">
        <v>3765</v>
      </c>
      <c r="B3660" s="1">
        <v>45408</v>
      </c>
      <c r="C3660">
        <v>2024</v>
      </c>
      <c r="D3660">
        <v>4</v>
      </c>
      <c r="E3660" t="s">
        <v>13</v>
      </c>
      <c r="F3660" t="s">
        <v>14</v>
      </c>
      <c r="G3660" t="s">
        <v>102</v>
      </c>
      <c r="H3660" t="s">
        <v>103</v>
      </c>
      <c r="I3660">
        <v>2969.26</v>
      </c>
      <c r="J3660">
        <v>3239.24</v>
      </c>
      <c r="K3660" t="s">
        <v>17</v>
      </c>
      <c r="L3660" t="b">
        <v>0</v>
      </c>
      <c r="N3660" s="2" t="str">
        <f t="shared" si="324"/>
        <v/>
      </c>
      <c r="Q3660" t="str">
        <f t="shared" si="325"/>
        <v/>
      </c>
    </row>
    <row r="3661" spans="1:17" hidden="1">
      <c r="A3661" t="s">
        <v>3766</v>
      </c>
      <c r="B3661" s="1">
        <v>45408</v>
      </c>
      <c r="C3661">
        <v>2024</v>
      </c>
      <c r="D3661">
        <v>4</v>
      </c>
      <c r="E3661" t="s">
        <v>47</v>
      </c>
      <c r="F3661" t="s">
        <v>28</v>
      </c>
      <c r="G3661" t="s">
        <v>91</v>
      </c>
      <c r="H3661" t="s">
        <v>249</v>
      </c>
      <c r="I3661">
        <v>9002.48</v>
      </c>
      <c r="J3661">
        <v>7577.26</v>
      </c>
      <c r="K3661" t="s">
        <v>17</v>
      </c>
      <c r="L3661" t="b">
        <v>0</v>
      </c>
      <c r="N3661" s="2" t="b">
        <f t="shared" si="324"/>
        <v>1</v>
      </c>
      <c r="O3661" t="str">
        <f t="shared" ref="O3661:O3662" si="326">IF(AND(E3650="HR",K3650="EXPENSE"),I3650&lt;J3650,"")</f>
        <v/>
      </c>
      <c r="Q3661" t="str">
        <f t="shared" si="325"/>
        <v/>
      </c>
    </row>
    <row r="3662" spans="1:17" hidden="1">
      <c r="A3662" t="s">
        <v>3767</v>
      </c>
      <c r="B3662" s="1">
        <v>45408</v>
      </c>
      <c r="C3662">
        <v>2024</v>
      </c>
      <c r="D3662">
        <v>4</v>
      </c>
      <c r="E3662" t="s">
        <v>47</v>
      </c>
      <c r="F3662" t="s">
        <v>24</v>
      </c>
      <c r="G3662" t="s">
        <v>77</v>
      </c>
      <c r="H3662" t="s">
        <v>147</v>
      </c>
      <c r="I3662">
        <v>10164.459999999999</v>
      </c>
      <c r="J3662">
        <v>8366.39</v>
      </c>
      <c r="K3662" t="s">
        <v>17</v>
      </c>
      <c r="L3662" t="b">
        <v>0</v>
      </c>
      <c r="N3662" s="2" t="b">
        <f t="shared" si="324"/>
        <v>1</v>
      </c>
      <c r="O3662" t="str">
        <f t="shared" si="326"/>
        <v/>
      </c>
      <c r="Q3662" t="str">
        <f t="shared" si="325"/>
        <v/>
      </c>
    </row>
    <row r="3663" spans="1:17" hidden="1">
      <c r="A3663" t="s">
        <v>3768</v>
      </c>
      <c r="B3663" s="1">
        <v>45408</v>
      </c>
      <c r="C3663">
        <v>2024</v>
      </c>
      <c r="D3663">
        <v>4</v>
      </c>
      <c r="E3663" t="s">
        <v>19</v>
      </c>
      <c r="F3663" t="s">
        <v>14</v>
      </c>
      <c r="G3663" t="s">
        <v>132</v>
      </c>
      <c r="H3663" t="s">
        <v>133</v>
      </c>
      <c r="I3663">
        <v>9356.59</v>
      </c>
      <c r="J3663">
        <v>8737.2900000000009</v>
      </c>
      <c r="K3663" t="s">
        <v>17</v>
      </c>
      <c r="L3663" t="b">
        <v>0</v>
      </c>
      <c r="N3663" s="2" t="str">
        <f t="shared" si="324"/>
        <v/>
      </c>
      <c r="Q3663" t="str">
        <f t="shared" si="325"/>
        <v/>
      </c>
    </row>
    <row r="3664" spans="1:17">
      <c r="A3664" t="s">
        <v>3769</v>
      </c>
      <c r="B3664" s="1">
        <v>45408</v>
      </c>
      <c r="C3664">
        <v>2024</v>
      </c>
      <c r="D3664">
        <v>4</v>
      </c>
      <c r="E3664" t="s">
        <v>19</v>
      </c>
      <c r="F3664" t="s">
        <v>24</v>
      </c>
      <c r="G3664" t="s">
        <v>54</v>
      </c>
      <c r="H3664" t="s">
        <v>651</v>
      </c>
      <c r="I3664">
        <v>22149.82</v>
      </c>
      <c r="J3664">
        <v>4653.74</v>
      </c>
      <c r="K3664" t="s">
        <v>17</v>
      </c>
      <c r="L3664" t="b">
        <v>1</v>
      </c>
      <c r="N3664" s="2" t="str">
        <f t="shared" si="324"/>
        <v/>
      </c>
      <c r="Q3664" t="b">
        <f t="shared" si="325"/>
        <v>1</v>
      </c>
    </row>
    <row r="3665" spans="1:17" hidden="1">
      <c r="A3665" t="s">
        <v>3770</v>
      </c>
      <c r="B3665" s="1">
        <v>45408</v>
      </c>
      <c r="C3665">
        <v>2024</v>
      </c>
      <c r="D3665">
        <v>4</v>
      </c>
      <c r="E3665" t="s">
        <v>23</v>
      </c>
      <c r="F3665" t="s">
        <v>14</v>
      </c>
      <c r="G3665" t="s">
        <v>141</v>
      </c>
      <c r="H3665" t="s">
        <v>153</v>
      </c>
      <c r="I3665">
        <v>4845.53</v>
      </c>
      <c r="J3665">
        <v>4725.74</v>
      </c>
      <c r="K3665" t="s">
        <v>17</v>
      </c>
      <c r="L3665" t="b">
        <v>0</v>
      </c>
      <c r="N3665" s="2" t="str">
        <f t="shared" si="324"/>
        <v/>
      </c>
      <c r="Q3665" t="str">
        <f t="shared" si="325"/>
        <v/>
      </c>
    </row>
    <row r="3666" spans="1:17" hidden="1">
      <c r="A3666" t="s">
        <v>3771</v>
      </c>
      <c r="B3666" s="1">
        <v>45408</v>
      </c>
      <c r="C3666">
        <v>2024</v>
      </c>
      <c r="D3666">
        <v>4</v>
      </c>
      <c r="E3666" t="s">
        <v>37</v>
      </c>
      <c r="F3666" t="s">
        <v>24</v>
      </c>
      <c r="G3666" t="s">
        <v>98</v>
      </c>
      <c r="H3666" t="s">
        <v>99</v>
      </c>
      <c r="I3666">
        <v>3072.86</v>
      </c>
      <c r="J3666">
        <v>2906.82</v>
      </c>
      <c r="K3666" t="s">
        <v>17</v>
      </c>
      <c r="L3666" t="b">
        <v>0</v>
      </c>
      <c r="N3666" s="2" t="str">
        <f t="shared" si="324"/>
        <v/>
      </c>
      <c r="Q3666" t="str">
        <f t="shared" si="325"/>
        <v/>
      </c>
    </row>
    <row r="3667" spans="1:17" hidden="1">
      <c r="A3667" t="s">
        <v>3772</v>
      </c>
      <c r="B3667" s="1">
        <v>45409</v>
      </c>
      <c r="C3667">
        <v>2024</v>
      </c>
      <c r="D3667">
        <v>4</v>
      </c>
      <c r="E3667" t="s">
        <v>13</v>
      </c>
      <c r="F3667" t="s">
        <v>14</v>
      </c>
      <c r="G3667" t="s">
        <v>68</v>
      </c>
      <c r="H3667" t="s">
        <v>87</v>
      </c>
      <c r="I3667">
        <v>1313.77</v>
      </c>
      <c r="J3667">
        <v>1363.66</v>
      </c>
      <c r="K3667" t="s">
        <v>17</v>
      </c>
      <c r="L3667" t="b">
        <v>0</v>
      </c>
      <c r="N3667" s="2" t="str">
        <f t="shared" si="324"/>
        <v/>
      </c>
      <c r="Q3667" t="str">
        <f t="shared" si="325"/>
        <v/>
      </c>
    </row>
    <row r="3668" spans="1:17" hidden="1">
      <c r="A3668" t="s">
        <v>3773</v>
      </c>
      <c r="B3668" s="1">
        <v>45409</v>
      </c>
      <c r="C3668">
        <v>2024</v>
      </c>
      <c r="D3668">
        <v>4</v>
      </c>
      <c r="E3668" t="s">
        <v>47</v>
      </c>
      <c r="F3668" t="s">
        <v>28</v>
      </c>
      <c r="G3668" t="s">
        <v>48</v>
      </c>
      <c r="H3668" t="s">
        <v>191</v>
      </c>
      <c r="I3668">
        <v>9712.5</v>
      </c>
      <c r="J3668">
        <v>8054.44</v>
      </c>
      <c r="K3668" t="s">
        <v>17</v>
      </c>
      <c r="L3668" t="b">
        <v>0</v>
      </c>
      <c r="N3668" s="2" t="b">
        <f t="shared" si="324"/>
        <v>1</v>
      </c>
      <c r="O3668" t="str">
        <f>IF(AND(E3657="HR",K3657="EXPENSE"),I3657&lt;J3657,"")</f>
        <v/>
      </c>
      <c r="Q3668" t="str">
        <f t="shared" si="325"/>
        <v/>
      </c>
    </row>
    <row r="3669" spans="1:17" hidden="1">
      <c r="A3669" t="s">
        <v>3774</v>
      </c>
      <c r="B3669" s="1">
        <v>45409</v>
      </c>
      <c r="C3669">
        <v>2024</v>
      </c>
      <c r="D3669">
        <v>4</v>
      </c>
      <c r="E3669" t="s">
        <v>23</v>
      </c>
      <c r="F3669" t="s">
        <v>28</v>
      </c>
      <c r="G3669" t="s">
        <v>25</v>
      </c>
      <c r="H3669" t="s">
        <v>35</v>
      </c>
      <c r="I3669">
        <v>6207.12</v>
      </c>
      <c r="J3669">
        <v>5616.17</v>
      </c>
      <c r="K3669" t="s">
        <v>17</v>
      </c>
      <c r="L3669" t="b">
        <v>0</v>
      </c>
      <c r="N3669" s="2" t="str">
        <f t="shared" si="324"/>
        <v/>
      </c>
      <c r="Q3669" t="str">
        <f t="shared" si="325"/>
        <v/>
      </c>
    </row>
    <row r="3670" spans="1:17" hidden="1">
      <c r="A3670" t="s">
        <v>3775</v>
      </c>
      <c r="B3670" s="1">
        <v>45409</v>
      </c>
      <c r="C3670">
        <v>2024</v>
      </c>
      <c r="D3670">
        <v>4</v>
      </c>
      <c r="E3670" t="s">
        <v>23</v>
      </c>
      <c r="F3670" t="s">
        <v>24</v>
      </c>
      <c r="G3670" t="s">
        <v>141</v>
      </c>
      <c r="H3670" t="s">
        <v>153</v>
      </c>
      <c r="I3670">
        <v>2829.59</v>
      </c>
      <c r="J3670">
        <v>2967.39</v>
      </c>
      <c r="K3670" t="s">
        <v>17</v>
      </c>
      <c r="L3670" t="b">
        <v>0</v>
      </c>
      <c r="N3670" s="2" t="str">
        <f t="shared" si="324"/>
        <v/>
      </c>
      <c r="Q3670" t="str">
        <f t="shared" si="325"/>
        <v/>
      </c>
    </row>
    <row r="3671" spans="1:17" hidden="1">
      <c r="A3671" t="s">
        <v>3776</v>
      </c>
      <c r="B3671" s="1">
        <v>45409</v>
      </c>
      <c r="C3671">
        <v>2024</v>
      </c>
      <c r="D3671">
        <v>4</v>
      </c>
      <c r="E3671" t="s">
        <v>37</v>
      </c>
      <c r="F3671" t="s">
        <v>24</v>
      </c>
      <c r="G3671" t="s">
        <v>98</v>
      </c>
      <c r="H3671" t="s">
        <v>99</v>
      </c>
      <c r="I3671">
        <v>3066.68</v>
      </c>
      <c r="J3671">
        <v>3205.03</v>
      </c>
      <c r="K3671" t="s">
        <v>17</v>
      </c>
      <c r="L3671" t="b">
        <v>0</v>
      </c>
      <c r="N3671" s="2" t="str">
        <f t="shared" si="324"/>
        <v/>
      </c>
      <c r="Q3671" t="str">
        <f t="shared" si="325"/>
        <v/>
      </c>
    </row>
    <row r="3672" spans="1:17" hidden="1">
      <c r="A3672" t="s">
        <v>3777</v>
      </c>
      <c r="B3672" s="1">
        <v>45410</v>
      </c>
      <c r="C3672">
        <v>2024</v>
      </c>
      <c r="D3672">
        <v>4</v>
      </c>
      <c r="E3672" t="s">
        <v>13</v>
      </c>
      <c r="F3672" t="s">
        <v>24</v>
      </c>
      <c r="G3672" t="s">
        <v>15</v>
      </c>
      <c r="H3672" t="s">
        <v>45</v>
      </c>
      <c r="I3672">
        <v>4354.3</v>
      </c>
      <c r="J3672">
        <v>4217.68</v>
      </c>
      <c r="K3672" t="s">
        <v>17</v>
      </c>
      <c r="L3672" t="b">
        <v>0</v>
      </c>
      <c r="N3672" s="2" t="str">
        <f t="shared" si="324"/>
        <v/>
      </c>
      <c r="Q3672" t="str">
        <f t="shared" si="325"/>
        <v/>
      </c>
    </row>
    <row r="3673" spans="1:17" hidden="1">
      <c r="A3673" t="s">
        <v>3778</v>
      </c>
      <c r="B3673" s="1">
        <v>45410</v>
      </c>
      <c r="C3673">
        <v>2024</v>
      </c>
      <c r="D3673">
        <v>4</v>
      </c>
      <c r="E3673" t="s">
        <v>47</v>
      </c>
      <c r="F3673" t="s">
        <v>14</v>
      </c>
      <c r="G3673" t="s">
        <v>48</v>
      </c>
      <c r="H3673" t="s">
        <v>191</v>
      </c>
      <c r="I3673">
        <v>12223.75</v>
      </c>
      <c r="J3673">
        <v>10335.030000000001</v>
      </c>
      <c r="K3673" t="s">
        <v>17</v>
      </c>
      <c r="L3673" t="b">
        <v>0</v>
      </c>
      <c r="N3673" s="2" t="b">
        <f t="shared" si="324"/>
        <v>1</v>
      </c>
      <c r="O3673" t="str">
        <f t="shared" ref="O3673:O3674" si="327">IF(AND(E3662="HR",K3662="EXPENSE"),I3662&lt;J3662,"")</f>
        <v/>
      </c>
      <c r="Q3673" t="str">
        <f t="shared" si="325"/>
        <v/>
      </c>
    </row>
    <row r="3674" spans="1:17" hidden="1">
      <c r="A3674" t="s">
        <v>3779</v>
      </c>
      <c r="B3674" s="1">
        <v>45410</v>
      </c>
      <c r="C3674">
        <v>2024</v>
      </c>
      <c r="D3674">
        <v>4</v>
      </c>
      <c r="E3674" t="s">
        <v>47</v>
      </c>
      <c r="F3674" t="s">
        <v>28</v>
      </c>
      <c r="G3674" t="s">
        <v>77</v>
      </c>
      <c r="H3674" t="s">
        <v>78</v>
      </c>
      <c r="I3674">
        <v>9511.99</v>
      </c>
      <c r="J3674">
        <v>7962.12</v>
      </c>
      <c r="K3674" t="s">
        <v>17</v>
      </c>
      <c r="L3674" t="b">
        <v>0</v>
      </c>
      <c r="N3674" s="2" t="b">
        <f t="shared" si="324"/>
        <v>1</v>
      </c>
      <c r="O3674" t="str">
        <f t="shared" si="327"/>
        <v/>
      </c>
      <c r="Q3674" t="str">
        <f t="shared" si="325"/>
        <v/>
      </c>
    </row>
    <row r="3675" spans="1:17" hidden="1">
      <c r="A3675" t="s">
        <v>3780</v>
      </c>
      <c r="B3675" s="1">
        <v>45410</v>
      </c>
      <c r="C3675">
        <v>2024</v>
      </c>
      <c r="D3675">
        <v>4</v>
      </c>
      <c r="E3675" t="s">
        <v>19</v>
      </c>
      <c r="F3675" t="s">
        <v>14</v>
      </c>
      <c r="G3675" t="s">
        <v>54</v>
      </c>
      <c r="H3675" t="s">
        <v>163</v>
      </c>
      <c r="I3675">
        <v>9174.14</v>
      </c>
      <c r="J3675">
        <v>9744.26</v>
      </c>
      <c r="K3675" t="s">
        <v>17</v>
      </c>
      <c r="L3675" t="b">
        <v>0</v>
      </c>
      <c r="N3675" s="2" t="str">
        <f t="shared" si="324"/>
        <v/>
      </c>
      <c r="Q3675" t="str">
        <f t="shared" si="325"/>
        <v/>
      </c>
    </row>
    <row r="3676" spans="1:17" hidden="1">
      <c r="A3676" t="s">
        <v>3781</v>
      </c>
      <c r="B3676" s="1">
        <v>45410</v>
      </c>
      <c r="C3676">
        <v>2024</v>
      </c>
      <c r="D3676">
        <v>4</v>
      </c>
      <c r="E3676" t="s">
        <v>19</v>
      </c>
      <c r="F3676" t="s">
        <v>28</v>
      </c>
      <c r="G3676" t="s">
        <v>54</v>
      </c>
      <c r="H3676" t="s">
        <v>55</v>
      </c>
      <c r="I3676">
        <v>6979.24</v>
      </c>
      <c r="J3676">
        <v>7047.42</v>
      </c>
      <c r="K3676" t="s">
        <v>17</v>
      </c>
      <c r="L3676" t="b">
        <v>0</v>
      </c>
      <c r="N3676" s="2" t="str">
        <f t="shared" si="324"/>
        <v/>
      </c>
      <c r="Q3676" t="str">
        <f t="shared" si="325"/>
        <v/>
      </c>
    </row>
    <row r="3677" spans="1:17" hidden="1">
      <c r="A3677" t="s">
        <v>3782</v>
      </c>
      <c r="B3677" s="1">
        <v>45410</v>
      </c>
      <c r="C3677">
        <v>2024</v>
      </c>
      <c r="D3677">
        <v>4</v>
      </c>
      <c r="E3677" t="s">
        <v>19</v>
      </c>
      <c r="F3677" t="s">
        <v>24</v>
      </c>
      <c r="G3677" t="s">
        <v>20</v>
      </c>
      <c r="H3677" t="s">
        <v>136</v>
      </c>
      <c r="I3677">
        <v>5047.41</v>
      </c>
      <c r="J3677">
        <v>4797.4799999999996</v>
      </c>
      <c r="K3677" t="s">
        <v>17</v>
      </c>
      <c r="L3677" t="b">
        <v>0</v>
      </c>
      <c r="N3677" s="2" t="str">
        <f t="shared" si="324"/>
        <v/>
      </c>
      <c r="Q3677" t="str">
        <f t="shared" si="325"/>
        <v/>
      </c>
    </row>
    <row r="3678" spans="1:17" hidden="1">
      <c r="A3678" t="s">
        <v>3783</v>
      </c>
      <c r="B3678" s="1">
        <v>45410</v>
      </c>
      <c r="C3678">
        <v>2024</v>
      </c>
      <c r="D3678">
        <v>4</v>
      </c>
      <c r="E3678" t="s">
        <v>19</v>
      </c>
      <c r="F3678" t="s">
        <v>24</v>
      </c>
      <c r="G3678" t="s">
        <v>132</v>
      </c>
      <c r="H3678" t="s">
        <v>171</v>
      </c>
      <c r="I3678">
        <v>5267.6</v>
      </c>
      <c r="J3678">
        <v>5019.88</v>
      </c>
      <c r="K3678" t="s">
        <v>17</v>
      </c>
      <c r="L3678" t="b">
        <v>0</v>
      </c>
      <c r="N3678" s="2" t="str">
        <f t="shared" si="324"/>
        <v/>
      </c>
      <c r="Q3678" t="str">
        <f t="shared" si="325"/>
        <v/>
      </c>
    </row>
    <row r="3679" spans="1:17" hidden="1">
      <c r="A3679" t="s">
        <v>3784</v>
      </c>
      <c r="B3679" s="1">
        <v>45410</v>
      </c>
      <c r="C3679">
        <v>2024</v>
      </c>
      <c r="D3679">
        <v>4</v>
      </c>
      <c r="E3679" t="s">
        <v>23</v>
      </c>
      <c r="F3679" t="s">
        <v>24</v>
      </c>
      <c r="G3679" t="s">
        <v>141</v>
      </c>
      <c r="H3679" t="s">
        <v>209</v>
      </c>
      <c r="I3679">
        <v>7427.16</v>
      </c>
      <c r="J3679">
        <v>7198.56</v>
      </c>
      <c r="K3679" t="s">
        <v>17</v>
      </c>
      <c r="L3679" t="b">
        <v>0</v>
      </c>
      <c r="N3679" s="2" t="str">
        <f t="shared" si="324"/>
        <v/>
      </c>
      <c r="Q3679" t="str">
        <f t="shared" si="325"/>
        <v/>
      </c>
    </row>
    <row r="3680" spans="1:17" hidden="1">
      <c r="A3680" t="s">
        <v>3785</v>
      </c>
      <c r="B3680" s="1">
        <v>45410</v>
      </c>
      <c r="C3680">
        <v>2024</v>
      </c>
      <c r="D3680">
        <v>4</v>
      </c>
      <c r="E3680" t="s">
        <v>37</v>
      </c>
      <c r="F3680" t="s">
        <v>14</v>
      </c>
      <c r="G3680" t="s">
        <v>62</v>
      </c>
      <c r="H3680" t="s">
        <v>360</v>
      </c>
      <c r="I3680">
        <v>5043.1400000000003</v>
      </c>
      <c r="J3680">
        <v>5195.6400000000003</v>
      </c>
      <c r="K3680" t="s">
        <v>17</v>
      </c>
      <c r="L3680" t="b">
        <v>0</v>
      </c>
      <c r="N3680" s="2" t="str">
        <f t="shared" si="324"/>
        <v/>
      </c>
      <c r="Q3680" t="str">
        <f t="shared" si="325"/>
        <v/>
      </c>
    </row>
    <row r="3681" spans="1:17" hidden="1">
      <c r="A3681" t="s">
        <v>3786</v>
      </c>
      <c r="B3681" s="1">
        <v>45410</v>
      </c>
      <c r="C3681">
        <v>2024</v>
      </c>
      <c r="D3681">
        <v>4</v>
      </c>
      <c r="E3681" t="s">
        <v>37</v>
      </c>
      <c r="F3681" t="s">
        <v>28</v>
      </c>
      <c r="G3681" t="s">
        <v>62</v>
      </c>
      <c r="H3681" t="s">
        <v>63</v>
      </c>
      <c r="I3681">
        <v>3775.52</v>
      </c>
      <c r="J3681">
        <v>3406.93</v>
      </c>
      <c r="K3681" t="s">
        <v>17</v>
      </c>
      <c r="L3681" t="b">
        <v>0</v>
      </c>
      <c r="N3681" s="2" t="str">
        <f t="shared" si="324"/>
        <v/>
      </c>
      <c r="Q3681" t="str">
        <f t="shared" si="325"/>
        <v/>
      </c>
    </row>
    <row r="3682" spans="1:17" hidden="1">
      <c r="A3682" t="s">
        <v>3787</v>
      </c>
      <c r="B3682" s="1">
        <v>45411</v>
      </c>
      <c r="C3682">
        <v>2024</v>
      </c>
      <c r="D3682">
        <v>4</v>
      </c>
      <c r="E3682" t="s">
        <v>13</v>
      </c>
      <c r="F3682" t="s">
        <v>24</v>
      </c>
      <c r="G3682" t="s">
        <v>108</v>
      </c>
      <c r="H3682" t="s">
        <v>123</v>
      </c>
      <c r="I3682">
        <v>3908.12</v>
      </c>
      <c r="J3682">
        <v>4189.7</v>
      </c>
      <c r="K3682" t="s">
        <v>17</v>
      </c>
      <c r="L3682" t="b">
        <v>0</v>
      </c>
      <c r="N3682" s="2" t="str">
        <f t="shared" si="324"/>
        <v/>
      </c>
      <c r="Q3682" t="str">
        <f t="shared" si="325"/>
        <v/>
      </c>
    </row>
    <row r="3683" spans="1:17" hidden="1">
      <c r="A3683" t="s">
        <v>3788</v>
      </c>
      <c r="B3683" s="1">
        <v>45411</v>
      </c>
      <c r="C3683">
        <v>2024</v>
      </c>
      <c r="D3683">
        <v>4</v>
      </c>
      <c r="E3683" t="s">
        <v>47</v>
      </c>
      <c r="F3683" t="s">
        <v>28</v>
      </c>
      <c r="G3683" t="s">
        <v>77</v>
      </c>
      <c r="H3683" t="s">
        <v>147</v>
      </c>
      <c r="I3683">
        <v>10568.81</v>
      </c>
      <c r="J3683">
        <v>9187.0400000000009</v>
      </c>
      <c r="K3683" t="s">
        <v>17</v>
      </c>
      <c r="L3683" t="b">
        <v>0</v>
      </c>
      <c r="N3683" s="2" t="b">
        <f t="shared" si="324"/>
        <v>1</v>
      </c>
      <c r="O3683" t="b">
        <f t="shared" ref="O3683:O3684" si="328">IF(AND(E3672="HR",K3672="EXPENSE"),I3672&lt;J3672,"")</f>
        <v>0</v>
      </c>
      <c r="Q3683" t="str">
        <f t="shared" si="325"/>
        <v/>
      </c>
    </row>
    <row r="3684" spans="1:17" hidden="1">
      <c r="A3684" t="s">
        <v>3789</v>
      </c>
      <c r="B3684" s="1">
        <v>45411</v>
      </c>
      <c r="C3684">
        <v>2024</v>
      </c>
      <c r="D3684">
        <v>4</v>
      </c>
      <c r="E3684" t="s">
        <v>47</v>
      </c>
      <c r="F3684" t="s">
        <v>24</v>
      </c>
      <c r="G3684" t="s">
        <v>91</v>
      </c>
      <c r="H3684" t="s">
        <v>254</v>
      </c>
      <c r="I3684">
        <v>10510.22</v>
      </c>
      <c r="J3684">
        <v>8659.26</v>
      </c>
      <c r="K3684" t="s">
        <v>17</v>
      </c>
      <c r="L3684" t="b">
        <v>0</v>
      </c>
      <c r="N3684" s="2" t="b">
        <f t="shared" si="324"/>
        <v>1</v>
      </c>
      <c r="O3684" t="str">
        <f t="shared" si="328"/>
        <v/>
      </c>
      <c r="Q3684" t="str">
        <f t="shared" si="325"/>
        <v/>
      </c>
    </row>
    <row r="3685" spans="1:17" hidden="1">
      <c r="A3685" t="s">
        <v>3790</v>
      </c>
      <c r="B3685" s="1">
        <v>45411</v>
      </c>
      <c r="C3685">
        <v>2024</v>
      </c>
      <c r="D3685">
        <v>4</v>
      </c>
      <c r="E3685" t="s">
        <v>19</v>
      </c>
      <c r="F3685" t="s">
        <v>24</v>
      </c>
      <c r="G3685" t="s">
        <v>80</v>
      </c>
      <c r="H3685" t="s">
        <v>217</v>
      </c>
      <c r="I3685">
        <v>5191.05</v>
      </c>
      <c r="J3685">
        <v>5345.26</v>
      </c>
      <c r="K3685" t="s">
        <v>17</v>
      </c>
      <c r="L3685" t="b">
        <v>0</v>
      </c>
      <c r="N3685" s="2" t="str">
        <f t="shared" si="324"/>
        <v/>
      </c>
      <c r="Q3685" t="str">
        <f t="shared" si="325"/>
        <v/>
      </c>
    </row>
    <row r="3686" spans="1:17" hidden="1">
      <c r="A3686" t="s">
        <v>3791</v>
      </c>
      <c r="B3686" s="1">
        <v>45411</v>
      </c>
      <c r="C3686">
        <v>2024</v>
      </c>
      <c r="D3686">
        <v>4</v>
      </c>
      <c r="E3686" t="s">
        <v>23</v>
      </c>
      <c r="F3686" t="s">
        <v>14</v>
      </c>
      <c r="G3686" t="s">
        <v>25</v>
      </c>
      <c r="H3686" t="s">
        <v>26</v>
      </c>
      <c r="I3686">
        <v>5068.38</v>
      </c>
      <c r="J3686">
        <v>4896.3500000000004</v>
      </c>
      <c r="K3686" t="s">
        <v>17</v>
      </c>
      <c r="L3686" t="b">
        <v>0</v>
      </c>
      <c r="N3686" s="2" t="str">
        <f t="shared" si="324"/>
        <v/>
      </c>
      <c r="Q3686" t="str">
        <f t="shared" si="325"/>
        <v/>
      </c>
    </row>
    <row r="3687" spans="1:17" hidden="1">
      <c r="A3687" t="s">
        <v>3792</v>
      </c>
      <c r="B3687" s="1">
        <v>45411</v>
      </c>
      <c r="C3687">
        <v>2024</v>
      </c>
      <c r="D3687">
        <v>4</v>
      </c>
      <c r="E3687" t="s">
        <v>23</v>
      </c>
      <c r="F3687" t="s">
        <v>14</v>
      </c>
      <c r="G3687" t="s">
        <v>59</v>
      </c>
      <c r="H3687" t="s">
        <v>60</v>
      </c>
      <c r="I3687">
        <v>5997.31</v>
      </c>
      <c r="J3687">
        <v>5998.57</v>
      </c>
      <c r="K3687" t="s">
        <v>17</v>
      </c>
      <c r="L3687" t="b">
        <v>0</v>
      </c>
      <c r="N3687" s="2" t="str">
        <f t="shared" si="324"/>
        <v/>
      </c>
      <c r="Q3687" t="str">
        <f t="shared" si="325"/>
        <v/>
      </c>
    </row>
    <row r="3688" spans="1:17" hidden="1">
      <c r="A3688" t="s">
        <v>3793</v>
      </c>
      <c r="B3688" s="1">
        <v>45412</v>
      </c>
      <c r="C3688">
        <v>2024</v>
      </c>
      <c r="D3688">
        <v>4</v>
      </c>
      <c r="E3688" t="s">
        <v>13</v>
      </c>
      <c r="F3688" t="s">
        <v>14</v>
      </c>
      <c r="G3688" t="s">
        <v>68</v>
      </c>
      <c r="H3688" t="s">
        <v>69</v>
      </c>
      <c r="I3688">
        <v>3018.64</v>
      </c>
      <c r="J3688">
        <v>3084.44</v>
      </c>
      <c r="K3688" t="s">
        <v>17</v>
      </c>
      <c r="L3688" t="b">
        <v>0</v>
      </c>
      <c r="N3688" s="2" t="str">
        <f t="shared" si="324"/>
        <v/>
      </c>
      <c r="Q3688" t="str">
        <f t="shared" si="325"/>
        <v/>
      </c>
    </row>
    <row r="3689" spans="1:17" hidden="1">
      <c r="A3689" t="s">
        <v>3794</v>
      </c>
      <c r="B3689" s="1">
        <v>45412</v>
      </c>
      <c r="C3689">
        <v>2024</v>
      </c>
      <c r="D3689">
        <v>4</v>
      </c>
      <c r="E3689" t="s">
        <v>13</v>
      </c>
      <c r="F3689" t="s">
        <v>28</v>
      </c>
      <c r="G3689" t="s">
        <v>68</v>
      </c>
      <c r="H3689" t="s">
        <v>87</v>
      </c>
      <c r="I3689">
        <v>3315.77</v>
      </c>
      <c r="J3689">
        <v>3617.13</v>
      </c>
      <c r="K3689" t="s">
        <v>17</v>
      </c>
      <c r="L3689" t="b">
        <v>0</v>
      </c>
      <c r="N3689" s="2" t="str">
        <f t="shared" si="324"/>
        <v/>
      </c>
      <c r="Q3689" t="str">
        <f t="shared" si="325"/>
        <v/>
      </c>
    </row>
    <row r="3690" spans="1:17" hidden="1">
      <c r="A3690" t="s">
        <v>3795</v>
      </c>
      <c r="B3690" s="1">
        <v>45412</v>
      </c>
      <c r="C3690">
        <v>2024</v>
      </c>
      <c r="D3690">
        <v>4</v>
      </c>
      <c r="E3690" t="s">
        <v>13</v>
      </c>
      <c r="F3690" t="s">
        <v>24</v>
      </c>
      <c r="G3690" t="s">
        <v>15</v>
      </c>
      <c r="H3690" t="s">
        <v>45</v>
      </c>
      <c r="I3690">
        <v>2990.84</v>
      </c>
      <c r="J3690">
        <v>2893.48</v>
      </c>
      <c r="K3690" t="s">
        <v>17</v>
      </c>
      <c r="L3690" t="b">
        <v>0</v>
      </c>
      <c r="N3690" s="2" t="str">
        <f t="shared" si="324"/>
        <v/>
      </c>
      <c r="Q3690" t="str">
        <f t="shared" si="325"/>
        <v/>
      </c>
    </row>
    <row r="3691" spans="1:17" hidden="1">
      <c r="A3691" t="s">
        <v>3796</v>
      </c>
      <c r="B3691" s="1">
        <v>45412</v>
      </c>
      <c r="C3691">
        <v>2024</v>
      </c>
      <c r="D3691">
        <v>4</v>
      </c>
      <c r="E3691" t="s">
        <v>13</v>
      </c>
      <c r="F3691" t="s">
        <v>24</v>
      </c>
      <c r="G3691" t="s">
        <v>102</v>
      </c>
      <c r="H3691" t="s">
        <v>103</v>
      </c>
      <c r="I3691">
        <v>3657.81</v>
      </c>
      <c r="J3691">
        <v>3831.35</v>
      </c>
      <c r="K3691" t="s">
        <v>17</v>
      </c>
      <c r="L3691" t="b">
        <v>0</v>
      </c>
      <c r="N3691" s="2" t="str">
        <f t="shared" si="324"/>
        <v/>
      </c>
      <c r="Q3691" t="str">
        <f t="shared" si="325"/>
        <v/>
      </c>
    </row>
    <row r="3692" spans="1:17" hidden="1">
      <c r="A3692" t="s">
        <v>3797</v>
      </c>
      <c r="B3692" s="1">
        <v>45412</v>
      </c>
      <c r="C3692">
        <v>2024</v>
      </c>
      <c r="D3692">
        <v>4</v>
      </c>
      <c r="E3692" t="s">
        <v>47</v>
      </c>
      <c r="F3692" t="s">
        <v>24</v>
      </c>
      <c r="G3692" t="s">
        <v>48</v>
      </c>
      <c r="H3692" t="s">
        <v>189</v>
      </c>
      <c r="I3692">
        <v>19092.900000000001</v>
      </c>
      <c r="J3692">
        <v>16033.52</v>
      </c>
      <c r="K3692" t="s">
        <v>17</v>
      </c>
      <c r="L3692" t="b">
        <v>0</v>
      </c>
      <c r="N3692" s="2" t="b">
        <f t="shared" si="324"/>
        <v>1</v>
      </c>
      <c r="O3692" t="str">
        <f t="shared" ref="O3692:O3694" si="329">IF(AND(E3681="HR",K3681="EXPENSE"),I3681&lt;J3681,"")</f>
        <v/>
      </c>
      <c r="Q3692" t="str">
        <f t="shared" si="325"/>
        <v/>
      </c>
    </row>
    <row r="3693" spans="1:17" hidden="1">
      <c r="A3693" t="s">
        <v>3798</v>
      </c>
      <c r="B3693" s="1">
        <v>45412</v>
      </c>
      <c r="C3693">
        <v>2024</v>
      </c>
      <c r="D3693">
        <v>4</v>
      </c>
      <c r="E3693" t="s">
        <v>47</v>
      </c>
      <c r="F3693" t="s">
        <v>24</v>
      </c>
      <c r="G3693" t="s">
        <v>48</v>
      </c>
      <c r="H3693" t="s">
        <v>189</v>
      </c>
      <c r="I3693">
        <v>13145.96</v>
      </c>
      <c r="J3693">
        <v>11248.88</v>
      </c>
      <c r="K3693" t="s">
        <v>17</v>
      </c>
      <c r="L3693" t="b">
        <v>0</v>
      </c>
      <c r="N3693" s="2" t="b">
        <f t="shared" si="324"/>
        <v>1</v>
      </c>
      <c r="O3693" t="b">
        <f t="shared" si="329"/>
        <v>1</v>
      </c>
      <c r="Q3693" t="str">
        <f t="shared" si="325"/>
        <v/>
      </c>
    </row>
    <row r="3694" spans="1:17" hidden="1">
      <c r="A3694" t="s">
        <v>3799</v>
      </c>
      <c r="B3694" s="1">
        <v>45412</v>
      </c>
      <c r="C3694">
        <v>2024</v>
      </c>
      <c r="D3694">
        <v>4</v>
      </c>
      <c r="E3694" t="s">
        <v>47</v>
      </c>
      <c r="F3694" t="s">
        <v>24</v>
      </c>
      <c r="G3694" t="s">
        <v>91</v>
      </c>
      <c r="H3694" t="s">
        <v>128</v>
      </c>
      <c r="I3694">
        <v>15280.24</v>
      </c>
      <c r="J3694">
        <v>12716.82</v>
      </c>
      <c r="K3694" t="s">
        <v>17</v>
      </c>
      <c r="L3694" t="b">
        <v>0</v>
      </c>
      <c r="N3694" s="2" t="b">
        <f t="shared" si="324"/>
        <v>1</v>
      </c>
      <c r="O3694" t="str">
        <f t="shared" si="329"/>
        <v/>
      </c>
      <c r="Q3694" t="str">
        <f t="shared" si="325"/>
        <v/>
      </c>
    </row>
    <row r="3695" spans="1:17" hidden="1">
      <c r="A3695" t="s">
        <v>3800</v>
      </c>
      <c r="B3695" s="1">
        <v>45412</v>
      </c>
      <c r="C3695">
        <v>2024</v>
      </c>
      <c r="D3695">
        <v>4</v>
      </c>
      <c r="E3695" t="s">
        <v>19</v>
      </c>
      <c r="F3695" t="s">
        <v>28</v>
      </c>
      <c r="G3695" t="s">
        <v>20</v>
      </c>
      <c r="H3695" t="s">
        <v>136</v>
      </c>
      <c r="I3695">
        <v>9317.11</v>
      </c>
      <c r="J3695">
        <v>9913.9500000000007</v>
      </c>
      <c r="K3695" t="s">
        <v>17</v>
      </c>
      <c r="L3695" t="b">
        <v>0</v>
      </c>
      <c r="N3695" s="2" t="str">
        <f t="shared" si="324"/>
        <v/>
      </c>
      <c r="Q3695" t="str">
        <f t="shared" si="325"/>
        <v/>
      </c>
    </row>
    <row r="3696" spans="1:17" hidden="1">
      <c r="A3696" t="s">
        <v>3801</v>
      </c>
      <c r="B3696" s="1">
        <v>45412</v>
      </c>
      <c r="C3696">
        <v>2024</v>
      </c>
      <c r="D3696">
        <v>4</v>
      </c>
      <c r="E3696" t="s">
        <v>23</v>
      </c>
      <c r="F3696" t="s">
        <v>24</v>
      </c>
      <c r="G3696" t="s">
        <v>59</v>
      </c>
      <c r="H3696" t="s">
        <v>155</v>
      </c>
      <c r="I3696">
        <v>6008.8</v>
      </c>
      <c r="J3696">
        <v>6074.79</v>
      </c>
      <c r="K3696" t="s">
        <v>17</v>
      </c>
      <c r="L3696" t="b">
        <v>0</v>
      </c>
      <c r="N3696" s="2" t="str">
        <f t="shared" si="324"/>
        <v/>
      </c>
      <c r="Q3696" t="str">
        <f t="shared" si="325"/>
        <v/>
      </c>
    </row>
    <row r="3697" spans="1:17" hidden="1">
      <c r="A3697" t="s">
        <v>3802</v>
      </c>
      <c r="B3697" s="1">
        <v>45412</v>
      </c>
      <c r="C3697">
        <v>2024</v>
      </c>
      <c r="D3697">
        <v>4</v>
      </c>
      <c r="E3697" t="s">
        <v>37</v>
      </c>
      <c r="F3697" t="s">
        <v>24</v>
      </c>
      <c r="G3697" t="s">
        <v>62</v>
      </c>
      <c r="H3697" t="s">
        <v>121</v>
      </c>
      <c r="I3697">
        <v>3830.16</v>
      </c>
      <c r="J3697">
        <v>4105.5</v>
      </c>
      <c r="K3697" t="s">
        <v>17</v>
      </c>
      <c r="L3697" t="b">
        <v>0</v>
      </c>
      <c r="N3697" s="2" t="str">
        <f t="shared" si="324"/>
        <v/>
      </c>
      <c r="Q3697" t="str">
        <f t="shared" si="325"/>
        <v/>
      </c>
    </row>
    <row r="3698" spans="1:17" hidden="1">
      <c r="A3698" t="s">
        <v>3803</v>
      </c>
      <c r="B3698" s="1">
        <v>45413</v>
      </c>
      <c r="C3698">
        <v>2024</v>
      </c>
      <c r="D3698">
        <v>5</v>
      </c>
      <c r="E3698" t="s">
        <v>13</v>
      </c>
      <c r="F3698" t="s">
        <v>14</v>
      </c>
      <c r="G3698" t="s">
        <v>15</v>
      </c>
      <c r="H3698" t="s">
        <v>89</v>
      </c>
      <c r="I3698">
        <v>4577.47</v>
      </c>
      <c r="J3698">
        <v>4322.3</v>
      </c>
      <c r="K3698" t="s">
        <v>17</v>
      </c>
      <c r="L3698" t="b">
        <v>0</v>
      </c>
      <c r="N3698" s="2" t="str">
        <f t="shared" si="324"/>
        <v/>
      </c>
      <c r="Q3698" t="str">
        <f t="shared" si="325"/>
        <v/>
      </c>
    </row>
    <row r="3699" spans="1:17" hidden="1">
      <c r="A3699" t="s">
        <v>3804</v>
      </c>
      <c r="B3699" s="1">
        <v>45413</v>
      </c>
      <c r="C3699">
        <v>2024</v>
      </c>
      <c r="D3699">
        <v>5</v>
      </c>
      <c r="E3699" t="s">
        <v>19</v>
      </c>
      <c r="F3699" t="s">
        <v>24</v>
      </c>
      <c r="G3699" t="s">
        <v>80</v>
      </c>
      <c r="H3699" t="s">
        <v>113</v>
      </c>
      <c r="I3699">
        <v>5992.02</v>
      </c>
      <c r="J3699">
        <v>5457.41</v>
      </c>
      <c r="K3699" t="s">
        <v>17</v>
      </c>
      <c r="L3699" t="b">
        <v>0</v>
      </c>
      <c r="N3699" s="2" t="str">
        <f t="shared" si="324"/>
        <v/>
      </c>
      <c r="Q3699" t="str">
        <f t="shared" si="325"/>
        <v/>
      </c>
    </row>
    <row r="3700" spans="1:17" hidden="1">
      <c r="A3700" t="s">
        <v>3805</v>
      </c>
      <c r="B3700" s="1">
        <v>45413</v>
      </c>
      <c r="C3700">
        <v>2024</v>
      </c>
      <c r="D3700">
        <v>5</v>
      </c>
      <c r="E3700" t="s">
        <v>37</v>
      </c>
      <c r="F3700" t="s">
        <v>14</v>
      </c>
      <c r="G3700" t="s">
        <v>41</v>
      </c>
      <c r="H3700" t="s">
        <v>42</v>
      </c>
      <c r="I3700">
        <v>2791.59</v>
      </c>
      <c r="J3700">
        <v>2783.4</v>
      </c>
      <c r="K3700" t="s">
        <v>17</v>
      </c>
      <c r="L3700" t="b">
        <v>0</v>
      </c>
      <c r="N3700" s="2" t="str">
        <f t="shared" si="324"/>
        <v/>
      </c>
      <c r="Q3700" t="str">
        <f t="shared" si="325"/>
        <v/>
      </c>
    </row>
    <row r="3701" spans="1:17" hidden="1">
      <c r="A3701" t="s">
        <v>3806</v>
      </c>
      <c r="B3701" s="1">
        <v>45413</v>
      </c>
      <c r="C3701">
        <v>2024</v>
      </c>
      <c r="D3701">
        <v>5</v>
      </c>
      <c r="E3701" t="s">
        <v>37</v>
      </c>
      <c r="F3701" t="s">
        <v>14</v>
      </c>
      <c r="G3701" t="s">
        <v>83</v>
      </c>
      <c r="H3701" t="s">
        <v>84</v>
      </c>
      <c r="I3701">
        <v>291904.95</v>
      </c>
      <c r="J3701">
        <v>277309.71000000002</v>
      </c>
      <c r="K3701" t="s">
        <v>85</v>
      </c>
      <c r="L3701" t="b">
        <v>0</v>
      </c>
      <c r="N3701" s="2" t="str">
        <f t="shared" si="324"/>
        <v/>
      </c>
      <c r="Q3701" t="str">
        <f t="shared" si="325"/>
        <v/>
      </c>
    </row>
    <row r="3702" spans="1:17" hidden="1">
      <c r="A3702" t="s">
        <v>3807</v>
      </c>
      <c r="B3702" s="1">
        <v>45414</v>
      </c>
      <c r="C3702">
        <v>2024</v>
      </c>
      <c r="D3702">
        <v>5</v>
      </c>
      <c r="E3702" t="s">
        <v>13</v>
      </c>
      <c r="F3702" t="s">
        <v>28</v>
      </c>
      <c r="G3702" t="s">
        <v>102</v>
      </c>
      <c r="H3702" t="s">
        <v>278</v>
      </c>
      <c r="I3702">
        <v>3511.52</v>
      </c>
      <c r="J3702">
        <v>3762.91</v>
      </c>
      <c r="K3702" t="s">
        <v>17</v>
      </c>
      <c r="L3702" t="b">
        <v>0</v>
      </c>
      <c r="N3702" s="2" t="str">
        <f t="shared" si="324"/>
        <v/>
      </c>
      <c r="Q3702" t="str">
        <f t="shared" si="325"/>
        <v/>
      </c>
    </row>
    <row r="3703" spans="1:17" hidden="1">
      <c r="A3703" t="s">
        <v>3808</v>
      </c>
      <c r="B3703" s="1">
        <v>45414</v>
      </c>
      <c r="C3703">
        <v>2024</v>
      </c>
      <c r="D3703">
        <v>5</v>
      </c>
      <c r="E3703" t="s">
        <v>13</v>
      </c>
      <c r="F3703" t="s">
        <v>24</v>
      </c>
      <c r="G3703" t="s">
        <v>102</v>
      </c>
      <c r="H3703" t="s">
        <v>103</v>
      </c>
      <c r="I3703">
        <v>3626.31</v>
      </c>
      <c r="J3703">
        <v>3641.73</v>
      </c>
      <c r="K3703" t="s">
        <v>17</v>
      </c>
      <c r="L3703" t="b">
        <v>0</v>
      </c>
      <c r="N3703" s="2" t="str">
        <f t="shared" si="324"/>
        <v/>
      </c>
      <c r="Q3703" t="str">
        <f t="shared" si="325"/>
        <v/>
      </c>
    </row>
    <row r="3704" spans="1:17" hidden="1">
      <c r="A3704" t="s">
        <v>3809</v>
      </c>
      <c r="B3704" s="1">
        <v>45414</v>
      </c>
      <c r="C3704">
        <v>2024</v>
      </c>
      <c r="D3704">
        <v>5</v>
      </c>
      <c r="E3704" t="s">
        <v>47</v>
      </c>
      <c r="F3704" t="s">
        <v>14</v>
      </c>
      <c r="G3704" t="s">
        <v>48</v>
      </c>
      <c r="H3704" t="s">
        <v>49</v>
      </c>
      <c r="I3704">
        <v>17979.919999999998</v>
      </c>
      <c r="J3704">
        <v>15006.31</v>
      </c>
      <c r="K3704" t="s">
        <v>17</v>
      </c>
      <c r="L3704" t="b">
        <v>0</v>
      </c>
      <c r="N3704" s="2" t="b">
        <f t="shared" si="324"/>
        <v>1</v>
      </c>
      <c r="O3704" t="str">
        <f t="shared" ref="O3704:O3705" si="330">IF(AND(E3693="HR",K3693="EXPENSE"),I3693&lt;J3693,"")</f>
        <v/>
      </c>
      <c r="Q3704" t="str">
        <f t="shared" si="325"/>
        <v/>
      </c>
    </row>
    <row r="3705" spans="1:17" hidden="1">
      <c r="A3705" t="s">
        <v>3810</v>
      </c>
      <c r="B3705" s="1">
        <v>45414</v>
      </c>
      <c r="C3705">
        <v>2024</v>
      </c>
      <c r="D3705">
        <v>5</v>
      </c>
      <c r="E3705" t="s">
        <v>47</v>
      </c>
      <c r="F3705" t="s">
        <v>24</v>
      </c>
      <c r="G3705" t="s">
        <v>48</v>
      </c>
      <c r="H3705" t="s">
        <v>111</v>
      </c>
      <c r="I3705">
        <v>8564.59</v>
      </c>
      <c r="J3705">
        <v>7358.6</v>
      </c>
      <c r="K3705" t="s">
        <v>17</v>
      </c>
      <c r="L3705" t="b">
        <v>0</v>
      </c>
      <c r="N3705" s="2" t="b">
        <f t="shared" si="324"/>
        <v>1</v>
      </c>
      <c r="O3705" t="str">
        <f t="shared" si="330"/>
        <v/>
      </c>
      <c r="Q3705" t="str">
        <f t="shared" si="325"/>
        <v/>
      </c>
    </row>
    <row r="3706" spans="1:17" hidden="1">
      <c r="A3706" t="s">
        <v>3811</v>
      </c>
      <c r="B3706" s="1">
        <v>45414</v>
      </c>
      <c r="C3706">
        <v>2024</v>
      </c>
      <c r="D3706">
        <v>5</v>
      </c>
      <c r="E3706" t="s">
        <v>23</v>
      </c>
      <c r="F3706" t="s">
        <v>14</v>
      </c>
      <c r="G3706" t="s">
        <v>59</v>
      </c>
      <c r="H3706" t="s">
        <v>60</v>
      </c>
      <c r="I3706">
        <v>7921.54</v>
      </c>
      <c r="J3706">
        <v>7767.69</v>
      </c>
      <c r="K3706" t="s">
        <v>17</v>
      </c>
      <c r="L3706" t="b">
        <v>0</v>
      </c>
      <c r="N3706" s="2" t="str">
        <f t="shared" si="324"/>
        <v/>
      </c>
      <c r="Q3706" t="str">
        <f t="shared" si="325"/>
        <v/>
      </c>
    </row>
    <row r="3707" spans="1:17" hidden="1">
      <c r="A3707" t="s">
        <v>3812</v>
      </c>
      <c r="B3707" s="1">
        <v>45414</v>
      </c>
      <c r="C3707">
        <v>2024</v>
      </c>
      <c r="D3707">
        <v>5</v>
      </c>
      <c r="E3707" t="s">
        <v>37</v>
      </c>
      <c r="F3707" t="s">
        <v>24</v>
      </c>
      <c r="G3707" t="s">
        <v>98</v>
      </c>
      <c r="H3707" t="s">
        <v>185</v>
      </c>
      <c r="I3707">
        <v>5334.34</v>
      </c>
      <c r="J3707">
        <v>5338.16</v>
      </c>
      <c r="K3707" t="s">
        <v>17</v>
      </c>
      <c r="L3707" t="b">
        <v>0</v>
      </c>
      <c r="N3707" s="2" t="str">
        <f t="shared" si="324"/>
        <v/>
      </c>
      <c r="Q3707" t="str">
        <f t="shared" si="325"/>
        <v/>
      </c>
    </row>
    <row r="3708" spans="1:17" hidden="1">
      <c r="A3708" t="s">
        <v>3813</v>
      </c>
      <c r="B3708" s="1">
        <v>45414</v>
      </c>
      <c r="C3708">
        <v>2024</v>
      </c>
      <c r="D3708">
        <v>5</v>
      </c>
      <c r="E3708" t="s">
        <v>37</v>
      </c>
      <c r="F3708" t="s">
        <v>28</v>
      </c>
      <c r="G3708" t="s">
        <v>83</v>
      </c>
      <c r="H3708" t="s">
        <v>84</v>
      </c>
      <c r="I3708">
        <v>173162.9</v>
      </c>
      <c r="J3708">
        <v>164504.76</v>
      </c>
      <c r="K3708" t="s">
        <v>85</v>
      </c>
      <c r="L3708" t="b">
        <v>0</v>
      </c>
      <c r="N3708" s="2" t="str">
        <f t="shared" si="324"/>
        <v/>
      </c>
      <c r="Q3708" t="str">
        <f t="shared" si="325"/>
        <v/>
      </c>
    </row>
    <row r="3709" spans="1:17" hidden="1">
      <c r="A3709" t="s">
        <v>3814</v>
      </c>
      <c r="B3709" s="1">
        <v>45415</v>
      </c>
      <c r="C3709">
        <v>2024</v>
      </c>
      <c r="D3709">
        <v>5</v>
      </c>
      <c r="E3709" t="s">
        <v>13</v>
      </c>
      <c r="F3709" t="s">
        <v>14</v>
      </c>
      <c r="G3709" t="s">
        <v>68</v>
      </c>
      <c r="H3709" t="s">
        <v>69</v>
      </c>
      <c r="I3709">
        <v>4003.46</v>
      </c>
      <c r="J3709">
        <v>4176.55</v>
      </c>
      <c r="K3709" t="s">
        <v>17</v>
      </c>
      <c r="L3709" t="b">
        <v>0</v>
      </c>
      <c r="N3709" s="2" t="str">
        <f t="shared" si="324"/>
        <v/>
      </c>
      <c r="Q3709" t="str">
        <f t="shared" si="325"/>
        <v/>
      </c>
    </row>
    <row r="3710" spans="1:17" hidden="1">
      <c r="A3710" t="s">
        <v>3815</v>
      </c>
      <c r="B3710" s="1">
        <v>45415</v>
      </c>
      <c r="C3710">
        <v>2024</v>
      </c>
      <c r="D3710">
        <v>5</v>
      </c>
      <c r="E3710" t="s">
        <v>13</v>
      </c>
      <c r="F3710" t="s">
        <v>28</v>
      </c>
      <c r="G3710" t="s">
        <v>108</v>
      </c>
      <c r="H3710" t="s">
        <v>126</v>
      </c>
      <c r="I3710">
        <v>2832.6</v>
      </c>
      <c r="J3710">
        <v>2831.55</v>
      </c>
      <c r="K3710" t="s">
        <v>17</v>
      </c>
      <c r="L3710" t="b">
        <v>0</v>
      </c>
      <c r="N3710" s="2" t="str">
        <f t="shared" si="324"/>
        <v/>
      </c>
      <c r="Q3710" t="str">
        <f t="shared" si="325"/>
        <v/>
      </c>
    </row>
    <row r="3711" spans="1:17" hidden="1">
      <c r="A3711" t="s">
        <v>3816</v>
      </c>
      <c r="B3711" s="1">
        <v>45415</v>
      </c>
      <c r="C3711">
        <v>2024</v>
      </c>
      <c r="D3711">
        <v>5</v>
      </c>
      <c r="E3711" t="s">
        <v>47</v>
      </c>
      <c r="F3711" t="s">
        <v>28</v>
      </c>
      <c r="G3711" t="s">
        <v>77</v>
      </c>
      <c r="H3711" t="s">
        <v>147</v>
      </c>
      <c r="I3711">
        <v>11809.31</v>
      </c>
      <c r="J3711">
        <v>9955.43</v>
      </c>
      <c r="K3711" t="s">
        <v>17</v>
      </c>
      <c r="L3711" t="b">
        <v>0</v>
      </c>
      <c r="N3711" s="2" t="b">
        <f t="shared" si="324"/>
        <v>1</v>
      </c>
      <c r="O3711" t="str">
        <f t="shared" ref="O3711:O3712" si="331">IF(AND(E3700="HR",K3700="EXPENSE"),I3700&lt;J3700,"")</f>
        <v/>
      </c>
      <c r="Q3711" t="str">
        <f t="shared" si="325"/>
        <v/>
      </c>
    </row>
    <row r="3712" spans="1:17" hidden="1">
      <c r="A3712" t="s">
        <v>3817</v>
      </c>
      <c r="B3712" s="1">
        <v>45415</v>
      </c>
      <c r="C3712">
        <v>2024</v>
      </c>
      <c r="D3712">
        <v>5</v>
      </c>
      <c r="E3712" t="s">
        <v>47</v>
      </c>
      <c r="F3712" t="s">
        <v>24</v>
      </c>
      <c r="G3712" t="s">
        <v>48</v>
      </c>
      <c r="H3712" t="s">
        <v>75</v>
      </c>
      <c r="I3712">
        <v>16526.64</v>
      </c>
      <c r="J3712">
        <v>13681.23</v>
      </c>
      <c r="K3712" t="s">
        <v>17</v>
      </c>
      <c r="L3712" t="b">
        <v>0</v>
      </c>
      <c r="N3712" s="2" t="b">
        <f t="shared" si="324"/>
        <v>1</v>
      </c>
      <c r="O3712" t="str">
        <f t="shared" si="331"/>
        <v/>
      </c>
      <c r="Q3712" t="str">
        <f t="shared" si="325"/>
        <v/>
      </c>
    </row>
    <row r="3713" spans="1:17" hidden="1">
      <c r="A3713" t="s">
        <v>3818</v>
      </c>
      <c r="B3713" s="1">
        <v>45415</v>
      </c>
      <c r="C3713">
        <v>2024</v>
      </c>
      <c r="D3713">
        <v>5</v>
      </c>
      <c r="E3713" t="s">
        <v>19</v>
      </c>
      <c r="F3713" t="s">
        <v>14</v>
      </c>
      <c r="G3713" t="s">
        <v>132</v>
      </c>
      <c r="H3713" t="s">
        <v>133</v>
      </c>
      <c r="I3713">
        <v>7658.26</v>
      </c>
      <c r="J3713">
        <v>7462.58</v>
      </c>
      <c r="K3713" t="s">
        <v>17</v>
      </c>
      <c r="L3713" t="b">
        <v>0</v>
      </c>
      <c r="N3713" s="2" t="str">
        <f t="shared" si="324"/>
        <v/>
      </c>
      <c r="Q3713" t="str">
        <f t="shared" si="325"/>
        <v/>
      </c>
    </row>
    <row r="3714" spans="1:17" hidden="1">
      <c r="A3714" t="s">
        <v>3819</v>
      </c>
      <c r="B3714" s="1">
        <v>45415</v>
      </c>
      <c r="C3714">
        <v>2024</v>
      </c>
      <c r="D3714">
        <v>5</v>
      </c>
      <c r="E3714" t="s">
        <v>19</v>
      </c>
      <c r="F3714" t="s">
        <v>24</v>
      </c>
      <c r="G3714" t="s">
        <v>80</v>
      </c>
      <c r="H3714" t="s">
        <v>150</v>
      </c>
      <c r="I3714">
        <v>4686.83</v>
      </c>
      <c r="J3714">
        <v>5033.57</v>
      </c>
      <c r="K3714" t="s">
        <v>17</v>
      </c>
      <c r="L3714" t="b">
        <v>0</v>
      </c>
      <c r="N3714" s="2" t="str">
        <f t="shared" si="324"/>
        <v/>
      </c>
      <c r="Q3714" t="str">
        <f t="shared" si="325"/>
        <v/>
      </c>
    </row>
    <row r="3715" spans="1:17" hidden="1">
      <c r="A3715" t="s">
        <v>3820</v>
      </c>
      <c r="B3715" s="1">
        <v>45415</v>
      </c>
      <c r="C3715">
        <v>2024</v>
      </c>
      <c r="D3715">
        <v>5</v>
      </c>
      <c r="E3715" t="s">
        <v>19</v>
      </c>
      <c r="F3715" t="s">
        <v>24</v>
      </c>
      <c r="G3715" t="s">
        <v>132</v>
      </c>
      <c r="H3715" t="s">
        <v>171</v>
      </c>
      <c r="I3715">
        <v>4429.67</v>
      </c>
      <c r="J3715">
        <v>4296.3100000000004</v>
      </c>
      <c r="K3715" t="s">
        <v>17</v>
      </c>
      <c r="L3715" t="b">
        <v>0</v>
      </c>
      <c r="N3715" s="2" t="str">
        <f t="shared" ref="N3715:N3778" si="332">IF(AND(E3715="IT",K3715="EXPENSE"),I3715&gt;J3715,"")</f>
        <v/>
      </c>
      <c r="Q3715" t="str">
        <f t="shared" ref="Q3715:Q3778" si="333">IF(L3715=TRUE,OR(H3715="Apex Solutions Inc",H3715="Global Trade Partners",H3715="NovaTech Services"),"")</f>
        <v/>
      </c>
    </row>
    <row r="3716" spans="1:17" hidden="1">
      <c r="A3716" t="s">
        <v>3821</v>
      </c>
      <c r="B3716" s="1">
        <v>45415</v>
      </c>
      <c r="C3716">
        <v>2024</v>
      </c>
      <c r="D3716">
        <v>5</v>
      </c>
      <c r="E3716" t="s">
        <v>23</v>
      </c>
      <c r="F3716" t="s">
        <v>28</v>
      </c>
      <c r="G3716" t="s">
        <v>59</v>
      </c>
      <c r="H3716" t="s">
        <v>155</v>
      </c>
      <c r="I3716">
        <v>4646.53</v>
      </c>
      <c r="J3716">
        <v>5091.91</v>
      </c>
      <c r="K3716" t="s">
        <v>17</v>
      </c>
      <c r="L3716" t="b">
        <v>0</v>
      </c>
      <c r="N3716" s="2" t="str">
        <f t="shared" si="332"/>
        <v/>
      </c>
      <c r="Q3716" t="str">
        <f t="shared" si="333"/>
        <v/>
      </c>
    </row>
    <row r="3717" spans="1:17" hidden="1">
      <c r="A3717" t="s">
        <v>3822</v>
      </c>
      <c r="B3717" s="1">
        <v>45415</v>
      </c>
      <c r="C3717">
        <v>2024</v>
      </c>
      <c r="D3717">
        <v>5</v>
      </c>
      <c r="E3717" t="s">
        <v>23</v>
      </c>
      <c r="F3717" t="s">
        <v>28</v>
      </c>
      <c r="G3717" t="s">
        <v>59</v>
      </c>
      <c r="H3717" t="s">
        <v>60</v>
      </c>
      <c r="I3717">
        <v>6555.7</v>
      </c>
      <c r="J3717">
        <v>6788.02</v>
      </c>
      <c r="K3717" t="s">
        <v>17</v>
      </c>
      <c r="L3717" t="b">
        <v>0</v>
      </c>
      <c r="N3717" s="2" t="str">
        <f t="shared" si="332"/>
        <v/>
      </c>
      <c r="Q3717" t="str">
        <f t="shared" si="333"/>
        <v/>
      </c>
    </row>
    <row r="3718" spans="1:17" hidden="1">
      <c r="A3718" t="s">
        <v>3823</v>
      </c>
      <c r="B3718" s="1">
        <v>45415</v>
      </c>
      <c r="C3718">
        <v>2024</v>
      </c>
      <c r="D3718">
        <v>5</v>
      </c>
      <c r="E3718" t="s">
        <v>23</v>
      </c>
      <c r="F3718" t="s">
        <v>24</v>
      </c>
      <c r="G3718" t="s">
        <v>30</v>
      </c>
      <c r="H3718" t="s">
        <v>106</v>
      </c>
      <c r="I3718">
        <v>9533.99</v>
      </c>
      <c r="J3718">
        <v>9006.75</v>
      </c>
      <c r="K3718" t="s">
        <v>17</v>
      </c>
      <c r="L3718" t="b">
        <v>0</v>
      </c>
      <c r="N3718" s="2" t="str">
        <f t="shared" si="332"/>
        <v/>
      </c>
      <c r="Q3718" t="str">
        <f t="shared" si="333"/>
        <v/>
      </c>
    </row>
    <row r="3719" spans="1:17" hidden="1">
      <c r="A3719" t="s">
        <v>3824</v>
      </c>
      <c r="B3719" s="1">
        <v>45415</v>
      </c>
      <c r="C3719">
        <v>2024</v>
      </c>
      <c r="D3719">
        <v>5</v>
      </c>
      <c r="E3719" t="s">
        <v>23</v>
      </c>
      <c r="F3719" t="s">
        <v>24</v>
      </c>
      <c r="G3719" t="s">
        <v>30</v>
      </c>
      <c r="H3719" t="s">
        <v>33</v>
      </c>
      <c r="I3719">
        <v>7525.94</v>
      </c>
      <c r="J3719">
        <v>7154.53</v>
      </c>
      <c r="K3719" t="s">
        <v>17</v>
      </c>
      <c r="L3719" t="b">
        <v>0</v>
      </c>
      <c r="N3719" s="2" t="str">
        <f t="shared" si="332"/>
        <v/>
      </c>
      <c r="Q3719" t="str">
        <f t="shared" si="333"/>
        <v/>
      </c>
    </row>
    <row r="3720" spans="1:17" hidden="1">
      <c r="A3720" t="s">
        <v>3825</v>
      </c>
      <c r="B3720" s="1">
        <v>45415</v>
      </c>
      <c r="C3720">
        <v>2024</v>
      </c>
      <c r="D3720">
        <v>5</v>
      </c>
      <c r="E3720" t="s">
        <v>23</v>
      </c>
      <c r="F3720" t="s">
        <v>24</v>
      </c>
      <c r="G3720" t="s">
        <v>30</v>
      </c>
      <c r="H3720" t="s">
        <v>31</v>
      </c>
      <c r="I3720">
        <v>8311.2000000000007</v>
      </c>
      <c r="J3720">
        <v>8663.7000000000007</v>
      </c>
      <c r="K3720" t="s">
        <v>17</v>
      </c>
      <c r="L3720" t="b">
        <v>0</v>
      </c>
      <c r="N3720" s="2" t="str">
        <f t="shared" si="332"/>
        <v/>
      </c>
      <c r="Q3720" t="str">
        <f t="shared" si="333"/>
        <v/>
      </c>
    </row>
    <row r="3721" spans="1:17" hidden="1">
      <c r="A3721" t="s">
        <v>3826</v>
      </c>
      <c r="B3721" s="1">
        <v>45415</v>
      </c>
      <c r="C3721">
        <v>2024</v>
      </c>
      <c r="D3721">
        <v>5</v>
      </c>
      <c r="E3721" t="s">
        <v>37</v>
      </c>
      <c r="F3721" t="s">
        <v>14</v>
      </c>
      <c r="G3721" t="s">
        <v>38</v>
      </c>
      <c r="H3721" t="s">
        <v>118</v>
      </c>
      <c r="I3721">
        <v>3111.83</v>
      </c>
      <c r="J3721">
        <v>3308.38</v>
      </c>
      <c r="K3721" t="s">
        <v>17</v>
      </c>
      <c r="L3721" t="b">
        <v>0</v>
      </c>
      <c r="N3721" s="2" t="str">
        <f t="shared" si="332"/>
        <v/>
      </c>
      <c r="Q3721" t="str">
        <f t="shared" si="333"/>
        <v/>
      </c>
    </row>
    <row r="3722" spans="1:17" hidden="1">
      <c r="A3722" t="s">
        <v>3827</v>
      </c>
      <c r="B3722" s="1">
        <v>45415</v>
      </c>
      <c r="C3722">
        <v>2024</v>
      </c>
      <c r="D3722">
        <v>5</v>
      </c>
      <c r="E3722" t="s">
        <v>37</v>
      </c>
      <c r="F3722" t="s">
        <v>24</v>
      </c>
      <c r="G3722" t="s">
        <v>98</v>
      </c>
      <c r="H3722" t="s">
        <v>99</v>
      </c>
      <c r="I3722">
        <v>4493.46</v>
      </c>
      <c r="J3722">
        <v>4730.8</v>
      </c>
      <c r="K3722" t="s">
        <v>17</v>
      </c>
      <c r="L3722" t="b">
        <v>0</v>
      </c>
      <c r="N3722" s="2" t="str">
        <f t="shared" si="332"/>
        <v/>
      </c>
      <c r="Q3722" t="str">
        <f t="shared" si="333"/>
        <v/>
      </c>
    </row>
    <row r="3723" spans="1:17" hidden="1">
      <c r="A3723" t="s">
        <v>3828</v>
      </c>
      <c r="B3723" s="1">
        <v>45416</v>
      </c>
      <c r="C3723">
        <v>2024</v>
      </c>
      <c r="D3723">
        <v>5</v>
      </c>
      <c r="E3723" t="s">
        <v>13</v>
      </c>
      <c r="F3723" t="s">
        <v>14</v>
      </c>
      <c r="G3723" t="s">
        <v>108</v>
      </c>
      <c r="H3723" t="s">
        <v>123</v>
      </c>
      <c r="I3723">
        <v>1651.84</v>
      </c>
      <c r="J3723">
        <v>1573.5</v>
      </c>
      <c r="K3723" t="s">
        <v>17</v>
      </c>
      <c r="L3723" t="b">
        <v>0</v>
      </c>
      <c r="N3723" s="2" t="str">
        <f t="shared" si="332"/>
        <v/>
      </c>
      <c r="Q3723" t="str">
        <f t="shared" si="333"/>
        <v/>
      </c>
    </row>
    <row r="3724" spans="1:17" hidden="1">
      <c r="A3724" t="s">
        <v>3829</v>
      </c>
      <c r="B3724" s="1">
        <v>45416</v>
      </c>
      <c r="C3724">
        <v>2024</v>
      </c>
      <c r="D3724">
        <v>5</v>
      </c>
      <c r="E3724" t="s">
        <v>47</v>
      </c>
      <c r="F3724" t="s">
        <v>14</v>
      </c>
      <c r="G3724" t="s">
        <v>48</v>
      </c>
      <c r="H3724" t="s">
        <v>191</v>
      </c>
      <c r="I3724">
        <v>15118.26</v>
      </c>
      <c r="J3724">
        <v>12573.7</v>
      </c>
      <c r="K3724" t="s">
        <v>17</v>
      </c>
      <c r="L3724" t="b">
        <v>0</v>
      </c>
      <c r="N3724" s="2" t="b">
        <f t="shared" si="332"/>
        <v>1</v>
      </c>
      <c r="O3724" t="str">
        <f t="shared" ref="O3724:O3725" si="334">IF(AND(E3713="HR",K3713="EXPENSE"),I3713&lt;J3713,"")</f>
        <v/>
      </c>
      <c r="Q3724" t="str">
        <f t="shared" si="333"/>
        <v/>
      </c>
    </row>
    <row r="3725" spans="1:17" hidden="1">
      <c r="A3725" t="s">
        <v>3830</v>
      </c>
      <c r="B3725" s="1">
        <v>45416</v>
      </c>
      <c r="C3725">
        <v>2024</v>
      </c>
      <c r="D3725">
        <v>5</v>
      </c>
      <c r="E3725" t="s">
        <v>47</v>
      </c>
      <c r="F3725" t="s">
        <v>28</v>
      </c>
      <c r="G3725" t="s">
        <v>91</v>
      </c>
      <c r="H3725" t="s">
        <v>92</v>
      </c>
      <c r="I3725">
        <v>9135.33</v>
      </c>
      <c r="J3725">
        <v>7510.61</v>
      </c>
      <c r="K3725" t="s">
        <v>17</v>
      </c>
      <c r="L3725" t="b">
        <v>0</v>
      </c>
      <c r="N3725" s="2" t="b">
        <f t="shared" si="332"/>
        <v>1</v>
      </c>
      <c r="O3725" t="str">
        <f t="shared" si="334"/>
        <v/>
      </c>
      <c r="Q3725" t="str">
        <f t="shared" si="333"/>
        <v/>
      </c>
    </row>
    <row r="3726" spans="1:17" hidden="1">
      <c r="A3726" t="s">
        <v>3831</v>
      </c>
      <c r="B3726" s="1">
        <v>45416</v>
      </c>
      <c r="C3726">
        <v>2024</v>
      </c>
      <c r="D3726">
        <v>5</v>
      </c>
      <c r="E3726" t="s">
        <v>19</v>
      </c>
      <c r="F3726" t="s">
        <v>14</v>
      </c>
      <c r="G3726" t="s">
        <v>20</v>
      </c>
      <c r="H3726" t="s">
        <v>136</v>
      </c>
      <c r="I3726">
        <v>3957.65</v>
      </c>
      <c r="J3726">
        <v>3728</v>
      </c>
      <c r="K3726" t="s">
        <v>17</v>
      </c>
      <c r="L3726" t="b">
        <v>0</v>
      </c>
      <c r="N3726" s="2" t="str">
        <f t="shared" si="332"/>
        <v/>
      </c>
      <c r="Q3726" t="str">
        <f t="shared" si="333"/>
        <v/>
      </c>
    </row>
    <row r="3727" spans="1:17" hidden="1">
      <c r="A3727" t="s">
        <v>3832</v>
      </c>
      <c r="B3727" s="1">
        <v>45416</v>
      </c>
      <c r="C3727">
        <v>2024</v>
      </c>
      <c r="D3727">
        <v>5</v>
      </c>
      <c r="E3727" t="s">
        <v>19</v>
      </c>
      <c r="F3727" t="s">
        <v>24</v>
      </c>
      <c r="G3727" t="s">
        <v>54</v>
      </c>
      <c r="H3727" t="s">
        <v>163</v>
      </c>
      <c r="I3727">
        <v>5753.08</v>
      </c>
      <c r="J3727">
        <v>6257.72</v>
      </c>
      <c r="K3727" t="s">
        <v>17</v>
      </c>
      <c r="L3727" t="b">
        <v>0</v>
      </c>
      <c r="N3727" s="2" t="str">
        <f t="shared" si="332"/>
        <v/>
      </c>
      <c r="Q3727" t="str">
        <f t="shared" si="333"/>
        <v/>
      </c>
    </row>
    <row r="3728" spans="1:17" hidden="1">
      <c r="A3728" t="s">
        <v>3833</v>
      </c>
      <c r="B3728" s="1">
        <v>45416</v>
      </c>
      <c r="C3728">
        <v>2024</v>
      </c>
      <c r="D3728">
        <v>5</v>
      </c>
      <c r="E3728" t="s">
        <v>23</v>
      </c>
      <c r="F3728" t="s">
        <v>24</v>
      </c>
      <c r="G3728" t="s">
        <v>141</v>
      </c>
      <c r="H3728" t="s">
        <v>153</v>
      </c>
      <c r="I3728">
        <v>5508.57</v>
      </c>
      <c r="J3728">
        <v>5413.9</v>
      </c>
      <c r="K3728" t="s">
        <v>17</v>
      </c>
      <c r="L3728" t="b">
        <v>0</v>
      </c>
      <c r="N3728" s="2" t="str">
        <f t="shared" si="332"/>
        <v/>
      </c>
      <c r="Q3728" t="str">
        <f t="shared" si="333"/>
        <v/>
      </c>
    </row>
    <row r="3729" spans="1:17" hidden="1">
      <c r="A3729" t="s">
        <v>3834</v>
      </c>
      <c r="B3729" s="1">
        <v>45416</v>
      </c>
      <c r="C3729">
        <v>2024</v>
      </c>
      <c r="D3729">
        <v>5</v>
      </c>
      <c r="E3729" t="s">
        <v>37</v>
      </c>
      <c r="F3729" t="s">
        <v>14</v>
      </c>
      <c r="G3729" t="s">
        <v>62</v>
      </c>
      <c r="H3729" t="s">
        <v>63</v>
      </c>
      <c r="I3729">
        <v>2922.72</v>
      </c>
      <c r="J3729">
        <v>2649.98</v>
      </c>
      <c r="K3729" t="s">
        <v>17</v>
      </c>
      <c r="L3729" t="b">
        <v>0</v>
      </c>
      <c r="N3729" s="2" t="str">
        <f t="shared" si="332"/>
        <v/>
      </c>
      <c r="Q3729" t="str">
        <f t="shared" si="333"/>
        <v/>
      </c>
    </row>
    <row r="3730" spans="1:17" hidden="1">
      <c r="A3730" t="s">
        <v>3835</v>
      </c>
      <c r="B3730" s="1">
        <v>45416</v>
      </c>
      <c r="C3730">
        <v>2024</v>
      </c>
      <c r="D3730">
        <v>5</v>
      </c>
      <c r="E3730" t="s">
        <v>37</v>
      </c>
      <c r="F3730" t="s">
        <v>28</v>
      </c>
      <c r="G3730" t="s">
        <v>41</v>
      </c>
      <c r="H3730" t="s">
        <v>42</v>
      </c>
      <c r="I3730">
        <v>4151.7</v>
      </c>
      <c r="J3730">
        <v>3760.21</v>
      </c>
      <c r="K3730" t="s">
        <v>17</v>
      </c>
      <c r="L3730" t="b">
        <v>0</v>
      </c>
      <c r="N3730" s="2" t="str">
        <f t="shared" si="332"/>
        <v/>
      </c>
      <c r="Q3730" t="str">
        <f t="shared" si="333"/>
        <v/>
      </c>
    </row>
    <row r="3731" spans="1:17" hidden="1">
      <c r="A3731" t="s">
        <v>3836</v>
      </c>
      <c r="B3731" s="1">
        <v>45416</v>
      </c>
      <c r="C3731">
        <v>2024</v>
      </c>
      <c r="D3731">
        <v>5</v>
      </c>
      <c r="E3731" t="s">
        <v>37</v>
      </c>
      <c r="F3731" t="s">
        <v>24</v>
      </c>
      <c r="G3731" t="s">
        <v>83</v>
      </c>
      <c r="H3731" t="s">
        <v>84</v>
      </c>
      <c r="I3731">
        <v>114086.27</v>
      </c>
      <c r="J3731">
        <v>108381.96</v>
      </c>
      <c r="K3731" t="s">
        <v>85</v>
      </c>
      <c r="L3731" t="b">
        <v>0</v>
      </c>
      <c r="N3731" s="2" t="str">
        <f t="shared" si="332"/>
        <v/>
      </c>
      <c r="Q3731" t="str">
        <f t="shared" si="333"/>
        <v/>
      </c>
    </row>
    <row r="3732" spans="1:17" hidden="1">
      <c r="A3732" t="s">
        <v>3837</v>
      </c>
      <c r="B3732" s="1">
        <v>45417</v>
      </c>
      <c r="C3732">
        <v>2024</v>
      </c>
      <c r="D3732">
        <v>5</v>
      </c>
      <c r="E3732" t="s">
        <v>13</v>
      </c>
      <c r="F3732" t="s">
        <v>14</v>
      </c>
      <c r="G3732" t="s">
        <v>15</v>
      </c>
      <c r="H3732" t="s">
        <v>89</v>
      </c>
      <c r="I3732">
        <v>5039.1400000000003</v>
      </c>
      <c r="J3732">
        <v>4567.54</v>
      </c>
      <c r="K3732" t="s">
        <v>17</v>
      </c>
      <c r="L3732" t="b">
        <v>0</v>
      </c>
      <c r="N3732" s="2" t="str">
        <f t="shared" si="332"/>
        <v/>
      </c>
      <c r="Q3732" t="str">
        <f t="shared" si="333"/>
        <v/>
      </c>
    </row>
    <row r="3733" spans="1:17" hidden="1">
      <c r="A3733" t="s">
        <v>3838</v>
      </c>
      <c r="B3733" s="1">
        <v>45417</v>
      </c>
      <c r="C3733">
        <v>2024</v>
      </c>
      <c r="D3733">
        <v>5</v>
      </c>
      <c r="E3733" t="s">
        <v>47</v>
      </c>
      <c r="F3733" t="s">
        <v>28</v>
      </c>
      <c r="G3733" t="s">
        <v>51</v>
      </c>
      <c r="H3733" t="s">
        <v>189</v>
      </c>
      <c r="I3733">
        <v>14988.01</v>
      </c>
      <c r="J3733">
        <v>12334.55</v>
      </c>
      <c r="K3733" t="s">
        <v>17</v>
      </c>
      <c r="L3733" t="b">
        <v>0</v>
      </c>
      <c r="N3733" s="2" t="b">
        <f t="shared" si="332"/>
        <v>1</v>
      </c>
      <c r="O3733" t="str">
        <f>IF(AND(E3722="HR",K3722="EXPENSE"),I3722&lt;J3722,"")</f>
        <v/>
      </c>
      <c r="Q3733" t="str">
        <f t="shared" si="333"/>
        <v/>
      </c>
    </row>
    <row r="3734" spans="1:17" hidden="1">
      <c r="A3734" t="s">
        <v>3839</v>
      </c>
      <c r="B3734" s="1">
        <v>45417</v>
      </c>
      <c r="C3734">
        <v>2024</v>
      </c>
      <c r="D3734">
        <v>5</v>
      </c>
      <c r="E3734" t="s">
        <v>19</v>
      </c>
      <c r="F3734" t="s">
        <v>14</v>
      </c>
      <c r="G3734" t="s">
        <v>132</v>
      </c>
      <c r="H3734" t="s">
        <v>171</v>
      </c>
      <c r="I3734">
        <v>8089.55</v>
      </c>
      <c r="J3734">
        <v>7964.77</v>
      </c>
      <c r="K3734" t="s">
        <v>17</v>
      </c>
      <c r="L3734" t="b">
        <v>0</v>
      </c>
      <c r="N3734" s="2" t="str">
        <f t="shared" si="332"/>
        <v/>
      </c>
      <c r="Q3734" t="str">
        <f t="shared" si="333"/>
        <v/>
      </c>
    </row>
    <row r="3735" spans="1:17" hidden="1">
      <c r="A3735" t="s">
        <v>3840</v>
      </c>
      <c r="B3735" s="1">
        <v>45417</v>
      </c>
      <c r="C3735">
        <v>2024</v>
      </c>
      <c r="D3735">
        <v>5</v>
      </c>
      <c r="E3735" t="s">
        <v>19</v>
      </c>
      <c r="F3735" t="s">
        <v>28</v>
      </c>
      <c r="G3735" t="s">
        <v>80</v>
      </c>
      <c r="H3735" t="s">
        <v>217</v>
      </c>
      <c r="I3735">
        <v>7533.48</v>
      </c>
      <c r="J3735">
        <v>8053.22</v>
      </c>
      <c r="K3735" t="s">
        <v>17</v>
      </c>
      <c r="L3735" t="b">
        <v>0</v>
      </c>
      <c r="N3735" s="2" t="str">
        <f t="shared" si="332"/>
        <v/>
      </c>
      <c r="Q3735" t="str">
        <f t="shared" si="333"/>
        <v/>
      </c>
    </row>
    <row r="3736" spans="1:17" hidden="1">
      <c r="A3736" t="s">
        <v>3841</v>
      </c>
      <c r="B3736" s="1">
        <v>45417</v>
      </c>
      <c r="C3736">
        <v>2024</v>
      </c>
      <c r="D3736">
        <v>5</v>
      </c>
      <c r="E3736" t="s">
        <v>19</v>
      </c>
      <c r="F3736" t="s">
        <v>24</v>
      </c>
      <c r="G3736" t="s">
        <v>54</v>
      </c>
      <c r="H3736" t="s">
        <v>57</v>
      </c>
      <c r="I3736">
        <v>1517.32</v>
      </c>
      <c r="J3736">
        <v>1521.09</v>
      </c>
      <c r="K3736" t="s">
        <v>17</v>
      </c>
      <c r="L3736" t="b">
        <v>0</v>
      </c>
      <c r="N3736" s="2" t="str">
        <f t="shared" si="332"/>
        <v/>
      </c>
      <c r="Q3736" t="str">
        <f t="shared" si="333"/>
        <v/>
      </c>
    </row>
    <row r="3737" spans="1:17" hidden="1">
      <c r="A3737" t="s">
        <v>3842</v>
      </c>
      <c r="B3737" s="1">
        <v>45417</v>
      </c>
      <c r="C3737">
        <v>2024</v>
      </c>
      <c r="D3737">
        <v>5</v>
      </c>
      <c r="E3737" t="s">
        <v>37</v>
      </c>
      <c r="F3737" t="s">
        <v>14</v>
      </c>
      <c r="G3737" t="s">
        <v>38</v>
      </c>
      <c r="H3737" t="s">
        <v>118</v>
      </c>
      <c r="I3737">
        <v>5757.1</v>
      </c>
      <c r="J3737">
        <v>5738.98</v>
      </c>
      <c r="K3737" t="s">
        <v>17</v>
      </c>
      <c r="L3737" t="b">
        <v>0</v>
      </c>
      <c r="N3737" s="2" t="str">
        <f t="shared" si="332"/>
        <v/>
      </c>
      <c r="Q3737" t="str">
        <f t="shared" si="333"/>
        <v/>
      </c>
    </row>
    <row r="3738" spans="1:17" hidden="1">
      <c r="A3738" t="s">
        <v>3843</v>
      </c>
      <c r="B3738" s="1">
        <v>45417</v>
      </c>
      <c r="C3738">
        <v>2024</v>
      </c>
      <c r="D3738">
        <v>5</v>
      </c>
      <c r="E3738" t="s">
        <v>37</v>
      </c>
      <c r="F3738" t="s">
        <v>14</v>
      </c>
      <c r="G3738" t="s">
        <v>41</v>
      </c>
      <c r="H3738" t="s">
        <v>42</v>
      </c>
      <c r="I3738">
        <v>4314.16</v>
      </c>
      <c r="J3738">
        <v>4188.1099999999997</v>
      </c>
      <c r="K3738" t="s">
        <v>17</v>
      </c>
      <c r="L3738" t="b">
        <v>0</v>
      </c>
      <c r="N3738" s="2" t="str">
        <f t="shared" si="332"/>
        <v/>
      </c>
      <c r="Q3738" t="str">
        <f t="shared" si="333"/>
        <v/>
      </c>
    </row>
    <row r="3739" spans="1:17" hidden="1">
      <c r="A3739" t="s">
        <v>3844</v>
      </c>
      <c r="B3739" s="1">
        <v>45417</v>
      </c>
      <c r="C3739">
        <v>2024</v>
      </c>
      <c r="D3739">
        <v>5</v>
      </c>
      <c r="E3739" t="s">
        <v>37</v>
      </c>
      <c r="F3739" t="s">
        <v>28</v>
      </c>
      <c r="G3739" t="s">
        <v>41</v>
      </c>
      <c r="H3739" t="s">
        <v>42</v>
      </c>
      <c r="I3739">
        <v>3879.95</v>
      </c>
      <c r="J3739">
        <v>4199.83</v>
      </c>
      <c r="K3739" t="s">
        <v>17</v>
      </c>
      <c r="L3739" t="b">
        <v>0</v>
      </c>
      <c r="N3739" s="2" t="str">
        <f t="shared" si="332"/>
        <v/>
      </c>
      <c r="Q3739" t="str">
        <f t="shared" si="333"/>
        <v/>
      </c>
    </row>
    <row r="3740" spans="1:17" hidden="1">
      <c r="A3740" t="s">
        <v>3845</v>
      </c>
      <c r="B3740" s="1">
        <v>45417</v>
      </c>
      <c r="C3740">
        <v>2024</v>
      </c>
      <c r="D3740">
        <v>5</v>
      </c>
      <c r="E3740" t="s">
        <v>37</v>
      </c>
      <c r="F3740" t="s">
        <v>28</v>
      </c>
      <c r="G3740" t="s">
        <v>62</v>
      </c>
      <c r="H3740" t="s">
        <v>121</v>
      </c>
      <c r="I3740">
        <v>5235.57</v>
      </c>
      <c r="J3740">
        <v>5646.88</v>
      </c>
      <c r="K3740" t="s">
        <v>17</v>
      </c>
      <c r="L3740" t="b">
        <v>0</v>
      </c>
      <c r="N3740" s="2" t="str">
        <f t="shared" si="332"/>
        <v/>
      </c>
      <c r="Q3740" t="str">
        <f t="shared" si="333"/>
        <v/>
      </c>
    </row>
    <row r="3741" spans="1:17" hidden="1">
      <c r="A3741" t="s">
        <v>3846</v>
      </c>
      <c r="B3741" s="1">
        <v>45418</v>
      </c>
      <c r="C3741">
        <v>2024</v>
      </c>
      <c r="D3741">
        <v>5</v>
      </c>
      <c r="E3741" t="s">
        <v>13</v>
      </c>
      <c r="F3741" t="s">
        <v>14</v>
      </c>
      <c r="G3741" t="s">
        <v>15</v>
      </c>
      <c r="H3741" t="s">
        <v>45</v>
      </c>
      <c r="I3741">
        <v>3376.84</v>
      </c>
      <c r="J3741">
        <v>3102.78</v>
      </c>
      <c r="K3741" t="s">
        <v>17</v>
      </c>
      <c r="L3741" t="b">
        <v>0</v>
      </c>
      <c r="N3741" s="2" t="str">
        <f t="shared" si="332"/>
        <v/>
      </c>
      <c r="Q3741" t="str">
        <f t="shared" si="333"/>
        <v/>
      </c>
    </row>
    <row r="3742" spans="1:17" hidden="1">
      <c r="A3742" t="s">
        <v>3847</v>
      </c>
      <c r="B3742" s="1">
        <v>45418</v>
      </c>
      <c r="C3742">
        <v>2024</v>
      </c>
      <c r="D3742">
        <v>5</v>
      </c>
      <c r="E3742" t="s">
        <v>13</v>
      </c>
      <c r="F3742" t="s">
        <v>28</v>
      </c>
      <c r="G3742" t="s">
        <v>15</v>
      </c>
      <c r="H3742" t="s">
        <v>16</v>
      </c>
      <c r="I3742">
        <v>3484.26</v>
      </c>
      <c r="J3742">
        <v>3755.12</v>
      </c>
      <c r="K3742" t="s">
        <v>17</v>
      </c>
      <c r="L3742" t="b">
        <v>0</v>
      </c>
      <c r="N3742" s="2" t="str">
        <f t="shared" si="332"/>
        <v/>
      </c>
      <c r="Q3742" t="str">
        <f t="shared" si="333"/>
        <v/>
      </c>
    </row>
    <row r="3743" spans="1:17" hidden="1">
      <c r="A3743" t="s">
        <v>3848</v>
      </c>
      <c r="B3743" s="1">
        <v>45418</v>
      </c>
      <c r="C3743">
        <v>2024</v>
      </c>
      <c r="D3743">
        <v>5</v>
      </c>
      <c r="E3743" t="s">
        <v>13</v>
      </c>
      <c r="F3743" t="s">
        <v>28</v>
      </c>
      <c r="G3743" t="s">
        <v>102</v>
      </c>
      <c r="H3743" t="s">
        <v>145</v>
      </c>
      <c r="I3743">
        <v>3281.61</v>
      </c>
      <c r="J3743">
        <v>3316.74</v>
      </c>
      <c r="K3743" t="s">
        <v>17</v>
      </c>
      <c r="L3743" t="b">
        <v>0</v>
      </c>
      <c r="N3743" s="2" t="str">
        <f t="shared" si="332"/>
        <v/>
      </c>
      <c r="Q3743" t="str">
        <f t="shared" si="333"/>
        <v/>
      </c>
    </row>
    <row r="3744" spans="1:17" hidden="1">
      <c r="A3744" t="s">
        <v>3849</v>
      </c>
      <c r="B3744" s="1">
        <v>45418</v>
      </c>
      <c r="C3744">
        <v>2024</v>
      </c>
      <c r="D3744">
        <v>5</v>
      </c>
      <c r="E3744" t="s">
        <v>13</v>
      </c>
      <c r="F3744" t="s">
        <v>24</v>
      </c>
      <c r="G3744" t="s">
        <v>108</v>
      </c>
      <c r="H3744" t="s">
        <v>123</v>
      </c>
      <c r="I3744">
        <v>4154.87</v>
      </c>
      <c r="J3744">
        <v>4193.17</v>
      </c>
      <c r="K3744" t="s">
        <v>17</v>
      </c>
      <c r="L3744" t="b">
        <v>0</v>
      </c>
      <c r="N3744" s="2" t="str">
        <f t="shared" si="332"/>
        <v/>
      </c>
      <c r="Q3744" t="str">
        <f t="shared" si="333"/>
        <v/>
      </c>
    </row>
    <row r="3745" spans="1:17" hidden="1">
      <c r="A3745" t="s">
        <v>3850</v>
      </c>
      <c r="B3745" s="1">
        <v>45418</v>
      </c>
      <c r="C3745">
        <v>2024</v>
      </c>
      <c r="D3745">
        <v>5</v>
      </c>
      <c r="E3745" t="s">
        <v>47</v>
      </c>
      <c r="F3745" t="s">
        <v>14</v>
      </c>
      <c r="G3745" t="s">
        <v>91</v>
      </c>
      <c r="H3745" t="s">
        <v>249</v>
      </c>
      <c r="I3745">
        <v>22129.64</v>
      </c>
      <c r="J3745">
        <v>18523.990000000002</v>
      </c>
      <c r="K3745" t="s">
        <v>17</v>
      </c>
      <c r="L3745" t="b">
        <v>0</v>
      </c>
      <c r="N3745" s="2" t="b">
        <f t="shared" si="332"/>
        <v>1</v>
      </c>
      <c r="O3745" t="str">
        <f t="shared" ref="O3745:O3747" si="335">IF(AND(E3734="HR",K3734="EXPENSE"),I3734&lt;J3734,"")</f>
        <v/>
      </c>
      <c r="Q3745" t="str">
        <f t="shared" si="333"/>
        <v/>
      </c>
    </row>
    <row r="3746" spans="1:17" hidden="1">
      <c r="A3746" t="s">
        <v>3851</v>
      </c>
      <c r="B3746" s="1">
        <v>45418</v>
      </c>
      <c r="C3746">
        <v>2024</v>
      </c>
      <c r="D3746">
        <v>5</v>
      </c>
      <c r="E3746" t="s">
        <v>47</v>
      </c>
      <c r="F3746" t="s">
        <v>28</v>
      </c>
      <c r="G3746" t="s">
        <v>48</v>
      </c>
      <c r="H3746" t="s">
        <v>75</v>
      </c>
      <c r="I3746">
        <v>12129.64</v>
      </c>
      <c r="J3746">
        <v>10377.290000000001</v>
      </c>
      <c r="K3746" t="s">
        <v>17</v>
      </c>
      <c r="L3746" t="b">
        <v>0</v>
      </c>
      <c r="N3746" s="2" t="b">
        <f t="shared" si="332"/>
        <v>1</v>
      </c>
      <c r="O3746" t="str">
        <f t="shared" si="335"/>
        <v/>
      </c>
      <c r="Q3746" t="str">
        <f t="shared" si="333"/>
        <v/>
      </c>
    </row>
    <row r="3747" spans="1:17" hidden="1">
      <c r="A3747" t="s">
        <v>3852</v>
      </c>
      <c r="B3747" s="1">
        <v>45418</v>
      </c>
      <c r="C3747">
        <v>2024</v>
      </c>
      <c r="D3747">
        <v>5</v>
      </c>
      <c r="E3747" t="s">
        <v>47</v>
      </c>
      <c r="F3747" t="s">
        <v>24</v>
      </c>
      <c r="G3747" t="s">
        <v>91</v>
      </c>
      <c r="H3747" t="s">
        <v>128</v>
      </c>
      <c r="I3747">
        <v>14235.85</v>
      </c>
      <c r="J3747">
        <v>11674.36</v>
      </c>
      <c r="K3747" t="s">
        <v>17</v>
      </c>
      <c r="L3747" t="b">
        <v>0</v>
      </c>
      <c r="N3747" s="2" t="b">
        <f t="shared" si="332"/>
        <v>1</v>
      </c>
      <c r="O3747" t="str">
        <f t="shared" si="335"/>
        <v/>
      </c>
      <c r="Q3747" t="str">
        <f t="shared" si="333"/>
        <v/>
      </c>
    </row>
    <row r="3748" spans="1:17" hidden="1">
      <c r="A3748" t="s">
        <v>3853</v>
      </c>
      <c r="B3748" s="1">
        <v>45418</v>
      </c>
      <c r="C3748">
        <v>2024</v>
      </c>
      <c r="D3748">
        <v>5</v>
      </c>
      <c r="E3748" t="s">
        <v>19</v>
      </c>
      <c r="F3748" t="s">
        <v>28</v>
      </c>
      <c r="G3748" t="s">
        <v>20</v>
      </c>
      <c r="H3748" t="s">
        <v>21</v>
      </c>
      <c r="I3748">
        <v>9187.19</v>
      </c>
      <c r="J3748">
        <v>8446.61</v>
      </c>
      <c r="K3748" t="s">
        <v>17</v>
      </c>
      <c r="L3748" t="b">
        <v>0</v>
      </c>
      <c r="N3748" s="2" t="str">
        <f t="shared" si="332"/>
        <v/>
      </c>
      <c r="Q3748" t="str">
        <f t="shared" si="333"/>
        <v/>
      </c>
    </row>
    <row r="3749" spans="1:17" hidden="1">
      <c r="A3749" t="s">
        <v>3854</v>
      </c>
      <c r="B3749" s="1">
        <v>45418</v>
      </c>
      <c r="C3749">
        <v>2024</v>
      </c>
      <c r="D3749">
        <v>5</v>
      </c>
      <c r="E3749" t="s">
        <v>23</v>
      </c>
      <c r="F3749" t="s">
        <v>14</v>
      </c>
      <c r="G3749" t="s">
        <v>141</v>
      </c>
      <c r="H3749" t="s">
        <v>153</v>
      </c>
      <c r="I3749">
        <v>7258.27</v>
      </c>
      <c r="J3749">
        <v>7961.11</v>
      </c>
      <c r="K3749" t="s">
        <v>17</v>
      </c>
      <c r="L3749" t="b">
        <v>0</v>
      </c>
      <c r="N3749" s="2" t="str">
        <f t="shared" si="332"/>
        <v/>
      </c>
      <c r="Q3749" t="str">
        <f t="shared" si="333"/>
        <v/>
      </c>
    </row>
    <row r="3750" spans="1:17" hidden="1">
      <c r="A3750" t="s">
        <v>3855</v>
      </c>
      <c r="B3750" s="1">
        <v>45418</v>
      </c>
      <c r="C3750">
        <v>2024</v>
      </c>
      <c r="D3750">
        <v>5</v>
      </c>
      <c r="E3750" t="s">
        <v>23</v>
      </c>
      <c r="F3750" t="s">
        <v>28</v>
      </c>
      <c r="G3750" t="s">
        <v>25</v>
      </c>
      <c r="H3750" t="s">
        <v>95</v>
      </c>
      <c r="I3750">
        <v>6475.82</v>
      </c>
      <c r="J3750">
        <v>6636.08</v>
      </c>
      <c r="K3750" t="s">
        <v>17</v>
      </c>
      <c r="L3750" t="b">
        <v>0</v>
      </c>
      <c r="N3750" s="2" t="str">
        <f t="shared" si="332"/>
        <v/>
      </c>
      <c r="Q3750" t="str">
        <f t="shared" si="333"/>
        <v/>
      </c>
    </row>
    <row r="3751" spans="1:17" hidden="1">
      <c r="A3751" t="s">
        <v>3856</v>
      </c>
      <c r="B3751" s="1">
        <v>45418</v>
      </c>
      <c r="C3751">
        <v>2024</v>
      </c>
      <c r="D3751">
        <v>5</v>
      </c>
      <c r="E3751" t="s">
        <v>37</v>
      </c>
      <c r="F3751" t="s">
        <v>14</v>
      </c>
      <c r="G3751" t="s">
        <v>62</v>
      </c>
      <c r="H3751" t="s">
        <v>360</v>
      </c>
      <c r="I3751">
        <v>3887.36</v>
      </c>
      <c r="J3751">
        <v>3932.63</v>
      </c>
      <c r="K3751" t="s">
        <v>17</v>
      </c>
      <c r="L3751" t="b">
        <v>0</v>
      </c>
      <c r="N3751" s="2" t="str">
        <f t="shared" si="332"/>
        <v/>
      </c>
      <c r="Q3751" t="str">
        <f t="shared" si="333"/>
        <v/>
      </c>
    </row>
    <row r="3752" spans="1:17" hidden="1">
      <c r="A3752" t="s">
        <v>3857</v>
      </c>
      <c r="B3752" s="1">
        <v>45418</v>
      </c>
      <c r="C3752">
        <v>2024</v>
      </c>
      <c r="D3752">
        <v>5</v>
      </c>
      <c r="E3752" t="s">
        <v>37</v>
      </c>
      <c r="F3752" t="s">
        <v>28</v>
      </c>
      <c r="G3752" t="s">
        <v>38</v>
      </c>
      <c r="H3752" t="s">
        <v>227</v>
      </c>
      <c r="I3752">
        <v>4118.3500000000004</v>
      </c>
      <c r="J3752">
        <v>3980.72</v>
      </c>
      <c r="K3752" t="s">
        <v>17</v>
      </c>
      <c r="L3752" t="b">
        <v>0</v>
      </c>
      <c r="N3752" s="2" t="str">
        <f t="shared" si="332"/>
        <v/>
      </c>
      <c r="Q3752" t="str">
        <f t="shared" si="333"/>
        <v/>
      </c>
    </row>
    <row r="3753" spans="1:17" hidden="1">
      <c r="A3753" t="s">
        <v>3858</v>
      </c>
      <c r="B3753" s="1">
        <v>45419</v>
      </c>
      <c r="C3753">
        <v>2024</v>
      </c>
      <c r="D3753">
        <v>5</v>
      </c>
      <c r="E3753" t="s">
        <v>13</v>
      </c>
      <c r="F3753" t="s">
        <v>28</v>
      </c>
      <c r="G3753" t="s">
        <v>15</v>
      </c>
      <c r="H3753" t="s">
        <v>45</v>
      </c>
      <c r="I3753">
        <v>3027.6</v>
      </c>
      <c r="J3753">
        <v>3103.24</v>
      </c>
      <c r="K3753" t="s">
        <v>17</v>
      </c>
      <c r="L3753" t="b">
        <v>0</v>
      </c>
      <c r="N3753" s="2" t="str">
        <f t="shared" si="332"/>
        <v/>
      </c>
      <c r="Q3753" t="str">
        <f t="shared" si="333"/>
        <v/>
      </c>
    </row>
    <row r="3754" spans="1:17" hidden="1">
      <c r="A3754" t="s">
        <v>3859</v>
      </c>
      <c r="B3754" s="1">
        <v>45419</v>
      </c>
      <c r="C3754">
        <v>2024</v>
      </c>
      <c r="D3754">
        <v>5</v>
      </c>
      <c r="E3754" t="s">
        <v>13</v>
      </c>
      <c r="F3754" t="s">
        <v>28</v>
      </c>
      <c r="G3754" t="s">
        <v>108</v>
      </c>
      <c r="H3754" t="s">
        <v>126</v>
      </c>
      <c r="I3754">
        <v>2169.71</v>
      </c>
      <c r="J3754">
        <v>2121.0700000000002</v>
      </c>
      <c r="K3754" t="s">
        <v>17</v>
      </c>
      <c r="L3754" t="b">
        <v>0</v>
      </c>
      <c r="N3754" s="2" t="str">
        <f t="shared" si="332"/>
        <v/>
      </c>
      <c r="Q3754" t="str">
        <f t="shared" si="333"/>
        <v/>
      </c>
    </row>
    <row r="3755" spans="1:17" hidden="1">
      <c r="A3755" t="s">
        <v>3860</v>
      </c>
      <c r="B3755" s="1">
        <v>45419</v>
      </c>
      <c r="C3755">
        <v>2024</v>
      </c>
      <c r="D3755">
        <v>5</v>
      </c>
      <c r="E3755" t="s">
        <v>13</v>
      </c>
      <c r="F3755" t="s">
        <v>28</v>
      </c>
      <c r="G3755" t="s">
        <v>108</v>
      </c>
      <c r="H3755" t="s">
        <v>123</v>
      </c>
      <c r="I3755">
        <v>4112.3900000000003</v>
      </c>
      <c r="J3755">
        <v>4399.55</v>
      </c>
      <c r="K3755" t="s">
        <v>17</v>
      </c>
      <c r="L3755" t="b">
        <v>0</v>
      </c>
      <c r="N3755" s="2" t="str">
        <f t="shared" si="332"/>
        <v/>
      </c>
      <c r="Q3755" t="str">
        <f t="shared" si="333"/>
        <v/>
      </c>
    </row>
    <row r="3756" spans="1:17" hidden="1">
      <c r="A3756" t="s">
        <v>3861</v>
      </c>
      <c r="B3756" s="1">
        <v>45419</v>
      </c>
      <c r="C3756">
        <v>2024</v>
      </c>
      <c r="D3756">
        <v>5</v>
      </c>
      <c r="E3756" t="s">
        <v>19</v>
      </c>
      <c r="F3756" t="s">
        <v>28</v>
      </c>
      <c r="G3756" t="s">
        <v>132</v>
      </c>
      <c r="H3756" t="s">
        <v>133</v>
      </c>
      <c r="I3756">
        <v>8478.44</v>
      </c>
      <c r="J3756">
        <v>8783.36</v>
      </c>
      <c r="K3756" t="s">
        <v>17</v>
      </c>
      <c r="L3756" t="b">
        <v>0</v>
      </c>
      <c r="N3756" s="2" t="str">
        <f t="shared" si="332"/>
        <v/>
      </c>
      <c r="Q3756" t="str">
        <f t="shared" si="333"/>
        <v/>
      </c>
    </row>
    <row r="3757" spans="1:17" hidden="1">
      <c r="A3757" t="s">
        <v>3862</v>
      </c>
      <c r="B3757" s="1">
        <v>45419</v>
      </c>
      <c r="C3757">
        <v>2024</v>
      </c>
      <c r="D3757">
        <v>5</v>
      </c>
      <c r="E3757" t="s">
        <v>23</v>
      </c>
      <c r="F3757" t="s">
        <v>14</v>
      </c>
      <c r="G3757" t="s">
        <v>30</v>
      </c>
      <c r="H3757" t="s">
        <v>33</v>
      </c>
      <c r="I3757">
        <v>6606.95</v>
      </c>
      <c r="J3757">
        <v>7100.33</v>
      </c>
      <c r="K3757" t="s">
        <v>17</v>
      </c>
      <c r="L3757" t="b">
        <v>0</v>
      </c>
      <c r="N3757" s="2" t="str">
        <f t="shared" si="332"/>
        <v/>
      </c>
      <c r="Q3757" t="str">
        <f t="shared" si="333"/>
        <v/>
      </c>
    </row>
    <row r="3758" spans="1:17" hidden="1">
      <c r="A3758" t="s">
        <v>3863</v>
      </c>
      <c r="B3758" s="1">
        <v>45419</v>
      </c>
      <c r="C3758">
        <v>2024</v>
      </c>
      <c r="D3758">
        <v>5</v>
      </c>
      <c r="E3758" t="s">
        <v>23</v>
      </c>
      <c r="F3758" t="s">
        <v>24</v>
      </c>
      <c r="G3758" t="s">
        <v>30</v>
      </c>
      <c r="H3758" t="s">
        <v>31</v>
      </c>
      <c r="I3758">
        <v>5338.39</v>
      </c>
      <c r="J3758">
        <v>5053.03</v>
      </c>
      <c r="K3758" t="s">
        <v>17</v>
      </c>
      <c r="L3758" t="b">
        <v>0</v>
      </c>
      <c r="N3758" s="2" t="str">
        <f t="shared" si="332"/>
        <v/>
      </c>
      <c r="Q3758" t="str">
        <f t="shared" si="333"/>
        <v/>
      </c>
    </row>
    <row r="3759" spans="1:17" hidden="1">
      <c r="A3759" t="s">
        <v>3864</v>
      </c>
      <c r="B3759" s="1">
        <v>45420</v>
      </c>
      <c r="C3759">
        <v>2024</v>
      </c>
      <c r="D3759">
        <v>5</v>
      </c>
      <c r="E3759" t="s">
        <v>13</v>
      </c>
      <c r="F3759" t="s">
        <v>28</v>
      </c>
      <c r="G3759" t="s">
        <v>68</v>
      </c>
      <c r="H3759" t="s">
        <v>87</v>
      </c>
      <c r="I3759">
        <v>2525.6</v>
      </c>
      <c r="J3759">
        <v>2333.2600000000002</v>
      </c>
      <c r="K3759" t="s">
        <v>17</v>
      </c>
      <c r="L3759" t="b">
        <v>0</v>
      </c>
      <c r="N3759" s="2" t="str">
        <f t="shared" si="332"/>
        <v/>
      </c>
      <c r="Q3759" t="str">
        <f t="shared" si="333"/>
        <v/>
      </c>
    </row>
    <row r="3760" spans="1:17" hidden="1">
      <c r="A3760" t="s">
        <v>3865</v>
      </c>
      <c r="B3760" s="1">
        <v>45420</v>
      </c>
      <c r="C3760">
        <v>2024</v>
      </c>
      <c r="D3760">
        <v>5</v>
      </c>
      <c r="E3760" t="s">
        <v>13</v>
      </c>
      <c r="F3760" t="s">
        <v>28</v>
      </c>
      <c r="G3760" t="s">
        <v>68</v>
      </c>
      <c r="H3760" t="s">
        <v>69</v>
      </c>
      <c r="I3760">
        <v>877.38</v>
      </c>
      <c r="J3760">
        <v>821.99</v>
      </c>
      <c r="K3760" t="s">
        <v>17</v>
      </c>
      <c r="L3760" t="b">
        <v>0</v>
      </c>
      <c r="N3760" s="2" t="str">
        <f t="shared" si="332"/>
        <v/>
      </c>
      <c r="Q3760" t="str">
        <f t="shared" si="333"/>
        <v/>
      </c>
    </row>
    <row r="3761" spans="1:17" hidden="1">
      <c r="A3761" t="s">
        <v>3866</v>
      </c>
      <c r="B3761" s="1">
        <v>45420</v>
      </c>
      <c r="C3761">
        <v>2024</v>
      </c>
      <c r="D3761">
        <v>5</v>
      </c>
      <c r="E3761" t="s">
        <v>47</v>
      </c>
      <c r="F3761" t="s">
        <v>14</v>
      </c>
      <c r="G3761" t="s">
        <v>91</v>
      </c>
      <c r="H3761" t="s">
        <v>128</v>
      </c>
      <c r="I3761">
        <v>13019.63</v>
      </c>
      <c r="J3761">
        <v>11011.53</v>
      </c>
      <c r="K3761" t="s">
        <v>17</v>
      </c>
      <c r="L3761" t="b">
        <v>0</v>
      </c>
      <c r="N3761" s="2" t="b">
        <f t="shared" si="332"/>
        <v>1</v>
      </c>
      <c r="O3761" t="str">
        <f t="shared" ref="O3761:O3763" si="336">IF(AND(E3750="HR",K3750="EXPENSE"),I3750&lt;J3750,"")</f>
        <v/>
      </c>
      <c r="Q3761" t="str">
        <f t="shared" si="333"/>
        <v/>
      </c>
    </row>
    <row r="3762" spans="1:17" hidden="1">
      <c r="A3762" t="s">
        <v>3867</v>
      </c>
      <c r="B3762" s="1">
        <v>45420</v>
      </c>
      <c r="C3762">
        <v>2024</v>
      </c>
      <c r="D3762">
        <v>5</v>
      </c>
      <c r="E3762" t="s">
        <v>47</v>
      </c>
      <c r="F3762" t="s">
        <v>14</v>
      </c>
      <c r="G3762" t="s">
        <v>91</v>
      </c>
      <c r="H3762" t="s">
        <v>254</v>
      </c>
      <c r="I3762">
        <v>19152.72</v>
      </c>
      <c r="J3762">
        <v>16635.95</v>
      </c>
      <c r="K3762" t="s">
        <v>17</v>
      </c>
      <c r="L3762" t="b">
        <v>0</v>
      </c>
      <c r="N3762" s="2" t="b">
        <f t="shared" si="332"/>
        <v>1</v>
      </c>
      <c r="O3762" t="str">
        <f t="shared" si="336"/>
        <v/>
      </c>
      <c r="Q3762" t="str">
        <f t="shared" si="333"/>
        <v/>
      </c>
    </row>
    <row r="3763" spans="1:17" hidden="1">
      <c r="A3763" t="s">
        <v>3868</v>
      </c>
      <c r="B3763" s="1">
        <v>45420</v>
      </c>
      <c r="C3763">
        <v>2024</v>
      </c>
      <c r="D3763">
        <v>5</v>
      </c>
      <c r="E3763" t="s">
        <v>47</v>
      </c>
      <c r="F3763" t="s">
        <v>28</v>
      </c>
      <c r="G3763" t="s">
        <v>91</v>
      </c>
      <c r="H3763" t="s">
        <v>92</v>
      </c>
      <c r="I3763">
        <v>10741.56</v>
      </c>
      <c r="J3763">
        <v>9106.91</v>
      </c>
      <c r="K3763" t="s">
        <v>17</v>
      </c>
      <c r="L3763" t="b">
        <v>0</v>
      </c>
      <c r="N3763" s="2" t="b">
        <f t="shared" si="332"/>
        <v>1</v>
      </c>
      <c r="O3763" t="str">
        <f t="shared" si="336"/>
        <v/>
      </c>
      <c r="Q3763" t="str">
        <f t="shared" si="333"/>
        <v/>
      </c>
    </row>
    <row r="3764" spans="1:17" hidden="1">
      <c r="A3764" t="s">
        <v>3869</v>
      </c>
      <c r="B3764" s="1">
        <v>45420</v>
      </c>
      <c r="C3764">
        <v>2024</v>
      </c>
      <c r="D3764">
        <v>5</v>
      </c>
      <c r="E3764" t="s">
        <v>19</v>
      </c>
      <c r="F3764" t="s">
        <v>14</v>
      </c>
      <c r="G3764" t="s">
        <v>54</v>
      </c>
      <c r="H3764" t="s">
        <v>55</v>
      </c>
      <c r="I3764">
        <v>9368.07</v>
      </c>
      <c r="J3764">
        <v>9481.5</v>
      </c>
      <c r="K3764" t="s">
        <v>17</v>
      </c>
      <c r="L3764" t="b">
        <v>0</v>
      </c>
      <c r="N3764" s="2" t="str">
        <f t="shared" si="332"/>
        <v/>
      </c>
      <c r="Q3764" t="str">
        <f t="shared" si="333"/>
        <v/>
      </c>
    </row>
    <row r="3765" spans="1:17" hidden="1">
      <c r="A3765" t="s">
        <v>3870</v>
      </c>
      <c r="B3765" s="1">
        <v>45420</v>
      </c>
      <c r="C3765">
        <v>2024</v>
      </c>
      <c r="D3765">
        <v>5</v>
      </c>
      <c r="E3765" t="s">
        <v>19</v>
      </c>
      <c r="F3765" t="s">
        <v>14</v>
      </c>
      <c r="G3765" t="s">
        <v>54</v>
      </c>
      <c r="H3765" t="s">
        <v>163</v>
      </c>
      <c r="I3765">
        <v>5617.63</v>
      </c>
      <c r="J3765">
        <v>6009.78</v>
      </c>
      <c r="K3765" t="s">
        <v>17</v>
      </c>
      <c r="L3765" t="b">
        <v>0</v>
      </c>
      <c r="N3765" s="2" t="str">
        <f t="shared" si="332"/>
        <v/>
      </c>
      <c r="Q3765" t="str">
        <f t="shared" si="333"/>
        <v/>
      </c>
    </row>
    <row r="3766" spans="1:17" hidden="1">
      <c r="A3766" t="s">
        <v>3871</v>
      </c>
      <c r="B3766" s="1">
        <v>45420</v>
      </c>
      <c r="C3766">
        <v>2024</v>
      </c>
      <c r="D3766">
        <v>5</v>
      </c>
      <c r="E3766" t="s">
        <v>19</v>
      </c>
      <c r="F3766" t="s">
        <v>14</v>
      </c>
      <c r="G3766" t="s">
        <v>54</v>
      </c>
      <c r="H3766" t="s">
        <v>163</v>
      </c>
      <c r="I3766">
        <v>7571.34</v>
      </c>
      <c r="J3766">
        <v>7213</v>
      </c>
      <c r="K3766" t="s">
        <v>17</v>
      </c>
      <c r="L3766" t="b">
        <v>0</v>
      </c>
      <c r="N3766" s="2" t="str">
        <f t="shared" si="332"/>
        <v/>
      </c>
      <c r="Q3766" t="str">
        <f t="shared" si="333"/>
        <v/>
      </c>
    </row>
    <row r="3767" spans="1:17" hidden="1">
      <c r="A3767" t="s">
        <v>3872</v>
      </c>
      <c r="B3767" s="1">
        <v>45420</v>
      </c>
      <c r="C3767">
        <v>2024</v>
      </c>
      <c r="D3767">
        <v>5</v>
      </c>
      <c r="E3767" t="s">
        <v>19</v>
      </c>
      <c r="F3767" t="s">
        <v>28</v>
      </c>
      <c r="G3767" t="s">
        <v>20</v>
      </c>
      <c r="H3767" t="s">
        <v>21</v>
      </c>
      <c r="I3767">
        <v>6938.58</v>
      </c>
      <c r="J3767">
        <v>7240.77</v>
      </c>
      <c r="K3767" t="s">
        <v>17</v>
      </c>
      <c r="L3767" t="b">
        <v>0</v>
      </c>
      <c r="N3767" s="2" t="str">
        <f t="shared" si="332"/>
        <v/>
      </c>
      <c r="Q3767" t="str">
        <f t="shared" si="333"/>
        <v/>
      </c>
    </row>
    <row r="3768" spans="1:17" hidden="1">
      <c r="A3768" t="s">
        <v>3873</v>
      </c>
      <c r="B3768" s="1">
        <v>45420</v>
      </c>
      <c r="C3768">
        <v>2024</v>
      </c>
      <c r="D3768">
        <v>5</v>
      </c>
      <c r="E3768" t="s">
        <v>19</v>
      </c>
      <c r="F3768" t="s">
        <v>24</v>
      </c>
      <c r="G3768" t="s">
        <v>54</v>
      </c>
      <c r="H3768" t="s">
        <v>55</v>
      </c>
      <c r="I3768">
        <v>4149.53</v>
      </c>
      <c r="J3768">
        <v>3958.48</v>
      </c>
      <c r="K3768" t="s">
        <v>17</v>
      </c>
      <c r="L3768" t="b">
        <v>0</v>
      </c>
      <c r="N3768" s="2" t="str">
        <f t="shared" si="332"/>
        <v/>
      </c>
      <c r="Q3768" t="str">
        <f t="shared" si="333"/>
        <v/>
      </c>
    </row>
    <row r="3769" spans="1:17" hidden="1">
      <c r="A3769" t="s">
        <v>3874</v>
      </c>
      <c r="B3769" s="1">
        <v>45420</v>
      </c>
      <c r="C3769">
        <v>2024</v>
      </c>
      <c r="D3769">
        <v>5</v>
      </c>
      <c r="E3769" t="s">
        <v>23</v>
      </c>
      <c r="F3769" t="s">
        <v>14</v>
      </c>
      <c r="G3769" t="s">
        <v>25</v>
      </c>
      <c r="H3769" t="s">
        <v>35</v>
      </c>
      <c r="I3769">
        <v>3294.26</v>
      </c>
      <c r="J3769">
        <v>3140.55</v>
      </c>
      <c r="K3769" t="s">
        <v>17</v>
      </c>
      <c r="L3769" t="b">
        <v>0</v>
      </c>
      <c r="N3769" s="2" t="str">
        <f t="shared" si="332"/>
        <v/>
      </c>
      <c r="Q3769" t="str">
        <f t="shared" si="333"/>
        <v/>
      </c>
    </row>
    <row r="3770" spans="1:17" hidden="1">
      <c r="A3770" t="s">
        <v>3875</v>
      </c>
      <c r="B3770" s="1">
        <v>45420</v>
      </c>
      <c r="C3770">
        <v>2024</v>
      </c>
      <c r="D3770">
        <v>5</v>
      </c>
      <c r="E3770" t="s">
        <v>37</v>
      </c>
      <c r="F3770" t="s">
        <v>14</v>
      </c>
      <c r="G3770" t="s">
        <v>98</v>
      </c>
      <c r="H3770" t="s">
        <v>185</v>
      </c>
      <c r="I3770">
        <v>3917.97</v>
      </c>
      <c r="J3770">
        <v>4176.6899999999996</v>
      </c>
      <c r="K3770" t="s">
        <v>17</v>
      </c>
      <c r="L3770" t="b">
        <v>0</v>
      </c>
      <c r="N3770" s="2" t="str">
        <f t="shared" si="332"/>
        <v/>
      </c>
      <c r="Q3770" t="str">
        <f t="shared" si="333"/>
        <v/>
      </c>
    </row>
    <row r="3771" spans="1:17" hidden="1">
      <c r="A3771" t="s">
        <v>3876</v>
      </c>
      <c r="B3771" s="1">
        <v>45420</v>
      </c>
      <c r="C3771">
        <v>2024</v>
      </c>
      <c r="D3771">
        <v>5</v>
      </c>
      <c r="E3771" t="s">
        <v>37</v>
      </c>
      <c r="F3771" t="s">
        <v>24</v>
      </c>
      <c r="G3771" t="s">
        <v>98</v>
      </c>
      <c r="H3771" t="s">
        <v>99</v>
      </c>
      <c r="I3771">
        <v>4630.0600000000004</v>
      </c>
      <c r="J3771">
        <v>4772.5</v>
      </c>
      <c r="K3771" t="s">
        <v>17</v>
      </c>
      <c r="L3771" t="b">
        <v>0</v>
      </c>
      <c r="N3771" s="2" t="str">
        <f t="shared" si="332"/>
        <v/>
      </c>
      <c r="Q3771" t="str">
        <f t="shared" si="333"/>
        <v/>
      </c>
    </row>
    <row r="3772" spans="1:17" hidden="1">
      <c r="A3772" t="s">
        <v>3877</v>
      </c>
      <c r="B3772" s="1">
        <v>45421</v>
      </c>
      <c r="C3772">
        <v>2024</v>
      </c>
      <c r="D3772">
        <v>5</v>
      </c>
      <c r="E3772" t="s">
        <v>13</v>
      </c>
      <c r="F3772" t="s">
        <v>28</v>
      </c>
      <c r="G3772" t="s">
        <v>102</v>
      </c>
      <c r="H3772" t="s">
        <v>103</v>
      </c>
      <c r="I3772">
        <v>2983.57</v>
      </c>
      <c r="J3772">
        <v>3023.64</v>
      </c>
      <c r="K3772" t="s">
        <v>17</v>
      </c>
      <c r="L3772" t="b">
        <v>0</v>
      </c>
      <c r="N3772" s="2" t="str">
        <f t="shared" si="332"/>
        <v/>
      </c>
      <c r="Q3772" t="str">
        <f t="shared" si="333"/>
        <v/>
      </c>
    </row>
    <row r="3773" spans="1:17" hidden="1">
      <c r="A3773" t="s">
        <v>3878</v>
      </c>
      <c r="B3773" s="1">
        <v>45421</v>
      </c>
      <c r="C3773">
        <v>2024</v>
      </c>
      <c r="D3773">
        <v>5</v>
      </c>
      <c r="E3773" t="s">
        <v>13</v>
      </c>
      <c r="F3773" t="s">
        <v>28</v>
      </c>
      <c r="G3773" t="s">
        <v>102</v>
      </c>
      <c r="H3773" t="s">
        <v>103</v>
      </c>
      <c r="I3773">
        <v>3507.09</v>
      </c>
      <c r="J3773">
        <v>3449.89</v>
      </c>
      <c r="K3773" t="s">
        <v>17</v>
      </c>
      <c r="L3773" t="b">
        <v>0</v>
      </c>
      <c r="N3773" s="2" t="str">
        <f t="shared" si="332"/>
        <v/>
      </c>
      <c r="Q3773" t="str">
        <f t="shared" si="333"/>
        <v/>
      </c>
    </row>
    <row r="3774" spans="1:17" hidden="1">
      <c r="A3774" t="s">
        <v>3879</v>
      </c>
      <c r="B3774" s="1">
        <v>45421</v>
      </c>
      <c r="C3774">
        <v>2024</v>
      </c>
      <c r="D3774">
        <v>5</v>
      </c>
      <c r="E3774" t="s">
        <v>13</v>
      </c>
      <c r="F3774" t="s">
        <v>24</v>
      </c>
      <c r="G3774" t="s">
        <v>108</v>
      </c>
      <c r="H3774" t="s">
        <v>126</v>
      </c>
      <c r="I3774">
        <v>3631.68</v>
      </c>
      <c r="J3774">
        <v>3282</v>
      </c>
      <c r="K3774" t="s">
        <v>17</v>
      </c>
      <c r="L3774" t="b">
        <v>0</v>
      </c>
      <c r="N3774" s="2" t="str">
        <f t="shared" si="332"/>
        <v/>
      </c>
      <c r="Q3774" t="str">
        <f t="shared" si="333"/>
        <v/>
      </c>
    </row>
    <row r="3775" spans="1:17" hidden="1">
      <c r="A3775" t="s">
        <v>3880</v>
      </c>
      <c r="B3775" s="1">
        <v>45421</v>
      </c>
      <c r="C3775">
        <v>2024</v>
      </c>
      <c r="D3775">
        <v>5</v>
      </c>
      <c r="E3775" t="s">
        <v>47</v>
      </c>
      <c r="F3775" t="s">
        <v>14</v>
      </c>
      <c r="G3775" t="s">
        <v>91</v>
      </c>
      <c r="H3775" t="s">
        <v>92</v>
      </c>
      <c r="I3775">
        <v>15575.36</v>
      </c>
      <c r="J3775">
        <v>12927.7</v>
      </c>
      <c r="K3775" t="s">
        <v>17</v>
      </c>
      <c r="L3775" t="b">
        <v>0</v>
      </c>
      <c r="N3775" s="2" t="b">
        <f t="shared" si="332"/>
        <v>1</v>
      </c>
      <c r="O3775" t="str">
        <f>IF(AND(E3764="HR",K3764="EXPENSE"),I3764&lt;J3764,"")</f>
        <v/>
      </c>
      <c r="Q3775" t="str">
        <f t="shared" si="333"/>
        <v/>
      </c>
    </row>
    <row r="3776" spans="1:17" hidden="1">
      <c r="A3776" t="s">
        <v>3881</v>
      </c>
      <c r="B3776" s="1">
        <v>45421</v>
      </c>
      <c r="C3776">
        <v>2024</v>
      </c>
      <c r="D3776">
        <v>5</v>
      </c>
      <c r="E3776" t="s">
        <v>19</v>
      </c>
      <c r="F3776" t="s">
        <v>14</v>
      </c>
      <c r="G3776" t="s">
        <v>132</v>
      </c>
      <c r="H3776" t="s">
        <v>171</v>
      </c>
      <c r="I3776">
        <v>7202.03</v>
      </c>
      <c r="J3776">
        <v>6594.94</v>
      </c>
      <c r="K3776" t="s">
        <v>17</v>
      </c>
      <c r="L3776" t="b">
        <v>0</v>
      </c>
      <c r="N3776" s="2" t="str">
        <f t="shared" si="332"/>
        <v/>
      </c>
      <c r="Q3776" t="str">
        <f t="shared" si="333"/>
        <v/>
      </c>
    </row>
    <row r="3777" spans="1:17" hidden="1">
      <c r="A3777" t="s">
        <v>3882</v>
      </c>
      <c r="B3777" s="1">
        <v>45421</v>
      </c>
      <c r="C3777">
        <v>2024</v>
      </c>
      <c r="D3777">
        <v>5</v>
      </c>
      <c r="E3777" t="s">
        <v>19</v>
      </c>
      <c r="F3777" t="s">
        <v>28</v>
      </c>
      <c r="G3777" t="s">
        <v>132</v>
      </c>
      <c r="H3777" t="s">
        <v>138</v>
      </c>
      <c r="I3777">
        <v>8149.39</v>
      </c>
      <c r="J3777">
        <v>7634.42</v>
      </c>
      <c r="K3777" t="s">
        <v>17</v>
      </c>
      <c r="L3777" t="b">
        <v>0</v>
      </c>
      <c r="N3777" s="2" t="str">
        <f t="shared" si="332"/>
        <v/>
      </c>
      <c r="Q3777" t="str">
        <f t="shared" si="333"/>
        <v/>
      </c>
    </row>
    <row r="3778" spans="1:17" hidden="1">
      <c r="A3778" t="s">
        <v>3883</v>
      </c>
      <c r="B3778" s="1">
        <v>45421</v>
      </c>
      <c r="C3778">
        <v>2024</v>
      </c>
      <c r="D3778">
        <v>5</v>
      </c>
      <c r="E3778" t="s">
        <v>23</v>
      </c>
      <c r="F3778" t="s">
        <v>24</v>
      </c>
      <c r="G3778" t="s">
        <v>30</v>
      </c>
      <c r="H3778" t="s">
        <v>33</v>
      </c>
      <c r="I3778">
        <v>5625.04</v>
      </c>
      <c r="J3778">
        <v>5947.2</v>
      </c>
      <c r="K3778" t="s">
        <v>17</v>
      </c>
      <c r="L3778" t="b">
        <v>0</v>
      </c>
      <c r="N3778" s="2" t="str">
        <f t="shared" si="332"/>
        <v/>
      </c>
      <c r="Q3778" t="str">
        <f t="shared" si="333"/>
        <v/>
      </c>
    </row>
    <row r="3779" spans="1:17" hidden="1">
      <c r="A3779" t="s">
        <v>3884</v>
      </c>
      <c r="B3779" s="1">
        <v>45422</v>
      </c>
      <c r="C3779">
        <v>2024</v>
      </c>
      <c r="D3779">
        <v>5</v>
      </c>
      <c r="E3779" t="s">
        <v>47</v>
      </c>
      <c r="F3779" t="s">
        <v>14</v>
      </c>
      <c r="G3779" t="s">
        <v>91</v>
      </c>
      <c r="H3779" t="s">
        <v>128</v>
      </c>
      <c r="I3779">
        <v>20241.02</v>
      </c>
      <c r="J3779">
        <v>17278.23</v>
      </c>
      <c r="K3779" t="s">
        <v>17</v>
      </c>
      <c r="L3779" t="b">
        <v>0</v>
      </c>
      <c r="N3779" s="2" t="b">
        <f t="shared" ref="N3779:N3842" si="337">IF(AND(E3779="IT",K3779="EXPENSE"),I3779&gt;J3779,"")</f>
        <v>1</v>
      </c>
      <c r="O3779" t="str">
        <f t="shared" ref="O3779:O3780" si="338">IF(AND(E3768="HR",K3768="EXPENSE"),I3768&lt;J3768,"")</f>
        <v/>
      </c>
      <c r="Q3779" t="str">
        <f t="shared" ref="Q3779:Q3842" si="339">IF(L3779=TRUE,OR(H3779="Apex Solutions Inc",H3779="Global Trade Partners",H3779="NovaTech Services"),"")</f>
        <v/>
      </c>
    </row>
    <row r="3780" spans="1:17" hidden="1">
      <c r="A3780" t="s">
        <v>3885</v>
      </c>
      <c r="B3780" s="1">
        <v>45422</v>
      </c>
      <c r="C3780">
        <v>2024</v>
      </c>
      <c r="D3780">
        <v>5</v>
      </c>
      <c r="E3780" t="s">
        <v>47</v>
      </c>
      <c r="F3780" t="s">
        <v>24</v>
      </c>
      <c r="G3780" t="s">
        <v>91</v>
      </c>
      <c r="H3780" t="s">
        <v>128</v>
      </c>
      <c r="I3780">
        <v>8198.23</v>
      </c>
      <c r="J3780">
        <v>6817.15</v>
      </c>
      <c r="K3780" t="s">
        <v>17</v>
      </c>
      <c r="L3780" t="b">
        <v>0</v>
      </c>
      <c r="N3780" s="2" t="b">
        <f t="shared" si="337"/>
        <v>1</v>
      </c>
      <c r="O3780" t="str">
        <f t="shared" si="338"/>
        <v/>
      </c>
      <c r="Q3780" t="str">
        <f t="shared" si="339"/>
        <v/>
      </c>
    </row>
    <row r="3781" spans="1:17" hidden="1">
      <c r="A3781" t="s">
        <v>3886</v>
      </c>
      <c r="B3781" s="1">
        <v>45422</v>
      </c>
      <c r="C3781">
        <v>2024</v>
      </c>
      <c r="D3781">
        <v>5</v>
      </c>
      <c r="E3781" t="s">
        <v>19</v>
      </c>
      <c r="F3781" t="s">
        <v>24</v>
      </c>
      <c r="G3781" t="s">
        <v>132</v>
      </c>
      <c r="H3781" t="s">
        <v>138</v>
      </c>
      <c r="I3781">
        <v>5175.1000000000004</v>
      </c>
      <c r="J3781">
        <v>4877.04</v>
      </c>
      <c r="K3781" t="s">
        <v>17</v>
      </c>
      <c r="L3781" t="b">
        <v>0</v>
      </c>
      <c r="N3781" s="2" t="str">
        <f t="shared" si="337"/>
        <v/>
      </c>
      <c r="Q3781" t="str">
        <f t="shared" si="339"/>
        <v/>
      </c>
    </row>
    <row r="3782" spans="1:17" hidden="1">
      <c r="A3782" t="s">
        <v>3887</v>
      </c>
      <c r="B3782" s="1">
        <v>45422</v>
      </c>
      <c r="C3782">
        <v>2024</v>
      </c>
      <c r="D3782">
        <v>5</v>
      </c>
      <c r="E3782" t="s">
        <v>23</v>
      </c>
      <c r="F3782" t="s">
        <v>14</v>
      </c>
      <c r="G3782" t="s">
        <v>141</v>
      </c>
      <c r="H3782" t="s">
        <v>142</v>
      </c>
      <c r="I3782">
        <v>4821.3999999999996</v>
      </c>
      <c r="J3782">
        <v>4378.3</v>
      </c>
      <c r="K3782" t="s">
        <v>17</v>
      </c>
      <c r="L3782" t="b">
        <v>0</v>
      </c>
      <c r="N3782" s="2" t="str">
        <f t="shared" si="337"/>
        <v/>
      </c>
      <c r="Q3782" t="str">
        <f t="shared" si="339"/>
        <v/>
      </c>
    </row>
    <row r="3783" spans="1:17" hidden="1">
      <c r="A3783" t="s">
        <v>3888</v>
      </c>
      <c r="B3783" s="1">
        <v>45422</v>
      </c>
      <c r="C3783">
        <v>2024</v>
      </c>
      <c r="D3783">
        <v>5</v>
      </c>
      <c r="E3783" t="s">
        <v>37</v>
      </c>
      <c r="F3783" t="s">
        <v>14</v>
      </c>
      <c r="G3783" t="s">
        <v>41</v>
      </c>
      <c r="H3783" t="s">
        <v>42</v>
      </c>
      <c r="I3783">
        <v>5010.6899999999996</v>
      </c>
      <c r="J3783">
        <v>4744.1499999999996</v>
      </c>
      <c r="K3783" t="s">
        <v>17</v>
      </c>
      <c r="L3783" t="b">
        <v>0</v>
      </c>
      <c r="N3783" s="2" t="str">
        <f t="shared" si="337"/>
        <v/>
      </c>
      <c r="Q3783" t="str">
        <f t="shared" si="339"/>
        <v/>
      </c>
    </row>
    <row r="3784" spans="1:17" hidden="1">
      <c r="A3784" t="s">
        <v>3889</v>
      </c>
      <c r="B3784" s="1">
        <v>45422</v>
      </c>
      <c r="C3784">
        <v>2024</v>
      </c>
      <c r="D3784">
        <v>5</v>
      </c>
      <c r="E3784" t="s">
        <v>37</v>
      </c>
      <c r="F3784" t="s">
        <v>14</v>
      </c>
      <c r="G3784" t="s">
        <v>38</v>
      </c>
      <c r="H3784" t="s">
        <v>227</v>
      </c>
      <c r="I3784">
        <v>4661.7299999999996</v>
      </c>
      <c r="J3784">
        <v>4758.0600000000004</v>
      </c>
      <c r="K3784" t="s">
        <v>17</v>
      </c>
      <c r="L3784" t="b">
        <v>0</v>
      </c>
      <c r="N3784" s="2" t="str">
        <f t="shared" si="337"/>
        <v/>
      </c>
      <c r="Q3784" t="str">
        <f t="shared" si="339"/>
        <v/>
      </c>
    </row>
    <row r="3785" spans="1:17" hidden="1">
      <c r="A3785" t="s">
        <v>3890</v>
      </c>
      <c r="B3785" s="1">
        <v>45423</v>
      </c>
      <c r="C3785">
        <v>2024</v>
      </c>
      <c r="D3785">
        <v>5</v>
      </c>
      <c r="E3785" t="s">
        <v>19</v>
      </c>
      <c r="F3785" t="s">
        <v>14</v>
      </c>
      <c r="G3785" t="s">
        <v>80</v>
      </c>
      <c r="H3785" t="s">
        <v>217</v>
      </c>
      <c r="I3785">
        <v>10455.620000000001</v>
      </c>
      <c r="J3785">
        <v>10593.11</v>
      </c>
      <c r="K3785" t="s">
        <v>17</v>
      </c>
      <c r="L3785" t="b">
        <v>0</v>
      </c>
      <c r="N3785" s="2" t="str">
        <f t="shared" si="337"/>
        <v/>
      </c>
      <c r="Q3785" t="str">
        <f t="shared" si="339"/>
        <v/>
      </c>
    </row>
    <row r="3786" spans="1:17" hidden="1">
      <c r="A3786" t="s">
        <v>3891</v>
      </c>
      <c r="B3786" s="1">
        <v>45423</v>
      </c>
      <c r="C3786">
        <v>2024</v>
      </c>
      <c r="D3786">
        <v>5</v>
      </c>
      <c r="E3786" t="s">
        <v>23</v>
      </c>
      <c r="F3786" t="s">
        <v>14</v>
      </c>
      <c r="G3786" t="s">
        <v>25</v>
      </c>
      <c r="H3786" t="s">
        <v>26</v>
      </c>
      <c r="I3786">
        <v>5428.59</v>
      </c>
      <c r="J3786">
        <v>5375.76</v>
      </c>
      <c r="K3786" t="s">
        <v>17</v>
      </c>
      <c r="L3786" t="b">
        <v>0</v>
      </c>
      <c r="N3786" s="2" t="str">
        <f t="shared" si="337"/>
        <v/>
      </c>
      <c r="Q3786" t="str">
        <f t="shared" si="339"/>
        <v/>
      </c>
    </row>
    <row r="3787" spans="1:17" hidden="1">
      <c r="A3787" t="s">
        <v>3892</v>
      </c>
      <c r="B3787" s="1">
        <v>45423</v>
      </c>
      <c r="C3787">
        <v>2024</v>
      </c>
      <c r="D3787">
        <v>5</v>
      </c>
      <c r="E3787" t="s">
        <v>37</v>
      </c>
      <c r="F3787" t="s">
        <v>28</v>
      </c>
      <c r="G3787" t="s">
        <v>98</v>
      </c>
      <c r="H3787" t="s">
        <v>185</v>
      </c>
      <c r="I3787">
        <v>4690.12</v>
      </c>
      <c r="J3787">
        <v>4446.3500000000004</v>
      </c>
      <c r="K3787" t="s">
        <v>17</v>
      </c>
      <c r="L3787" t="b">
        <v>0</v>
      </c>
      <c r="N3787" s="2" t="str">
        <f t="shared" si="337"/>
        <v/>
      </c>
      <c r="Q3787" t="str">
        <f t="shared" si="339"/>
        <v/>
      </c>
    </row>
    <row r="3788" spans="1:17" hidden="1">
      <c r="A3788" t="s">
        <v>3893</v>
      </c>
      <c r="B3788" s="1">
        <v>45424</v>
      </c>
      <c r="C3788">
        <v>2024</v>
      </c>
      <c r="D3788">
        <v>5</v>
      </c>
      <c r="E3788" t="s">
        <v>13</v>
      </c>
      <c r="F3788" t="s">
        <v>24</v>
      </c>
      <c r="G3788" t="s">
        <v>68</v>
      </c>
      <c r="H3788" t="s">
        <v>69</v>
      </c>
      <c r="I3788">
        <v>2585.1</v>
      </c>
      <c r="J3788">
        <v>2734.28</v>
      </c>
      <c r="K3788" t="s">
        <v>17</v>
      </c>
      <c r="L3788" t="b">
        <v>0</v>
      </c>
      <c r="N3788" s="2" t="str">
        <f t="shared" si="337"/>
        <v/>
      </c>
      <c r="Q3788" t="str">
        <f t="shared" si="339"/>
        <v/>
      </c>
    </row>
    <row r="3789" spans="1:17" hidden="1">
      <c r="A3789" t="s">
        <v>3894</v>
      </c>
      <c r="B3789" s="1">
        <v>45424</v>
      </c>
      <c r="C3789">
        <v>2024</v>
      </c>
      <c r="D3789">
        <v>5</v>
      </c>
      <c r="E3789" t="s">
        <v>13</v>
      </c>
      <c r="F3789" t="s">
        <v>24</v>
      </c>
      <c r="G3789" t="s">
        <v>102</v>
      </c>
      <c r="H3789" t="s">
        <v>278</v>
      </c>
      <c r="I3789">
        <v>3806.53</v>
      </c>
      <c r="J3789">
        <v>3838.41</v>
      </c>
      <c r="K3789" t="s">
        <v>17</v>
      </c>
      <c r="L3789" t="b">
        <v>0</v>
      </c>
      <c r="N3789" s="2" t="str">
        <f t="shared" si="337"/>
        <v/>
      </c>
      <c r="Q3789" t="str">
        <f t="shared" si="339"/>
        <v/>
      </c>
    </row>
    <row r="3790" spans="1:17" hidden="1">
      <c r="A3790" t="s">
        <v>3895</v>
      </c>
      <c r="B3790" s="1">
        <v>45424</v>
      </c>
      <c r="C3790">
        <v>2024</v>
      </c>
      <c r="D3790">
        <v>5</v>
      </c>
      <c r="E3790" t="s">
        <v>47</v>
      </c>
      <c r="F3790" t="s">
        <v>28</v>
      </c>
      <c r="G3790" t="s">
        <v>91</v>
      </c>
      <c r="H3790" t="s">
        <v>254</v>
      </c>
      <c r="I3790">
        <v>14802.89</v>
      </c>
      <c r="J3790">
        <v>12758.01</v>
      </c>
      <c r="K3790" t="s">
        <v>17</v>
      </c>
      <c r="L3790" t="b">
        <v>0</v>
      </c>
      <c r="N3790" s="2" t="b">
        <f t="shared" si="337"/>
        <v>1</v>
      </c>
      <c r="O3790" t="str">
        <f t="shared" ref="O3790:O3791" si="340">IF(AND(E3779="HR",K3779="EXPENSE"),I3779&lt;J3779,"")</f>
        <v/>
      </c>
      <c r="Q3790" t="str">
        <f t="shared" si="339"/>
        <v/>
      </c>
    </row>
    <row r="3791" spans="1:17" hidden="1">
      <c r="A3791" t="s">
        <v>3896</v>
      </c>
      <c r="B3791" s="1">
        <v>45424</v>
      </c>
      <c r="C3791">
        <v>2024</v>
      </c>
      <c r="D3791">
        <v>5</v>
      </c>
      <c r="E3791" t="s">
        <v>47</v>
      </c>
      <c r="F3791" t="s">
        <v>28</v>
      </c>
      <c r="G3791" t="s">
        <v>51</v>
      </c>
      <c r="H3791" t="s">
        <v>52</v>
      </c>
      <c r="I3791">
        <v>14856.48</v>
      </c>
      <c r="J3791">
        <v>12778.34</v>
      </c>
      <c r="K3791" t="s">
        <v>17</v>
      </c>
      <c r="L3791" t="b">
        <v>0</v>
      </c>
      <c r="N3791" s="2" t="b">
        <f t="shared" si="337"/>
        <v>1</v>
      </c>
      <c r="O3791" t="str">
        <f t="shared" si="340"/>
        <v/>
      </c>
      <c r="Q3791" t="str">
        <f t="shared" si="339"/>
        <v/>
      </c>
    </row>
    <row r="3792" spans="1:17" hidden="1">
      <c r="A3792" t="s">
        <v>3897</v>
      </c>
      <c r="B3792" s="1">
        <v>45424</v>
      </c>
      <c r="C3792">
        <v>2024</v>
      </c>
      <c r="D3792">
        <v>5</v>
      </c>
      <c r="E3792" t="s">
        <v>19</v>
      </c>
      <c r="F3792" t="s">
        <v>14</v>
      </c>
      <c r="G3792" t="s">
        <v>54</v>
      </c>
      <c r="H3792" t="s">
        <v>163</v>
      </c>
      <c r="I3792">
        <v>5853.52</v>
      </c>
      <c r="J3792">
        <v>5336.26</v>
      </c>
      <c r="K3792" t="s">
        <v>17</v>
      </c>
      <c r="L3792" t="b">
        <v>0</v>
      </c>
      <c r="N3792" s="2" t="str">
        <f t="shared" si="337"/>
        <v/>
      </c>
      <c r="Q3792" t="str">
        <f t="shared" si="339"/>
        <v/>
      </c>
    </row>
    <row r="3793" spans="1:17" hidden="1">
      <c r="A3793" t="s">
        <v>3898</v>
      </c>
      <c r="B3793" s="1">
        <v>45424</v>
      </c>
      <c r="C3793">
        <v>2024</v>
      </c>
      <c r="D3793">
        <v>5</v>
      </c>
      <c r="E3793" t="s">
        <v>23</v>
      </c>
      <c r="F3793" t="s">
        <v>28</v>
      </c>
      <c r="G3793" t="s">
        <v>59</v>
      </c>
      <c r="H3793" t="s">
        <v>60</v>
      </c>
      <c r="I3793">
        <v>3300.56</v>
      </c>
      <c r="J3793">
        <v>3029.01</v>
      </c>
      <c r="K3793" t="s">
        <v>17</v>
      </c>
      <c r="L3793" t="b">
        <v>0</v>
      </c>
      <c r="N3793" s="2" t="str">
        <f t="shared" si="337"/>
        <v/>
      </c>
      <c r="Q3793" t="str">
        <f t="shared" si="339"/>
        <v/>
      </c>
    </row>
    <row r="3794" spans="1:17" hidden="1">
      <c r="A3794" t="s">
        <v>3899</v>
      </c>
      <c r="B3794" s="1">
        <v>45424</v>
      </c>
      <c r="C3794">
        <v>2024</v>
      </c>
      <c r="D3794">
        <v>5</v>
      </c>
      <c r="E3794" t="s">
        <v>23</v>
      </c>
      <c r="F3794" t="s">
        <v>28</v>
      </c>
      <c r="G3794" t="s">
        <v>30</v>
      </c>
      <c r="H3794" t="s">
        <v>33</v>
      </c>
      <c r="I3794">
        <v>5085.5200000000004</v>
      </c>
      <c r="J3794">
        <v>5206.6499999999996</v>
      </c>
      <c r="K3794" t="s">
        <v>17</v>
      </c>
      <c r="L3794" t="b">
        <v>0</v>
      </c>
      <c r="N3794" s="2" t="str">
        <f t="shared" si="337"/>
        <v/>
      </c>
      <c r="Q3794" t="str">
        <f t="shared" si="339"/>
        <v/>
      </c>
    </row>
    <row r="3795" spans="1:17" hidden="1">
      <c r="A3795" t="s">
        <v>3900</v>
      </c>
      <c r="B3795" s="1">
        <v>45424</v>
      </c>
      <c r="C3795">
        <v>2024</v>
      </c>
      <c r="D3795">
        <v>5</v>
      </c>
      <c r="E3795" t="s">
        <v>23</v>
      </c>
      <c r="F3795" t="s">
        <v>28</v>
      </c>
      <c r="G3795" t="s">
        <v>141</v>
      </c>
      <c r="H3795" t="s">
        <v>142</v>
      </c>
      <c r="I3795">
        <v>6158.78</v>
      </c>
      <c r="J3795">
        <v>5932.88</v>
      </c>
      <c r="K3795" t="s">
        <v>17</v>
      </c>
      <c r="L3795" t="b">
        <v>0</v>
      </c>
      <c r="N3795" s="2" t="str">
        <f t="shared" si="337"/>
        <v/>
      </c>
      <c r="Q3795" t="str">
        <f t="shared" si="339"/>
        <v/>
      </c>
    </row>
    <row r="3796" spans="1:17" hidden="1">
      <c r="A3796" t="s">
        <v>3901</v>
      </c>
      <c r="B3796" s="1">
        <v>45424</v>
      </c>
      <c r="C3796">
        <v>2024</v>
      </c>
      <c r="D3796">
        <v>5</v>
      </c>
      <c r="E3796" t="s">
        <v>37</v>
      </c>
      <c r="F3796" t="s">
        <v>14</v>
      </c>
      <c r="G3796" t="s">
        <v>38</v>
      </c>
      <c r="H3796" t="s">
        <v>39</v>
      </c>
      <c r="I3796">
        <v>2150.59</v>
      </c>
      <c r="J3796">
        <v>2138.17</v>
      </c>
      <c r="K3796" t="s">
        <v>17</v>
      </c>
      <c r="L3796" t="b">
        <v>0</v>
      </c>
      <c r="N3796" s="2" t="str">
        <f t="shared" si="337"/>
        <v/>
      </c>
      <c r="Q3796" t="str">
        <f t="shared" si="339"/>
        <v/>
      </c>
    </row>
    <row r="3797" spans="1:17" hidden="1">
      <c r="A3797" t="s">
        <v>3902</v>
      </c>
      <c r="B3797" s="1">
        <v>45424</v>
      </c>
      <c r="C3797">
        <v>2024</v>
      </c>
      <c r="D3797">
        <v>5</v>
      </c>
      <c r="E3797" t="s">
        <v>37</v>
      </c>
      <c r="F3797" t="s">
        <v>28</v>
      </c>
      <c r="G3797" t="s">
        <v>98</v>
      </c>
      <c r="H3797" t="s">
        <v>99</v>
      </c>
      <c r="I3797">
        <v>6223.37</v>
      </c>
      <c r="J3797">
        <v>5607.68</v>
      </c>
      <c r="K3797" t="s">
        <v>17</v>
      </c>
      <c r="L3797" t="b">
        <v>0</v>
      </c>
      <c r="N3797" s="2" t="str">
        <f t="shared" si="337"/>
        <v/>
      </c>
      <c r="Q3797" t="str">
        <f t="shared" si="339"/>
        <v/>
      </c>
    </row>
    <row r="3798" spans="1:17" hidden="1">
      <c r="A3798" t="s">
        <v>3903</v>
      </c>
      <c r="B3798" s="1">
        <v>45424</v>
      </c>
      <c r="C3798">
        <v>2024</v>
      </c>
      <c r="D3798">
        <v>5</v>
      </c>
      <c r="E3798" t="s">
        <v>37</v>
      </c>
      <c r="F3798" t="s">
        <v>24</v>
      </c>
      <c r="G3798" t="s">
        <v>62</v>
      </c>
      <c r="H3798" t="s">
        <v>63</v>
      </c>
      <c r="I3798">
        <v>3984.74</v>
      </c>
      <c r="J3798">
        <v>4306.5200000000004</v>
      </c>
      <c r="K3798" t="s">
        <v>17</v>
      </c>
      <c r="L3798" t="b">
        <v>0</v>
      </c>
      <c r="N3798" s="2" t="str">
        <f t="shared" si="337"/>
        <v/>
      </c>
      <c r="Q3798" t="str">
        <f t="shared" si="339"/>
        <v/>
      </c>
    </row>
    <row r="3799" spans="1:17" hidden="1">
      <c r="A3799" t="s">
        <v>3904</v>
      </c>
      <c r="B3799" s="1">
        <v>45424</v>
      </c>
      <c r="C3799">
        <v>2024</v>
      </c>
      <c r="D3799">
        <v>5</v>
      </c>
      <c r="E3799" t="s">
        <v>37</v>
      </c>
      <c r="F3799" t="s">
        <v>24</v>
      </c>
      <c r="G3799" t="s">
        <v>62</v>
      </c>
      <c r="H3799" t="s">
        <v>360</v>
      </c>
      <c r="I3799">
        <v>5185.28</v>
      </c>
      <c r="J3799">
        <v>4951.05</v>
      </c>
      <c r="K3799" t="s">
        <v>17</v>
      </c>
      <c r="L3799" t="b">
        <v>0</v>
      </c>
      <c r="N3799" s="2" t="str">
        <f t="shared" si="337"/>
        <v/>
      </c>
      <c r="Q3799" t="str">
        <f t="shared" si="339"/>
        <v/>
      </c>
    </row>
    <row r="3800" spans="1:17" hidden="1">
      <c r="A3800" t="s">
        <v>3905</v>
      </c>
      <c r="B3800" s="1">
        <v>45425</v>
      </c>
      <c r="C3800">
        <v>2024</v>
      </c>
      <c r="D3800">
        <v>5</v>
      </c>
      <c r="E3800" t="s">
        <v>13</v>
      </c>
      <c r="F3800" t="s">
        <v>28</v>
      </c>
      <c r="G3800" t="s">
        <v>108</v>
      </c>
      <c r="H3800" t="s">
        <v>109</v>
      </c>
      <c r="I3800">
        <v>2633.29</v>
      </c>
      <c r="J3800">
        <v>2856.92</v>
      </c>
      <c r="K3800" t="s">
        <v>17</v>
      </c>
      <c r="L3800" t="b">
        <v>0</v>
      </c>
      <c r="N3800" s="2" t="str">
        <f t="shared" si="337"/>
        <v/>
      </c>
      <c r="Q3800" t="str">
        <f t="shared" si="339"/>
        <v/>
      </c>
    </row>
    <row r="3801" spans="1:17" hidden="1">
      <c r="A3801" t="s">
        <v>3906</v>
      </c>
      <c r="B3801" s="1">
        <v>45425</v>
      </c>
      <c r="C3801">
        <v>2024</v>
      </c>
      <c r="D3801">
        <v>5</v>
      </c>
      <c r="E3801" t="s">
        <v>23</v>
      </c>
      <c r="F3801" t="s">
        <v>24</v>
      </c>
      <c r="G3801" t="s">
        <v>25</v>
      </c>
      <c r="H3801" t="s">
        <v>26</v>
      </c>
      <c r="I3801">
        <v>6092.2</v>
      </c>
      <c r="J3801">
        <v>6672.68</v>
      </c>
      <c r="K3801" t="s">
        <v>17</v>
      </c>
      <c r="L3801" t="b">
        <v>0</v>
      </c>
      <c r="N3801" s="2" t="str">
        <f t="shared" si="337"/>
        <v/>
      </c>
      <c r="Q3801" t="str">
        <f t="shared" si="339"/>
        <v/>
      </c>
    </row>
    <row r="3802" spans="1:17" hidden="1">
      <c r="A3802" t="s">
        <v>3907</v>
      </c>
      <c r="B3802" s="1">
        <v>45425</v>
      </c>
      <c r="C3802">
        <v>2024</v>
      </c>
      <c r="D3802">
        <v>5</v>
      </c>
      <c r="E3802" t="s">
        <v>23</v>
      </c>
      <c r="F3802" t="s">
        <v>24</v>
      </c>
      <c r="G3802" t="s">
        <v>141</v>
      </c>
      <c r="H3802" t="s">
        <v>153</v>
      </c>
      <c r="I3802">
        <v>7494.75</v>
      </c>
      <c r="J3802">
        <v>7166.87</v>
      </c>
      <c r="K3802" t="s">
        <v>17</v>
      </c>
      <c r="L3802" t="b">
        <v>0</v>
      </c>
      <c r="N3802" s="2" t="str">
        <f t="shared" si="337"/>
        <v/>
      </c>
      <c r="Q3802" t="str">
        <f t="shared" si="339"/>
        <v/>
      </c>
    </row>
    <row r="3803" spans="1:17" hidden="1">
      <c r="A3803" t="s">
        <v>3908</v>
      </c>
      <c r="B3803" s="1">
        <v>45425</v>
      </c>
      <c r="C3803">
        <v>2024</v>
      </c>
      <c r="D3803">
        <v>5</v>
      </c>
      <c r="E3803" t="s">
        <v>23</v>
      </c>
      <c r="F3803" t="s">
        <v>24</v>
      </c>
      <c r="G3803" t="s">
        <v>25</v>
      </c>
      <c r="H3803" t="s">
        <v>95</v>
      </c>
      <c r="I3803">
        <v>6998.1</v>
      </c>
      <c r="J3803">
        <v>6967.14</v>
      </c>
      <c r="K3803" t="s">
        <v>17</v>
      </c>
      <c r="L3803" t="b">
        <v>0</v>
      </c>
      <c r="N3803" s="2" t="str">
        <f t="shared" si="337"/>
        <v/>
      </c>
      <c r="Q3803" t="str">
        <f t="shared" si="339"/>
        <v/>
      </c>
    </row>
    <row r="3804" spans="1:17" hidden="1">
      <c r="A3804" t="s">
        <v>3909</v>
      </c>
      <c r="B3804" s="1">
        <v>45426</v>
      </c>
      <c r="C3804">
        <v>2024</v>
      </c>
      <c r="D3804">
        <v>5</v>
      </c>
      <c r="E3804" t="s">
        <v>13</v>
      </c>
      <c r="F3804" t="s">
        <v>14</v>
      </c>
      <c r="G3804" t="s">
        <v>68</v>
      </c>
      <c r="H3804" t="s">
        <v>213</v>
      </c>
      <c r="I3804">
        <v>3504.35</v>
      </c>
      <c r="J3804">
        <v>3646.65</v>
      </c>
      <c r="K3804" t="s">
        <v>17</v>
      </c>
      <c r="L3804" t="b">
        <v>0</v>
      </c>
      <c r="N3804" s="2" t="str">
        <f t="shared" si="337"/>
        <v/>
      </c>
      <c r="Q3804" t="str">
        <f t="shared" si="339"/>
        <v/>
      </c>
    </row>
    <row r="3805" spans="1:17" hidden="1">
      <c r="A3805" t="s">
        <v>3910</v>
      </c>
      <c r="B3805" s="1">
        <v>45426</v>
      </c>
      <c r="C3805">
        <v>2024</v>
      </c>
      <c r="D3805">
        <v>5</v>
      </c>
      <c r="E3805" t="s">
        <v>13</v>
      </c>
      <c r="F3805" t="s">
        <v>24</v>
      </c>
      <c r="G3805" t="s">
        <v>108</v>
      </c>
      <c r="H3805" t="s">
        <v>123</v>
      </c>
      <c r="I3805">
        <v>4965.72</v>
      </c>
      <c r="J3805">
        <v>4661.5600000000004</v>
      </c>
      <c r="K3805" t="s">
        <v>17</v>
      </c>
      <c r="L3805" t="b">
        <v>0</v>
      </c>
      <c r="N3805" s="2" t="str">
        <f t="shared" si="337"/>
        <v/>
      </c>
      <c r="Q3805" t="str">
        <f t="shared" si="339"/>
        <v/>
      </c>
    </row>
    <row r="3806" spans="1:17" hidden="1">
      <c r="A3806" t="s">
        <v>3911</v>
      </c>
      <c r="B3806" s="1">
        <v>45426</v>
      </c>
      <c r="C3806">
        <v>2024</v>
      </c>
      <c r="D3806">
        <v>5</v>
      </c>
      <c r="E3806" t="s">
        <v>47</v>
      </c>
      <c r="F3806" t="s">
        <v>14</v>
      </c>
      <c r="G3806" t="s">
        <v>48</v>
      </c>
      <c r="H3806" t="s">
        <v>75</v>
      </c>
      <c r="I3806">
        <v>13267.05</v>
      </c>
      <c r="J3806">
        <v>11053.18</v>
      </c>
      <c r="K3806" t="s">
        <v>17</v>
      </c>
      <c r="L3806" t="b">
        <v>0</v>
      </c>
      <c r="N3806" s="2" t="b">
        <f t="shared" si="337"/>
        <v>1</v>
      </c>
      <c r="O3806" t="str">
        <f t="shared" ref="O3806:O3807" si="341">IF(AND(E3795="HR",K3795="EXPENSE"),I3795&lt;J3795,"")</f>
        <v/>
      </c>
      <c r="Q3806" t="str">
        <f t="shared" si="339"/>
        <v/>
      </c>
    </row>
    <row r="3807" spans="1:17" hidden="1">
      <c r="A3807" t="s">
        <v>3912</v>
      </c>
      <c r="B3807" s="1">
        <v>45426</v>
      </c>
      <c r="C3807">
        <v>2024</v>
      </c>
      <c r="D3807">
        <v>5</v>
      </c>
      <c r="E3807" t="s">
        <v>47</v>
      </c>
      <c r="F3807" t="s">
        <v>14</v>
      </c>
      <c r="G3807" t="s">
        <v>48</v>
      </c>
      <c r="H3807" t="s">
        <v>111</v>
      </c>
      <c r="I3807">
        <v>20490.080000000002</v>
      </c>
      <c r="J3807">
        <v>17598.419999999998</v>
      </c>
      <c r="K3807" t="s">
        <v>17</v>
      </c>
      <c r="L3807" t="b">
        <v>0</v>
      </c>
      <c r="N3807" s="2" t="b">
        <f t="shared" si="337"/>
        <v>1</v>
      </c>
      <c r="O3807" t="str">
        <f t="shared" si="341"/>
        <v/>
      </c>
      <c r="Q3807" t="str">
        <f t="shared" si="339"/>
        <v/>
      </c>
    </row>
    <row r="3808" spans="1:17" hidden="1">
      <c r="A3808" t="s">
        <v>3913</v>
      </c>
      <c r="B3808" s="1">
        <v>45426</v>
      </c>
      <c r="C3808">
        <v>2024</v>
      </c>
      <c r="D3808">
        <v>5</v>
      </c>
      <c r="E3808" t="s">
        <v>19</v>
      </c>
      <c r="F3808" t="s">
        <v>24</v>
      </c>
      <c r="G3808" t="s">
        <v>20</v>
      </c>
      <c r="H3808" t="s">
        <v>174</v>
      </c>
      <c r="I3808">
        <v>7379.61</v>
      </c>
      <c r="J3808">
        <v>7426.7</v>
      </c>
      <c r="K3808" t="s">
        <v>17</v>
      </c>
      <c r="L3808" t="b">
        <v>0</v>
      </c>
      <c r="N3808" s="2" t="str">
        <f t="shared" si="337"/>
        <v/>
      </c>
      <c r="Q3808" t="str">
        <f t="shared" si="339"/>
        <v/>
      </c>
    </row>
    <row r="3809" spans="1:17" hidden="1">
      <c r="A3809" t="s">
        <v>3914</v>
      </c>
      <c r="B3809" s="1">
        <v>45426</v>
      </c>
      <c r="C3809">
        <v>2024</v>
      </c>
      <c r="D3809">
        <v>5</v>
      </c>
      <c r="E3809" t="s">
        <v>23</v>
      </c>
      <c r="F3809" t="s">
        <v>28</v>
      </c>
      <c r="G3809" t="s">
        <v>59</v>
      </c>
      <c r="H3809" t="s">
        <v>60</v>
      </c>
      <c r="I3809">
        <v>6277.33</v>
      </c>
      <c r="J3809">
        <v>5830</v>
      </c>
      <c r="K3809" t="s">
        <v>17</v>
      </c>
      <c r="L3809" t="b">
        <v>0</v>
      </c>
      <c r="N3809" s="2" t="str">
        <f t="shared" si="337"/>
        <v/>
      </c>
      <c r="Q3809" t="str">
        <f t="shared" si="339"/>
        <v/>
      </c>
    </row>
    <row r="3810" spans="1:17" hidden="1">
      <c r="A3810" t="s">
        <v>3915</v>
      </c>
      <c r="B3810" s="1">
        <v>45426</v>
      </c>
      <c r="C3810">
        <v>2024</v>
      </c>
      <c r="D3810">
        <v>5</v>
      </c>
      <c r="E3810" t="s">
        <v>37</v>
      </c>
      <c r="F3810" t="s">
        <v>14</v>
      </c>
      <c r="G3810" t="s">
        <v>98</v>
      </c>
      <c r="H3810" t="s">
        <v>185</v>
      </c>
      <c r="I3810">
        <v>2770.7</v>
      </c>
      <c r="J3810">
        <v>2700.68</v>
      </c>
      <c r="K3810" t="s">
        <v>17</v>
      </c>
      <c r="L3810" t="b">
        <v>0</v>
      </c>
      <c r="N3810" s="2" t="str">
        <f t="shared" si="337"/>
        <v/>
      </c>
      <c r="Q3810" t="str">
        <f t="shared" si="339"/>
        <v/>
      </c>
    </row>
    <row r="3811" spans="1:17" hidden="1">
      <c r="A3811" t="s">
        <v>3916</v>
      </c>
      <c r="B3811" s="1">
        <v>45426</v>
      </c>
      <c r="C3811">
        <v>2024</v>
      </c>
      <c r="D3811">
        <v>5</v>
      </c>
      <c r="E3811" t="s">
        <v>37</v>
      </c>
      <c r="F3811" t="s">
        <v>28</v>
      </c>
      <c r="G3811" t="s">
        <v>38</v>
      </c>
      <c r="H3811" t="s">
        <v>118</v>
      </c>
      <c r="I3811">
        <v>6059.89</v>
      </c>
      <c r="J3811">
        <v>6647.54</v>
      </c>
      <c r="K3811" t="s">
        <v>17</v>
      </c>
      <c r="L3811" t="b">
        <v>0</v>
      </c>
      <c r="N3811" s="2" t="str">
        <f t="shared" si="337"/>
        <v/>
      </c>
      <c r="Q3811" t="str">
        <f t="shared" si="339"/>
        <v/>
      </c>
    </row>
    <row r="3812" spans="1:17" hidden="1">
      <c r="A3812" t="s">
        <v>3917</v>
      </c>
      <c r="B3812" s="1">
        <v>45426</v>
      </c>
      <c r="C3812">
        <v>2024</v>
      </c>
      <c r="D3812">
        <v>5</v>
      </c>
      <c r="E3812" t="s">
        <v>37</v>
      </c>
      <c r="F3812" t="s">
        <v>24</v>
      </c>
      <c r="G3812" t="s">
        <v>98</v>
      </c>
      <c r="H3812" t="s">
        <v>99</v>
      </c>
      <c r="I3812">
        <v>3222.69</v>
      </c>
      <c r="J3812">
        <v>3494.66</v>
      </c>
      <c r="K3812" t="s">
        <v>17</v>
      </c>
      <c r="L3812" t="b">
        <v>0</v>
      </c>
      <c r="N3812" s="2" t="str">
        <f t="shared" si="337"/>
        <v/>
      </c>
      <c r="Q3812" t="str">
        <f t="shared" si="339"/>
        <v/>
      </c>
    </row>
    <row r="3813" spans="1:17" hidden="1">
      <c r="A3813" t="s">
        <v>3918</v>
      </c>
      <c r="B3813" s="1">
        <v>45427</v>
      </c>
      <c r="C3813">
        <v>2024</v>
      </c>
      <c r="D3813">
        <v>5</v>
      </c>
      <c r="E3813" t="s">
        <v>13</v>
      </c>
      <c r="F3813" t="s">
        <v>28</v>
      </c>
      <c r="G3813" t="s">
        <v>108</v>
      </c>
      <c r="H3813" t="s">
        <v>109</v>
      </c>
      <c r="I3813">
        <v>2351.31</v>
      </c>
      <c r="J3813">
        <v>2490.31</v>
      </c>
      <c r="K3813" t="s">
        <v>17</v>
      </c>
      <c r="L3813" t="b">
        <v>0</v>
      </c>
      <c r="N3813" s="2" t="str">
        <f t="shared" si="337"/>
        <v/>
      </c>
      <c r="Q3813" t="str">
        <f t="shared" si="339"/>
        <v/>
      </c>
    </row>
    <row r="3814" spans="1:17" hidden="1">
      <c r="A3814" t="s">
        <v>3919</v>
      </c>
      <c r="B3814" s="1">
        <v>45427</v>
      </c>
      <c r="C3814">
        <v>2024</v>
      </c>
      <c r="D3814">
        <v>5</v>
      </c>
      <c r="E3814" t="s">
        <v>47</v>
      </c>
      <c r="F3814" t="s">
        <v>24</v>
      </c>
      <c r="G3814" t="s">
        <v>48</v>
      </c>
      <c r="H3814" t="s">
        <v>189</v>
      </c>
      <c r="I3814">
        <v>15037.17</v>
      </c>
      <c r="J3814">
        <v>12328.72</v>
      </c>
      <c r="K3814" t="s">
        <v>17</v>
      </c>
      <c r="L3814" t="b">
        <v>0</v>
      </c>
      <c r="N3814" s="2" t="b">
        <f t="shared" si="337"/>
        <v>1</v>
      </c>
      <c r="O3814" t="str">
        <f t="shared" ref="O3814:O3815" si="342">IF(AND(E3803="HR",K3803="EXPENSE"),I3803&lt;J3803,"")</f>
        <v/>
      </c>
      <c r="Q3814" t="str">
        <f t="shared" si="339"/>
        <v/>
      </c>
    </row>
    <row r="3815" spans="1:17" hidden="1">
      <c r="A3815" t="s">
        <v>3920</v>
      </c>
      <c r="B3815" s="1">
        <v>45427</v>
      </c>
      <c r="C3815">
        <v>2024</v>
      </c>
      <c r="D3815">
        <v>5</v>
      </c>
      <c r="E3815" t="s">
        <v>47</v>
      </c>
      <c r="F3815" t="s">
        <v>24</v>
      </c>
      <c r="G3815" t="s">
        <v>48</v>
      </c>
      <c r="H3815" t="s">
        <v>111</v>
      </c>
      <c r="I3815">
        <v>12996.88</v>
      </c>
      <c r="J3815">
        <v>10669.77</v>
      </c>
      <c r="K3815" t="s">
        <v>17</v>
      </c>
      <c r="L3815" t="b">
        <v>0</v>
      </c>
      <c r="N3815" s="2" t="b">
        <f t="shared" si="337"/>
        <v>1</v>
      </c>
      <c r="O3815" t="b">
        <f t="shared" si="342"/>
        <v>1</v>
      </c>
      <c r="Q3815" t="str">
        <f t="shared" si="339"/>
        <v/>
      </c>
    </row>
    <row r="3816" spans="1:17" hidden="1">
      <c r="A3816" t="s">
        <v>3921</v>
      </c>
      <c r="B3816" s="1">
        <v>45427</v>
      </c>
      <c r="C3816">
        <v>2024</v>
      </c>
      <c r="D3816">
        <v>5</v>
      </c>
      <c r="E3816" t="s">
        <v>19</v>
      </c>
      <c r="F3816" t="s">
        <v>28</v>
      </c>
      <c r="G3816" t="s">
        <v>80</v>
      </c>
      <c r="H3816" t="s">
        <v>150</v>
      </c>
      <c r="I3816">
        <v>7800.23</v>
      </c>
      <c r="J3816">
        <v>7252.32</v>
      </c>
      <c r="K3816" t="s">
        <v>17</v>
      </c>
      <c r="L3816" t="b">
        <v>0</v>
      </c>
      <c r="N3816" s="2" t="str">
        <f t="shared" si="337"/>
        <v/>
      </c>
      <c r="Q3816" t="str">
        <f t="shared" si="339"/>
        <v/>
      </c>
    </row>
    <row r="3817" spans="1:17" hidden="1">
      <c r="A3817" t="s">
        <v>3922</v>
      </c>
      <c r="B3817" s="1">
        <v>45427</v>
      </c>
      <c r="C3817">
        <v>2024</v>
      </c>
      <c r="D3817">
        <v>5</v>
      </c>
      <c r="E3817" t="s">
        <v>23</v>
      </c>
      <c r="F3817" t="s">
        <v>28</v>
      </c>
      <c r="G3817" t="s">
        <v>30</v>
      </c>
      <c r="H3817" t="s">
        <v>106</v>
      </c>
      <c r="I3817">
        <v>7222.88</v>
      </c>
      <c r="J3817">
        <v>7763.3</v>
      </c>
      <c r="K3817" t="s">
        <v>17</v>
      </c>
      <c r="L3817" t="b">
        <v>0</v>
      </c>
      <c r="N3817" s="2" t="str">
        <f t="shared" si="337"/>
        <v/>
      </c>
      <c r="Q3817" t="str">
        <f t="shared" si="339"/>
        <v/>
      </c>
    </row>
    <row r="3818" spans="1:17" hidden="1">
      <c r="A3818" t="s">
        <v>3923</v>
      </c>
      <c r="B3818" s="1">
        <v>45427</v>
      </c>
      <c r="C3818">
        <v>2024</v>
      </c>
      <c r="D3818">
        <v>5</v>
      </c>
      <c r="E3818" t="s">
        <v>23</v>
      </c>
      <c r="F3818" t="s">
        <v>24</v>
      </c>
      <c r="G3818" t="s">
        <v>59</v>
      </c>
      <c r="H3818" t="s">
        <v>60</v>
      </c>
      <c r="I3818">
        <v>5053.41</v>
      </c>
      <c r="J3818">
        <v>5106.82</v>
      </c>
      <c r="K3818" t="s">
        <v>17</v>
      </c>
      <c r="L3818" t="b">
        <v>0</v>
      </c>
      <c r="N3818" s="2" t="str">
        <f t="shared" si="337"/>
        <v/>
      </c>
      <c r="Q3818" t="str">
        <f t="shared" si="339"/>
        <v/>
      </c>
    </row>
    <row r="3819" spans="1:17" hidden="1">
      <c r="A3819" t="s">
        <v>3924</v>
      </c>
      <c r="B3819" s="1">
        <v>45427</v>
      </c>
      <c r="C3819">
        <v>2024</v>
      </c>
      <c r="D3819">
        <v>5</v>
      </c>
      <c r="E3819" t="s">
        <v>37</v>
      </c>
      <c r="F3819" t="s">
        <v>28</v>
      </c>
      <c r="G3819" t="s">
        <v>98</v>
      </c>
      <c r="H3819" t="s">
        <v>99</v>
      </c>
      <c r="I3819">
        <v>4365.6499999999996</v>
      </c>
      <c r="J3819">
        <v>4083.67</v>
      </c>
      <c r="K3819" t="s">
        <v>17</v>
      </c>
      <c r="L3819" t="b">
        <v>0</v>
      </c>
      <c r="N3819" s="2" t="str">
        <f t="shared" si="337"/>
        <v/>
      </c>
      <c r="Q3819" t="str">
        <f t="shared" si="339"/>
        <v/>
      </c>
    </row>
    <row r="3820" spans="1:17" hidden="1">
      <c r="A3820" t="s">
        <v>3925</v>
      </c>
      <c r="B3820" s="1">
        <v>45427</v>
      </c>
      <c r="C3820">
        <v>2024</v>
      </c>
      <c r="D3820">
        <v>5</v>
      </c>
      <c r="E3820" t="s">
        <v>37</v>
      </c>
      <c r="F3820" t="s">
        <v>24</v>
      </c>
      <c r="G3820" t="s">
        <v>98</v>
      </c>
      <c r="H3820" t="s">
        <v>99</v>
      </c>
      <c r="I3820">
        <v>2662.58</v>
      </c>
      <c r="J3820">
        <v>2475.1999999999998</v>
      </c>
      <c r="K3820" t="s">
        <v>17</v>
      </c>
      <c r="L3820" t="b">
        <v>0</v>
      </c>
      <c r="N3820" s="2" t="str">
        <f t="shared" si="337"/>
        <v/>
      </c>
      <c r="Q3820" t="str">
        <f t="shared" si="339"/>
        <v/>
      </c>
    </row>
    <row r="3821" spans="1:17" hidden="1">
      <c r="A3821" t="s">
        <v>3926</v>
      </c>
      <c r="B3821" s="1">
        <v>45428</v>
      </c>
      <c r="C3821">
        <v>2024</v>
      </c>
      <c r="D3821">
        <v>5</v>
      </c>
      <c r="E3821" t="s">
        <v>47</v>
      </c>
      <c r="F3821" t="s">
        <v>14</v>
      </c>
      <c r="G3821" t="s">
        <v>91</v>
      </c>
      <c r="H3821" t="s">
        <v>254</v>
      </c>
      <c r="I3821">
        <v>20048.7</v>
      </c>
      <c r="J3821">
        <v>16465.310000000001</v>
      </c>
      <c r="K3821" t="s">
        <v>17</v>
      </c>
      <c r="L3821" t="b">
        <v>0</v>
      </c>
      <c r="N3821" s="2" t="b">
        <f t="shared" si="337"/>
        <v>1</v>
      </c>
      <c r="O3821" t="str">
        <f>IF(AND(E3810="HR",K3810="EXPENSE"),I3810&lt;J3810,"")</f>
        <v/>
      </c>
      <c r="Q3821" t="str">
        <f t="shared" si="339"/>
        <v/>
      </c>
    </row>
    <row r="3822" spans="1:17" hidden="1">
      <c r="A3822" t="s">
        <v>3927</v>
      </c>
      <c r="B3822" s="1">
        <v>45428</v>
      </c>
      <c r="C3822">
        <v>2024</v>
      </c>
      <c r="D3822">
        <v>5</v>
      </c>
      <c r="E3822" t="s">
        <v>19</v>
      </c>
      <c r="F3822" t="s">
        <v>28</v>
      </c>
      <c r="G3822" t="s">
        <v>80</v>
      </c>
      <c r="H3822" t="s">
        <v>81</v>
      </c>
      <c r="I3822">
        <v>9390.33</v>
      </c>
      <c r="J3822">
        <v>8451.75</v>
      </c>
      <c r="K3822" t="s">
        <v>17</v>
      </c>
      <c r="L3822" t="b">
        <v>0</v>
      </c>
      <c r="N3822" s="2" t="str">
        <f t="shared" si="337"/>
        <v/>
      </c>
      <c r="Q3822" t="str">
        <f t="shared" si="339"/>
        <v/>
      </c>
    </row>
    <row r="3823" spans="1:17" hidden="1">
      <c r="A3823" t="s">
        <v>3928</v>
      </c>
      <c r="B3823" s="1">
        <v>45428</v>
      </c>
      <c r="C3823">
        <v>2024</v>
      </c>
      <c r="D3823">
        <v>5</v>
      </c>
      <c r="E3823" t="s">
        <v>19</v>
      </c>
      <c r="F3823" t="s">
        <v>24</v>
      </c>
      <c r="G3823" t="s">
        <v>20</v>
      </c>
      <c r="H3823" t="s">
        <v>174</v>
      </c>
      <c r="I3823">
        <v>6412.74</v>
      </c>
      <c r="J3823">
        <v>6626.81</v>
      </c>
      <c r="K3823" t="s">
        <v>17</v>
      </c>
      <c r="L3823" t="b">
        <v>0</v>
      </c>
      <c r="N3823" s="2" t="str">
        <f t="shared" si="337"/>
        <v/>
      </c>
      <c r="Q3823" t="str">
        <f t="shared" si="339"/>
        <v/>
      </c>
    </row>
    <row r="3824" spans="1:17" hidden="1">
      <c r="A3824" t="s">
        <v>3929</v>
      </c>
      <c r="B3824" s="1">
        <v>45428</v>
      </c>
      <c r="C3824">
        <v>2024</v>
      </c>
      <c r="D3824">
        <v>5</v>
      </c>
      <c r="E3824" t="s">
        <v>23</v>
      </c>
      <c r="F3824" t="s">
        <v>14</v>
      </c>
      <c r="G3824" t="s">
        <v>59</v>
      </c>
      <c r="H3824" t="s">
        <v>155</v>
      </c>
      <c r="I3824">
        <v>2621.79</v>
      </c>
      <c r="J3824">
        <v>2522.2399999999998</v>
      </c>
      <c r="K3824" t="s">
        <v>17</v>
      </c>
      <c r="L3824" t="b">
        <v>0</v>
      </c>
      <c r="N3824" s="2" t="str">
        <f t="shared" si="337"/>
        <v/>
      </c>
      <c r="Q3824" t="str">
        <f t="shared" si="339"/>
        <v/>
      </c>
    </row>
    <row r="3825" spans="1:17" hidden="1">
      <c r="A3825" t="s">
        <v>3930</v>
      </c>
      <c r="B3825" s="1">
        <v>45428</v>
      </c>
      <c r="C3825">
        <v>2024</v>
      </c>
      <c r="D3825">
        <v>5</v>
      </c>
      <c r="E3825" t="s">
        <v>23</v>
      </c>
      <c r="F3825" t="s">
        <v>28</v>
      </c>
      <c r="G3825" t="s">
        <v>30</v>
      </c>
      <c r="H3825" t="s">
        <v>31</v>
      </c>
      <c r="I3825">
        <v>7876.83</v>
      </c>
      <c r="J3825">
        <v>8396.99</v>
      </c>
      <c r="K3825" t="s">
        <v>17</v>
      </c>
      <c r="L3825" t="b">
        <v>0</v>
      </c>
      <c r="N3825" s="2" t="str">
        <f t="shared" si="337"/>
        <v/>
      </c>
      <c r="Q3825" t="str">
        <f t="shared" si="339"/>
        <v/>
      </c>
    </row>
    <row r="3826" spans="1:17" hidden="1">
      <c r="A3826" t="s">
        <v>3931</v>
      </c>
      <c r="B3826" s="1">
        <v>45429</v>
      </c>
      <c r="C3826">
        <v>2024</v>
      </c>
      <c r="D3826">
        <v>5</v>
      </c>
      <c r="E3826" t="s">
        <v>13</v>
      </c>
      <c r="F3826" t="s">
        <v>14</v>
      </c>
      <c r="G3826" t="s">
        <v>15</v>
      </c>
      <c r="H3826" t="s">
        <v>45</v>
      </c>
      <c r="I3826">
        <v>3674.29</v>
      </c>
      <c r="J3826">
        <v>3484.11</v>
      </c>
      <c r="K3826" t="s">
        <v>17</v>
      </c>
      <c r="L3826" t="b">
        <v>0</v>
      </c>
      <c r="N3826" s="2" t="str">
        <f t="shared" si="337"/>
        <v/>
      </c>
      <c r="Q3826" t="str">
        <f t="shared" si="339"/>
        <v/>
      </c>
    </row>
    <row r="3827" spans="1:17" hidden="1">
      <c r="A3827" t="s">
        <v>3932</v>
      </c>
      <c r="B3827" s="1">
        <v>45429</v>
      </c>
      <c r="C3827">
        <v>2024</v>
      </c>
      <c r="D3827">
        <v>5</v>
      </c>
      <c r="E3827" t="s">
        <v>13</v>
      </c>
      <c r="F3827" t="s">
        <v>28</v>
      </c>
      <c r="G3827" t="s">
        <v>68</v>
      </c>
      <c r="H3827" t="s">
        <v>87</v>
      </c>
      <c r="I3827">
        <v>3776.23</v>
      </c>
      <c r="J3827">
        <v>3869.84</v>
      </c>
      <c r="K3827" t="s">
        <v>17</v>
      </c>
      <c r="L3827" t="b">
        <v>0</v>
      </c>
      <c r="N3827" s="2" t="str">
        <f t="shared" si="337"/>
        <v/>
      </c>
      <c r="Q3827" t="str">
        <f t="shared" si="339"/>
        <v/>
      </c>
    </row>
    <row r="3828" spans="1:17" hidden="1">
      <c r="A3828" t="s">
        <v>3933</v>
      </c>
      <c r="B3828" s="1">
        <v>45429</v>
      </c>
      <c r="C3828">
        <v>2024</v>
      </c>
      <c r="D3828">
        <v>5</v>
      </c>
      <c r="E3828" t="s">
        <v>13</v>
      </c>
      <c r="F3828" t="s">
        <v>24</v>
      </c>
      <c r="G3828" t="s">
        <v>68</v>
      </c>
      <c r="H3828" t="s">
        <v>213</v>
      </c>
      <c r="I3828">
        <v>3538.15</v>
      </c>
      <c r="J3828">
        <v>3268.3</v>
      </c>
      <c r="K3828" t="s">
        <v>17</v>
      </c>
      <c r="L3828" t="b">
        <v>0</v>
      </c>
      <c r="N3828" s="2" t="str">
        <f t="shared" si="337"/>
        <v/>
      </c>
      <c r="Q3828" t="str">
        <f t="shared" si="339"/>
        <v/>
      </c>
    </row>
    <row r="3829" spans="1:17" hidden="1">
      <c r="A3829" t="s">
        <v>3934</v>
      </c>
      <c r="B3829" s="1">
        <v>45429</v>
      </c>
      <c r="C3829">
        <v>2024</v>
      </c>
      <c r="D3829">
        <v>5</v>
      </c>
      <c r="E3829" t="s">
        <v>47</v>
      </c>
      <c r="F3829" t="s">
        <v>24</v>
      </c>
      <c r="G3829" t="s">
        <v>77</v>
      </c>
      <c r="H3829" t="s">
        <v>130</v>
      </c>
      <c r="I3829">
        <v>15495.33</v>
      </c>
      <c r="J3829">
        <v>12925.96</v>
      </c>
      <c r="K3829" t="s">
        <v>17</v>
      </c>
      <c r="L3829" t="b">
        <v>0</v>
      </c>
      <c r="N3829" s="2" t="b">
        <f t="shared" si="337"/>
        <v>1</v>
      </c>
      <c r="O3829" t="str">
        <f>IF(AND(E3818="HR",K3818="EXPENSE"),I3818&lt;J3818,"")</f>
        <v/>
      </c>
      <c r="Q3829" t="str">
        <f t="shared" si="339"/>
        <v/>
      </c>
    </row>
    <row r="3830" spans="1:17" hidden="1">
      <c r="A3830" t="s">
        <v>3935</v>
      </c>
      <c r="B3830" s="1">
        <v>45429</v>
      </c>
      <c r="C3830">
        <v>2024</v>
      </c>
      <c r="D3830">
        <v>5</v>
      </c>
      <c r="E3830" t="s">
        <v>37</v>
      </c>
      <c r="F3830" t="s">
        <v>14</v>
      </c>
      <c r="G3830" t="s">
        <v>38</v>
      </c>
      <c r="H3830" t="s">
        <v>39</v>
      </c>
      <c r="I3830">
        <v>4582.34</v>
      </c>
      <c r="J3830">
        <v>5018.6499999999996</v>
      </c>
      <c r="K3830" t="s">
        <v>17</v>
      </c>
      <c r="L3830" t="b">
        <v>0</v>
      </c>
      <c r="N3830" s="2" t="str">
        <f t="shared" si="337"/>
        <v/>
      </c>
      <c r="Q3830" t="str">
        <f t="shared" si="339"/>
        <v/>
      </c>
    </row>
    <row r="3831" spans="1:17" hidden="1">
      <c r="A3831" t="s">
        <v>3936</v>
      </c>
      <c r="B3831" s="1">
        <v>45430</v>
      </c>
      <c r="C3831">
        <v>2024</v>
      </c>
      <c r="D3831">
        <v>5</v>
      </c>
      <c r="E3831" t="s">
        <v>13</v>
      </c>
      <c r="F3831" t="s">
        <v>28</v>
      </c>
      <c r="G3831" t="s">
        <v>68</v>
      </c>
      <c r="H3831" t="s">
        <v>69</v>
      </c>
      <c r="I3831">
        <v>4489.17</v>
      </c>
      <c r="J3831">
        <v>4650.17</v>
      </c>
      <c r="K3831" t="s">
        <v>17</v>
      </c>
      <c r="L3831" t="b">
        <v>0</v>
      </c>
      <c r="N3831" s="2" t="str">
        <f t="shared" si="337"/>
        <v/>
      </c>
      <c r="Q3831" t="str">
        <f t="shared" si="339"/>
        <v/>
      </c>
    </row>
    <row r="3832" spans="1:17" hidden="1">
      <c r="A3832" t="s">
        <v>3937</v>
      </c>
      <c r="B3832" s="1">
        <v>45430</v>
      </c>
      <c r="C3832">
        <v>2024</v>
      </c>
      <c r="D3832">
        <v>5</v>
      </c>
      <c r="E3832" t="s">
        <v>47</v>
      </c>
      <c r="F3832" t="s">
        <v>28</v>
      </c>
      <c r="G3832" t="s">
        <v>77</v>
      </c>
      <c r="H3832" t="s">
        <v>147</v>
      </c>
      <c r="I3832">
        <v>22926.74</v>
      </c>
      <c r="J3832">
        <v>19182.759999999998</v>
      </c>
      <c r="K3832" t="s">
        <v>17</v>
      </c>
      <c r="L3832" t="b">
        <v>0</v>
      </c>
      <c r="N3832" s="2" t="b">
        <f t="shared" si="337"/>
        <v>1</v>
      </c>
      <c r="O3832" t="str">
        <f t="shared" ref="O3832:O3833" si="343">IF(AND(E3821="HR",K3821="EXPENSE"),I3821&lt;J3821,"")</f>
        <v/>
      </c>
      <c r="Q3832" t="str">
        <f t="shared" si="339"/>
        <v/>
      </c>
    </row>
    <row r="3833" spans="1:17" hidden="1">
      <c r="A3833" t="s">
        <v>3938</v>
      </c>
      <c r="B3833" s="1">
        <v>45430</v>
      </c>
      <c r="C3833">
        <v>2024</v>
      </c>
      <c r="D3833">
        <v>5</v>
      </c>
      <c r="E3833" t="s">
        <v>47</v>
      </c>
      <c r="F3833" t="s">
        <v>28</v>
      </c>
      <c r="G3833" t="s">
        <v>51</v>
      </c>
      <c r="H3833" t="s">
        <v>52</v>
      </c>
      <c r="I3833">
        <v>10982.61</v>
      </c>
      <c r="J3833">
        <v>9172.76</v>
      </c>
      <c r="K3833" t="s">
        <v>17</v>
      </c>
      <c r="L3833" t="b">
        <v>0</v>
      </c>
      <c r="N3833" s="2" t="b">
        <f t="shared" si="337"/>
        <v>1</v>
      </c>
      <c r="O3833" t="str">
        <f t="shared" si="343"/>
        <v/>
      </c>
      <c r="Q3833" t="str">
        <f t="shared" si="339"/>
        <v/>
      </c>
    </row>
    <row r="3834" spans="1:17" hidden="1">
      <c r="A3834" t="s">
        <v>3939</v>
      </c>
      <c r="B3834" s="1">
        <v>45430</v>
      </c>
      <c r="C3834">
        <v>2024</v>
      </c>
      <c r="D3834">
        <v>5</v>
      </c>
      <c r="E3834" t="s">
        <v>37</v>
      </c>
      <c r="F3834" t="s">
        <v>14</v>
      </c>
      <c r="G3834" t="s">
        <v>98</v>
      </c>
      <c r="H3834" t="s">
        <v>185</v>
      </c>
      <c r="I3834">
        <v>6148.5</v>
      </c>
      <c r="J3834">
        <v>6209.96</v>
      </c>
      <c r="K3834" t="s">
        <v>17</v>
      </c>
      <c r="L3834" t="b">
        <v>0</v>
      </c>
      <c r="N3834" s="2" t="str">
        <f t="shared" si="337"/>
        <v/>
      </c>
      <c r="Q3834" t="str">
        <f t="shared" si="339"/>
        <v/>
      </c>
    </row>
    <row r="3835" spans="1:17" hidden="1">
      <c r="A3835" t="s">
        <v>3940</v>
      </c>
      <c r="B3835" s="1">
        <v>45430</v>
      </c>
      <c r="C3835">
        <v>2024</v>
      </c>
      <c r="D3835">
        <v>5</v>
      </c>
      <c r="E3835" t="s">
        <v>37</v>
      </c>
      <c r="F3835" t="s">
        <v>14</v>
      </c>
      <c r="G3835" t="s">
        <v>38</v>
      </c>
      <c r="H3835" t="s">
        <v>227</v>
      </c>
      <c r="I3835">
        <v>7108.56</v>
      </c>
      <c r="J3835">
        <v>7414.95</v>
      </c>
      <c r="K3835" t="s">
        <v>17</v>
      </c>
      <c r="L3835" t="b">
        <v>0</v>
      </c>
      <c r="N3835" s="2" t="str">
        <f t="shared" si="337"/>
        <v/>
      </c>
      <c r="Q3835" t="str">
        <f t="shared" si="339"/>
        <v/>
      </c>
    </row>
    <row r="3836" spans="1:17" hidden="1">
      <c r="A3836" t="s">
        <v>3941</v>
      </c>
      <c r="B3836" s="1">
        <v>45430</v>
      </c>
      <c r="C3836">
        <v>2024</v>
      </c>
      <c r="D3836">
        <v>5</v>
      </c>
      <c r="E3836" t="s">
        <v>37</v>
      </c>
      <c r="F3836" t="s">
        <v>14</v>
      </c>
      <c r="G3836" t="s">
        <v>62</v>
      </c>
      <c r="H3836" t="s">
        <v>66</v>
      </c>
      <c r="I3836">
        <v>3560.35</v>
      </c>
      <c r="J3836">
        <v>3251.76</v>
      </c>
      <c r="K3836" t="s">
        <v>17</v>
      </c>
      <c r="L3836" t="b">
        <v>0</v>
      </c>
      <c r="N3836" s="2" t="str">
        <f t="shared" si="337"/>
        <v/>
      </c>
      <c r="Q3836" t="str">
        <f t="shared" si="339"/>
        <v/>
      </c>
    </row>
    <row r="3837" spans="1:17" hidden="1">
      <c r="A3837" t="s">
        <v>3942</v>
      </c>
      <c r="B3837" s="1">
        <v>45430</v>
      </c>
      <c r="C3837">
        <v>2024</v>
      </c>
      <c r="D3837">
        <v>5</v>
      </c>
      <c r="E3837" t="s">
        <v>37</v>
      </c>
      <c r="F3837" t="s">
        <v>24</v>
      </c>
      <c r="G3837" t="s">
        <v>41</v>
      </c>
      <c r="H3837" t="s">
        <v>42</v>
      </c>
      <c r="I3837">
        <v>4314.5600000000004</v>
      </c>
      <c r="J3837">
        <v>4004.58</v>
      </c>
      <c r="K3837" t="s">
        <v>17</v>
      </c>
      <c r="L3837" t="b">
        <v>0</v>
      </c>
      <c r="N3837" s="2" t="str">
        <f t="shared" si="337"/>
        <v/>
      </c>
      <c r="Q3837" t="str">
        <f t="shared" si="339"/>
        <v/>
      </c>
    </row>
    <row r="3838" spans="1:17" hidden="1">
      <c r="A3838" t="s">
        <v>3943</v>
      </c>
      <c r="B3838" s="1">
        <v>45430</v>
      </c>
      <c r="C3838">
        <v>2024</v>
      </c>
      <c r="D3838">
        <v>5</v>
      </c>
      <c r="E3838" t="s">
        <v>37</v>
      </c>
      <c r="F3838" t="s">
        <v>24</v>
      </c>
      <c r="G3838" t="s">
        <v>62</v>
      </c>
      <c r="H3838" t="s">
        <v>121</v>
      </c>
      <c r="I3838">
        <v>1855.66</v>
      </c>
      <c r="J3838">
        <v>1836.22</v>
      </c>
      <c r="K3838" t="s">
        <v>17</v>
      </c>
      <c r="L3838" t="b">
        <v>0</v>
      </c>
      <c r="N3838" s="2" t="str">
        <f t="shared" si="337"/>
        <v/>
      </c>
      <c r="Q3838" t="str">
        <f t="shared" si="339"/>
        <v/>
      </c>
    </row>
    <row r="3839" spans="1:17" hidden="1">
      <c r="A3839" t="s">
        <v>3944</v>
      </c>
      <c r="B3839" s="1">
        <v>45431</v>
      </c>
      <c r="C3839">
        <v>2024</v>
      </c>
      <c r="D3839">
        <v>5</v>
      </c>
      <c r="E3839" t="s">
        <v>13</v>
      </c>
      <c r="F3839" t="s">
        <v>24</v>
      </c>
      <c r="G3839" t="s">
        <v>108</v>
      </c>
      <c r="H3839" t="s">
        <v>109</v>
      </c>
      <c r="I3839">
        <v>2613.0500000000002</v>
      </c>
      <c r="J3839">
        <v>2470.3200000000002</v>
      </c>
      <c r="K3839" t="s">
        <v>17</v>
      </c>
      <c r="L3839" t="b">
        <v>0</v>
      </c>
      <c r="N3839" s="2" t="str">
        <f t="shared" si="337"/>
        <v/>
      </c>
      <c r="Q3839" t="str">
        <f t="shared" si="339"/>
        <v/>
      </c>
    </row>
    <row r="3840" spans="1:17" hidden="1">
      <c r="A3840" t="s">
        <v>3945</v>
      </c>
      <c r="B3840" s="1">
        <v>45431</v>
      </c>
      <c r="C3840">
        <v>2024</v>
      </c>
      <c r="D3840">
        <v>5</v>
      </c>
      <c r="E3840" t="s">
        <v>13</v>
      </c>
      <c r="F3840" t="s">
        <v>24</v>
      </c>
      <c r="G3840" t="s">
        <v>15</v>
      </c>
      <c r="H3840" t="s">
        <v>89</v>
      </c>
      <c r="I3840">
        <v>4098.42</v>
      </c>
      <c r="J3840">
        <v>4343.9799999999996</v>
      </c>
      <c r="K3840" t="s">
        <v>17</v>
      </c>
      <c r="L3840" t="b">
        <v>0</v>
      </c>
      <c r="N3840" s="2" t="str">
        <f t="shared" si="337"/>
        <v/>
      </c>
      <c r="Q3840" t="str">
        <f t="shared" si="339"/>
        <v/>
      </c>
    </row>
    <row r="3841" spans="1:17" hidden="1">
      <c r="A3841" t="s">
        <v>3946</v>
      </c>
      <c r="B3841" s="1">
        <v>45431</v>
      </c>
      <c r="C3841">
        <v>2024</v>
      </c>
      <c r="D3841">
        <v>5</v>
      </c>
      <c r="E3841" t="s">
        <v>13</v>
      </c>
      <c r="F3841" t="s">
        <v>24</v>
      </c>
      <c r="G3841" t="s">
        <v>102</v>
      </c>
      <c r="H3841" t="s">
        <v>145</v>
      </c>
      <c r="I3841">
        <v>3043.69</v>
      </c>
      <c r="J3841">
        <v>3209.93</v>
      </c>
      <c r="K3841" t="s">
        <v>17</v>
      </c>
      <c r="L3841" t="b">
        <v>0</v>
      </c>
      <c r="N3841" s="2" t="str">
        <f t="shared" si="337"/>
        <v/>
      </c>
      <c r="Q3841" t="str">
        <f t="shared" si="339"/>
        <v/>
      </c>
    </row>
    <row r="3842" spans="1:17" hidden="1">
      <c r="A3842" t="s">
        <v>3947</v>
      </c>
      <c r="B3842" s="1">
        <v>45431</v>
      </c>
      <c r="C3842">
        <v>2024</v>
      </c>
      <c r="D3842">
        <v>5</v>
      </c>
      <c r="E3842" t="s">
        <v>47</v>
      </c>
      <c r="F3842" t="s">
        <v>28</v>
      </c>
      <c r="G3842" t="s">
        <v>91</v>
      </c>
      <c r="H3842" t="s">
        <v>128</v>
      </c>
      <c r="I3842">
        <v>17558.27</v>
      </c>
      <c r="J3842">
        <v>14847.93</v>
      </c>
      <c r="K3842" t="s">
        <v>17</v>
      </c>
      <c r="L3842" t="b">
        <v>0</v>
      </c>
      <c r="N3842" s="2" t="b">
        <f t="shared" si="337"/>
        <v>1</v>
      </c>
      <c r="O3842" t="b">
        <f t="shared" ref="O3842:O3844" si="344">IF(AND(E3831="HR",K3831="EXPENSE"),I3831&lt;J3831,"")</f>
        <v>1</v>
      </c>
      <c r="Q3842" t="str">
        <f t="shared" si="339"/>
        <v/>
      </c>
    </row>
    <row r="3843" spans="1:17" hidden="1">
      <c r="A3843" t="s">
        <v>3948</v>
      </c>
      <c r="B3843" s="1">
        <v>45431</v>
      </c>
      <c r="C3843">
        <v>2024</v>
      </c>
      <c r="D3843">
        <v>5</v>
      </c>
      <c r="E3843" t="s">
        <v>47</v>
      </c>
      <c r="F3843" t="s">
        <v>28</v>
      </c>
      <c r="G3843" t="s">
        <v>48</v>
      </c>
      <c r="H3843" t="s">
        <v>49</v>
      </c>
      <c r="I3843">
        <v>14609.68</v>
      </c>
      <c r="J3843">
        <v>12136.42</v>
      </c>
      <c r="K3843" t="s">
        <v>17</v>
      </c>
      <c r="L3843" t="b">
        <v>0</v>
      </c>
      <c r="N3843" s="2" t="b">
        <f t="shared" ref="N3843:N3906" si="345">IF(AND(E3843="IT",K3843="EXPENSE"),I3843&gt;J3843,"")</f>
        <v>1</v>
      </c>
      <c r="O3843" t="str">
        <f t="shared" si="344"/>
        <v/>
      </c>
      <c r="Q3843" t="str">
        <f t="shared" ref="Q3843:Q3906" si="346">IF(L3843=TRUE,OR(H3843="Apex Solutions Inc",H3843="Global Trade Partners",H3843="NovaTech Services"),"")</f>
        <v/>
      </c>
    </row>
    <row r="3844" spans="1:17" hidden="1">
      <c r="A3844" t="s">
        <v>3949</v>
      </c>
      <c r="B3844" s="1">
        <v>45431</v>
      </c>
      <c r="C3844">
        <v>2024</v>
      </c>
      <c r="D3844">
        <v>5</v>
      </c>
      <c r="E3844" t="s">
        <v>47</v>
      </c>
      <c r="F3844" t="s">
        <v>24</v>
      </c>
      <c r="G3844" t="s">
        <v>48</v>
      </c>
      <c r="H3844" t="s">
        <v>189</v>
      </c>
      <c r="I3844">
        <v>15450.3</v>
      </c>
      <c r="J3844">
        <v>13110.4</v>
      </c>
      <c r="K3844" t="s">
        <v>17</v>
      </c>
      <c r="L3844" t="b">
        <v>0</v>
      </c>
      <c r="N3844" s="2" t="b">
        <f t="shared" si="345"/>
        <v>1</v>
      </c>
      <c r="O3844" t="str">
        <f t="shared" si="344"/>
        <v/>
      </c>
      <c r="Q3844" t="str">
        <f t="shared" si="346"/>
        <v/>
      </c>
    </row>
    <row r="3845" spans="1:17" hidden="1">
      <c r="A3845" t="s">
        <v>3950</v>
      </c>
      <c r="B3845" s="1">
        <v>45431</v>
      </c>
      <c r="C3845">
        <v>2024</v>
      </c>
      <c r="D3845">
        <v>5</v>
      </c>
      <c r="E3845" t="s">
        <v>19</v>
      </c>
      <c r="F3845" t="s">
        <v>24</v>
      </c>
      <c r="G3845" t="s">
        <v>20</v>
      </c>
      <c r="H3845" t="s">
        <v>174</v>
      </c>
      <c r="I3845">
        <v>4921.17</v>
      </c>
      <c r="J3845">
        <v>5025.91</v>
      </c>
      <c r="K3845" t="s">
        <v>17</v>
      </c>
      <c r="L3845" t="b">
        <v>0</v>
      </c>
      <c r="N3845" s="2" t="str">
        <f t="shared" si="345"/>
        <v/>
      </c>
      <c r="Q3845" t="str">
        <f t="shared" si="346"/>
        <v/>
      </c>
    </row>
    <row r="3846" spans="1:17" hidden="1">
      <c r="A3846" t="s">
        <v>3951</v>
      </c>
      <c r="B3846" s="1">
        <v>45431</v>
      </c>
      <c r="C3846">
        <v>2024</v>
      </c>
      <c r="D3846">
        <v>5</v>
      </c>
      <c r="E3846" t="s">
        <v>23</v>
      </c>
      <c r="F3846" t="s">
        <v>14</v>
      </c>
      <c r="G3846" t="s">
        <v>25</v>
      </c>
      <c r="H3846" t="s">
        <v>95</v>
      </c>
      <c r="I3846">
        <v>10848.4</v>
      </c>
      <c r="J3846">
        <v>9945.82</v>
      </c>
      <c r="K3846" t="s">
        <v>17</v>
      </c>
      <c r="L3846" t="b">
        <v>0</v>
      </c>
      <c r="N3846" s="2" t="str">
        <f t="shared" si="345"/>
        <v/>
      </c>
      <c r="Q3846" t="str">
        <f t="shared" si="346"/>
        <v/>
      </c>
    </row>
    <row r="3847" spans="1:17" hidden="1">
      <c r="A3847" t="s">
        <v>3952</v>
      </c>
      <c r="B3847" s="1">
        <v>45431</v>
      </c>
      <c r="C3847">
        <v>2024</v>
      </c>
      <c r="D3847">
        <v>5</v>
      </c>
      <c r="E3847" t="s">
        <v>23</v>
      </c>
      <c r="F3847" t="s">
        <v>28</v>
      </c>
      <c r="G3847" t="s">
        <v>141</v>
      </c>
      <c r="H3847" t="s">
        <v>209</v>
      </c>
      <c r="I3847">
        <v>3380.28</v>
      </c>
      <c r="J3847">
        <v>3295.59</v>
      </c>
      <c r="K3847" t="s">
        <v>17</v>
      </c>
      <c r="L3847" t="b">
        <v>0</v>
      </c>
      <c r="N3847" s="2" t="str">
        <f t="shared" si="345"/>
        <v/>
      </c>
      <c r="Q3847" t="str">
        <f t="shared" si="346"/>
        <v/>
      </c>
    </row>
    <row r="3848" spans="1:17" hidden="1">
      <c r="A3848" t="s">
        <v>3953</v>
      </c>
      <c r="B3848" s="1">
        <v>45432</v>
      </c>
      <c r="C3848">
        <v>2024</v>
      </c>
      <c r="D3848">
        <v>5</v>
      </c>
      <c r="E3848" t="s">
        <v>47</v>
      </c>
      <c r="F3848" t="s">
        <v>14</v>
      </c>
      <c r="G3848" t="s">
        <v>77</v>
      </c>
      <c r="H3848" t="s">
        <v>147</v>
      </c>
      <c r="I3848">
        <v>17524.66</v>
      </c>
      <c r="J3848">
        <v>15031.66</v>
      </c>
      <c r="K3848" t="s">
        <v>17</v>
      </c>
      <c r="L3848" t="b">
        <v>0</v>
      </c>
      <c r="N3848" s="2" t="b">
        <f t="shared" si="345"/>
        <v>1</v>
      </c>
      <c r="O3848" t="str">
        <f t="shared" ref="O3848:O3850" si="347">IF(AND(E3837="HR",K3837="EXPENSE"),I3837&lt;J3837,"")</f>
        <v/>
      </c>
      <c r="Q3848" t="str">
        <f t="shared" si="346"/>
        <v/>
      </c>
    </row>
    <row r="3849" spans="1:17" hidden="1">
      <c r="A3849" t="s">
        <v>3954</v>
      </c>
      <c r="B3849" s="1">
        <v>45432</v>
      </c>
      <c r="C3849">
        <v>2024</v>
      </c>
      <c r="D3849">
        <v>5</v>
      </c>
      <c r="E3849" t="s">
        <v>47</v>
      </c>
      <c r="F3849" t="s">
        <v>24</v>
      </c>
      <c r="G3849" t="s">
        <v>48</v>
      </c>
      <c r="H3849" t="s">
        <v>189</v>
      </c>
      <c r="I3849">
        <v>10331.620000000001</v>
      </c>
      <c r="J3849">
        <v>8739.11</v>
      </c>
      <c r="K3849" t="s">
        <v>17</v>
      </c>
      <c r="L3849" t="b">
        <v>0</v>
      </c>
      <c r="N3849" s="2" t="b">
        <f t="shared" si="345"/>
        <v>1</v>
      </c>
      <c r="O3849" t="str">
        <f t="shared" si="347"/>
        <v/>
      </c>
      <c r="Q3849" t="str">
        <f t="shared" si="346"/>
        <v/>
      </c>
    </row>
    <row r="3850" spans="1:17" hidden="1">
      <c r="A3850" t="s">
        <v>3955</v>
      </c>
      <c r="B3850" s="1">
        <v>45432</v>
      </c>
      <c r="C3850">
        <v>2024</v>
      </c>
      <c r="D3850">
        <v>5</v>
      </c>
      <c r="E3850" t="s">
        <v>47</v>
      </c>
      <c r="F3850" t="s">
        <v>24</v>
      </c>
      <c r="G3850" t="s">
        <v>77</v>
      </c>
      <c r="H3850" t="s">
        <v>130</v>
      </c>
      <c r="I3850">
        <v>11793.9</v>
      </c>
      <c r="J3850">
        <v>9773.1</v>
      </c>
      <c r="K3850" t="s">
        <v>17</v>
      </c>
      <c r="L3850" t="b">
        <v>0</v>
      </c>
      <c r="N3850" s="2" t="b">
        <f t="shared" si="345"/>
        <v>1</v>
      </c>
      <c r="O3850" t="b">
        <f t="shared" si="347"/>
        <v>0</v>
      </c>
      <c r="Q3850" t="str">
        <f t="shared" si="346"/>
        <v/>
      </c>
    </row>
    <row r="3851" spans="1:17" hidden="1">
      <c r="A3851" t="s">
        <v>3956</v>
      </c>
      <c r="B3851" s="1">
        <v>45432</v>
      </c>
      <c r="C3851">
        <v>2024</v>
      </c>
      <c r="D3851">
        <v>5</v>
      </c>
      <c r="E3851" t="s">
        <v>23</v>
      </c>
      <c r="F3851" t="s">
        <v>28</v>
      </c>
      <c r="G3851" t="s">
        <v>59</v>
      </c>
      <c r="H3851" t="s">
        <v>155</v>
      </c>
      <c r="I3851">
        <v>6515.62</v>
      </c>
      <c r="J3851">
        <v>6331.97</v>
      </c>
      <c r="K3851" t="s">
        <v>17</v>
      </c>
      <c r="L3851" t="b">
        <v>0</v>
      </c>
      <c r="N3851" s="2" t="str">
        <f t="shared" si="345"/>
        <v/>
      </c>
      <c r="Q3851" t="str">
        <f t="shared" si="346"/>
        <v/>
      </c>
    </row>
    <row r="3852" spans="1:17" hidden="1">
      <c r="A3852" t="s">
        <v>3957</v>
      </c>
      <c r="B3852" s="1">
        <v>45432</v>
      </c>
      <c r="C3852">
        <v>2024</v>
      </c>
      <c r="D3852">
        <v>5</v>
      </c>
      <c r="E3852" t="s">
        <v>23</v>
      </c>
      <c r="F3852" t="s">
        <v>24</v>
      </c>
      <c r="G3852" t="s">
        <v>59</v>
      </c>
      <c r="H3852" t="s">
        <v>60</v>
      </c>
      <c r="I3852">
        <v>6497.29</v>
      </c>
      <c r="J3852">
        <v>6601.19</v>
      </c>
      <c r="K3852" t="s">
        <v>17</v>
      </c>
      <c r="L3852" t="b">
        <v>0</v>
      </c>
      <c r="N3852" s="2" t="str">
        <f t="shared" si="345"/>
        <v/>
      </c>
      <c r="Q3852" t="str">
        <f t="shared" si="346"/>
        <v/>
      </c>
    </row>
    <row r="3853" spans="1:17" hidden="1">
      <c r="A3853" t="s">
        <v>3958</v>
      </c>
      <c r="B3853" s="1">
        <v>45432</v>
      </c>
      <c r="C3853">
        <v>2024</v>
      </c>
      <c r="D3853">
        <v>5</v>
      </c>
      <c r="E3853" t="s">
        <v>37</v>
      </c>
      <c r="F3853" t="s">
        <v>14</v>
      </c>
      <c r="G3853" t="s">
        <v>62</v>
      </c>
      <c r="H3853" t="s">
        <v>66</v>
      </c>
      <c r="I3853">
        <v>3594.63</v>
      </c>
      <c r="J3853">
        <v>3823.77</v>
      </c>
      <c r="K3853" t="s">
        <v>17</v>
      </c>
      <c r="L3853" t="b">
        <v>0</v>
      </c>
      <c r="N3853" s="2" t="str">
        <f t="shared" si="345"/>
        <v/>
      </c>
      <c r="Q3853" t="str">
        <f t="shared" si="346"/>
        <v/>
      </c>
    </row>
    <row r="3854" spans="1:17" hidden="1">
      <c r="A3854" t="s">
        <v>3959</v>
      </c>
      <c r="B3854" s="1">
        <v>45432</v>
      </c>
      <c r="C3854">
        <v>2024</v>
      </c>
      <c r="D3854">
        <v>5</v>
      </c>
      <c r="E3854" t="s">
        <v>37</v>
      </c>
      <c r="F3854" t="s">
        <v>28</v>
      </c>
      <c r="G3854" t="s">
        <v>41</v>
      </c>
      <c r="H3854" t="s">
        <v>42</v>
      </c>
      <c r="I3854">
        <v>3214.96</v>
      </c>
      <c r="J3854">
        <v>3468.08</v>
      </c>
      <c r="K3854" t="s">
        <v>17</v>
      </c>
      <c r="L3854" t="b">
        <v>0</v>
      </c>
      <c r="N3854" s="2" t="str">
        <f t="shared" si="345"/>
        <v/>
      </c>
      <c r="Q3854" t="str">
        <f t="shared" si="346"/>
        <v/>
      </c>
    </row>
    <row r="3855" spans="1:17" hidden="1">
      <c r="A3855" t="s">
        <v>3960</v>
      </c>
      <c r="B3855" s="1">
        <v>45433</v>
      </c>
      <c r="C3855">
        <v>2024</v>
      </c>
      <c r="D3855">
        <v>5</v>
      </c>
      <c r="E3855" t="s">
        <v>13</v>
      </c>
      <c r="F3855" t="s">
        <v>28</v>
      </c>
      <c r="G3855" t="s">
        <v>102</v>
      </c>
      <c r="H3855" t="s">
        <v>145</v>
      </c>
      <c r="I3855">
        <v>2281.16</v>
      </c>
      <c r="J3855">
        <v>2157.5700000000002</v>
      </c>
      <c r="K3855" t="s">
        <v>17</v>
      </c>
      <c r="L3855" t="b">
        <v>0</v>
      </c>
      <c r="N3855" s="2" t="str">
        <f t="shared" si="345"/>
        <v/>
      </c>
      <c r="Q3855" t="str">
        <f t="shared" si="346"/>
        <v/>
      </c>
    </row>
    <row r="3856" spans="1:17" hidden="1">
      <c r="A3856" t="s">
        <v>3961</v>
      </c>
      <c r="B3856" s="1">
        <v>45433</v>
      </c>
      <c r="C3856">
        <v>2024</v>
      </c>
      <c r="D3856">
        <v>5</v>
      </c>
      <c r="E3856" t="s">
        <v>13</v>
      </c>
      <c r="F3856" t="s">
        <v>28</v>
      </c>
      <c r="G3856" t="s">
        <v>108</v>
      </c>
      <c r="H3856" t="s">
        <v>123</v>
      </c>
      <c r="I3856">
        <v>2858.58</v>
      </c>
      <c r="J3856">
        <v>2843.9</v>
      </c>
      <c r="K3856" t="s">
        <v>17</v>
      </c>
      <c r="L3856" t="b">
        <v>0</v>
      </c>
      <c r="N3856" s="2" t="str">
        <f t="shared" si="345"/>
        <v/>
      </c>
      <c r="Q3856" t="str">
        <f t="shared" si="346"/>
        <v/>
      </c>
    </row>
    <row r="3857" spans="1:17" hidden="1">
      <c r="A3857" t="s">
        <v>3962</v>
      </c>
      <c r="B3857" s="1">
        <v>45433</v>
      </c>
      <c r="C3857">
        <v>2024</v>
      </c>
      <c r="D3857">
        <v>5</v>
      </c>
      <c r="E3857" t="s">
        <v>47</v>
      </c>
      <c r="F3857" t="s">
        <v>28</v>
      </c>
      <c r="G3857" t="s">
        <v>48</v>
      </c>
      <c r="H3857" t="s">
        <v>189</v>
      </c>
      <c r="I3857">
        <v>13266.53</v>
      </c>
      <c r="J3857">
        <v>11266.74</v>
      </c>
      <c r="K3857" t="s">
        <v>17</v>
      </c>
      <c r="L3857" t="b">
        <v>0</v>
      </c>
      <c r="N3857" s="2" t="b">
        <f t="shared" si="345"/>
        <v>1</v>
      </c>
      <c r="O3857" t="str">
        <f t="shared" ref="O3857:O3858" si="348">IF(AND(E3846="HR",K3846="EXPENSE"),I3846&lt;J3846,"")</f>
        <v/>
      </c>
      <c r="Q3857" t="str">
        <f t="shared" si="346"/>
        <v/>
      </c>
    </row>
    <row r="3858" spans="1:17" hidden="1">
      <c r="A3858" t="s">
        <v>3963</v>
      </c>
      <c r="B3858" s="1">
        <v>45433</v>
      </c>
      <c r="C3858">
        <v>2024</v>
      </c>
      <c r="D3858">
        <v>5</v>
      </c>
      <c r="E3858" t="s">
        <v>47</v>
      </c>
      <c r="F3858" t="s">
        <v>24</v>
      </c>
      <c r="G3858" t="s">
        <v>91</v>
      </c>
      <c r="H3858" t="s">
        <v>254</v>
      </c>
      <c r="I3858">
        <v>15262.6</v>
      </c>
      <c r="J3858">
        <v>12854.33</v>
      </c>
      <c r="K3858" t="s">
        <v>17</v>
      </c>
      <c r="L3858" t="b">
        <v>0</v>
      </c>
      <c r="N3858" s="2" t="b">
        <f t="shared" si="345"/>
        <v>1</v>
      </c>
      <c r="O3858" t="str">
        <f t="shared" si="348"/>
        <v/>
      </c>
      <c r="Q3858" t="str">
        <f t="shared" si="346"/>
        <v/>
      </c>
    </row>
    <row r="3859" spans="1:17" hidden="1">
      <c r="A3859" t="s">
        <v>3964</v>
      </c>
      <c r="B3859" s="1">
        <v>45433</v>
      </c>
      <c r="C3859">
        <v>2024</v>
      </c>
      <c r="D3859">
        <v>5</v>
      </c>
      <c r="E3859" t="s">
        <v>19</v>
      </c>
      <c r="F3859" t="s">
        <v>14</v>
      </c>
      <c r="G3859" t="s">
        <v>132</v>
      </c>
      <c r="H3859" t="s">
        <v>138</v>
      </c>
      <c r="I3859">
        <v>6485.21</v>
      </c>
      <c r="J3859">
        <v>6513.22</v>
      </c>
      <c r="K3859" t="s">
        <v>17</v>
      </c>
      <c r="L3859" t="b">
        <v>0</v>
      </c>
      <c r="N3859" s="2" t="str">
        <f t="shared" si="345"/>
        <v/>
      </c>
      <c r="Q3859" t="str">
        <f t="shared" si="346"/>
        <v/>
      </c>
    </row>
    <row r="3860" spans="1:17" hidden="1">
      <c r="A3860" t="s">
        <v>3965</v>
      </c>
      <c r="B3860" s="1">
        <v>45433</v>
      </c>
      <c r="C3860">
        <v>2024</v>
      </c>
      <c r="D3860">
        <v>5</v>
      </c>
      <c r="E3860" t="s">
        <v>19</v>
      </c>
      <c r="F3860" t="s">
        <v>24</v>
      </c>
      <c r="G3860" t="s">
        <v>80</v>
      </c>
      <c r="H3860" t="s">
        <v>150</v>
      </c>
      <c r="I3860">
        <v>6206</v>
      </c>
      <c r="J3860">
        <v>5737.47</v>
      </c>
      <c r="K3860" t="s">
        <v>17</v>
      </c>
      <c r="L3860" t="b">
        <v>0</v>
      </c>
      <c r="N3860" s="2" t="str">
        <f t="shared" si="345"/>
        <v/>
      </c>
      <c r="Q3860" t="str">
        <f t="shared" si="346"/>
        <v/>
      </c>
    </row>
    <row r="3861" spans="1:17" hidden="1">
      <c r="A3861" t="s">
        <v>3966</v>
      </c>
      <c r="B3861" s="1">
        <v>45433</v>
      </c>
      <c r="C3861">
        <v>2024</v>
      </c>
      <c r="D3861">
        <v>5</v>
      </c>
      <c r="E3861" t="s">
        <v>23</v>
      </c>
      <c r="F3861" t="s">
        <v>14</v>
      </c>
      <c r="G3861" t="s">
        <v>141</v>
      </c>
      <c r="H3861" t="s">
        <v>153</v>
      </c>
      <c r="I3861">
        <v>6101.79</v>
      </c>
      <c r="J3861">
        <v>6671.68</v>
      </c>
      <c r="K3861" t="s">
        <v>17</v>
      </c>
      <c r="L3861" t="b">
        <v>0</v>
      </c>
      <c r="N3861" s="2" t="str">
        <f t="shared" si="345"/>
        <v/>
      </c>
      <c r="Q3861" t="str">
        <f t="shared" si="346"/>
        <v/>
      </c>
    </row>
    <row r="3862" spans="1:17" hidden="1">
      <c r="A3862" t="s">
        <v>3967</v>
      </c>
      <c r="B3862" s="1">
        <v>45433</v>
      </c>
      <c r="C3862">
        <v>2024</v>
      </c>
      <c r="D3862">
        <v>5</v>
      </c>
      <c r="E3862" t="s">
        <v>23</v>
      </c>
      <c r="F3862" t="s">
        <v>28</v>
      </c>
      <c r="G3862" t="s">
        <v>59</v>
      </c>
      <c r="H3862" t="s">
        <v>60</v>
      </c>
      <c r="I3862">
        <v>4963.68</v>
      </c>
      <c r="J3862">
        <v>4873.8500000000004</v>
      </c>
      <c r="K3862" t="s">
        <v>17</v>
      </c>
      <c r="L3862" t="b">
        <v>0</v>
      </c>
      <c r="N3862" s="2" t="str">
        <f t="shared" si="345"/>
        <v/>
      </c>
      <c r="Q3862" t="str">
        <f t="shared" si="346"/>
        <v/>
      </c>
    </row>
    <row r="3863" spans="1:17" hidden="1">
      <c r="A3863" t="s">
        <v>3968</v>
      </c>
      <c r="B3863" s="1">
        <v>45434</v>
      </c>
      <c r="C3863">
        <v>2024</v>
      </c>
      <c r="D3863">
        <v>5</v>
      </c>
      <c r="E3863" t="s">
        <v>13</v>
      </c>
      <c r="F3863" t="s">
        <v>24</v>
      </c>
      <c r="G3863" t="s">
        <v>15</v>
      </c>
      <c r="H3863" t="s">
        <v>45</v>
      </c>
      <c r="I3863">
        <v>4367.8500000000004</v>
      </c>
      <c r="J3863">
        <v>4524.17</v>
      </c>
      <c r="K3863" t="s">
        <v>17</v>
      </c>
      <c r="L3863" t="b">
        <v>0</v>
      </c>
      <c r="N3863" s="2" t="str">
        <f t="shared" si="345"/>
        <v/>
      </c>
      <c r="Q3863" t="str">
        <f t="shared" si="346"/>
        <v/>
      </c>
    </row>
    <row r="3864" spans="1:17" hidden="1">
      <c r="A3864" t="s">
        <v>3969</v>
      </c>
      <c r="B3864" s="1">
        <v>45434</v>
      </c>
      <c r="C3864">
        <v>2024</v>
      </c>
      <c r="D3864">
        <v>5</v>
      </c>
      <c r="E3864" t="s">
        <v>47</v>
      </c>
      <c r="F3864" t="s">
        <v>28</v>
      </c>
      <c r="G3864" t="s">
        <v>48</v>
      </c>
      <c r="H3864" t="s">
        <v>49</v>
      </c>
      <c r="I3864">
        <v>12605.97</v>
      </c>
      <c r="J3864">
        <v>10476.49</v>
      </c>
      <c r="K3864" t="s">
        <v>17</v>
      </c>
      <c r="L3864" t="b">
        <v>0</v>
      </c>
      <c r="N3864" s="2" t="b">
        <f t="shared" si="345"/>
        <v>1</v>
      </c>
      <c r="O3864" t="str">
        <f t="shared" ref="O3864:O3865" si="349">IF(AND(E3853="HR",K3853="EXPENSE"),I3853&lt;J3853,"")</f>
        <v/>
      </c>
      <c r="Q3864" t="str">
        <f t="shared" si="346"/>
        <v/>
      </c>
    </row>
    <row r="3865" spans="1:17" hidden="1">
      <c r="A3865" t="s">
        <v>3970</v>
      </c>
      <c r="B3865" s="1">
        <v>45434</v>
      </c>
      <c r="C3865">
        <v>2024</v>
      </c>
      <c r="D3865">
        <v>5</v>
      </c>
      <c r="E3865" t="s">
        <v>47</v>
      </c>
      <c r="F3865" t="s">
        <v>24</v>
      </c>
      <c r="G3865" t="s">
        <v>77</v>
      </c>
      <c r="H3865" t="s">
        <v>130</v>
      </c>
      <c r="I3865">
        <v>12651.57</v>
      </c>
      <c r="J3865">
        <v>10575.68</v>
      </c>
      <c r="K3865" t="s">
        <v>17</v>
      </c>
      <c r="L3865" t="b">
        <v>0</v>
      </c>
      <c r="N3865" s="2" t="b">
        <f t="shared" si="345"/>
        <v>1</v>
      </c>
      <c r="O3865" t="str">
        <f t="shared" si="349"/>
        <v/>
      </c>
      <c r="Q3865" t="str">
        <f t="shared" si="346"/>
        <v/>
      </c>
    </row>
    <row r="3866" spans="1:17" hidden="1">
      <c r="A3866" t="s">
        <v>3971</v>
      </c>
      <c r="B3866" s="1">
        <v>45434</v>
      </c>
      <c r="C3866">
        <v>2024</v>
      </c>
      <c r="D3866">
        <v>5</v>
      </c>
      <c r="E3866" t="s">
        <v>19</v>
      </c>
      <c r="F3866" t="s">
        <v>28</v>
      </c>
      <c r="G3866" t="s">
        <v>54</v>
      </c>
      <c r="H3866" t="s">
        <v>163</v>
      </c>
      <c r="I3866">
        <v>8216.33</v>
      </c>
      <c r="J3866">
        <v>7880.98</v>
      </c>
      <c r="K3866" t="s">
        <v>17</v>
      </c>
      <c r="L3866" t="b">
        <v>0</v>
      </c>
      <c r="N3866" s="2" t="str">
        <f t="shared" si="345"/>
        <v/>
      </c>
      <c r="Q3866" t="str">
        <f t="shared" si="346"/>
        <v/>
      </c>
    </row>
    <row r="3867" spans="1:17" hidden="1">
      <c r="A3867" t="s">
        <v>3972</v>
      </c>
      <c r="B3867" s="1">
        <v>45434</v>
      </c>
      <c r="C3867">
        <v>2024</v>
      </c>
      <c r="D3867">
        <v>5</v>
      </c>
      <c r="E3867" t="s">
        <v>37</v>
      </c>
      <c r="F3867" t="s">
        <v>14</v>
      </c>
      <c r="G3867" t="s">
        <v>98</v>
      </c>
      <c r="H3867" t="s">
        <v>99</v>
      </c>
      <c r="I3867">
        <v>4775.55</v>
      </c>
      <c r="J3867">
        <v>5129.32</v>
      </c>
      <c r="K3867" t="s">
        <v>17</v>
      </c>
      <c r="L3867" t="b">
        <v>0</v>
      </c>
      <c r="N3867" s="2" t="str">
        <f t="shared" si="345"/>
        <v/>
      </c>
      <c r="Q3867" t="str">
        <f t="shared" si="346"/>
        <v/>
      </c>
    </row>
    <row r="3868" spans="1:17" hidden="1">
      <c r="A3868" t="s">
        <v>3973</v>
      </c>
      <c r="B3868" s="1">
        <v>45434</v>
      </c>
      <c r="C3868">
        <v>2024</v>
      </c>
      <c r="D3868">
        <v>5</v>
      </c>
      <c r="E3868" t="s">
        <v>37</v>
      </c>
      <c r="F3868" t="s">
        <v>24</v>
      </c>
      <c r="G3868" t="s">
        <v>62</v>
      </c>
      <c r="H3868" t="s">
        <v>66</v>
      </c>
      <c r="I3868">
        <v>3885.03</v>
      </c>
      <c r="J3868">
        <v>3540.69</v>
      </c>
      <c r="K3868" t="s">
        <v>17</v>
      </c>
      <c r="L3868" t="b">
        <v>0</v>
      </c>
      <c r="N3868" s="2" t="str">
        <f t="shared" si="345"/>
        <v/>
      </c>
      <c r="Q3868" t="str">
        <f t="shared" si="346"/>
        <v/>
      </c>
    </row>
    <row r="3869" spans="1:17" hidden="1">
      <c r="A3869" t="s">
        <v>3974</v>
      </c>
      <c r="B3869" s="1">
        <v>45435</v>
      </c>
      <c r="C3869">
        <v>2024</v>
      </c>
      <c r="D3869">
        <v>5</v>
      </c>
      <c r="E3869" t="s">
        <v>13</v>
      </c>
      <c r="F3869" t="s">
        <v>14</v>
      </c>
      <c r="G3869" t="s">
        <v>102</v>
      </c>
      <c r="H3869" t="s">
        <v>278</v>
      </c>
      <c r="I3869">
        <v>3672.98</v>
      </c>
      <c r="J3869">
        <v>4035.51</v>
      </c>
      <c r="K3869" t="s">
        <v>17</v>
      </c>
      <c r="L3869" t="b">
        <v>0</v>
      </c>
      <c r="N3869" s="2" t="str">
        <f t="shared" si="345"/>
        <v/>
      </c>
      <c r="Q3869" t="str">
        <f t="shared" si="346"/>
        <v/>
      </c>
    </row>
    <row r="3870" spans="1:17" hidden="1">
      <c r="A3870" t="s">
        <v>3975</v>
      </c>
      <c r="B3870" s="1">
        <v>45435</v>
      </c>
      <c r="C3870">
        <v>2024</v>
      </c>
      <c r="D3870">
        <v>5</v>
      </c>
      <c r="E3870" t="s">
        <v>47</v>
      </c>
      <c r="F3870" t="s">
        <v>28</v>
      </c>
      <c r="G3870" t="s">
        <v>51</v>
      </c>
      <c r="H3870" t="s">
        <v>189</v>
      </c>
      <c r="I3870">
        <v>13549.18</v>
      </c>
      <c r="J3870">
        <v>11632.38</v>
      </c>
      <c r="K3870" t="s">
        <v>17</v>
      </c>
      <c r="L3870" t="b">
        <v>0</v>
      </c>
      <c r="N3870" s="2" t="b">
        <f t="shared" si="345"/>
        <v>1</v>
      </c>
      <c r="O3870" t="str">
        <f t="shared" ref="O3870:O3871" si="350">IF(AND(E3859="HR",K3859="EXPENSE"),I3859&lt;J3859,"")</f>
        <v/>
      </c>
      <c r="Q3870" t="str">
        <f t="shared" si="346"/>
        <v/>
      </c>
    </row>
    <row r="3871" spans="1:17" hidden="1">
      <c r="A3871" t="s">
        <v>3976</v>
      </c>
      <c r="B3871" s="1">
        <v>45435</v>
      </c>
      <c r="C3871">
        <v>2024</v>
      </c>
      <c r="D3871">
        <v>5</v>
      </c>
      <c r="E3871" t="s">
        <v>47</v>
      </c>
      <c r="F3871" t="s">
        <v>24</v>
      </c>
      <c r="G3871" t="s">
        <v>51</v>
      </c>
      <c r="H3871" t="s">
        <v>72</v>
      </c>
      <c r="I3871">
        <v>9543.32</v>
      </c>
      <c r="J3871">
        <v>8116.89</v>
      </c>
      <c r="K3871" t="s">
        <v>17</v>
      </c>
      <c r="L3871" t="b">
        <v>0</v>
      </c>
      <c r="N3871" s="2" t="b">
        <f t="shared" si="345"/>
        <v>1</v>
      </c>
      <c r="O3871" t="str">
        <f t="shared" si="350"/>
        <v/>
      </c>
      <c r="Q3871" t="str">
        <f t="shared" si="346"/>
        <v/>
      </c>
    </row>
    <row r="3872" spans="1:17" hidden="1">
      <c r="A3872" t="s">
        <v>3977</v>
      </c>
      <c r="B3872" s="1">
        <v>45435</v>
      </c>
      <c r="C3872">
        <v>2024</v>
      </c>
      <c r="D3872">
        <v>5</v>
      </c>
      <c r="E3872" t="s">
        <v>23</v>
      </c>
      <c r="F3872" t="s">
        <v>24</v>
      </c>
      <c r="G3872" t="s">
        <v>30</v>
      </c>
      <c r="H3872" t="s">
        <v>33</v>
      </c>
      <c r="I3872">
        <v>6969.6</v>
      </c>
      <c r="J3872">
        <v>6504.61</v>
      </c>
      <c r="K3872" t="s">
        <v>17</v>
      </c>
      <c r="L3872" t="b">
        <v>0</v>
      </c>
      <c r="N3872" s="2" t="str">
        <f t="shared" si="345"/>
        <v/>
      </c>
      <c r="Q3872" t="str">
        <f t="shared" si="346"/>
        <v/>
      </c>
    </row>
    <row r="3873" spans="1:17" hidden="1">
      <c r="A3873" t="s">
        <v>3978</v>
      </c>
      <c r="B3873" s="1">
        <v>45435</v>
      </c>
      <c r="C3873">
        <v>2024</v>
      </c>
      <c r="D3873">
        <v>5</v>
      </c>
      <c r="E3873" t="s">
        <v>37</v>
      </c>
      <c r="F3873" t="s">
        <v>24</v>
      </c>
      <c r="G3873" t="s">
        <v>41</v>
      </c>
      <c r="H3873" t="s">
        <v>42</v>
      </c>
      <c r="I3873">
        <v>2620.1999999999998</v>
      </c>
      <c r="J3873">
        <v>2682.75</v>
      </c>
      <c r="K3873" t="s">
        <v>17</v>
      </c>
      <c r="L3873" t="b">
        <v>0</v>
      </c>
      <c r="N3873" s="2" t="str">
        <f t="shared" si="345"/>
        <v/>
      </c>
      <c r="Q3873" t="str">
        <f t="shared" si="346"/>
        <v/>
      </c>
    </row>
    <row r="3874" spans="1:17" hidden="1">
      <c r="A3874" t="s">
        <v>3979</v>
      </c>
      <c r="B3874" s="1">
        <v>45436</v>
      </c>
      <c r="C3874">
        <v>2024</v>
      </c>
      <c r="D3874">
        <v>5</v>
      </c>
      <c r="E3874" t="s">
        <v>13</v>
      </c>
      <c r="F3874" t="s">
        <v>14</v>
      </c>
      <c r="G3874" t="s">
        <v>15</v>
      </c>
      <c r="H3874" t="s">
        <v>16</v>
      </c>
      <c r="I3874">
        <v>3605.2</v>
      </c>
      <c r="J3874">
        <v>3669.45</v>
      </c>
      <c r="K3874" t="s">
        <v>17</v>
      </c>
      <c r="L3874" t="b">
        <v>0</v>
      </c>
      <c r="N3874" s="2" t="str">
        <f t="shared" si="345"/>
        <v/>
      </c>
      <c r="Q3874" t="str">
        <f t="shared" si="346"/>
        <v/>
      </c>
    </row>
    <row r="3875" spans="1:17" hidden="1">
      <c r="A3875" t="s">
        <v>3980</v>
      </c>
      <c r="B3875" s="1">
        <v>45436</v>
      </c>
      <c r="C3875">
        <v>2024</v>
      </c>
      <c r="D3875">
        <v>5</v>
      </c>
      <c r="E3875" t="s">
        <v>47</v>
      </c>
      <c r="F3875" t="s">
        <v>28</v>
      </c>
      <c r="G3875" t="s">
        <v>91</v>
      </c>
      <c r="H3875" t="s">
        <v>92</v>
      </c>
      <c r="I3875">
        <v>12955.09</v>
      </c>
      <c r="J3875">
        <v>11086.77</v>
      </c>
      <c r="K3875" t="s">
        <v>17</v>
      </c>
      <c r="L3875" t="b">
        <v>0</v>
      </c>
      <c r="N3875" s="2" t="b">
        <f t="shared" si="345"/>
        <v>1</v>
      </c>
      <c r="O3875" t="str">
        <f>IF(AND(E3864="HR",K3864="EXPENSE"),I3864&lt;J3864,"")</f>
        <v/>
      </c>
      <c r="Q3875" t="str">
        <f t="shared" si="346"/>
        <v/>
      </c>
    </row>
    <row r="3876" spans="1:17" hidden="1">
      <c r="A3876" t="s">
        <v>3981</v>
      </c>
      <c r="B3876" s="1">
        <v>45436</v>
      </c>
      <c r="C3876">
        <v>2024</v>
      </c>
      <c r="D3876">
        <v>5</v>
      </c>
      <c r="E3876" t="s">
        <v>19</v>
      </c>
      <c r="F3876" t="s">
        <v>28</v>
      </c>
      <c r="G3876" t="s">
        <v>132</v>
      </c>
      <c r="H3876" t="s">
        <v>138</v>
      </c>
      <c r="I3876">
        <v>7564.33</v>
      </c>
      <c r="J3876">
        <v>7826.65</v>
      </c>
      <c r="K3876" t="s">
        <v>17</v>
      </c>
      <c r="L3876" t="b">
        <v>0</v>
      </c>
      <c r="N3876" s="2" t="str">
        <f t="shared" si="345"/>
        <v/>
      </c>
      <c r="Q3876" t="str">
        <f t="shared" si="346"/>
        <v/>
      </c>
    </row>
    <row r="3877" spans="1:17" hidden="1">
      <c r="A3877" t="s">
        <v>3982</v>
      </c>
      <c r="B3877" s="1">
        <v>45436</v>
      </c>
      <c r="C3877">
        <v>2024</v>
      </c>
      <c r="D3877">
        <v>5</v>
      </c>
      <c r="E3877" t="s">
        <v>19</v>
      </c>
      <c r="F3877" t="s">
        <v>28</v>
      </c>
      <c r="G3877" t="s">
        <v>54</v>
      </c>
      <c r="H3877" t="s">
        <v>163</v>
      </c>
      <c r="I3877">
        <v>7028.62</v>
      </c>
      <c r="J3877">
        <v>7467.01</v>
      </c>
      <c r="K3877" t="s">
        <v>17</v>
      </c>
      <c r="L3877" t="b">
        <v>0</v>
      </c>
      <c r="N3877" s="2" t="str">
        <f t="shared" si="345"/>
        <v/>
      </c>
      <c r="Q3877" t="str">
        <f t="shared" si="346"/>
        <v/>
      </c>
    </row>
    <row r="3878" spans="1:17" hidden="1">
      <c r="A3878" t="s">
        <v>3983</v>
      </c>
      <c r="B3878" s="1">
        <v>45436</v>
      </c>
      <c r="C3878">
        <v>2024</v>
      </c>
      <c r="D3878">
        <v>5</v>
      </c>
      <c r="E3878" t="s">
        <v>19</v>
      </c>
      <c r="F3878" t="s">
        <v>28</v>
      </c>
      <c r="G3878" t="s">
        <v>20</v>
      </c>
      <c r="H3878" t="s">
        <v>136</v>
      </c>
      <c r="I3878">
        <v>7479.41</v>
      </c>
      <c r="J3878">
        <v>7566.74</v>
      </c>
      <c r="K3878" t="s">
        <v>17</v>
      </c>
      <c r="L3878" t="b">
        <v>0</v>
      </c>
      <c r="N3878" s="2" t="str">
        <f t="shared" si="345"/>
        <v/>
      </c>
      <c r="Q3878" t="str">
        <f t="shared" si="346"/>
        <v/>
      </c>
    </row>
    <row r="3879" spans="1:17" hidden="1">
      <c r="A3879" t="s">
        <v>3984</v>
      </c>
      <c r="B3879" s="1">
        <v>45436</v>
      </c>
      <c r="C3879">
        <v>2024</v>
      </c>
      <c r="D3879">
        <v>5</v>
      </c>
      <c r="E3879" t="s">
        <v>19</v>
      </c>
      <c r="F3879" t="s">
        <v>24</v>
      </c>
      <c r="G3879" t="s">
        <v>80</v>
      </c>
      <c r="H3879" t="s">
        <v>81</v>
      </c>
      <c r="I3879">
        <v>4419.2700000000004</v>
      </c>
      <c r="J3879">
        <v>4395.2299999999996</v>
      </c>
      <c r="K3879" t="s">
        <v>17</v>
      </c>
      <c r="L3879" t="b">
        <v>0</v>
      </c>
      <c r="N3879" s="2" t="str">
        <f t="shared" si="345"/>
        <v/>
      </c>
      <c r="Q3879" t="str">
        <f t="shared" si="346"/>
        <v/>
      </c>
    </row>
    <row r="3880" spans="1:17" hidden="1">
      <c r="A3880" t="s">
        <v>3985</v>
      </c>
      <c r="B3880" s="1">
        <v>45436</v>
      </c>
      <c r="C3880">
        <v>2024</v>
      </c>
      <c r="D3880">
        <v>5</v>
      </c>
      <c r="E3880" t="s">
        <v>19</v>
      </c>
      <c r="F3880" t="s">
        <v>24</v>
      </c>
      <c r="G3880" t="s">
        <v>54</v>
      </c>
      <c r="H3880" t="s">
        <v>163</v>
      </c>
      <c r="I3880">
        <v>3409.09</v>
      </c>
      <c r="J3880">
        <v>3181.5</v>
      </c>
      <c r="K3880" t="s">
        <v>17</v>
      </c>
      <c r="L3880" t="b">
        <v>0</v>
      </c>
      <c r="N3880" s="2" t="str">
        <f t="shared" si="345"/>
        <v/>
      </c>
      <c r="Q3880" t="str">
        <f t="shared" si="346"/>
        <v/>
      </c>
    </row>
    <row r="3881" spans="1:17" hidden="1">
      <c r="A3881" t="s">
        <v>3986</v>
      </c>
      <c r="B3881" s="1">
        <v>45436</v>
      </c>
      <c r="C3881">
        <v>2024</v>
      </c>
      <c r="D3881">
        <v>5</v>
      </c>
      <c r="E3881" t="s">
        <v>37</v>
      </c>
      <c r="F3881" t="s">
        <v>24</v>
      </c>
      <c r="G3881" t="s">
        <v>98</v>
      </c>
      <c r="H3881" t="s">
        <v>99</v>
      </c>
      <c r="I3881">
        <v>2692.16</v>
      </c>
      <c r="J3881">
        <v>2952.2</v>
      </c>
      <c r="K3881" t="s">
        <v>17</v>
      </c>
      <c r="L3881" t="b">
        <v>0</v>
      </c>
      <c r="N3881" s="2" t="str">
        <f t="shared" si="345"/>
        <v/>
      </c>
      <c r="Q3881" t="str">
        <f t="shared" si="346"/>
        <v/>
      </c>
    </row>
    <row r="3882" spans="1:17" hidden="1">
      <c r="A3882" t="s">
        <v>3987</v>
      </c>
      <c r="B3882" s="1">
        <v>45437</v>
      </c>
      <c r="C3882">
        <v>2024</v>
      </c>
      <c r="D3882">
        <v>5</v>
      </c>
      <c r="E3882" t="s">
        <v>13</v>
      </c>
      <c r="F3882" t="s">
        <v>14</v>
      </c>
      <c r="G3882" t="s">
        <v>102</v>
      </c>
      <c r="H3882" t="s">
        <v>103</v>
      </c>
      <c r="I3882">
        <v>2923.08</v>
      </c>
      <c r="J3882">
        <v>2848.24</v>
      </c>
      <c r="K3882" t="s">
        <v>17</v>
      </c>
      <c r="L3882" t="b">
        <v>0</v>
      </c>
      <c r="N3882" s="2" t="str">
        <f t="shared" si="345"/>
        <v/>
      </c>
      <c r="Q3882" t="str">
        <f t="shared" si="346"/>
        <v/>
      </c>
    </row>
    <row r="3883" spans="1:17" hidden="1">
      <c r="A3883" t="s">
        <v>3988</v>
      </c>
      <c r="B3883" s="1">
        <v>45437</v>
      </c>
      <c r="C3883">
        <v>2024</v>
      </c>
      <c r="D3883">
        <v>5</v>
      </c>
      <c r="E3883" t="s">
        <v>13</v>
      </c>
      <c r="F3883" t="s">
        <v>14</v>
      </c>
      <c r="G3883" t="s">
        <v>108</v>
      </c>
      <c r="H3883" t="s">
        <v>109</v>
      </c>
      <c r="I3883">
        <v>2566.3000000000002</v>
      </c>
      <c r="J3883">
        <v>2362.29</v>
      </c>
      <c r="K3883" t="s">
        <v>17</v>
      </c>
      <c r="L3883" t="b">
        <v>0</v>
      </c>
      <c r="N3883" s="2" t="str">
        <f t="shared" si="345"/>
        <v/>
      </c>
      <c r="Q3883" t="str">
        <f t="shared" si="346"/>
        <v/>
      </c>
    </row>
    <row r="3884" spans="1:17" hidden="1">
      <c r="A3884" t="s">
        <v>3989</v>
      </c>
      <c r="B3884" s="1">
        <v>45437</v>
      </c>
      <c r="C3884">
        <v>2024</v>
      </c>
      <c r="D3884">
        <v>5</v>
      </c>
      <c r="E3884" t="s">
        <v>13</v>
      </c>
      <c r="F3884" t="s">
        <v>28</v>
      </c>
      <c r="G3884" t="s">
        <v>68</v>
      </c>
      <c r="H3884" t="s">
        <v>87</v>
      </c>
      <c r="I3884">
        <v>3878.74</v>
      </c>
      <c r="J3884">
        <v>3888.94</v>
      </c>
      <c r="K3884" t="s">
        <v>17</v>
      </c>
      <c r="L3884" t="b">
        <v>0</v>
      </c>
      <c r="N3884" s="2" t="str">
        <f t="shared" si="345"/>
        <v/>
      </c>
      <c r="Q3884" t="str">
        <f t="shared" si="346"/>
        <v/>
      </c>
    </row>
    <row r="3885" spans="1:17" hidden="1">
      <c r="A3885" t="s">
        <v>3990</v>
      </c>
      <c r="B3885" s="1">
        <v>45437</v>
      </c>
      <c r="C3885">
        <v>2024</v>
      </c>
      <c r="D3885">
        <v>5</v>
      </c>
      <c r="E3885" t="s">
        <v>13</v>
      </c>
      <c r="F3885" t="s">
        <v>24</v>
      </c>
      <c r="G3885" t="s">
        <v>15</v>
      </c>
      <c r="H3885" t="s">
        <v>16</v>
      </c>
      <c r="I3885">
        <v>3437.33</v>
      </c>
      <c r="J3885">
        <v>3716.68</v>
      </c>
      <c r="K3885" t="s">
        <v>17</v>
      </c>
      <c r="L3885" t="b">
        <v>0</v>
      </c>
      <c r="N3885" s="2" t="str">
        <f t="shared" si="345"/>
        <v/>
      </c>
      <c r="Q3885" t="str">
        <f t="shared" si="346"/>
        <v/>
      </c>
    </row>
    <row r="3886" spans="1:17" hidden="1">
      <c r="A3886" t="s">
        <v>3991</v>
      </c>
      <c r="B3886" s="1">
        <v>45437</v>
      </c>
      <c r="C3886">
        <v>2024</v>
      </c>
      <c r="D3886">
        <v>5</v>
      </c>
      <c r="E3886" t="s">
        <v>47</v>
      </c>
      <c r="F3886" t="s">
        <v>24</v>
      </c>
      <c r="G3886" t="s">
        <v>77</v>
      </c>
      <c r="H3886" t="s">
        <v>78</v>
      </c>
      <c r="I3886">
        <v>11637.98</v>
      </c>
      <c r="J3886">
        <v>10110.780000000001</v>
      </c>
      <c r="K3886" t="s">
        <v>17</v>
      </c>
      <c r="L3886" t="b">
        <v>0</v>
      </c>
      <c r="N3886" s="2" t="b">
        <f t="shared" si="345"/>
        <v>1</v>
      </c>
      <c r="O3886" t="str">
        <f>IF(AND(E3875="HR",K3875="EXPENSE"),I3875&lt;J3875,"")</f>
        <v/>
      </c>
      <c r="Q3886" t="str">
        <f t="shared" si="346"/>
        <v/>
      </c>
    </row>
    <row r="3887" spans="1:17" hidden="1">
      <c r="A3887" t="s">
        <v>3992</v>
      </c>
      <c r="B3887" s="1">
        <v>45437</v>
      </c>
      <c r="C3887">
        <v>2024</v>
      </c>
      <c r="D3887">
        <v>5</v>
      </c>
      <c r="E3887" t="s">
        <v>19</v>
      </c>
      <c r="F3887" t="s">
        <v>24</v>
      </c>
      <c r="G3887" t="s">
        <v>20</v>
      </c>
      <c r="H3887" t="s">
        <v>136</v>
      </c>
      <c r="I3887">
        <v>4846.78</v>
      </c>
      <c r="J3887">
        <v>5018.4799999999996</v>
      </c>
      <c r="K3887" t="s">
        <v>17</v>
      </c>
      <c r="L3887" t="b">
        <v>0</v>
      </c>
      <c r="N3887" s="2" t="str">
        <f t="shared" si="345"/>
        <v/>
      </c>
      <c r="Q3887" t="str">
        <f t="shared" si="346"/>
        <v/>
      </c>
    </row>
    <row r="3888" spans="1:17" hidden="1">
      <c r="A3888" t="s">
        <v>3993</v>
      </c>
      <c r="B3888" s="1">
        <v>45437</v>
      </c>
      <c r="C3888">
        <v>2024</v>
      </c>
      <c r="D3888">
        <v>5</v>
      </c>
      <c r="E3888" t="s">
        <v>19</v>
      </c>
      <c r="F3888" t="s">
        <v>24</v>
      </c>
      <c r="G3888" t="s">
        <v>54</v>
      </c>
      <c r="H3888" t="s">
        <v>55</v>
      </c>
      <c r="I3888">
        <v>3957.5</v>
      </c>
      <c r="J3888">
        <v>3823.65</v>
      </c>
      <c r="K3888" t="s">
        <v>17</v>
      </c>
      <c r="L3888" t="b">
        <v>0</v>
      </c>
      <c r="N3888" s="2" t="str">
        <f t="shared" si="345"/>
        <v/>
      </c>
      <c r="Q3888" t="str">
        <f t="shared" si="346"/>
        <v/>
      </c>
    </row>
    <row r="3889" spans="1:17" hidden="1">
      <c r="A3889" t="s">
        <v>3994</v>
      </c>
      <c r="B3889" s="1">
        <v>45437</v>
      </c>
      <c r="C3889">
        <v>2024</v>
      </c>
      <c r="D3889">
        <v>5</v>
      </c>
      <c r="E3889" t="s">
        <v>23</v>
      </c>
      <c r="F3889" t="s">
        <v>14</v>
      </c>
      <c r="G3889" t="s">
        <v>25</v>
      </c>
      <c r="H3889" t="s">
        <v>95</v>
      </c>
      <c r="I3889">
        <v>8438.82</v>
      </c>
      <c r="J3889">
        <v>9185.3799999999992</v>
      </c>
      <c r="K3889" t="s">
        <v>17</v>
      </c>
      <c r="L3889" t="b">
        <v>0</v>
      </c>
      <c r="N3889" s="2" t="str">
        <f t="shared" si="345"/>
        <v/>
      </c>
      <c r="Q3889" t="str">
        <f t="shared" si="346"/>
        <v/>
      </c>
    </row>
    <row r="3890" spans="1:17" hidden="1">
      <c r="A3890" t="s">
        <v>3995</v>
      </c>
      <c r="B3890" s="1">
        <v>45438</v>
      </c>
      <c r="C3890">
        <v>2024</v>
      </c>
      <c r="D3890">
        <v>5</v>
      </c>
      <c r="E3890" t="s">
        <v>13</v>
      </c>
      <c r="F3890" t="s">
        <v>14</v>
      </c>
      <c r="G3890" t="s">
        <v>68</v>
      </c>
      <c r="H3890" t="s">
        <v>213</v>
      </c>
      <c r="I3890">
        <v>3370.73</v>
      </c>
      <c r="J3890">
        <v>3209.74</v>
      </c>
      <c r="K3890" t="s">
        <v>17</v>
      </c>
      <c r="L3890" t="b">
        <v>0</v>
      </c>
      <c r="N3890" s="2" t="str">
        <f t="shared" si="345"/>
        <v/>
      </c>
      <c r="Q3890" t="str">
        <f t="shared" si="346"/>
        <v/>
      </c>
    </row>
    <row r="3891" spans="1:17" hidden="1">
      <c r="A3891" t="s">
        <v>3996</v>
      </c>
      <c r="B3891" s="1">
        <v>45438</v>
      </c>
      <c r="C3891">
        <v>2024</v>
      </c>
      <c r="D3891">
        <v>5</v>
      </c>
      <c r="E3891" t="s">
        <v>13</v>
      </c>
      <c r="F3891" t="s">
        <v>24</v>
      </c>
      <c r="G3891" t="s">
        <v>108</v>
      </c>
      <c r="H3891" t="s">
        <v>109</v>
      </c>
      <c r="I3891">
        <v>3565.39</v>
      </c>
      <c r="J3891">
        <v>3352.51</v>
      </c>
      <c r="K3891" t="s">
        <v>17</v>
      </c>
      <c r="L3891" t="b">
        <v>0</v>
      </c>
      <c r="N3891" s="2" t="str">
        <f t="shared" si="345"/>
        <v/>
      </c>
      <c r="Q3891" t="str">
        <f t="shared" si="346"/>
        <v/>
      </c>
    </row>
    <row r="3892" spans="1:17" hidden="1">
      <c r="A3892" t="s">
        <v>3997</v>
      </c>
      <c r="B3892" s="1">
        <v>45438</v>
      </c>
      <c r="C3892">
        <v>2024</v>
      </c>
      <c r="D3892">
        <v>5</v>
      </c>
      <c r="E3892" t="s">
        <v>13</v>
      </c>
      <c r="F3892" t="s">
        <v>24</v>
      </c>
      <c r="G3892" t="s">
        <v>108</v>
      </c>
      <c r="H3892" t="s">
        <v>109</v>
      </c>
      <c r="I3892">
        <v>3672.58</v>
      </c>
      <c r="J3892">
        <v>3681.83</v>
      </c>
      <c r="K3892" t="s">
        <v>17</v>
      </c>
      <c r="L3892" t="b">
        <v>0</v>
      </c>
      <c r="N3892" s="2" t="str">
        <f t="shared" si="345"/>
        <v/>
      </c>
      <c r="Q3892" t="str">
        <f t="shared" si="346"/>
        <v/>
      </c>
    </row>
    <row r="3893" spans="1:17" hidden="1">
      <c r="A3893" t="s">
        <v>3998</v>
      </c>
      <c r="B3893" s="1">
        <v>45438</v>
      </c>
      <c r="C3893">
        <v>2024</v>
      </c>
      <c r="D3893">
        <v>5</v>
      </c>
      <c r="E3893" t="s">
        <v>23</v>
      </c>
      <c r="F3893" t="s">
        <v>14</v>
      </c>
      <c r="G3893" t="s">
        <v>59</v>
      </c>
      <c r="H3893" t="s">
        <v>60</v>
      </c>
      <c r="I3893">
        <v>5686.88</v>
      </c>
      <c r="J3893">
        <v>5140.83</v>
      </c>
      <c r="K3893" t="s">
        <v>17</v>
      </c>
      <c r="L3893" t="b">
        <v>0</v>
      </c>
      <c r="N3893" s="2" t="str">
        <f t="shared" si="345"/>
        <v/>
      </c>
      <c r="Q3893" t="str">
        <f t="shared" si="346"/>
        <v/>
      </c>
    </row>
    <row r="3894" spans="1:17" hidden="1">
      <c r="A3894" t="s">
        <v>3999</v>
      </c>
      <c r="B3894" s="1">
        <v>45438</v>
      </c>
      <c r="C3894">
        <v>2024</v>
      </c>
      <c r="D3894">
        <v>5</v>
      </c>
      <c r="E3894" t="s">
        <v>23</v>
      </c>
      <c r="F3894" t="s">
        <v>14</v>
      </c>
      <c r="G3894" t="s">
        <v>30</v>
      </c>
      <c r="H3894" t="s">
        <v>33</v>
      </c>
      <c r="I3894">
        <v>8424</v>
      </c>
      <c r="J3894">
        <v>8708.86</v>
      </c>
      <c r="K3894" t="s">
        <v>17</v>
      </c>
      <c r="L3894" t="b">
        <v>0</v>
      </c>
      <c r="N3894" s="2" t="str">
        <f t="shared" si="345"/>
        <v/>
      </c>
      <c r="Q3894" t="str">
        <f t="shared" si="346"/>
        <v/>
      </c>
    </row>
    <row r="3895" spans="1:17" hidden="1">
      <c r="A3895" t="s">
        <v>4000</v>
      </c>
      <c r="B3895" s="1">
        <v>45438</v>
      </c>
      <c r="C3895">
        <v>2024</v>
      </c>
      <c r="D3895">
        <v>5</v>
      </c>
      <c r="E3895" t="s">
        <v>23</v>
      </c>
      <c r="F3895" t="s">
        <v>28</v>
      </c>
      <c r="G3895" t="s">
        <v>25</v>
      </c>
      <c r="H3895" t="s">
        <v>35</v>
      </c>
      <c r="I3895">
        <v>7975.31</v>
      </c>
      <c r="J3895">
        <v>8626.15</v>
      </c>
      <c r="K3895" t="s">
        <v>17</v>
      </c>
      <c r="L3895" t="b">
        <v>0</v>
      </c>
      <c r="N3895" s="2" t="str">
        <f t="shared" si="345"/>
        <v/>
      </c>
      <c r="Q3895" t="str">
        <f t="shared" si="346"/>
        <v/>
      </c>
    </row>
    <row r="3896" spans="1:17" hidden="1">
      <c r="A3896" t="s">
        <v>4001</v>
      </c>
      <c r="B3896" s="1">
        <v>45438</v>
      </c>
      <c r="C3896">
        <v>2024</v>
      </c>
      <c r="D3896">
        <v>5</v>
      </c>
      <c r="E3896" t="s">
        <v>37</v>
      </c>
      <c r="F3896" t="s">
        <v>28</v>
      </c>
      <c r="G3896" t="s">
        <v>38</v>
      </c>
      <c r="H3896" t="s">
        <v>227</v>
      </c>
      <c r="I3896">
        <v>5349.36</v>
      </c>
      <c r="J3896">
        <v>5170.33</v>
      </c>
      <c r="K3896" t="s">
        <v>17</v>
      </c>
      <c r="L3896" t="b">
        <v>0</v>
      </c>
      <c r="N3896" s="2" t="str">
        <f t="shared" si="345"/>
        <v/>
      </c>
      <c r="Q3896" t="str">
        <f t="shared" si="346"/>
        <v/>
      </c>
    </row>
    <row r="3897" spans="1:17" hidden="1">
      <c r="A3897" t="s">
        <v>4002</v>
      </c>
      <c r="B3897" s="1">
        <v>45438</v>
      </c>
      <c r="C3897">
        <v>2024</v>
      </c>
      <c r="D3897">
        <v>5</v>
      </c>
      <c r="E3897" t="s">
        <v>37</v>
      </c>
      <c r="F3897" t="s">
        <v>24</v>
      </c>
      <c r="G3897" t="s">
        <v>38</v>
      </c>
      <c r="H3897" t="s">
        <v>39</v>
      </c>
      <c r="I3897">
        <v>5509.59</v>
      </c>
      <c r="J3897">
        <v>5279.86</v>
      </c>
      <c r="K3897" t="s">
        <v>17</v>
      </c>
      <c r="L3897" t="b">
        <v>0</v>
      </c>
      <c r="N3897" s="2" t="str">
        <f t="shared" si="345"/>
        <v/>
      </c>
      <c r="Q3897" t="str">
        <f t="shared" si="346"/>
        <v/>
      </c>
    </row>
    <row r="3898" spans="1:17" hidden="1">
      <c r="A3898" t="s">
        <v>4003</v>
      </c>
      <c r="B3898" s="1">
        <v>45439</v>
      </c>
      <c r="C3898">
        <v>2024</v>
      </c>
      <c r="D3898">
        <v>5</v>
      </c>
      <c r="E3898" t="s">
        <v>13</v>
      </c>
      <c r="F3898" t="s">
        <v>14</v>
      </c>
      <c r="G3898" t="s">
        <v>108</v>
      </c>
      <c r="H3898" t="s">
        <v>123</v>
      </c>
      <c r="I3898">
        <v>2249.21</v>
      </c>
      <c r="J3898">
        <v>2288.9899999999998</v>
      </c>
      <c r="K3898" t="s">
        <v>17</v>
      </c>
      <c r="L3898" t="b">
        <v>0</v>
      </c>
      <c r="N3898" s="2" t="str">
        <f t="shared" si="345"/>
        <v/>
      </c>
      <c r="Q3898" t="str">
        <f t="shared" si="346"/>
        <v/>
      </c>
    </row>
    <row r="3899" spans="1:17" hidden="1">
      <c r="A3899" t="s">
        <v>4004</v>
      </c>
      <c r="B3899" s="1">
        <v>45439</v>
      </c>
      <c r="C3899">
        <v>2024</v>
      </c>
      <c r="D3899">
        <v>5</v>
      </c>
      <c r="E3899" t="s">
        <v>13</v>
      </c>
      <c r="F3899" t="s">
        <v>14</v>
      </c>
      <c r="G3899" t="s">
        <v>108</v>
      </c>
      <c r="H3899" t="s">
        <v>123</v>
      </c>
      <c r="I3899">
        <v>3798.98</v>
      </c>
      <c r="J3899">
        <v>3474.52</v>
      </c>
      <c r="K3899" t="s">
        <v>17</v>
      </c>
      <c r="L3899" t="b">
        <v>0</v>
      </c>
      <c r="N3899" s="2" t="str">
        <f t="shared" si="345"/>
        <v/>
      </c>
      <c r="Q3899" t="str">
        <f t="shared" si="346"/>
        <v/>
      </c>
    </row>
    <row r="3900" spans="1:17" hidden="1">
      <c r="A3900" t="s">
        <v>4005</v>
      </c>
      <c r="B3900" s="1">
        <v>45439</v>
      </c>
      <c r="C3900">
        <v>2024</v>
      </c>
      <c r="D3900">
        <v>5</v>
      </c>
      <c r="E3900" t="s">
        <v>47</v>
      </c>
      <c r="F3900" t="s">
        <v>24</v>
      </c>
      <c r="G3900" t="s">
        <v>51</v>
      </c>
      <c r="H3900" t="s">
        <v>72</v>
      </c>
      <c r="I3900">
        <v>17126.740000000002</v>
      </c>
      <c r="J3900">
        <v>14421.75</v>
      </c>
      <c r="K3900" t="s">
        <v>17</v>
      </c>
      <c r="L3900" t="b">
        <v>0</v>
      </c>
      <c r="N3900" s="2" t="b">
        <f t="shared" si="345"/>
        <v>1</v>
      </c>
      <c r="O3900" t="str">
        <f>IF(AND(E3889="HR",K3889="EXPENSE"),I3889&lt;J3889,"")</f>
        <v/>
      </c>
      <c r="Q3900" t="str">
        <f t="shared" si="346"/>
        <v/>
      </c>
    </row>
    <row r="3901" spans="1:17" hidden="1">
      <c r="A3901" t="s">
        <v>4006</v>
      </c>
      <c r="B3901" s="1">
        <v>45439</v>
      </c>
      <c r="C3901">
        <v>2024</v>
      </c>
      <c r="D3901">
        <v>5</v>
      </c>
      <c r="E3901" t="s">
        <v>19</v>
      </c>
      <c r="F3901" t="s">
        <v>14</v>
      </c>
      <c r="G3901" t="s">
        <v>54</v>
      </c>
      <c r="H3901" t="s">
        <v>163</v>
      </c>
      <c r="I3901">
        <v>8361.9599999999991</v>
      </c>
      <c r="J3901">
        <v>7617.59</v>
      </c>
      <c r="K3901" t="s">
        <v>17</v>
      </c>
      <c r="L3901" t="b">
        <v>0</v>
      </c>
      <c r="N3901" s="2" t="str">
        <f t="shared" si="345"/>
        <v/>
      </c>
      <c r="Q3901" t="str">
        <f t="shared" si="346"/>
        <v/>
      </c>
    </row>
    <row r="3902" spans="1:17">
      <c r="A3902" t="s">
        <v>4007</v>
      </c>
      <c r="B3902" s="1">
        <v>45439</v>
      </c>
      <c r="C3902">
        <v>2024</v>
      </c>
      <c r="D3902">
        <v>5</v>
      </c>
      <c r="E3902" t="s">
        <v>19</v>
      </c>
      <c r="F3902" t="s">
        <v>24</v>
      </c>
      <c r="G3902" t="s">
        <v>20</v>
      </c>
      <c r="H3902" t="s">
        <v>651</v>
      </c>
      <c r="I3902">
        <v>25249.17</v>
      </c>
      <c r="J3902">
        <v>4963.97</v>
      </c>
      <c r="K3902" t="s">
        <v>17</v>
      </c>
      <c r="L3902" t="b">
        <v>1</v>
      </c>
      <c r="N3902" s="2" t="str">
        <f t="shared" si="345"/>
        <v/>
      </c>
      <c r="Q3902" t="b">
        <f t="shared" si="346"/>
        <v>1</v>
      </c>
    </row>
    <row r="3903" spans="1:17" hidden="1">
      <c r="A3903" t="s">
        <v>4008</v>
      </c>
      <c r="B3903" s="1">
        <v>45439</v>
      </c>
      <c r="C3903">
        <v>2024</v>
      </c>
      <c r="D3903">
        <v>5</v>
      </c>
      <c r="E3903" t="s">
        <v>37</v>
      </c>
      <c r="F3903" t="s">
        <v>14</v>
      </c>
      <c r="G3903" t="s">
        <v>62</v>
      </c>
      <c r="H3903" t="s">
        <v>66</v>
      </c>
      <c r="I3903">
        <v>3797.7</v>
      </c>
      <c r="J3903">
        <v>3501.2</v>
      </c>
      <c r="K3903" t="s">
        <v>17</v>
      </c>
      <c r="L3903" t="b">
        <v>0</v>
      </c>
      <c r="N3903" s="2" t="str">
        <f t="shared" si="345"/>
        <v/>
      </c>
      <c r="Q3903" t="str">
        <f t="shared" si="346"/>
        <v/>
      </c>
    </row>
    <row r="3904" spans="1:17" hidden="1">
      <c r="A3904" t="s">
        <v>4009</v>
      </c>
      <c r="B3904" s="1">
        <v>45439</v>
      </c>
      <c r="C3904">
        <v>2024</v>
      </c>
      <c r="D3904">
        <v>5</v>
      </c>
      <c r="E3904" t="s">
        <v>37</v>
      </c>
      <c r="F3904" t="s">
        <v>28</v>
      </c>
      <c r="G3904" t="s">
        <v>38</v>
      </c>
      <c r="H3904" t="s">
        <v>227</v>
      </c>
      <c r="I3904">
        <v>3311.87</v>
      </c>
      <c r="J3904">
        <v>3554.1</v>
      </c>
      <c r="K3904" t="s">
        <v>17</v>
      </c>
      <c r="L3904" t="b">
        <v>0</v>
      </c>
      <c r="N3904" s="2" t="str">
        <f t="shared" si="345"/>
        <v/>
      </c>
      <c r="Q3904" t="str">
        <f t="shared" si="346"/>
        <v/>
      </c>
    </row>
    <row r="3905" spans="1:17" hidden="1">
      <c r="A3905" t="s">
        <v>4010</v>
      </c>
      <c r="B3905" s="1">
        <v>45440</v>
      </c>
      <c r="C3905">
        <v>2024</v>
      </c>
      <c r="D3905">
        <v>5</v>
      </c>
      <c r="E3905" t="s">
        <v>47</v>
      </c>
      <c r="F3905" t="s">
        <v>14</v>
      </c>
      <c r="G3905" t="s">
        <v>51</v>
      </c>
      <c r="H3905" t="s">
        <v>189</v>
      </c>
      <c r="I3905">
        <v>15200.87</v>
      </c>
      <c r="J3905">
        <v>12828.61</v>
      </c>
      <c r="K3905" t="s">
        <v>17</v>
      </c>
      <c r="L3905" t="b">
        <v>0</v>
      </c>
      <c r="N3905" s="2" t="b">
        <f t="shared" si="345"/>
        <v>1</v>
      </c>
      <c r="O3905" t="str">
        <f t="shared" ref="O3905:O3906" si="351">IF(AND(E3894="HR",K3894="EXPENSE"),I3894&lt;J3894,"")</f>
        <v/>
      </c>
      <c r="Q3905" t="str">
        <f t="shared" si="346"/>
        <v/>
      </c>
    </row>
    <row r="3906" spans="1:17" hidden="1">
      <c r="A3906" t="s">
        <v>4011</v>
      </c>
      <c r="B3906" s="1">
        <v>45440</v>
      </c>
      <c r="C3906">
        <v>2024</v>
      </c>
      <c r="D3906">
        <v>5</v>
      </c>
      <c r="E3906" t="s">
        <v>47</v>
      </c>
      <c r="F3906" t="s">
        <v>24</v>
      </c>
      <c r="G3906" t="s">
        <v>91</v>
      </c>
      <c r="H3906" t="s">
        <v>92</v>
      </c>
      <c r="I3906">
        <v>20180.29</v>
      </c>
      <c r="J3906">
        <v>16955.7</v>
      </c>
      <c r="K3906" t="s">
        <v>17</v>
      </c>
      <c r="L3906" t="b">
        <v>0</v>
      </c>
      <c r="N3906" s="2" t="b">
        <f t="shared" si="345"/>
        <v>1</v>
      </c>
      <c r="O3906" t="str">
        <f t="shared" si="351"/>
        <v/>
      </c>
      <c r="Q3906" t="str">
        <f t="shared" si="346"/>
        <v/>
      </c>
    </row>
    <row r="3907" spans="1:17" hidden="1">
      <c r="A3907" t="s">
        <v>4012</v>
      </c>
      <c r="B3907" s="1">
        <v>45440</v>
      </c>
      <c r="C3907">
        <v>2024</v>
      </c>
      <c r="D3907">
        <v>5</v>
      </c>
      <c r="E3907" t="s">
        <v>19</v>
      </c>
      <c r="F3907" t="s">
        <v>14</v>
      </c>
      <c r="G3907" t="s">
        <v>20</v>
      </c>
      <c r="H3907" t="s">
        <v>21</v>
      </c>
      <c r="I3907">
        <v>6723.39</v>
      </c>
      <c r="J3907">
        <v>6285.81</v>
      </c>
      <c r="K3907" t="s">
        <v>17</v>
      </c>
      <c r="L3907" t="b">
        <v>0</v>
      </c>
      <c r="N3907" s="2" t="str">
        <f t="shared" ref="N3907:N3970" si="352">IF(AND(E3907="IT",K3907="EXPENSE"),I3907&gt;J3907,"")</f>
        <v/>
      </c>
      <c r="Q3907" t="str">
        <f t="shared" ref="Q3907:Q3970" si="353">IF(L3907=TRUE,OR(H3907="Apex Solutions Inc",H3907="Global Trade Partners",H3907="NovaTech Services"),"")</f>
        <v/>
      </c>
    </row>
    <row r="3908" spans="1:17" hidden="1">
      <c r="A3908" t="s">
        <v>4013</v>
      </c>
      <c r="B3908" s="1">
        <v>45440</v>
      </c>
      <c r="C3908">
        <v>2024</v>
      </c>
      <c r="D3908">
        <v>5</v>
      </c>
      <c r="E3908" t="s">
        <v>19</v>
      </c>
      <c r="F3908" t="s">
        <v>28</v>
      </c>
      <c r="G3908" t="s">
        <v>80</v>
      </c>
      <c r="H3908" t="s">
        <v>217</v>
      </c>
      <c r="I3908">
        <v>8380.2999999999993</v>
      </c>
      <c r="J3908">
        <v>8747.2099999999991</v>
      </c>
      <c r="K3908" t="s">
        <v>17</v>
      </c>
      <c r="L3908" t="b">
        <v>0</v>
      </c>
      <c r="N3908" s="2" t="str">
        <f t="shared" si="352"/>
        <v/>
      </c>
      <c r="Q3908" t="str">
        <f t="shared" si="353"/>
        <v/>
      </c>
    </row>
    <row r="3909" spans="1:17" hidden="1">
      <c r="A3909" t="s">
        <v>4014</v>
      </c>
      <c r="B3909" s="1">
        <v>45440</v>
      </c>
      <c r="C3909">
        <v>2024</v>
      </c>
      <c r="D3909">
        <v>5</v>
      </c>
      <c r="E3909" t="s">
        <v>23</v>
      </c>
      <c r="F3909" t="s">
        <v>24</v>
      </c>
      <c r="G3909" t="s">
        <v>25</v>
      </c>
      <c r="H3909" t="s">
        <v>95</v>
      </c>
      <c r="I3909">
        <v>4991.3100000000004</v>
      </c>
      <c r="J3909">
        <v>4727.46</v>
      </c>
      <c r="K3909" t="s">
        <v>17</v>
      </c>
      <c r="L3909" t="b">
        <v>0</v>
      </c>
      <c r="N3909" s="2" t="str">
        <f t="shared" si="352"/>
        <v/>
      </c>
      <c r="Q3909" t="str">
        <f t="shared" si="353"/>
        <v/>
      </c>
    </row>
    <row r="3910" spans="1:17" hidden="1">
      <c r="A3910" t="s">
        <v>4015</v>
      </c>
      <c r="B3910" s="1">
        <v>45440</v>
      </c>
      <c r="C3910">
        <v>2024</v>
      </c>
      <c r="D3910">
        <v>5</v>
      </c>
      <c r="E3910" t="s">
        <v>37</v>
      </c>
      <c r="F3910" t="s">
        <v>28</v>
      </c>
      <c r="G3910" t="s">
        <v>62</v>
      </c>
      <c r="H3910" t="s">
        <v>66</v>
      </c>
      <c r="I3910">
        <v>4291.55</v>
      </c>
      <c r="J3910">
        <v>3868.37</v>
      </c>
      <c r="K3910" t="s">
        <v>17</v>
      </c>
      <c r="L3910" t="b">
        <v>0</v>
      </c>
      <c r="N3910" s="2" t="str">
        <f t="shared" si="352"/>
        <v/>
      </c>
      <c r="Q3910" t="str">
        <f t="shared" si="353"/>
        <v/>
      </c>
    </row>
    <row r="3911" spans="1:17" hidden="1">
      <c r="A3911" t="s">
        <v>4016</v>
      </c>
      <c r="B3911" s="1">
        <v>45440</v>
      </c>
      <c r="C3911">
        <v>2024</v>
      </c>
      <c r="D3911">
        <v>5</v>
      </c>
      <c r="E3911" t="s">
        <v>37</v>
      </c>
      <c r="F3911" t="s">
        <v>24</v>
      </c>
      <c r="G3911" t="s">
        <v>62</v>
      </c>
      <c r="H3911" t="s">
        <v>63</v>
      </c>
      <c r="I3911">
        <v>5583.51</v>
      </c>
      <c r="J3911">
        <v>5482.84</v>
      </c>
      <c r="K3911" t="s">
        <v>17</v>
      </c>
      <c r="L3911" t="b">
        <v>0</v>
      </c>
      <c r="N3911" s="2" t="str">
        <f t="shared" si="352"/>
        <v/>
      </c>
      <c r="Q3911" t="str">
        <f t="shared" si="353"/>
        <v/>
      </c>
    </row>
    <row r="3912" spans="1:17" hidden="1">
      <c r="A3912" t="s">
        <v>4017</v>
      </c>
      <c r="B3912" s="1">
        <v>45440</v>
      </c>
      <c r="C3912">
        <v>2024</v>
      </c>
      <c r="D3912">
        <v>5</v>
      </c>
      <c r="E3912" t="s">
        <v>37</v>
      </c>
      <c r="F3912" t="s">
        <v>24</v>
      </c>
      <c r="G3912" t="s">
        <v>38</v>
      </c>
      <c r="H3912" t="s">
        <v>118</v>
      </c>
      <c r="I3912">
        <v>4466.7</v>
      </c>
      <c r="J3912">
        <v>4053.75</v>
      </c>
      <c r="K3912" t="s">
        <v>17</v>
      </c>
      <c r="L3912" t="b">
        <v>0</v>
      </c>
      <c r="N3912" s="2" t="str">
        <f t="shared" si="352"/>
        <v/>
      </c>
      <c r="Q3912" t="str">
        <f t="shared" si="353"/>
        <v/>
      </c>
    </row>
    <row r="3913" spans="1:17" hidden="1">
      <c r="A3913" t="s">
        <v>4018</v>
      </c>
      <c r="B3913" s="1">
        <v>45441</v>
      </c>
      <c r="C3913">
        <v>2024</v>
      </c>
      <c r="D3913">
        <v>5</v>
      </c>
      <c r="E3913" t="s">
        <v>13</v>
      </c>
      <c r="F3913" t="s">
        <v>14</v>
      </c>
      <c r="G3913" t="s">
        <v>15</v>
      </c>
      <c r="H3913" t="s">
        <v>89</v>
      </c>
      <c r="I3913">
        <v>3415.11</v>
      </c>
      <c r="J3913">
        <v>3554.74</v>
      </c>
      <c r="K3913" t="s">
        <v>17</v>
      </c>
      <c r="L3913" t="b">
        <v>0</v>
      </c>
      <c r="N3913" s="2" t="str">
        <f t="shared" si="352"/>
        <v/>
      </c>
      <c r="Q3913" t="str">
        <f t="shared" si="353"/>
        <v/>
      </c>
    </row>
    <row r="3914" spans="1:17" hidden="1">
      <c r="A3914" t="s">
        <v>4019</v>
      </c>
      <c r="B3914" s="1">
        <v>45441</v>
      </c>
      <c r="C3914">
        <v>2024</v>
      </c>
      <c r="D3914">
        <v>5</v>
      </c>
      <c r="E3914" t="s">
        <v>47</v>
      </c>
      <c r="F3914" t="s">
        <v>28</v>
      </c>
      <c r="G3914" t="s">
        <v>77</v>
      </c>
      <c r="H3914" t="s">
        <v>147</v>
      </c>
      <c r="I3914">
        <v>13799.23</v>
      </c>
      <c r="J3914">
        <v>11566.08</v>
      </c>
      <c r="K3914" t="s">
        <v>17</v>
      </c>
      <c r="L3914" t="b">
        <v>0</v>
      </c>
      <c r="N3914" s="2" t="b">
        <f t="shared" si="352"/>
        <v>1</v>
      </c>
      <c r="O3914" t="str">
        <f t="shared" ref="O3914:O3915" si="354">IF(AND(E3903="HR",K3903="EXPENSE"),I3903&lt;J3903,"")</f>
        <v/>
      </c>
      <c r="Q3914" t="str">
        <f t="shared" si="353"/>
        <v/>
      </c>
    </row>
    <row r="3915" spans="1:17" hidden="1">
      <c r="A3915" t="s">
        <v>4020</v>
      </c>
      <c r="B3915" s="1">
        <v>45441</v>
      </c>
      <c r="C3915">
        <v>2024</v>
      </c>
      <c r="D3915">
        <v>5</v>
      </c>
      <c r="E3915" t="s">
        <v>47</v>
      </c>
      <c r="F3915" t="s">
        <v>24</v>
      </c>
      <c r="G3915" t="s">
        <v>91</v>
      </c>
      <c r="H3915" t="s">
        <v>92</v>
      </c>
      <c r="I3915">
        <v>14478.43</v>
      </c>
      <c r="J3915">
        <v>12012.53</v>
      </c>
      <c r="K3915" t="s">
        <v>17</v>
      </c>
      <c r="L3915" t="b">
        <v>0</v>
      </c>
      <c r="N3915" s="2" t="b">
        <f t="shared" si="352"/>
        <v>1</v>
      </c>
      <c r="O3915" t="str">
        <f t="shared" si="354"/>
        <v/>
      </c>
      <c r="Q3915" t="str">
        <f t="shared" si="353"/>
        <v/>
      </c>
    </row>
    <row r="3916" spans="1:17" hidden="1">
      <c r="A3916" t="s">
        <v>4021</v>
      </c>
      <c r="B3916" s="1">
        <v>45441</v>
      </c>
      <c r="C3916">
        <v>2024</v>
      </c>
      <c r="D3916">
        <v>5</v>
      </c>
      <c r="E3916" t="s">
        <v>23</v>
      </c>
      <c r="F3916" t="s">
        <v>14</v>
      </c>
      <c r="G3916" t="s">
        <v>30</v>
      </c>
      <c r="H3916" t="s">
        <v>33</v>
      </c>
      <c r="I3916">
        <v>5734.53</v>
      </c>
      <c r="J3916">
        <v>5406.52</v>
      </c>
      <c r="K3916" t="s">
        <v>17</v>
      </c>
      <c r="L3916" t="b">
        <v>0</v>
      </c>
      <c r="N3916" s="2" t="str">
        <f t="shared" si="352"/>
        <v/>
      </c>
      <c r="Q3916" t="str">
        <f t="shared" si="353"/>
        <v/>
      </c>
    </row>
    <row r="3917" spans="1:17" hidden="1">
      <c r="A3917" t="s">
        <v>4022</v>
      </c>
      <c r="B3917" s="1">
        <v>45441</v>
      </c>
      <c r="C3917">
        <v>2024</v>
      </c>
      <c r="D3917">
        <v>5</v>
      </c>
      <c r="E3917" t="s">
        <v>37</v>
      </c>
      <c r="F3917" t="s">
        <v>28</v>
      </c>
      <c r="G3917" t="s">
        <v>41</v>
      </c>
      <c r="H3917" t="s">
        <v>42</v>
      </c>
      <c r="I3917">
        <v>5143.1499999999996</v>
      </c>
      <c r="J3917">
        <v>5119.1000000000004</v>
      </c>
      <c r="K3917" t="s">
        <v>17</v>
      </c>
      <c r="L3917" t="b">
        <v>0</v>
      </c>
      <c r="N3917" s="2" t="str">
        <f t="shared" si="352"/>
        <v/>
      </c>
      <c r="Q3917" t="str">
        <f t="shared" si="353"/>
        <v/>
      </c>
    </row>
    <row r="3918" spans="1:17" hidden="1">
      <c r="A3918" t="s">
        <v>4023</v>
      </c>
      <c r="B3918" s="1">
        <v>45441</v>
      </c>
      <c r="C3918">
        <v>2024</v>
      </c>
      <c r="D3918">
        <v>5</v>
      </c>
      <c r="E3918" t="s">
        <v>37</v>
      </c>
      <c r="F3918" t="s">
        <v>28</v>
      </c>
      <c r="G3918" t="s">
        <v>38</v>
      </c>
      <c r="H3918" t="s">
        <v>118</v>
      </c>
      <c r="I3918">
        <v>4787.8100000000004</v>
      </c>
      <c r="J3918">
        <v>5039.6000000000004</v>
      </c>
      <c r="K3918" t="s">
        <v>17</v>
      </c>
      <c r="L3918" t="b">
        <v>0</v>
      </c>
      <c r="N3918" s="2" t="str">
        <f t="shared" si="352"/>
        <v/>
      </c>
      <c r="Q3918" t="str">
        <f t="shared" si="353"/>
        <v/>
      </c>
    </row>
    <row r="3919" spans="1:17" hidden="1">
      <c r="A3919" t="s">
        <v>4024</v>
      </c>
      <c r="B3919" s="1">
        <v>45442</v>
      </c>
      <c r="C3919">
        <v>2024</v>
      </c>
      <c r="D3919">
        <v>5</v>
      </c>
      <c r="E3919" t="s">
        <v>13</v>
      </c>
      <c r="F3919" t="s">
        <v>24</v>
      </c>
      <c r="G3919" t="s">
        <v>15</v>
      </c>
      <c r="H3919" t="s">
        <v>45</v>
      </c>
      <c r="I3919">
        <v>2303.39</v>
      </c>
      <c r="J3919">
        <v>2151.63</v>
      </c>
      <c r="K3919" t="s">
        <v>17</v>
      </c>
      <c r="L3919" t="b">
        <v>0</v>
      </c>
      <c r="N3919" s="2" t="str">
        <f t="shared" si="352"/>
        <v/>
      </c>
      <c r="Q3919" t="str">
        <f t="shared" si="353"/>
        <v/>
      </c>
    </row>
    <row r="3920" spans="1:17" hidden="1">
      <c r="A3920" t="s">
        <v>4025</v>
      </c>
      <c r="B3920" s="1">
        <v>45442</v>
      </c>
      <c r="C3920">
        <v>2024</v>
      </c>
      <c r="D3920">
        <v>5</v>
      </c>
      <c r="E3920" t="s">
        <v>47</v>
      </c>
      <c r="F3920" t="s">
        <v>14</v>
      </c>
      <c r="G3920" t="s">
        <v>77</v>
      </c>
      <c r="H3920" t="s">
        <v>130</v>
      </c>
      <c r="I3920">
        <v>13276.62</v>
      </c>
      <c r="J3920">
        <v>11028.99</v>
      </c>
      <c r="K3920" t="s">
        <v>17</v>
      </c>
      <c r="L3920" t="b">
        <v>0</v>
      </c>
      <c r="N3920" s="2" t="b">
        <f t="shared" si="352"/>
        <v>1</v>
      </c>
      <c r="O3920" t="str">
        <f>IF(AND(E3909="HR",K3909="EXPENSE"),I3909&lt;J3909,"")</f>
        <v/>
      </c>
      <c r="Q3920" t="str">
        <f t="shared" si="353"/>
        <v/>
      </c>
    </row>
    <row r="3921" spans="1:17" hidden="1">
      <c r="A3921" t="s">
        <v>4026</v>
      </c>
      <c r="B3921" s="1">
        <v>45442</v>
      </c>
      <c r="C3921">
        <v>2024</v>
      </c>
      <c r="D3921">
        <v>5</v>
      </c>
      <c r="E3921" t="s">
        <v>19</v>
      </c>
      <c r="F3921" t="s">
        <v>14</v>
      </c>
      <c r="G3921" t="s">
        <v>20</v>
      </c>
      <c r="H3921" t="s">
        <v>21</v>
      </c>
      <c r="I3921">
        <v>4858.72</v>
      </c>
      <c r="J3921">
        <v>5257.91</v>
      </c>
      <c r="K3921" t="s">
        <v>17</v>
      </c>
      <c r="L3921" t="b">
        <v>0</v>
      </c>
      <c r="N3921" s="2" t="str">
        <f t="shared" si="352"/>
        <v/>
      </c>
      <c r="Q3921" t="str">
        <f t="shared" si="353"/>
        <v/>
      </c>
    </row>
    <row r="3922" spans="1:17" hidden="1">
      <c r="A3922" t="s">
        <v>4027</v>
      </c>
      <c r="B3922" s="1">
        <v>45442</v>
      </c>
      <c r="C3922">
        <v>2024</v>
      </c>
      <c r="D3922">
        <v>5</v>
      </c>
      <c r="E3922" t="s">
        <v>19</v>
      </c>
      <c r="F3922" t="s">
        <v>24</v>
      </c>
      <c r="G3922" t="s">
        <v>20</v>
      </c>
      <c r="H3922" t="s">
        <v>21</v>
      </c>
      <c r="I3922">
        <v>7211.04</v>
      </c>
      <c r="J3922">
        <v>6622.4</v>
      </c>
      <c r="K3922" t="s">
        <v>17</v>
      </c>
      <c r="L3922" t="b">
        <v>0</v>
      </c>
      <c r="N3922" s="2" t="str">
        <f t="shared" si="352"/>
        <v/>
      </c>
      <c r="Q3922" t="str">
        <f t="shared" si="353"/>
        <v/>
      </c>
    </row>
    <row r="3923" spans="1:17" hidden="1">
      <c r="A3923" t="s">
        <v>4028</v>
      </c>
      <c r="B3923" s="1">
        <v>45442</v>
      </c>
      <c r="C3923">
        <v>2024</v>
      </c>
      <c r="D3923">
        <v>5</v>
      </c>
      <c r="E3923" t="s">
        <v>37</v>
      </c>
      <c r="F3923" t="s">
        <v>28</v>
      </c>
      <c r="G3923" t="s">
        <v>62</v>
      </c>
      <c r="H3923" t="s">
        <v>121</v>
      </c>
      <c r="I3923">
        <v>4361.28</v>
      </c>
      <c r="J3923">
        <v>4587.62</v>
      </c>
      <c r="K3923" t="s">
        <v>17</v>
      </c>
      <c r="L3923" t="b">
        <v>0</v>
      </c>
      <c r="N3923" s="2" t="str">
        <f t="shared" si="352"/>
        <v/>
      </c>
      <c r="Q3923" t="str">
        <f t="shared" si="353"/>
        <v/>
      </c>
    </row>
    <row r="3924" spans="1:17" hidden="1">
      <c r="A3924" t="s">
        <v>4029</v>
      </c>
      <c r="B3924" s="1">
        <v>45442</v>
      </c>
      <c r="C3924">
        <v>2024</v>
      </c>
      <c r="D3924">
        <v>5</v>
      </c>
      <c r="E3924" t="s">
        <v>37</v>
      </c>
      <c r="F3924" t="s">
        <v>28</v>
      </c>
      <c r="G3924" t="s">
        <v>41</v>
      </c>
      <c r="H3924" t="s">
        <v>42</v>
      </c>
      <c r="I3924">
        <v>5080.1400000000003</v>
      </c>
      <c r="J3924">
        <v>5514.81</v>
      </c>
      <c r="K3924" t="s">
        <v>17</v>
      </c>
      <c r="L3924" t="b">
        <v>0</v>
      </c>
      <c r="N3924" s="2" t="str">
        <f t="shared" si="352"/>
        <v/>
      </c>
      <c r="Q3924" t="str">
        <f t="shared" si="353"/>
        <v/>
      </c>
    </row>
    <row r="3925" spans="1:17" hidden="1">
      <c r="A3925" t="s">
        <v>4030</v>
      </c>
      <c r="B3925" s="1">
        <v>45442</v>
      </c>
      <c r="C3925">
        <v>2024</v>
      </c>
      <c r="D3925">
        <v>5</v>
      </c>
      <c r="E3925" t="s">
        <v>37</v>
      </c>
      <c r="F3925" t="s">
        <v>24</v>
      </c>
      <c r="G3925" t="s">
        <v>41</v>
      </c>
      <c r="H3925" t="s">
        <v>42</v>
      </c>
      <c r="I3925">
        <v>6686.23</v>
      </c>
      <c r="J3925">
        <v>7054.22</v>
      </c>
      <c r="K3925" t="s">
        <v>17</v>
      </c>
      <c r="L3925" t="b">
        <v>0</v>
      </c>
      <c r="N3925" s="2" t="str">
        <f t="shared" si="352"/>
        <v/>
      </c>
      <c r="Q3925" t="str">
        <f t="shared" si="353"/>
        <v/>
      </c>
    </row>
    <row r="3926" spans="1:17" hidden="1">
      <c r="A3926" t="s">
        <v>4031</v>
      </c>
      <c r="B3926" s="1">
        <v>45442</v>
      </c>
      <c r="C3926">
        <v>2024</v>
      </c>
      <c r="D3926">
        <v>5</v>
      </c>
      <c r="E3926" t="s">
        <v>37</v>
      </c>
      <c r="F3926" t="s">
        <v>24</v>
      </c>
      <c r="G3926" t="s">
        <v>62</v>
      </c>
      <c r="H3926" t="s">
        <v>66</v>
      </c>
      <c r="I3926">
        <v>2112.41</v>
      </c>
      <c r="J3926">
        <v>2010.23</v>
      </c>
      <c r="K3926" t="s">
        <v>17</v>
      </c>
      <c r="L3926" t="b">
        <v>0</v>
      </c>
      <c r="N3926" s="2" t="str">
        <f t="shared" si="352"/>
        <v/>
      </c>
      <c r="Q3926" t="str">
        <f t="shared" si="353"/>
        <v/>
      </c>
    </row>
    <row r="3927" spans="1:17" hidden="1">
      <c r="A3927" t="s">
        <v>4032</v>
      </c>
      <c r="B3927" s="1">
        <v>45443</v>
      </c>
      <c r="C3927">
        <v>2024</v>
      </c>
      <c r="D3927">
        <v>5</v>
      </c>
      <c r="E3927" t="s">
        <v>13</v>
      </c>
      <c r="F3927" t="s">
        <v>14</v>
      </c>
      <c r="G3927" t="s">
        <v>102</v>
      </c>
      <c r="H3927" t="s">
        <v>278</v>
      </c>
      <c r="I3927">
        <v>3171.07</v>
      </c>
      <c r="J3927">
        <v>3166.65</v>
      </c>
      <c r="K3927" t="s">
        <v>17</v>
      </c>
      <c r="L3927" t="b">
        <v>0</v>
      </c>
      <c r="N3927" s="2" t="str">
        <f t="shared" si="352"/>
        <v/>
      </c>
      <c r="Q3927" t="str">
        <f t="shared" si="353"/>
        <v/>
      </c>
    </row>
    <row r="3928" spans="1:17" hidden="1">
      <c r="A3928" t="s">
        <v>4033</v>
      </c>
      <c r="B3928" s="1">
        <v>45443</v>
      </c>
      <c r="C3928">
        <v>2024</v>
      </c>
      <c r="D3928">
        <v>5</v>
      </c>
      <c r="E3928" t="s">
        <v>13</v>
      </c>
      <c r="F3928" t="s">
        <v>24</v>
      </c>
      <c r="G3928" t="s">
        <v>68</v>
      </c>
      <c r="H3928" t="s">
        <v>69</v>
      </c>
      <c r="I3928">
        <v>2903.43</v>
      </c>
      <c r="J3928">
        <v>2705.78</v>
      </c>
      <c r="K3928" t="s">
        <v>17</v>
      </c>
      <c r="L3928" t="b">
        <v>0</v>
      </c>
      <c r="N3928" s="2" t="str">
        <f t="shared" si="352"/>
        <v/>
      </c>
      <c r="Q3928" t="str">
        <f t="shared" si="353"/>
        <v/>
      </c>
    </row>
    <row r="3929" spans="1:17" hidden="1">
      <c r="A3929" t="s">
        <v>4034</v>
      </c>
      <c r="B3929" s="1">
        <v>45443</v>
      </c>
      <c r="C3929">
        <v>2024</v>
      </c>
      <c r="D3929">
        <v>5</v>
      </c>
      <c r="E3929" t="s">
        <v>19</v>
      </c>
      <c r="F3929" t="s">
        <v>24</v>
      </c>
      <c r="G3929" t="s">
        <v>54</v>
      </c>
      <c r="H3929" t="s">
        <v>55</v>
      </c>
      <c r="I3929">
        <v>5996.32</v>
      </c>
      <c r="J3929">
        <v>6203.45</v>
      </c>
      <c r="K3929" t="s">
        <v>17</v>
      </c>
      <c r="L3929" t="b">
        <v>0</v>
      </c>
      <c r="N3929" s="2" t="str">
        <f t="shared" si="352"/>
        <v/>
      </c>
      <c r="Q3929" t="str">
        <f t="shared" si="353"/>
        <v/>
      </c>
    </row>
    <row r="3930" spans="1:17" hidden="1">
      <c r="A3930" t="s">
        <v>4035</v>
      </c>
      <c r="B3930" s="1">
        <v>45443</v>
      </c>
      <c r="C3930">
        <v>2024</v>
      </c>
      <c r="D3930">
        <v>5</v>
      </c>
      <c r="E3930" t="s">
        <v>37</v>
      </c>
      <c r="F3930" t="s">
        <v>24</v>
      </c>
      <c r="G3930" t="s">
        <v>98</v>
      </c>
      <c r="H3930" t="s">
        <v>185</v>
      </c>
      <c r="I3930">
        <v>5005.8100000000004</v>
      </c>
      <c r="J3930">
        <v>5400.32</v>
      </c>
      <c r="K3930" t="s">
        <v>17</v>
      </c>
      <c r="L3930" t="b">
        <v>0</v>
      </c>
      <c r="N3930" s="2" t="str">
        <f t="shared" si="352"/>
        <v/>
      </c>
      <c r="Q3930" t="str">
        <f t="shared" si="353"/>
        <v/>
      </c>
    </row>
    <row r="3931" spans="1:17" hidden="1">
      <c r="A3931" t="s">
        <v>4036</v>
      </c>
      <c r="B3931" s="1">
        <v>45444</v>
      </c>
      <c r="C3931">
        <v>2024</v>
      </c>
      <c r="D3931">
        <v>6</v>
      </c>
      <c r="E3931" t="s">
        <v>13</v>
      </c>
      <c r="F3931" t="s">
        <v>14</v>
      </c>
      <c r="G3931" t="s">
        <v>15</v>
      </c>
      <c r="H3931" t="s">
        <v>45</v>
      </c>
      <c r="I3931">
        <v>4601.91</v>
      </c>
      <c r="J3931">
        <v>4926.22</v>
      </c>
      <c r="K3931" t="s">
        <v>17</v>
      </c>
      <c r="L3931" t="b">
        <v>0</v>
      </c>
      <c r="N3931" s="2" t="str">
        <f t="shared" si="352"/>
        <v/>
      </c>
      <c r="Q3931" t="str">
        <f t="shared" si="353"/>
        <v/>
      </c>
    </row>
    <row r="3932" spans="1:17" hidden="1">
      <c r="A3932" t="s">
        <v>4037</v>
      </c>
      <c r="B3932" s="1">
        <v>45444</v>
      </c>
      <c r="C3932">
        <v>2024</v>
      </c>
      <c r="D3932">
        <v>6</v>
      </c>
      <c r="E3932" t="s">
        <v>13</v>
      </c>
      <c r="F3932" t="s">
        <v>28</v>
      </c>
      <c r="G3932" t="s">
        <v>68</v>
      </c>
      <c r="H3932" t="s">
        <v>87</v>
      </c>
      <c r="I3932">
        <v>2797.91</v>
      </c>
      <c r="J3932">
        <v>2523.06</v>
      </c>
      <c r="K3932" t="s">
        <v>17</v>
      </c>
      <c r="L3932" t="b">
        <v>0</v>
      </c>
      <c r="N3932" s="2" t="str">
        <f t="shared" si="352"/>
        <v/>
      </c>
      <c r="Q3932" t="str">
        <f t="shared" si="353"/>
        <v/>
      </c>
    </row>
    <row r="3933" spans="1:17" hidden="1">
      <c r="A3933" t="s">
        <v>4038</v>
      </c>
      <c r="B3933" s="1">
        <v>45444</v>
      </c>
      <c r="C3933">
        <v>2024</v>
      </c>
      <c r="D3933">
        <v>6</v>
      </c>
      <c r="E3933" t="s">
        <v>19</v>
      </c>
      <c r="F3933" t="s">
        <v>14</v>
      </c>
      <c r="G3933" t="s">
        <v>80</v>
      </c>
      <c r="H3933" t="s">
        <v>81</v>
      </c>
      <c r="I3933">
        <v>4497.58</v>
      </c>
      <c r="J3933">
        <v>4345.24</v>
      </c>
      <c r="K3933" t="s">
        <v>17</v>
      </c>
      <c r="L3933" t="b">
        <v>0</v>
      </c>
      <c r="N3933" s="2" t="str">
        <f t="shared" si="352"/>
        <v/>
      </c>
      <c r="Q3933" t="str">
        <f t="shared" si="353"/>
        <v/>
      </c>
    </row>
    <row r="3934" spans="1:17" hidden="1">
      <c r="A3934" t="s">
        <v>4039</v>
      </c>
      <c r="B3934" s="1">
        <v>45444</v>
      </c>
      <c r="C3934">
        <v>2024</v>
      </c>
      <c r="D3934">
        <v>6</v>
      </c>
      <c r="E3934" t="s">
        <v>19</v>
      </c>
      <c r="F3934" t="s">
        <v>28</v>
      </c>
      <c r="G3934" t="s">
        <v>54</v>
      </c>
      <c r="H3934" t="s">
        <v>55</v>
      </c>
      <c r="I3934">
        <v>6622.34</v>
      </c>
      <c r="J3934">
        <v>7189.9</v>
      </c>
      <c r="K3934" t="s">
        <v>17</v>
      </c>
      <c r="L3934" t="b">
        <v>0</v>
      </c>
      <c r="N3934" s="2" t="str">
        <f t="shared" si="352"/>
        <v/>
      </c>
      <c r="Q3934" t="str">
        <f t="shared" si="353"/>
        <v/>
      </c>
    </row>
    <row r="3935" spans="1:17" hidden="1">
      <c r="A3935" t="s">
        <v>4040</v>
      </c>
      <c r="B3935" s="1">
        <v>45444</v>
      </c>
      <c r="C3935">
        <v>2024</v>
      </c>
      <c r="D3935">
        <v>6</v>
      </c>
      <c r="E3935" t="s">
        <v>19</v>
      </c>
      <c r="F3935" t="s">
        <v>24</v>
      </c>
      <c r="G3935" t="s">
        <v>20</v>
      </c>
      <c r="H3935" t="s">
        <v>136</v>
      </c>
      <c r="I3935">
        <v>3819.29</v>
      </c>
      <c r="J3935">
        <v>3631.4</v>
      </c>
      <c r="K3935" t="s">
        <v>17</v>
      </c>
      <c r="L3935" t="b">
        <v>0</v>
      </c>
      <c r="N3935" s="2" t="str">
        <f t="shared" si="352"/>
        <v/>
      </c>
      <c r="Q3935" t="str">
        <f t="shared" si="353"/>
        <v/>
      </c>
    </row>
    <row r="3936" spans="1:17" hidden="1">
      <c r="A3936" t="s">
        <v>4041</v>
      </c>
      <c r="B3936" s="1">
        <v>45444</v>
      </c>
      <c r="C3936">
        <v>2024</v>
      </c>
      <c r="D3936">
        <v>6</v>
      </c>
      <c r="E3936" t="s">
        <v>23</v>
      </c>
      <c r="F3936" t="s">
        <v>24</v>
      </c>
      <c r="G3936" t="s">
        <v>30</v>
      </c>
      <c r="H3936" t="s">
        <v>31</v>
      </c>
      <c r="I3936">
        <v>6950.7</v>
      </c>
      <c r="J3936">
        <v>6930.37</v>
      </c>
      <c r="K3936" t="s">
        <v>17</v>
      </c>
      <c r="L3936" t="b">
        <v>0</v>
      </c>
      <c r="N3936" s="2" t="str">
        <f t="shared" si="352"/>
        <v/>
      </c>
      <c r="Q3936" t="str">
        <f t="shared" si="353"/>
        <v/>
      </c>
    </row>
    <row r="3937" spans="1:17" hidden="1">
      <c r="A3937" t="s">
        <v>4042</v>
      </c>
      <c r="B3937" s="1">
        <v>45444</v>
      </c>
      <c r="C3937">
        <v>2024</v>
      </c>
      <c r="D3937">
        <v>6</v>
      </c>
      <c r="E3937" t="s">
        <v>23</v>
      </c>
      <c r="F3937" t="s">
        <v>24</v>
      </c>
      <c r="G3937" t="s">
        <v>30</v>
      </c>
      <c r="H3937" t="s">
        <v>106</v>
      </c>
      <c r="I3937">
        <v>7458.51</v>
      </c>
      <c r="J3937">
        <v>7080.54</v>
      </c>
      <c r="K3937" t="s">
        <v>17</v>
      </c>
      <c r="L3937" t="b">
        <v>0</v>
      </c>
      <c r="N3937" s="2" t="str">
        <f t="shared" si="352"/>
        <v/>
      </c>
      <c r="Q3937" t="str">
        <f t="shared" si="353"/>
        <v/>
      </c>
    </row>
    <row r="3938" spans="1:17" hidden="1">
      <c r="A3938" t="s">
        <v>4043</v>
      </c>
      <c r="B3938" s="1">
        <v>45444</v>
      </c>
      <c r="C3938">
        <v>2024</v>
      </c>
      <c r="D3938">
        <v>6</v>
      </c>
      <c r="E3938" t="s">
        <v>37</v>
      </c>
      <c r="F3938" t="s">
        <v>28</v>
      </c>
      <c r="G3938" t="s">
        <v>38</v>
      </c>
      <c r="H3938" t="s">
        <v>118</v>
      </c>
      <c r="I3938">
        <v>3954.05</v>
      </c>
      <c r="J3938">
        <v>4313.3500000000004</v>
      </c>
      <c r="K3938" t="s">
        <v>17</v>
      </c>
      <c r="L3938" t="b">
        <v>0</v>
      </c>
      <c r="N3938" s="2" t="str">
        <f t="shared" si="352"/>
        <v/>
      </c>
      <c r="Q3938" t="str">
        <f t="shared" si="353"/>
        <v/>
      </c>
    </row>
    <row r="3939" spans="1:17" hidden="1">
      <c r="A3939" t="s">
        <v>4044</v>
      </c>
      <c r="B3939" s="1">
        <v>45444</v>
      </c>
      <c r="C3939">
        <v>2024</v>
      </c>
      <c r="D3939">
        <v>6</v>
      </c>
      <c r="E3939" t="s">
        <v>37</v>
      </c>
      <c r="F3939" t="s">
        <v>24</v>
      </c>
      <c r="G3939" t="s">
        <v>38</v>
      </c>
      <c r="H3939" t="s">
        <v>39</v>
      </c>
      <c r="I3939">
        <v>5644.32</v>
      </c>
      <c r="J3939">
        <v>5993.68</v>
      </c>
      <c r="K3939" t="s">
        <v>17</v>
      </c>
      <c r="L3939" t="b">
        <v>0</v>
      </c>
      <c r="N3939" s="2" t="str">
        <f t="shared" si="352"/>
        <v/>
      </c>
      <c r="Q3939" t="str">
        <f t="shared" si="353"/>
        <v/>
      </c>
    </row>
    <row r="3940" spans="1:17" hidden="1">
      <c r="A3940" t="s">
        <v>4045</v>
      </c>
      <c r="B3940" s="1">
        <v>45444</v>
      </c>
      <c r="C3940">
        <v>2024</v>
      </c>
      <c r="D3940">
        <v>6</v>
      </c>
      <c r="E3940" t="s">
        <v>37</v>
      </c>
      <c r="F3940" t="s">
        <v>24</v>
      </c>
      <c r="G3940" t="s">
        <v>38</v>
      </c>
      <c r="H3940" t="s">
        <v>227</v>
      </c>
      <c r="I3940">
        <v>5126.8</v>
      </c>
      <c r="J3940">
        <v>5606.53</v>
      </c>
      <c r="K3940" t="s">
        <v>17</v>
      </c>
      <c r="L3940" t="b">
        <v>0</v>
      </c>
      <c r="N3940" s="2" t="str">
        <f t="shared" si="352"/>
        <v/>
      </c>
      <c r="Q3940" t="str">
        <f t="shared" si="353"/>
        <v/>
      </c>
    </row>
    <row r="3941" spans="1:17" hidden="1">
      <c r="A3941" t="s">
        <v>4046</v>
      </c>
      <c r="B3941" s="1">
        <v>45445</v>
      </c>
      <c r="C3941">
        <v>2024</v>
      </c>
      <c r="D3941">
        <v>6</v>
      </c>
      <c r="E3941" t="s">
        <v>13</v>
      </c>
      <c r="F3941" t="s">
        <v>14</v>
      </c>
      <c r="G3941" t="s">
        <v>15</v>
      </c>
      <c r="H3941" t="s">
        <v>16</v>
      </c>
      <c r="I3941">
        <v>3522.52</v>
      </c>
      <c r="J3941">
        <v>3307.77</v>
      </c>
      <c r="K3941" t="s">
        <v>17</v>
      </c>
      <c r="L3941" t="b">
        <v>0</v>
      </c>
      <c r="N3941" s="2" t="str">
        <f t="shared" si="352"/>
        <v/>
      </c>
      <c r="Q3941" t="str">
        <f t="shared" si="353"/>
        <v/>
      </c>
    </row>
    <row r="3942" spans="1:17" hidden="1">
      <c r="A3942" t="s">
        <v>4047</v>
      </c>
      <c r="B3942" s="1">
        <v>45445</v>
      </c>
      <c r="C3942">
        <v>2024</v>
      </c>
      <c r="D3942">
        <v>6</v>
      </c>
      <c r="E3942" t="s">
        <v>13</v>
      </c>
      <c r="F3942" t="s">
        <v>28</v>
      </c>
      <c r="G3942" t="s">
        <v>108</v>
      </c>
      <c r="H3942" t="s">
        <v>126</v>
      </c>
      <c r="I3942">
        <v>2710.72</v>
      </c>
      <c r="J3942">
        <v>2510.5</v>
      </c>
      <c r="K3942" t="s">
        <v>17</v>
      </c>
      <c r="L3942" t="b">
        <v>0</v>
      </c>
      <c r="N3942" s="2" t="str">
        <f t="shared" si="352"/>
        <v/>
      </c>
      <c r="Q3942" t="str">
        <f t="shared" si="353"/>
        <v/>
      </c>
    </row>
    <row r="3943" spans="1:17" hidden="1">
      <c r="A3943" t="s">
        <v>4048</v>
      </c>
      <c r="B3943" s="1">
        <v>45445</v>
      </c>
      <c r="C3943">
        <v>2024</v>
      </c>
      <c r="D3943">
        <v>6</v>
      </c>
      <c r="E3943" t="s">
        <v>13</v>
      </c>
      <c r="F3943" t="s">
        <v>24</v>
      </c>
      <c r="G3943" t="s">
        <v>108</v>
      </c>
      <c r="H3943" t="s">
        <v>123</v>
      </c>
      <c r="I3943">
        <v>5217.1400000000003</v>
      </c>
      <c r="J3943">
        <v>4751.38</v>
      </c>
      <c r="K3943" t="s">
        <v>17</v>
      </c>
      <c r="L3943" t="b">
        <v>0</v>
      </c>
      <c r="N3943" s="2" t="str">
        <f t="shared" si="352"/>
        <v/>
      </c>
      <c r="Q3943" t="str">
        <f t="shared" si="353"/>
        <v/>
      </c>
    </row>
    <row r="3944" spans="1:17" hidden="1">
      <c r="A3944" t="s">
        <v>4049</v>
      </c>
      <c r="B3944" s="1">
        <v>45446</v>
      </c>
      <c r="C3944">
        <v>2024</v>
      </c>
      <c r="D3944">
        <v>6</v>
      </c>
      <c r="E3944" t="s">
        <v>13</v>
      </c>
      <c r="F3944" t="s">
        <v>14</v>
      </c>
      <c r="G3944" t="s">
        <v>68</v>
      </c>
      <c r="H3944" t="s">
        <v>213</v>
      </c>
      <c r="I3944">
        <v>4522.29</v>
      </c>
      <c r="J3944">
        <v>4748.88</v>
      </c>
      <c r="K3944" t="s">
        <v>17</v>
      </c>
      <c r="L3944" t="b">
        <v>0</v>
      </c>
      <c r="N3944" s="2" t="str">
        <f t="shared" si="352"/>
        <v/>
      </c>
      <c r="Q3944" t="str">
        <f t="shared" si="353"/>
        <v/>
      </c>
    </row>
    <row r="3945" spans="1:17" hidden="1">
      <c r="A3945" t="s">
        <v>4050</v>
      </c>
      <c r="B3945" s="1">
        <v>45446</v>
      </c>
      <c r="C3945">
        <v>2024</v>
      </c>
      <c r="D3945">
        <v>6</v>
      </c>
      <c r="E3945" t="s">
        <v>13</v>
      </c>
      <c r="F3945" t="s">
        <v>24</v>
      </c>
      <c r="G3945" t="s">
        <v>102</v>
      </c>
      <c r="H3945" t="s">
        <v>103</v>
      </c>
      <c r="I3945">
        <v>5345.38</v>
      </c>
      <c r="J3945">
        <v>5083.91</v>
      </c>
      <c r="K3945" t="s">
        <v>17</v>
      </c>
      <c r="L3945" t="b">
        <v>0</v>
      </c>
      <c r="N3945" s="2" t="str">
        <f t="shared" si="352"/>
        <v/>
      </c>
      <c r="Q3945" t="str">
        <f t="shared" si="353"/>
        <v/>
      </c>
    </row>
    <row r="3946" spans="1:17" hidden="1">
      <c r="A3946" t="s">
        <v>4051</v>
      </c>
      <c r="B3946" s="1">
        <v>45446</v>
      </c>
      <c r="C3946">
        <v>2024</v>
      </c>
      <c r="D3946">
        <v>6</v>
      </c>
      <c r="E3946" t="s">
        <v>13</v>
      </c>
      <c r="F3946" t="s">
        <v>24</v>
      </c>
      <c r="G3946" t="s">
        <v>15</v>
      </c>
      <c r="H3946" t="s">
        <v>45</v>
      </c>
      <c r="I3946">
        <v>5273.13</v>
      </c>
      <c r="J3946">
        <v>5647.85</v>
      </c>
      <c r="K3946" t="s">
        <v>17</v>
      </c>
      <c r="L3946" t="b">
        <v>0</v>
      </c>
      <c r="N3946" s="2" t="str">
        <f t="shared" si="352"/>
        <v/>
      </c>
      <c r="Q3946" t="str">
        <f t="shared" si="353"/>
        <v/>
      </c>
    </row>
    <row r="3947" spans="1:17" hidden="1">
      <c r="A3947" t="s">
        <v>4052</v>
      </c>
      <c r="B3947" s="1">
        <v>45446</v>
      </c>
      <c r="C3947">
        <v>2024</v>
      </c>
      <c r="D3947">
        <v>6</v>
      </c>
      <c r="E3947" t="s">
        <v>47</v>
      </c>
      <c r="F3947" t="s">
        <v>14</v>
      </c>
      <c r="G3947" t="s">
        <v>91</v>
      </c>
      <c r="H3947" t="s">
        <v>128</v>
      </c>
      <c r="I3947">
        <v>12621.73</v>
      </c>
      <c r="J3947">
        <v>10584.77</v>
      </c>
      <c r="K3947" t="s">
        <v>17</v>
      </c>
      <c r="L3947" t="b">
        <v>0</v>
      </c>
      <c r="N3947" s="2" t="b">
        <f t="shared" si="352"/>
        <v>1</v>
      </c>
      <c r="O3947" t="str">
        <f>IF(AND(E3936="HR",K3936="EXPENSE"),I3936&lt;J3936,"")</f>
        <v/>
      </c>
      <c r="Q3947" t="str">
        <f t="shared" si="353"/>
        <v/>
      </c>
    </row>
    <row r="3948" spans="1:17" hidden="1">
      <c r="A3948" t="s">
        <v>4053</v>
      </c>
      <c r="B3948" s="1">
        <v>45446</v>
      </c>
      <c r="C3948">
        <v>2024</v>
      </c>
      <c r="D3948">
        <v>6</v>
      </c>
      <c r="E3948" t="s">
        <v>19</v>
      </c>
      <c r="F3948" t="s">
        <v>24</v>
      </c>
      <c r="G3948" t="s">
        <v>54</v>
      </c>
      <c r="H3948" t="s">
        <v>57</v>
      </c>
      <c r="I3948">
        <v>5723.38</v>
      </c>
      <c r="J3948">
        <v>6040.19</v>
      </c>
      <c r="K3948" t="s">
        <v>17</v>
      </c>
      <c r="L3948" t="b">
        <v>0</v>
      </c>
      <c r="N3948" s="2" t="str">
        <f t="shared" si="352"/>
        <v/>
      </c>
      <c r="Q3948" t="str">
        <f t="shared" si="353"/>
        <v/>
      </c>
    </row>
    <row r="3949" spans="1:17" hidden="1">
      <c r="A3949" t="s">
        <v>4054</v>
      </c>
      <c r="B3949" s="1">
        <v>45446</v>
      </c>
      <c r="C3949">
        <v>2024</v>
      </c>
      <c r="D3949">
        <v>6</v>
      </c>
      <c r="E3949" t="s">
        <v>19</v>
      </c>
      <c r="F3949" t="s">
        <v>24</v>
      </c>
      <c r="G3949" t="s">
        <v>20</v>
      </c>
      <c r="H3949" t="s">
        <v>174</v>
      </c>
      <c r="I3949">
        <v>3646.51</v>
      </c>
      <c r="J3949">
        <v>3433.84</v>
      </c>
      <c r="K3949" t="s">
        <v>17</v>
      </c>
      <c r="L3949" t="b">
        <v>0</v>
      </c>
      <c r="N3949" s="2" t="str">
        <f t="shared" si="352"/>
        <v/>
      </c>
      <c r="Q3949" t="str">
        <f t="shared" si="353"/>
        <v/>
      </c>
    </row>
    <row r="3950" spans="1:17" hidden="1">
      <c r="A3950" t="s">
        <v>4055</v>
      </c>
      <c r="B3950" s="1">
        <v>45446</v>
      </c>
      <c r="C3950">
        <v>2024</v>
      </c>
      <c r="D3950">
        <v>6</v>
      </c>
      <c r="E3950" t="s">
        <v>23</v>
      </c>
      <c r="F3950" t="s">
        <v>14</v>
      </c>
      <c r="G3950" t="s">
        <v>25</v>
      </c>
      <c r="H3950" t="s">
        <v>35</v>
      </c>
      <c r="I3950">
        <v>5122.41</v>
      </c>
      <c r="J3950">
        <v>5137.1400000000003</v>
      </c>
      <c r="K3950" t="s">
        <v>17</v>
      </c>
      <c r="L3950" t="b">
        <v>0</v>
      </c>
      <c r="N3950" s="2" t="str">
        <f t="shared" si="352"/>
        <v/>
      </c>
      <c r="Q3950" t="str">
        <f t="shared" si="353"/>
        <v/>
      </c>
    </row>
    <row r="3951" spans="1:17" hidden="1">
      <c r="A3951" t="s">
        <v>4056</v>
      </c>
      <c r="B3951" s="1">
        <v>45446</v>
      </c>
      <c r="C3951">
        <v>2024</v>
      </c>
      <c r="D3951">
        <v>6</v>
      </c>
      <c r="E3951" t="s">
        <v>23</v>
      </c>
      <c r="F3951" t="s">
        <v>28</v>
      </c>
      <c r="G3951" t="s">
        <v>59</v>
      </c>
      <c r="H3951" t="s">
        <v>155</v>
      </c>
      <c r="I3951">
        <v>6648.15</v>
      </c>
      <c r="J3951">
        <v>6542.17</v>
      </c>
      <c r="K3951" t="s">
        <v>17</v>
      </c>
      <c r="L3951" t="b">
        <v>0</v>
      </c>
      <c r="N3951" s="2" t="str">
        <f t="shared" si="352"/>
        <v/>
      </c>
      <c r="Q3951" t="str">
        <f t="shared" si="353"/>
        <v/>
      </c>
    </row>
    <row r="3952" spans="1:17" hidden="1">
      <c r="A3952" t="s">
        <v>4057</v>
      </c>
      <c r="B3952" s="1">
        <v>45446</v>
      </c>
      <c r="C3952">
        <v>2024</v>
      </c>
      <c r="D3952">
        <v>6</v>
      </c>
      <c r="E3952" t="s">
        <v>37</v>
      </c>
      <c r="F3952" t="s">
        <v>14</v>
      </c>
      <c r="G3952" t="s">
        <v>98</v>
      </c>
      <c r="H3952" t="s">
        <v>185</v>
      </c>
      <c r="I3952">
        <v>6014.16</v>
      </c>
      <c r="J3952">
        <v>5732.15</v>
      </c>
      <c r="K3952" t="s">
        <v>17</v>
      </c>
      <c r="L3952" t="b">
        <v>0</v>
      </c>
      <c r="N3952" s="2" t="str">
        <f t="shared" si="352"/>
        <v/>
      </c>
      <c r="Q3952" t="str">
        <f t="shared" si="353"/>
        <v/>
      </c>
    </row>
    <row r="3953" spans="1:17" hidden="1">
      <c r="A3953" t="s">
        <v>4058</v>
      </c>
      <c r="B3953" s="1">
        <v>45446</v>
      </c>
      <c r="C3953">
        <v>2024</v>
      </c>
      <c r="D3953">
        <v>6</v>
      </c>
      <c r="E3953" t="s">
        <v>37</v>
      </c>
      <c r="F3953" t="s">
        <v>14</v>
      </c>
      <c r="G3953" t="s">
        <v>41</v>
      </c>
      <c r="H3953" t="s">
        <v>42</v>
      </c>
      <c r="I3953">
        <v>4923.84</v>
      </c>
      <c r="J3953">
        <v>5362.17</v>
      </c>
      <c r="K3953" t="s">
        <v>17</v>
      </c>
      <c r="L3953" t="b">
        <v>0</v>
      </c>
      <c r="N3953" s="2" t="str">
        <f t="shared" si="352"/>
        <v/>
      </c>
      <c r="Q3953" t="str">
        <f t="shared" si="353"/>
        <v/>
      </c>
    </row>
    <row r="3954" spans="1:17" hidden="1">
      <c r="A3954" t="s">
        <v>4059</v>
      </c>
      <c r="B3954" s="1">
        <v>45447</v>
      </c>
      <c r="C3954">
        <v>2024</v>
      </c>
      <c r="D3954">
        <v>6</v>
      </c>
      <c r="E3954" t="s">
        <v>19</v>
      </c>
      <c r="F3954" t="s">
        <v>14</v>
      </c>
      <c r="G3954" t="s">
        <v>80</v>
      </c>
      <c r="H3954" t="s">
        <v>113</v>
      </c>
      <c r="I3954">
        <v>6095.7</v>
      </c>
      <c r="J3954">
        <v>6274.85</v>
      </c>
      <c r="K3954" t="s">
        <v>17</v>
      </c>
      <c r="L3954" t="b">
        <v>0</v>
      </c>
      <c r="N3954" s="2" t="str">
        <f t="shared" si="352"/>
        <v/>
      </c>
      <c r="Q3954" t="str">
        <f t="shared" si="353"/>
        <v/>
      </c>
    </row>
    <row r="3955" spans="1:17" hidden="1">
      <c r="A3955" t="s">
        <v>4060</v>
      </c>
      <c r="B3955" s="1">
        <v>45447</v>
      </c>
      <c r="C3955">
        <v>2024</v>
      </c>
      <c r="D3955">
        <v>6</v>
      </c>
      <c r="E3955" t="s">
        <v>19</v>
      </c>
      <c r="F3955" t="s">
        <v>14</v>
      </c>
      <c r="G3955" t="s">
        <v>20</v>
      </c>
      <c r="H3955" t="s">
        <v>21</v>
      </c>
      <c r="I3955">
        <v>8422.6200000000008</v>
      </c>
      <c r="J3955">
        <v>8497.07</v>
      </c>
      <c r="K3955" t="s">
        <v>17</v>
      </c>
      <c r="L3955" t="b">
        <v>0</v>
      </c>
      <c r="N3955" s="2" t="str">
        <f t="shared" si="352"/>
        <v/>
      </c>
      <c r="Q3955" t="str">
        <f t="shared" si="353"/>
        <v/>
      </c>
    </row>
    <row r="3956" spans="1:17" hidden="1">
      <c r="A3956" t="s">
        <v>4061</v>
      </c>
      <c r="B3956" s="1">
        <v>45447</v>
      </c>
      <c r="C3956">
        <v>2024</v>
      </c>
      <c r="D3956">
        <v>6</v>
      </c>
      <c r="E3956" t="s">
        <v>19</v>
      </c>
      <c r="F3956" t="s">
        <v>28</v>
      </c>
      <c r="G3956" t="s">
        <v>80</v>
      </c>
      <c r="H3956" t="s">
        <v>150</v>
      </c>
      <c r="I3956">
        <v>6689.27</v>
      </c>
      <c r="J3956">
        <v>6160.58</v>
      </c>
      <c r="K3956" t="s">
        <v>17</v>
      </c>
      <c r="L3956" t="b">
        <v>0</v>
      </c>
      <c r="N3956" s="2" t="str">
        <f t="shared" si="352"/>
        <v/>
      </c>
      <c r="Q3956" t="str">
        <f t="shared" si="353"/>
        <v/>
      </c>
    </row>
    <row r="3957" spans="1:17" hidden="1">
      <c r="A3957" t="s">
        <v>4062</v>
      </c>
      <c r="B3957" s="1">
        <v>45447</v>
      </c>
      <c r="C3957">
        <v>2024</v>
      </c>
      <c r="D3957">
        <v>6</v>
      </c>
      <c r="E3957" t="s">
        <v>19</v>
      </c>
      <c r="F3957" t="s">
        <v>28</v>
      </c>
      <c r="G3957" t="s">
        <v>20</v>
      </c>
      <c r="H3957" t="s">
        <v>136</v>
      </c>
      <c r="I3957">
        <v>5300.91</v>
      </c>
      <c r="J3957">
        <v>5800.57</v>
      </c>
      <c r="K3957" t="s">
        <v>17</v>
      </c>
      <c r="L3957" t="b">
        <v>0</v>
      </c>
      <c r="N3957" s="2" t="str">
        <f t="shared" si="352"/>
        <v/>
      </c>
      <c r="Q3957" t="str">
        <f t="shared" si="353"/>
        <v/>
      </c>
    </row>
    <row r="3958" spans="1:17" hidden="1">
      <c r="A3958" t="s">
        <v>4063</v>
      </c>
      <c r="B3958" s="1">
        <v>45447</v>
      </c>
      <c r="C3958">
        <v>2024</v>
      </c>
      <c r="D3958">
        <v>6</v>
      </c>
      <c r="E3958" t="s">
        <v>19</v>
      </c>
      <c r="F3958" t="s">
        <v>24</v>
      </c>
      <c r="G3958" t="s">
        <v>20</v>
      </c>
      <c r="H3958" t="s">
        <v>21</v>
      </c>
      <c r="I3958">
        <v>5326.7</v>
      </c>
      <c r="J3958">
        <v>5015.3599999999997</v>
      </c>
      <c r="K3958" t="s">
        <v>17</v>
      </c>
      <c r="L3958" t="b">
        <v>0</v>
      </c>
      <c r="N3958" s="2" t="str">
        <f t="shared" si="352"/>
        <v/>
      </c>
      <c r="Q3958" t="str">
        <f t="shared" si="353"/>
        <v/>
      </c>
    </row>
    <row r="3959" spans="1:17" hidden="1">
      <c r="A3959" t="s">
        <v>4064</v>
      </c>
      <c r="B3959" s="1">
        <v>45447</v>
      </c>
      <c r="C3959">
        <v>2024</v>
      </c>
      <c r="D3959">
        <v>6</v>
      </c>
      <c r="E3959" t="s">
        <v>23</v>
      </c>
      <c r="F3959" t="s">
        <v>14</v>
      </c>
      <c r="G3959" t="s">
        <v>141</v>
      </c>
      <c r="H3959" t="s">
        <v>153</v>
      </c>
      <c r="I3959">
        <v>2470.96</v>
      </c>
      <c r="J3959">
        <v>2256.4</v>
      </c>
      <c r="K3959" t="s">
        <v>17</v>
      </c>
      <c r="L3959" t="b">
        <v>0</v>
      </c>
      <c r="N3959" s="2" t="str">
        <f t="shared" si="352"/>
        <v/>
      </c>
      <c r="Q3959" t="str">
        <f t="shared" si="353"/>
        <v/>
      </c>
    </row>
    <row r="3960" spans="1:17" hidden="1">
      <c r="A3960" t="s">
        <v>4065</v>
      </c>
      <c r="B3960" s="1">
        <v>45447</v>
      </c>
      <c r="C3960">
        <v>2024</v>
      </c>
      <c r="D3960">
        <v>6</v>
      </c>
      <c r="E3960" t="s">
        <v>23</v>
      </c>
      <c r="F3960" t="s">
        <v>14</v>
      </c>
      <c r="G3960" t="s">
        <v>25</v>
      </c>
      <c r="H3960" t="s">
        <v>35</v>
      </c>
      <c r="I3960">
        <v>5370.05</v>
      </c>
      <c r="J3960">
        <v>5477.67</v>
      </c>
      <c r="K3960" t="s">
        <v>17</v>
      </c>
      <c r="L3960" t="b">
        <v>0</v>
      </c>
      <c r="N3960" s="2" t="str">
        <f t="shared" si="352"/>
        <v/>
      </c>
      <c r="Q3960" t="str">
        <f t="shared" si="353"/>
        <v/>
      </c>
    </row>
    <row r="3961" spans="1:17" hidden="1">
      <c r="A3961" t="s">
        <v>4066</v>
      </c>
      <c r="B3961" s="1">
        <v>45447</v>
      </c>
      <c r="C3961">
        <v>2024</v>
      </c>
      <c r="D3961">
        <v>6</v>
      </c>
      <c r="E3961" t="s">
        <v>23</v>
      </c>
      <c r="F3961" t="s">
        <v>28</v>
      </c>
      <c r="G3961" t="s">
        <v>59</v>
      </c>
      <c r="H3961" t="s">
        <v>60</v>
      </c>
      <c r="I3961">
        <v>2112.31</v>
      </c>
      <c r="J3961">
        <v>2256.86</v>
      </c>
      <c r="K3961" t="s">
        <v>17</v>
      </c>
      <c r="L3961" t="b">
        <v>0</v>
      </c>
      <c r="N3961" s="2" t="str">
        <f t="shared" si="352"/>
        <v/>
      </c>
      <c r="Q3961" t="str">
        <f t="shared" si="353"/>
        <v/>
      </c>
    </row>
    <row r="3962" spans="1:17" hidden="1">
      <c r="A3962" t="s">
        <v>4067</v>
      </c>
      <c r="B3962" s="1">
        <v>45447</v>
      </c>
      <c r="C3962">
        <v>2024</v>
      </c>
      <c r="D3962">
        <v>6</v>
      </c>
      <c r="E3962" t="s">
        <v>23</v>
      </c>
      <c r="F3962" t="s">
        <v>28</v>
      </c>
      <c r="G3962" t="s">
        <v>25</v>
      </c>
      <c r="H3962" t="s">
        <v>95</v>
      </c>
      <c r="I3962">
        <v>7911.37</v>
      </c>
      <c r="J3962">
        <v>7160.37</v>
      </c>
      <c r="K3962" t="s">
        <v>17</v>
      </c>
      <c r="L3962" t="b">
        <v>0</v>
      </c>
      <c r="N3962" s="2" t="str">
        <f t="shared" si="352"/>
        <v/>
      </c>
      <c r="Q3962" t="str">
        <f t="shared" si="353"/>
        <v/>
      </c>
    </row>
    <row r="3963" spans="1:17" hidden="1">
      <c r="A3963" t="s">
        <v>4068</v>
      </c>
      <c r="B3963" s="1">
        <v>45447</v>
      </c>
      <c r="C3963">
        <v>2024</v>
      </c>
      <c r="D3963">
        <v>6</v>
      </c>
      <c r="E3963" t="s">
        <v>37</v>
      </c>
      <c r="F3963" t="s">
        <v>28</v>
      </c>
      <c r="G3963" t="s">
        <v>38</v>
      </c>
      <c r="H3963" t="s">
        <v>118</v>
      </c>
      <c r="I3963">
        <v>1764.95</v>
      </c>
      <c r="J3963">
        <v>1787.83</v>
      </c>
      <c r="K3963" t="s">
        <v>17</v>
      </c>
      <c r="L3963" t="b">
        <v>0</v>
      </c>
      <c r="N3963" s="2" t="str">
        <f t="shared" si="352"/>
        <v/>
      </c>
      <c r="Q3963" t="str">
        <f t="shared" si="353"/>
        <v/>
      </c>
    </row>
    <row r="3964" spans="1:17" hidden="1">
      <c r="A3964" t="s">
        <v>4069</v>
      </c>
      <c r="B3964" s="1">
        <v>45447</v>
      </c>
      <c r="C3964">
        <v>2024</v>
      </c>
      <c r="D3964">
        <v>6</v>
      </c>
      <c r="E3964" t="s">
        <v>37</v>
      </c>
      <c r="F3964" t="s">
        <v>24</v>
      </c>
      <c r="G3964" t="s">
        <v>98</v>
      </c>
      <c r="H3964" t="s">
        <v>185</v>
      </c>
      <c r="I3964">
        <v>5076.88</v>
      </c>
      <c r="J3964">
        <v>4666.92</v>
      </c>
      <c r="K3964" t="s">
        <v>17</v>
      </c>
      <c r="L3964" t="b">
        <v>0</v>
      </c>
      <c r="N3964" s="2" t="str">
        <f t="shared" si="352"/>
        <v/>
      </c>
      <c r="Q3964" t="str">
        <f t="shared" si="353"/>
        <v/>
      </c>
    </row>
    <row r="3965" spans="1:17" hidden="1">
      <c r="A3965" t="s">
        <v>4070</v>
      </c>
      <c r="B3965" s="1">
        <v>45448</v>
      </c>
      <c r="C3965">
        <v>2024</v>
      </c>
      <c r="D3965">
        <v>6</v>
      </c>
      <c r="E3965" t="s">
        <v>13</v>
      </c>
      <c r="F3965" t="s">
        <v>28</v>
      </c>
      <c r="G3965" t="s">
        <v>108</v>
      </c>
      <c r="H3965" t="s">
        <v>126</v>
      </c>
      <c r="I3965">
        <v>2060.09</v>
      </c>
      <c r="J3965">
        <v>1856.47</v>
      </c>
      <c r="K3965" t="s">
        <v>17</v>
      </c>
      <c r="L3965" t="b">
        <v>0</v>
      </c>
      <c r="N3965" s="2" t="str">
        <f t="shared" si="352"/>
        <v/>
      </c>
      <c r="Q3965" t="str">
        <f t="shared" si="353"/>
        <v/>
      </c>
    </row>
    <row r="3966" spans="1:17" hidden="1">
      <c r="A3966" t="s">
        <v>4071</v>
      </c>
      <c r="B3966" s="1">
        <v>45448</v>
      </c>
      <c r="C3966">
        <v>2024</v>
      </c>
      <c r="D3966">
        <v>6</v>
      </c>
      <c r="E3966" t="s">
        <v>13</v>
      </c>
      <c r="F3966" t="s">
        <v>28</v>
      </c>
      <c r="G3966" t="s">
        <v>102</v>
      </c>
      <c r="H3966" t="s">
        <v>103</v>
      </c>
      <c r="I3966">
        <v>2043.82</v>
      </c>
      <c r="J3966">
        <v>2149.08</v>
      </c>
      <c r="K3966" t="s">
        <v>17</v>
      </c>
      <c r="L3966" t="b">
        <v>0</v>
      </c>
      <c r="N3966" s="2" t="str">
        <f t="shared" si="352"/>
        <v/>
      </c>
      <c r="Q3966" t="str">
        <f t="shared" si="353"/>
        <v/>
      </c>
    </row>
    <row r="3967" spans="1:17" hidden="1">
      <c r="A3967" t="s">
        <v>4072</v>
      </c>
      <c r="B3967" s="1">
        <v>45448</v>
      </c>
      <c r="C3967">
        <v>2024</v>
      </c>
      <c r="D3967">
        <v>6</v>
      </c>
      <c r="E3967" t="s">
        <v>47</v>
      </c>
      <c r="F3967" t="s">
        <v>14</v>
      </c>
      <c r="G3967" t="s">
        <v>48</v>
      </c>
      <c r="H3967" t="s">
        <v>111</v>
      </c>
      <c r="I3967">
        <v>12317.01</v>
      </c>
      <c r="J3967">
        <v>10178.36</v>
      </c>
      <c r="K3967" t="s">
        <v>17</v>
      </c>
      <c r="L3967" t="b">
        <v>0</v>
      </c>
      <c r="N3967" s="2" t="b">
        <f t="shared" si="352"/>
        <v>1</v>
      </c>
      <c r="O3967" t="str">
        <f t="shared" ref="O3967:O3968" si="355">IF(AND(E3956="HR",K3956="EXPENSE"),I3956&lt;J3956,"")</f>
        <v/>
      </c>
      <c r="Q3967" t="str">
        <f t="shared" si="353"/>
        <v/>
      </c>
    </row>
    <row r="3968" spans="1:17" hidden="1">
      <c r="A3968" t="s">
        <v>4073</v>
      </c>
      <c r="B3968" s="1">
        <v>45448</v>
      </c>
      <c r="C3968">
        <v>2024</v>
      </c>
      <c r="D3968">
        <v>6</v>
      </c>
      <c r="E3968" t="s">
        <v>47</v>
      </c>
      <c r="F3968" t="s">
        <v>28</v>
      </c>
      <c r="G3968" t="s">
        <v>91</v>
      </c>
      <c r="H3968" t="s">
        <v>249</v>
      </c>
      <c r="I3968">
        <v>15200.35</v>
      </c>
      <c r="J3968">
        <v>12989.45</v>
      </c>
      <c r="K3968" t="s">
        <v>17</v>
      </c>
      <c r="L3968" t="b">
        <v>0</v>
      </c>
      <c r="N3968" s="2" t="b">
        <f t="shared" si="352"/>
        <v>1</v>
      </c>
      <c r="O3968" t="str">
        <f t="shared" si="355"/>
        <v/>
      </c>
      <c r="Q3968" t="str">
        <f t="shared" si="353"/>
        <v/>
      </c>
    </row>
    <row r="3969" spans="1:17" hidden="1">
      <c r="A3969" t="s">
        <v>4074</v>
      </c>
      <c r="B3969" s="1">
        <v>45448</v>
      </c>
      <c r="C3969">
        <v>2024</v>
      </c>
      <c r="D3969">
        <v>6</v>
      </c>
      <c r="E3969" t="s">
        <v>19</v>
      </c>
      <c r="F3969" t="s">
        <v>24</v>
      </c>
      <c r="G3969" t="s">
        <v>54</v>
      </c>
      <c r="H3969" t="s">
        <v>55</v>
      </c>
      <c r="I3969">
        <v>6198.91</v>
      </c>
      <c r="J3969">
        <v>6334.75</v>
      </c>
      <c r="K3969" t="s">
        <v>17</v>
      </c>
      <c r="L3969" t="b">
        <v>0</v>
      </c>
      <c r="N3969" s="2" t="str">
        <f t="shared" si="352"/>
        <v/>
      </c>
      <c r="Q3969" t="str">
        <f t="shared" si="353"/>
        <v/>
      </c>
    </row>
    <row r="3970" spans="1:17" hidden="1">
      <c r="A3970" t="s">
        <v>4075</v>
      </c>
      <c r="B3970" s="1">
        <v>45448</v>
      </c>
      <c r="C3970">
        <v>2024</v>
      </c>
      <c r="D3970">
        <v>6</v>
      </c>
      <c r="E3970" t="s">
        <v>23</v>
      </c>
      <c r="F3970" t="s">
        <v>24</v>
      </c>
      <c r="G3970" t="s">
        <v>59</v>
      </c>
      <c r="H3970" t="s">
        <v>60</v>
      </c>
      <c r="I3970">
        <v>9181.7099999999991</v>
      </c>
      <c r="J3970">
        <v>9286.5</v>
      </c>
      <c r="K3970" t="s">
        <v>17</v>
      </c>
      <c r="L3970" t="b">
        <v>0</v>
      </c>
      <c r="N3970" s="2" t="str">
        <f t="shared" si="352"/>
        <v/>
      </c>
      <c r="Q3970" t="str">
        <f t="shared" si="353"/>
        <v/>
      </c>
    </row>
    <row r="3971" spans="1:17" hidden="1">
      <c r="A3971" t="s">
        <v>4076</v>
      </c>
      <c r="B3971" s="1">
        <v>45448</v>
      </c>
      <c r="C3971">
        <v>2024</v>
      </c>
      <c r="D3971">
        <v>6</v>
      </c>
      <c r="E3971" t="s">
        <v>37</v>
      </c>
      <c r="F3971" t="s">
        <v>24</v>
      </c>
      <c r="G3971" t="s">
        <v>83</v>
      </c>
      <c r="H3971" t="s">
        <v>84</v>
      </c>
      <c r="I3971">
        <v>105584.31</v>
      </c>
      <c r="J3971">
        <v>100305.1</v>
      </c>
      <c r="K3971" t="s">
        <v>85</v>
      </c>
      <c r="L3971" t="b">
        <v>0</v>
      </c>
      <c r="N3971" s="2" t="str">
        <f t="shared" ref="N3971:N4034" si="356">IF(AND(E3971="IT",K3971="EXPENSE"),I3971&gt;J3971,"")</f>
        <v/>
      </c>
      <c r="Q3971" t="str">
        <f t="shared" ref="Q3971:Q4034" si="357">IF(L3971=TRUE,OR(H3971="Apex Solutions Inc",H3971="Global Trade Partners",H3971="NovaTech Services"),"")</f>
        <v/>
      </c>
    </row>
    <row r="3972" spans="1:17" hidden="1">
      <c r="A3972" t="s">
        <v>4077</v>
      </c>
      <c r="B3972" s="1">
        <v>45449</v>
      </c>
      <c r="C3972">
        <v>2024</v>
      </c>
      <c r="D3972">
        <v>6</v>
      </c>
      <c r="E3972" t="s">
        <v>13</v>
      </c>
      <c r="F3972" t="s">
        <v>28</v>
      </c>
      <c r="G3972" t="s">
        <v>102</v>
      </c>
      <c r="H3972" t="s">
        <v>103</v>
      </c>
      <c r="I3972">
        <v>2754.81</v>
      </c>
      <c r="J3972">
        <v>2756.13</v>
      </c>
      <c r="K3972" t="s">
        <v>17</v>
      </c>
      <c r="L3972" t="b">
        <v>0</v>
      </c>
      <c r="N3972" s="2" t="str">
        <f t="shared" si="356"/>
        <v/>
      </c>
      <c r="Q3972" t="str">
        <f t="shared" si="357"/>
        <v/>
      </c>
    </row>
    <row r="3973" spans="1:17" hidden="1">
      <c r="A3973" t="s">
        <v>4078</v>
      </c>
      <c r="B3973" s="1">
        <v>45449</v>
      </c>
      <c r="C3973">
        <v>2024</v>
      </c>
      <c r="D3973">
        <v>6</v>
      </c>
      <c r="E3973" t="s">
        <v>47</v>
      </c>
      <c r="F3973" t="s">
        <v>28</v>
      </c>
      <c r="G3973" t="s">
        <v>91</v>
      </c>
      <c r="H3973" t="s">
        <v>92</v>
      </c>
      <c r="I3973">
        <v>14860.39</v>
      </c>
      <c r="J3973">
        <v>12255.72</v>
      </c>
      <c r="K3973" t="s">
        <v>17</v>
      </c>
      <c r="L3973" t="b">
        <v>0</v>
      </c>
      <c r="N3973" s="2" t="b">
        <f t="shared" si="356"/>
        <v>1</v>
      </c>
      <c r="O3973" t="str">
        <f>IF(AND(E3962="HR",K3962="EXPENSE"),I3962&lt;J3962,"")</f>
        <v/>
      </c>
      <c r="Q3973" t="str">
        <f t="shared" si="357"/>
        <v/>
      </c>
    </row>
    <row r="3974" spans="1:17" hidden="1">
      <c r="A3974" t="s">
        <v>4079</v>
      </c>
      <c r="B3974" s="1">
        <v>45449</v>
      </c>
      <c r="C3974">
        <v>2024</v>
      </c>
      <c r="D3974">
        <v>6</v>
      </c>
      <c r="E3974" t="s">
        <v>19</v>
      </c>
      <c r="F3974" t="s">
        <v>14</v>
      </c>
      <c r="G3974" t="s">
        <v>132</v>
      </c>
      <c r="H3974" t="s">
        <v>133</v>
      </c>
      <c r="I3974">
        <v>7188.88</v>
      </c>
      <c r="J3974">
        <v>7573.16</v>
      </c>
      <c r="K3974" t="s">
        <v>17</v>
      </c>
      <c r="L3974" t="b">
        <v>0</v>
      </c>
      <c r="N3974" s="2" t="str">
        <f t="shared" si="356"/>
        <v/>
      </c>
      <c r="Q3974" t="str">
        <f t="shared" si="357"/>
        <v/>
      </c>
    </row>
    <row r="3975" spans="1:17" hidden="1">
      <c r="A3975" t="s">
        <v>4080</v>
      </c>
      <c r="B3975" s="1">
        <v>45449</v>
      </c>
      <c r="C3975">
        <v>2024</v>
      </c>
      <c r="D3975">
        <v>6</v>
      </c>
      <c r="E3975" t="s">
        <v>19</v>
      </c>
      <c r="F3975" t="s">
        <v>28</v>
      </c>
      <c r="G3975" t="s">
        <v>132</v>
      </c>
      <c r="H3975" t="s">
        <v>171</v>
      </c>
      <c r="I3975">
        <v>8191.26</v>
      </c>
      <c r="J3975">
        <v>8207.4599999999991</v>
      </c>
      <c r="K3975" t="s">
        <v>17</v>
      </c>
      <c r="L3975" t="b">
        <v>0</v>
      </c>
      <c r="N3975" s="2" t="str">
        <f t="shared" si="356"/>
        <v/>
      </c>
      <c r="Q3975" t="str">
        <f t="shared" si="357"/>
        <v/>
      </c>
    </row>
    <row r="3976" spans="1:17" hidden="1">
      <c r="A3976" t="s">
        <v>4081</v>
      </c>
      <c r="B3976" s="1">
        <v>45449</v>
      </c>
      <c r="C3976">
        <v>2024</v>
      </c>
      <c r="D3976">
        <v>6</v>
      </c>
      <c r="E3976" t="s">
        <v>23</v>
      </c>
      <c r="F3976" t="s">
        <v>28</v>
      </c>
      <c r="G3976" t="s">
        <v>141</v>
      </c>
      <c r="H3976" t="s">
        <v>142</v>
      </c>
      <c r="I3976">
        <v>5430.35</v>
      </c>
      <c r="J3976">
        <v>4970.6400000000003</v>
      </c>
      <c r="K3976" t="s">
        <v>17</v>
      </c>
      <c r="L3976" t="b">
        <v>0</v>
      </c>
      <c r="N3976" s="2" t="str">
        <f t="shared" si="356"/>
        <v/>
      </c>
      <c r="Q3976" t="str">
        <f t="shared" si="357"/>
        <v/>
      </c>
    </row>
    <row r="3977" spans="1:17" hidden="1">
      <c r="A3977" t="s">
        <v>4082</v>
      </c>
      <c r="B3977" s="1">
        <v>45449</v>
      </c>
      <c r="C3977">
        <v>2024</v>
      </c>
      <c r="D3977">
        <v>6</v>
      </c>
      <c r="E3977" t="s">
        <v>23</v>
      </c>
      <c r="F3977" t="s">
        <v>24</v>
      </c>
      <c r="G3977" t="s">
        <v>25</v>
      </c>
      <c r="H3977" t="s">
        <v>95</v>
      </c>
      <c r="I3977">
        <v>8622.08</v>
      </c>
      <c r="J3977">
        <v>7860.12</v>
      </c>
      <c r="K3977" t="s">
        <v>17</v>
      </c>
      <c r="L3977" t="b">
        <v>0</v>
      </c>
      <c r="N3977" s="2" t="str">
        <f t="shared" si="356"/>
        <v/>
      </c>
      <c r="Q3977" t="str">
        <f t="shared" si="357"/>
        <v/>
      </c>
    </row>
    <row r="3978" spans="1:17" hidden="1">
      <c r="A3978" t="s">
        <v>4083</v>
      </c>
      <c r="B3978" s="1">
        <v>45449</v>
      </c>
      <c r="C3978">
        <v>2024</v>
      </c>
      <c r="D3978">
        <v>6</v>
      </c>
      <c r="E3978" t="s">
        <v>23</v>
      </c>
      <c r="F3978" t="s">
        <v>24</v>
      </c>
      <c r="G3978" t="s">
        <v>25</v>
      </c>
      <c r="H3978" t="s">
        <v>95</v>
      </c>
      <c r="I3978">
        <v>5531.42</v>
      </c>
      <c r="J3978">
        <v>5067.72</v>
      </c>
      <c r="K3978" t="s">
        <v>17</v>
      </c>
      <c r="L3978" t="b">
        <v>0</v>
      </c>
      <c r="N3978" s="2" t="str">
        <f t="shared" si="356"/>
        <v/>
      </c>
      <c r="Q3978" t="str">
        <f t="shared" si="357"/>
        <v/>
      </c>
    </row>
    <row r="3979" spans="1:17" hidden="1">
      <c r="A3979" t="s">
        <v>4084</v>
      </c>
      <c r="B3979" s="1">
        <v>45449</v>
      </c>
      <c r="C3979">
        <v>2024</v>
      </c>
      <c r="D3979">
        <v>6</v>
      </c>
      <c r="E3979" t="s">
        <v>37</v>
      </c>
      <c r="F3979" t="s">
        <v>28</v>
      </c>
      <c r="G3979" t="s">
        <v>62</v>
      </c>
      <c r="H3979" t="s">
        <v>360</v>
      </c>
      <c r="I3979">
        <v>3524.13</v>
      </c>
      <c r="J3979">
        <v>3181.57</v>
      </c>
      <c r="K3979" t="s">
        <v>17</v>
      </c>
      <c r="L3979" t="b">
        <v>0</v>
      </c>
      <c r="N3979" s="2" t="str">
        <f t="shared" si="356"/>
        <v/>
      </c>
      <c r="Q3979" t="str">
        <f t="shared" si="357"/>
        <v/>
      </c>
    </row>
    <row r="3980" spans="1:17" hidden="1">
      <c r="A3980" t="s">
        <v>4085</v>
      </c>
      <c r="B3980" s="1">
        <v>45450</v>
      </c>
      <c r="C3980">
        <v>2024</v>
      </c>
      <c r="D3980">
        <v>6</v>
      </c>
      <c r="E3980" t="s">
        <v>13</v>
      </c>
      <c r="F3980" t="s">
        <v>24</v>
      </c>
      <c r="G3980" t="s">
        <v>108</v>
      </c>
      <c r="H3980" t="s">
        <v>123</v>
      </c>
      <c r="I3980">
        <v>4671.5200000000004</v>
      </c>
      <c r="J3980">
        <v>4521.59</v>
      </c>
      <c r="K3980" t="s">
        <v>17</v>
      </c>
      <c r="L3980" t="b">
        <v>0</v>
      </c>
      <c r="N3980" s="2" t="str">
        <f t="shared" si="356"/>
        <v/>
      </c>
      <c r="Q3980" t="str">
        <f t="shared" si="357"/>
        <v/>
      </c>
    </row>
    <row r="3981" spans="1:17" hidden="1">
      <c r="A3981" t="s">
        <v>4086</v>
      </c>
      <c r="B3981" s="1">
        <v>45450</v>
      </c>
      <c r="C3981">
        <v>2024</v>
      </c>
      <c r="D3981">
        <v>6</v>
      </c>
      <c r="E3981" t="s">
        <v>47</v>
      </c>
      <c r="F3981" t="s">
        <v>14</v>
      </c>
      <c r="G3981" t="s">
        <v>51</v>
      </c>
      <c r="H3981" t="s">
        <v>189</v>
      </c>
      <c r="I3981">
        <v>11737.49</v>
      </c>
      <c r="J3981">
        <v>9977.58</v>
      </c>
      <c r="K3981" t="s">
        <v>17</v>
      </c>
      <c r="L3981" t="b">
        <v>0</v>
      </c>
      <c r="N3981" s="2" t="b">
        <f t="shared" si="356"/>
        <v>1</v>
      </c>
      <c r="O3981" t="str">
        <f t="shared" ref="O3981:O3983" si="358">IF(AND(E3970="HR",K3970="EXPENSE"),I3970&lt;J3970,"")</f>
        <v/>
      </c>
      <c r="Q3981" t="str">
        <f t="shared" si="357"/>
        <v/>
      </c>
    </row>
    <row r="3982" spans="1:17" hidden="1">
      <c r="A3982" t="s">
        <v>4087</v>
      </c>
      <c r="B3982" s="1">
        <v>45450</v>
      </c>
      <c r="C3982">
        <v>2024</v>
      </c>
      <c r="D3982">
        <v>6</v>
      </c>
      <c r="E3982" t="s">
        <v>47</v>
      </c>
      <c r="F3982" t="s">
        <v>28</v>
      </c>
      <c r="G3982" t="s">
        <v>48</v>
      </c>
      <c r="H3982" t="s">
        <v>49</v>
      </c>
      <c r="I3982">
        <v>21713.78</v>
      </c>
      <c r="J3982">
        <v>18323.07</v>
      </c>
      <c r="K3982" t="s">
        <v>17</v>
      </c>
      <c r="L3982" t="b">
        <v>0</v>
      </c>
      <c r="N3982" s="2" t="b">
        <f t="shared" si="356"/>
        <v>1</v>
      </c>
      <c r="O3982" t="str">
        <f t="shared" si="358"/>
        <v/>
      </c>
      <c r="Q3982" t="str">
        <f t="shared" si="357"/>
        <v/>
      </c>
    </row>
    <row r="3983" spans="1:17" hidden="1">
      <c r="A3983" t="s">
        <v>4088</v>
      </c>
      <c r="B3983" s="1">
        <v>45450</v>
      </c>
      <c r="C3983">
        <v>2024</v>
      </c>
      <c r="D3983">
        <v>6</v>
      </c>
      <c r="E3983" t="s">
        <v>47</v>
      </c>
      <c r="F3983" t="s">
        <v>24</v>
      </c>
      <c r="G3983" t="s">
        <v>51</v>
      </c>
      <c r="H3983" t="s">
        <v>52</v>
      </c>
      <c r="I3983">
        <v>15318.02</v>
      </c>
      <c r="J3983">
        <v>12792.78</v>
      </c>
      <c r="K3983" t="s">
        <v>17</v>
      </c>
      <c r="L3983" t="b">
        <v>0</v>
      </c>
      <c r="N3983" s="2" t="b">
        <f t="shared" si="356"/>
        <v>1</v>
      </c>
      <c r="O3983" t="b">
        <f t="shared" si="358"/>
        <v>1</v>
      </c>
      <c r="Q3983" t="str">
        <f t="shared" si="357"/>
        <v/>
      </c>
    </row>
    <row r="3984" spans="1:17" hidden="1">
      <c r="A3984" t="s">
        <v>4089</v>
      </c>
      <c r="B3984" s="1">
        <v>45450</v>
      </c>
      <c r="C3984">
        <v>2024</v>
      </c>
      <c r="D3984">
        <v>6</v>
      </c>
      <c r="E3984" t="s">
        <v>19</v>
      </c>
      <c r="F3984" t="s">
        <v>28</v>
      </c>
      <c r="G3984" t="s">
        <v>20</v>
      </c>
      <c r="H3984" t="s">
        <v>21</v>
      </c>
      <c r="I3984">
        <v>7107.09</v>
      </c>
      <c r="J3984">
        <v>7013.37</v>
      </c>
      <c r="K3984" t="s">
        <v>17</v>
      </c>
      <c r="L3984" t="b">
        <v>0</v>
      </c>
      <c r="N3984" s="2" t="str">
        <f t="shared" si="356"/>
        <v/>
      </c>
      <c r="Q3984" t="str">
        <f t="shared" si="357"/>
        <v/>
      </c>
    </row>
    <row r="3985" spans="1:17" hidden="1">
      <c r="A3985" t="s">
        <v>4090</v>
      </c>
      <c r="B3985" s="1">
        <v>45450</v>
      </c>
      <c r="C3985">
        <v>2024</v>
      </c>
      <c r="D3985">
        <v>6</v>
      </c>
      <c r="E3985" t="s">
        <v>19</v>
      </c>
      <c r="F3985" t="s">
        <v>24</v>
      </c>
      <c r="G3985" t="s">
        <v>20</v>
      </c>
      <c r="H3985" t="s">
        <v>21</v>
      </c>
      <c r="I3985">
        <v>7545.66</v>
      </c>
      <c r="J3985">
        <v>7276.64</v>
      </c>
      <c r="K3985" t="s">
        <v>17</v>
      </c>
      <c r="L3985" t="b">
        <v>0</v>
      </c>
      <c r="N3985" s="2" t="str">
        <f t="shared" si="356"/>
        <v/>
      </c>
      <c r="Q3985" t="str">
        <f t="shared" si="357"/>
        <v/>
      </c>
    </row>
    <row r="3986" spans="1:17" hidden="1">
      <c r="A3986" t="s">
        <v>4091</v>
      </c>
      <c r="B3986" s="1">
        <v>45450</v>
      </c>
      <c r="C3986">
        <v>2024</v>
      </c>
      <c r="D3986">
        <v>6</v>
      </c>
      <c r="E3986" t="s">
        <v>23</v>
      </c>
      <c r="F3986" t="s">
        <v>14</v>
      </c>
      <c r="G3986" t="s">
        <v>141</v>
      </c>
      <c r="H3986" t="s">
        <v>142</v>
      </c>
      <c r="I3986">
        <v>6558.8</v>
      </c>
      <c r="J3986">
        <v>6301.84</v>
      </c>
      <c r="K3986" t="s">
        <v>17</v>
      </c>
      <c r="L3986" t="b">
        <v>0</v>
      </c>
      <c r="N3986" s="2" t="str">
        <f t="shared" si="356"/>
        <v/>
      </c>
      <c r="Q3986" t="str">
        <f t="shared" si="357"/>
        <v/>
      </c>
    </row>
    <row r="3987" spans="1:17" hidden="1">
      <c r="A3987" t="s">
        <v>4092</v>
      </c>
      <c r="B3987" s="1">
        <v>45450</v>
      </c>
      <c r="C3987">
        <v>2024</v>
      </c>
      <c r="D3987">
        <v>6</v>
      </c>
      <c r="E3987" t="s">
        <v>23</v>
      </c>
      <c r="F3987" t="s">
        <v>14</v>
      </c>
      <c r="G3987" t="s">
        <v>59</v>
      </c>
      <c r="H3987" t="s">
        <v>60</v>
      </c>
      <c r="I3987">
        <v>4586.9799999999996</v>
      </c>
      <c r="J3987">
        <v>4668.41</v>
      </c>
      <c r="K3987" t="s">
        <v>17</v>
      </c>
      <c r="L3987" t="b">
        <v>0</v>
      </c>
      <c r="N3987" s="2" t="str">
        <f t="shared" si="356"/>
        <v/>
      </c>
      <c r="Q3987" t="str">
        <f t="shared" si="357"/>
        <v/>
      </c>
    </row>
    <row r="3988" spans="1:17" hidden="1">
      <c r="A3988" t="s">
        <v>4093</v>
      </c>
      <c r="B3988" s="1">
        <v>45450</v>
      </c>
      <c r="C3988">
        <v>2024</v>
      </c>
      <c r="D3988">
        <v>6</v>
      </c>
      <c r="E3988" t="s">
        <v>23</v>
      </c>
      <c r="F3988" t="s">
        <v>28</v>
      </c>
      <c r="G3988" t="s">
        <v>59</v>
      </c>
      <c r="H3988" t="s">
        <v>60</v>
      </c>
      <c r="I3988">
        <v>4697.04</v>
      </c>
      <c r="J3988">
        <v>4407.74</v>
      </c>
      <c r="K3988" t="s">
        <v>17</v>
      </c>
      <c r="L3988" t="b">
        <v>0</v>
      </c>
      <c r="N3988" s="2" t="str">
        <f t="shared" si="356"/>
        <v/>
      </c>
      <c r="Q3988" t="str">
        <f t="shared" si="357"/>
        <v/>
      </c>
    </row>
    <row r="3989" spans="1:17" hidden="1">
      <c r="A3989" t="s">
        <v>4094</v>
      </c>
      <c r="B3989" s="1">
        <v>45450</v>
      </c>
      <c r="C3989">
        <v>2024</v>
      </c>
      <c r="D3989">
        <v>6</v>
      </c>
      <c r="E3989" t="s">
        <v>37</v>
      </c>
      <c r="F3989" t="s">
        <v>14</v>
      </c>
      <c r="G3989" t="s">
        <v>38</v>
      </c>
      <c r="H3989" t="s">
        <v>39</v>
      </c>
      <c r="I3989">
        <v>5563.75</v>
      </c>
      <c r="J3989">
        <v>5239.1899999999996</v>
      </c>
      <c r="K3989" t="s">
        <v>17</v>
      </c>
      <c r="L3989" t="b">
        <v>0</v>
      </c>
      <c r="N3989" s="2" t="str">
        <f t="shared" si="356"/>
        <v/>
      </c>
      <c r="Q3989" t="str">
        <f t="shared" si="357"/>
        <v/>
      </c>
    </row>
    <row r="3990" spans="1:17" hidden="1">
      <c r="A3990" t="s">
        <v>4095</v>
      </c>
      <c r="B3990" s="1">
        <v>45450</v>
      </c>
      <c r="C3990">
        <v>2024</v>
      </c>
      <c r="D3990">
        <v>6</v>
      </c>
      <c r="E3990" t="s">
        <v>37</v>
      </c>
      <c r="F3990" t="s">
        <v>24</v>
      </c>
      <c r="G3990" t="s">
        <v>38</v>
      </c>
      <c r="H3990" t="s">
        <v>39</v>
      </c>
      <c r="I3990">
        <v>4020.14</v>
      </c>
      <c r="J3990">
        <v>4374.0600000000004</v>
      </c>
      <c r="K3990" t="s">
        <v>17</v>
      </c>
      <c r="L3990" t="b">
        <v>0</v>
      </c>
      <c r="N3990" s="2" t="str">
        <f t="shared" si="356"/>
        <v/>
      </c>
      <c r="Q3990" t="str">
        <f t="shared" si="357"/>
        <v/>
      </c>
    </row>
    <row r="3991" spans="1:17" hidden="1">
      <c r="A3991" t="s">
        <v>4096</v>
      </c>
      <c r="B3991" s="1">
        <v>45451</v>
      </c>
      <c r="C3991">
        <v>2024</v>
      </c>
      <c r="D3991">
        <v>6</v>
      </c>
      <c r="E3991" t="s">
        <v>13</v>
      </c>
      <c r="F3991" t="s">
        <v>28</v>
      </c>
      <c r="G3991" t="s">
        <v>108</v>
      </c>
      <c r="H3991" t="s">
        <v>126</v>
      </c>
      <c r="I3991">
        <v>4016.63</v>
      </c>
      <c r="J3991">
        <v>4175.9399999999996</v>
      </c>
      <c r="K3991" t="s">
        <v>17</v>
      </c>
      <c r="L3991" t="b">
        <v>0</v>
      </c>
      <c r="N3991" s="2" t="str">
        <f t="shared" si="356"/>
        <v/>
      </c>
      <c r="Q3991" t="str">
        <f t="shared" si="357"/>
        <v/>
      </c>
    </row>
    <row r="3992" spans="1:17" hidden="1">
      <c r="A3992" t="s">
        <v>4097</v>
      </c>
      <c r="B3992" s="1">
        <v>45451</v>
      </c>
      <c r="C3992">
        <v>2024</v>
      </c>
      <c r="D3992">
        <v>6</v>
      </c>
      <c r="E3992" t="s">
        <v>19</v>
      </c>
      <c r="F3992" t="s">
        <v>14</v>
      </c>
      <c r="G3992" t="s">
        <v>80</v>
      </c>
      <c r="H3992" t="s">
        <v>150</v>
      </c>
      <c r="I3992">
        <v>2753.24</v>
      </c>
      <c r="J3992">
        <v>2721.58</v>
      </c>
      <c r="K3992" t="s">
        <v>17</v>
      </c>
      <c r="L3992" t="b">
        <v>0</v>
      </c>
      <c r="N3992" s="2" t="str">
        <f t="shared" si="356"/>
        <v/>
      </c>
      <c r="Q3992" t="str">
        <f t="shared" si="357"/>
        <v/>
      </c>
    </row>
    <row r="3993" spans="1:17" hidden="1">
      <c r="A3993" t="s">
        <v>4098</v>
      </c>
      <c r="B3993" s="1">
        <v>45451</v>
      </c>
      <c r="C3993">
        <v>2024</v>
      </c>
      <c r="D3993">
        <v>6</v>
      </c>
      <c r="E3993" t="s">
        <v>19</v>
      </c>
      <c r="F3993" t="s">
        <v>24</v>
      </c>
      <c r="G3993" t="s">
        <v>132</v>
      </c>
      <c r="H3993" t="s">
        <v>138</v>
      </c>
      <c r="I3993">
        <v>7284.97</v>
      </c>
      <c r="J3993">
        <v>7244.59</v>
      </c>
      <c r="K3993" t="s">
        <v>17</v>
      </c>
      <c r="L3993" t="b">
        <v>0</v>
      </c>
      <c r="N3993" s="2" t="str">
        <f t="shared" si="356"/>
        <v/>
      </c>
      <c r="Q3993" t="str">
        <f t="shared" si="357"/>
        <v/>
      </c>
    </row>
    <row r="3994" spans="1:17" hidden="1">
      <c r="A3994" t="s">
        <v>4099</v>
      </c>
      <c r="B3994" s="1">
        <v>45451</v>
      </c>
      <c r="C3994">
        <v>2024</v>
      </c>
      <c r="D3994">
        <v>6</v>
      </c>
      <c r="E3994" t="s">
        <v>23</v>
      </c>
      <c r="F3994" t="s">
        <v>28</v>
      </c>
      <c r="G3994" t="s">
        <v>25</v>
      </c>
      <c r="H3994" t="s">
        <v>35</v>
      </c>
      <c r="I3994">
        <v>6649.42</v>
      </c>
      <c r="J3994">
        <v>6416.45</v>
      </c>
      <c r="K3994" t="s">
        <v>17</v>
      </c>
      <c r="L3994" t="b">
        <v>0</v>
      </c>
      <c r="N3994" s="2" t="str">
        <f t="shared" si="356"/>
        <v/>
      </c>
      <c r="Q3994" t="str">
        <f t="shared" si="357"/>
        <v/>
      </c>
    </row>
    <row r="3995" spans="1:17" hidden="1">
      <c r="A3995" t="s">
        <v>4100</v>
      </c>
      <c r="B3995" s="1">
        <v>45451</v>
      </c>
      <c r="C3995">
        <v>2024</v>
      </c>
      <c r="D3995">
        <v>6</v>
      </c>
      <c r="E3995" t="s">
        <v>23</v>
      </c>
      <c r="F3995" t="s">
        <v>28</v>
      </c>
      <c r="G3995" t="s">
        <v>25</v>
      </c>
      <c r="H3995" t="s">
        <v>26</v>
      </c>
      <c r="I3995">
        <v>7114.45</v>
      </c>
      <c r="J3995">
        <v>7631.84</v>
      </c>
      <c r="K3995" t="s">
        <v>17</v>
      </c>
      <c r="L3995" t="b">
        <v>0</v>
      </c>
      <c r="N3995" s="2" t="str">
        <f t="shared" si="356"/>
        <v/>
      </c>
      <c r="Q3995" t="str">
        <f t="shared" si="357"/>
        <v/>
      </c>
    </row>
    <row r="3996" spans="1:17" hidden="1">
      <c r="A3996" t="s">
        <v>4101</v>
      </c>
      <c r="B3996" s="1">
        <v>45451</v>
      </c>
      <c r="C3996">
        <v>2024</v>
      </c>
      <c r="D3996">
        <v>6</v>
      </c>
      <c r="E3996" t="s">
        <v>37</v>
      </c>
      <c r="F3996" t="s">
        <v>28</v>
      </c>
      <c r="G3996" t="s">
        <v>98</v>
      </c>
      <c r="H3996" t="s">
        <v>99</v>
      </c>
      <c r="I3996">
        <v>5896.28</v>
      </c>
      <c r="J3996">
        <v>5844.29</v>
      </c>
      <c r="K3996" t="s">
        <v>17</v>
      </c>
      <c r="L3996" t="b">
        <v>0</v>
      </c>
      <c r="N3996" s="2" t="str">
        <f t="shared" si="356"/>
        <v/>
      </c>
      <c r="Q3996" t="str">
        <f t="shared" si="357"/>
        <v/>
      </c>
    </row>
    <row r="3997" spans="1:17" hidden="1">
      <c r="A3997" t="s">
        <v>4102</v>
      </c>
      <c r="B3997" s="1">
        <v>45451</v>
      </c>
      <c r="C3997">
        <v>2024</v>
      </c>
      <c r="D3997">
        <v>6</v>
      </c>
      <c r="E3997" t="s">
        <v>37</v>
      </c>
      <c r="F3997" t="s">
        <v>28</v>
      </c>
      <c r="G3997" t="s">
        <v>83</v>
      </c>
      <c r="H3997" t="s">
        <v>84</v>
      </c>
      <c r="I3997">
        <v>160132.68</v>
      </c>
      <c r="J3997">
        <v>152126.04999999999</v>
      </c>
      <c r="K3997" t="s">
        <v>85</v>
      </c>
      <c r="L3997" t="b">
        <v>0</v>
      </c>
      <c r="N3997" s="2" t="str">
        <f t="shared" si="356"/>
        <v/>
      </c>
      <c r="Q3997" t="str">
        <f t="shared" si="357"/>
        <v/>
      </c>
    </row>
    <row r="3998" spans="1:17" hidden="1">
      <c r="A3998" t="s">
        <v>4103</v>
      </c>
      <c r="B3998" s="1">
        <v>45452</v>
      </c>
      <c r="C3998">
        <v>2024</v>
      </c>
      <c r="D3998">
        <v>6</v>
      </c>
      <c r="E3998" t="s">
        <v>13</v>
      </c>
      <c r="F3998" t="s">
        <v>28</v>
      </c>
      <c r="G3998" t="s">
        <v>68</v>
      </c>
      <c r="H3998" t="s">
        <v>69</v>
      </c>
      <c r="I3998">
        <v>4013.78</v>
      </c>
      <c r="J3998">
        <v>3886.05</v>
      </c>
      <c r="K3998" t="s">
        <v>17</v>
      </c>
      <c r="L3998" t="b">
        <v>0</v>
      </c>
      <c r="N3998" s="2" t="str">
        <f t="shared" si="356"/>
        <v/>
      </c>
      <c r="Q3998" t="str">
        <f t="shared" si="357"/>
        <v/>
      </c>
    </row>
    <row r="3999" spans="1:17" hidden="1">
      <c r="A3999" t="s">
        <v>4104</v>
      </c>
      <c r="B3999" s="1">
        <v>45452</v>
      </c>
      <c r="C3999">
        <v>2024</v>
      </c>
      <c r="D3999">
        <v>6</v>
      </c>
      <c r="E3999" t="s">
        <v>47</v>
      </c>
      <c r="F3999" t="s">
        <v>14</v>
      </c>
      <c r="G3999" t="s">
        <v>48</v>
      </c>
      <c r="H3999" t="s">
        <v>75</v>
      </c>
      <c r="I3999">
        <v>13490.02</v>
      </c>
      <c r="J3999">
        <v>11294.73</v>
      </c>
      <c r="K3999" t="s">
        <v>17</v>
      </c>
      <c r="L3999" t="b">
        <v>0</v>
      </c>
      <c r="N3999" s="2" t="b">
        <f t="shared" si="356"/>
        <v>1</v>
      </c>
      <c r="O3999" t="str">
        <f t="shared" ref="O3999:O4000" si="359">IF(AND(E3988="HR",K3988="EXPENSE"),I3988&lt;J3988,"")</f>
        <v/>
      </c>
      <c r="Q3999" t="str">
        <f t="shared" si="357"/>
        <v/>
      </c>
    </row>
    <row r="4000" spans="1:17" hidden="1">
      <c r="A4000" t="s">
        <v>4105</v>
      </c>
      <c r="B4000" s="1">
        <v>45452</v>
      </c>
      <c r="C4000">
        <v>2024</v>
      </c>
      <c r="D4000">
        <v>6</v>
      </c>
      <c r="E4000" t="s">
        <v>47</v>
      </c>
      <c r="F4000" t="s">
        <v>14</v>
      </c>
      <c r="G4000" t="s">
        <v>51</v>
      </c>
      <c r="H4000" t="s">
        <v>189</v>
      </c>
      <c r="I4000">
        <v>18060.669999999998</v>
      </c>
      <c r="J4000">
        <v>14885.41</v>
      </c>
      <c r="K4000" t="s">
        <v>17</v>
      </c>
      <c r="L4000" t="b">
        <v>0</v>
      </c>
      <c r="N4000" s="2" t="b">
        <f t="shared" si="356"/>
        <v>1</v>
      </c>
      <c r="O4000" t="str">
        <f t="shared" si="359"/>
        <v/>
      </c>
      <c r="Q4000" t="str">
        <f t="shared" si="357"/>
        <v/>
      </c>
    </row>
    <row r="4001" spans="1:17" hidden="1">
      <c r="A4001" t="s">
        <v>4106</v>
      </c>
      <c r="B4001" s="1">
        <v>45452</v>
      </c>
      <c r="C4001">
        <v>2024</v>
      </c>
      <c r="D4001">
        <v>6</v>
      </c>
      <c r="E4001" t="s">
        <v>19</v>
      </c>
      <c r="F4001" t="s">
        <v>14</v>
      </c>
      <c r="G4001" t="s">
        <v>132</v>
      </c>
      <c r="H4001" t="s">
        <v>171</v>
      </c>
      <c r="I4001">
        <v>2716.29</v>
      </c>
      <c r="J4001">
        <v>2859.85</v>
      </c>
      <c r="K4001" t="s">
        <v>17</v>
      </c>
      <c r="L4001" t="b">
        <v>0</v>
      </c>
      <c r="N4001" s="2" t="str">
        <f t="shared" si="356"/>
        <v/>
      </c>
      <c r="Q4001" t="str">
        <f t="shared" si="357"/>
        <v/>
      </c>
    </row>
    <row r="4002" spans="1:17" hidden="1">
      <c r="A4002" t="s">
        <v>4107</v>
      </c>
      <c r="B4002" s="1">
        <v>45452</v>
      </c>
      <c r="C4002">
        <v>2024</v>
      </c>
      <c r="D4002">
        <v>6</v>
      </c>
      <c r="E4002" t="s">
        <v>23</v>
      </c>
      <c r="F4002" t="s">
        <v>14</v>
      </c>
      <c r="G4002" t="s">
        <v>30</v>
      </c>
      <c r="H4002" t="s">
        <v>33</v>
      </c>
      <c r="I4002">
        <v>5859.13</v>
      </c>
      <c r="J4002">
        <v>5606.65</v>
      </c>
      <c r="K4002" t="s">
        <v>17</v>
      </c>
      <c r="L4002" t="b">
        <v>0</v>
      </c>
      <c r="N4002" s="2" t="str">
        <f t="shared" si="356"/>
        <v/>
      </c>
      <c r="Q4002" t="str">
        <f t="shared" si="357"/>
        <v/>
      </c>
    </row>
    <row r="4003" spans="1:17" hidden="1">
      <c r="A4003" t="s">
        <v>4108</v>
      </c>
      <c r="B4003" s="1">
        <v>45452</v>
      </c>
      <c r="C4003">
        <v>2024</v>
      </c>
      <c r="D4003">
        <v>6</v>
      </c>
      <c r="E4003" t="s">
        <v>23</v>
      </c>
      <c r="F4003" t="s">
        <v>14</v>
      </c>
      <c r="G4003" t="s">
        <v>30</v>
      </c>
      <c r="H4003" t="s">
        <v>31</v>
      </c>
      <c r="I4003">
        <v>7151.5</v>
      </c>
      <c r="J4003">
        <v>6655.02</v>
      </c>
      <c r="K4003" t="s">
        <v>17</v>
      </c>
      <c r="L4003" t="b">
        <v>0</v>
      </c>
      <c r="N4003" s="2" t="str">
        <f t="shared" si="356"/>
        <v/>
      </c>
      <c r="Q4003" t="str">
        <f t="shared" si="357"/>
        <v/>
      </c>
    </row>
    <row r="4004" spans="1:17" hidden="1">
      <c r="A4004" t="s">
        <v>4109</v>
      </c>
      <c r="B4004" s="1">
        <v>45452</v>
      </c>
      <c r="C4004">
        <v>2024</v>
      </c>
      <c r="D4004">
        <v>6</v>
      </c>
      <c r="E4004" t="s">
        <v>37</v>
      </c>
      <c r="F4004" t="s">
        <v>14</v>
      </c>
      <c r="G4004" t="s">
        <v>98</v>
      </c>
      <c r="H4004" t="s">
        <v>99</v>
      </c>
      <c r="I4004">
        <v>6031.48</v>
      </c>
      <c r="J4004">
        <v>6118.18</v>
      </c>
      <c r="K4004" t="s">
        <v>17</v>
      </c>
      <c r="L4004" t="b">
        <v>0</v>
      </c>
      <c r="N4004" s="2" t="str">
        <f t="shared" si="356"/>
        <v/>
      </c>
      <c r="Q4004" t="str">
        <f t="shared" si="357"/>
        <v/>
      </c>
    </row>
    <row r="4005" spans="1:17" hidden="1">
      <c r="A4005" t="s">
        <v>4110</v>
      </c>
      <c r="B4005" s="1">
        <v>45452</v>
      </c>
      <c r="C4005">
        <v>2024</v>
      </c>
      <c r="D4005">
        <v>6</v>
      </c>
      <c r="E4005" t="s">
        <v>37</v>
      </c>
      <c r="F4005" t="s">
        <v>28</v>
      </c>
      <c r="G4005" t="s">
        <v>41</v>
      </c>
      <c r="H4005" t="s">
        <v>42</v>
      </c>
      <c r="I4005">
        <v>2119.9</v>
      </c>
      <c r="J4005">
        <v>2304.14</v>
      </c>
      <c r="K4005" t="s">
        <v>17</v>
      </c>
      <c r="L4005" t="b">
        <v>0</v>
      </c>
      <c r="N4005" s="2" t="str">
        <f t="shared" si="356"/>
        <v/>
      </c>
      <c r="Q4005" t="str">
        <f t="shared" si="357"/>
        <v/>
      </c>
    </row>
    <row r="4006" spans="1:17" hidden="1">
      <c r="A4006" t="s">
        <v>4111</v>
      </c>
      <c r="B4006" s="1">
        <v>45453</v>
      </c>
      <c r="C4006">
        <v>2024</v>
      </c>
      <c r="D4006">
        <v>6</v>
      </c>
      <c r="E4006" t="s">
        <v>13</v>
      </c>
      <c r="F4006" t="s">
        <v>14</v>
      </c>
      <c r="G4006" t="s">
        <v>108</v>
      </c>
      <c r="H4006" t="s">
        <v>123</v>
      </c>
      <c r="I4006">
        <v>2934.07</v>
      </c>
      <c r="J4006">
        <v>2926.09</v>
      </c>
      <c r="K4006" t="s">
        <v>17</v>
      </c>
      <c r="L4006" t="b">
        <v>0</v>
      </c>
      <c r="N4006" s="2" t="str">
        <f t="shared" si="356"/>
        <v/>
      </c>
      <c r="Q4006" t="str">
        <f t="shared" si="357"/>
        <v/>
      </c>
    </row>
    <row r="4007" spans="1:17" hidden="1">
      <c r="A4007" t="s">
        <v>4112</v>
      </c>
      <c r="B4007" s="1">
        <v>45453</v>
      </c>
      <c r="C4007">
        <v>2024</v>
      </c>
      <c r="D4007">
        <v>6</v>
      </c>
      <c r="E4007" t="s">
        <v>13</v>
      </c>
      <c r="F4007" t="s">
        <v>14</v>
      </c>
      <c r="G4007" t="s">
        <v>108</v>
      </c>
      <c r="H4007" t="s">
        <v>123</v>
      </c>
      <c r="I4007">
        <v>4073.12</v>
      </c>
      <c r="J4007">
        <v>3850.62</v>
      </c>
      <c r="K4007" t="s">
        <v>17</v>
      </c>
      <c r="L4007" t="b">
        <v>0</v>
      </c>
      <c r="N4007" s="2" t="str">
        <f t="shared" si="356"/>
        <v/>
      </c>
      <c r="Q4007" t="str">
        <f t="shared" si="357"/>
        <v/>
      </c>
    </row>
    <row r="4008" spans="1:17" hidden="1">
      <c r="A4008" t="s">
        <v>4113</v>
      </c>
      <c r="B4008" s="1">
        <v>45453</v>
      </c>
      <c r="C4008">
        <v>2024</v>
      </c>
      <c r="D4008">
        <v>6</v>
      </c>
      <c r="E4008" t="s">
        <v>47</v>
      </c>
      <c r="F4008" t="s">
        <v>14</v>
      </c>
      <c r="G4008" t="s">
        <v>77</v>
      </c>
      <c r="H4008" t="s">
        <v>147</v>
      </c>
      <c r="I4008">
        <v>2775.66</v>
      </c>
      <c r="J4008">
        <v>2343.23</v>
      </c>
      <c r="K4008" t="s">
        <v>17</v>
      </c>
      <c r="L4008" t="b">
        <v>0</v>
      </c>
      <c r="N4008" s="2" t="b">
        <f t="shared" si="356"/>
        <v>1</v>
      </c>
      <c r="O4008" t="str">
        <f t="shared" ref="O4008:O4010" si="360">IF(AND(E3997="HR",K3997="EXPENSE"),I3997&lt;J3997,"")</f>
        <v/>
      </c>
      <c r="Q4008" t="str">
        <f t="shared" si="357"/>
        <v/>
      </c>
    </row>
    <row r="4009" spans="1:17" hidden="1">
      <c r="A4009" t="s">
        <v>4114</v>
      </c>
      <c r="B4009" s="1">
        <v>45453</v>
      </c>
      <c r="C4009">
        <v>2024</v>
      </c>
      <c r="D4009">
        <v>6</v>
      </c>
      <c r="E4009" t="s">
        <v>47</v>
      </c>
      <c r="F4009" t="s">
        <v>24</v>
      </c>
      <c r="G4009" t="s">
        <v>91</v>
      </c>
      <c r="H4009" t="s">
        <v>249</v>
      </c>
      <c r="I4009">
        <v>16271.32</v>
      </c>
      <c r="J4009">
        <v>13711.64</v>
      </c>
      <c r="K4009" t="s">
        <v>17</v>
      </c>
      <c r="L4009" t="b">
        <v>0</v>
      </c>
      <c r="N4009" s="2" t="b">
        <f t="shared" si="356"/>
        <v>1</v>
      </c>
      <c r="O4009" t="b">
        <f t="shared" si="360"/>
        <v>0</v>
      </c>
      <c r="Q4009" t="str">
        <f t="shared" si="357"/>
        <v/>
      </c>
    </row>
    <row r="4010" spans="1:17" hidden="1">
      <c r="A4010" t="s">
        <v>4115</v>
      </c>
      <c r="B4010" s="1">
        <v>45453</v>
      </c>
      <c r="C4010">
        <v>2024</v>
      </c>
      <c r="D4010">
        <v>6</v>
      </c>
      <c r="E4010" t="s">
        <v>47</v>
      </c>
      <c r="F4010" t="s">
        <v>24</v>
      </c>
      <c r="G4010" t="s">
        <v>77</v>
      </c>
      <c r="H4010" t="s">
        <v>78</v>
      </c>
      <c r="I4010">
        <v>15617.22</v>
      </c>
      <c r="J4010">
        <v>13467.29</v>
      </c>
      <c r="K4010" t="s">
        <v>17</v>
      </c>
      <c r="L4010" t="b">
        <v>0</v>
      </c>
      <c r="N4010" s="2" t="b">
        <f t="shared" si="356"/>
        <v>1</v>
      </c>
      <c r="O4010" t="str">
        <f t="shared" si="360"/>
        <v/>
      </c>
      <c r="Q4010" t="str">
        <f t="shared" si="357"/>
        <v/>
      </c>
    </row>
    <row r="4011" spans="1:17" hidden="1">
      <c r="A4011" t="s">
        <v>4116</v>
      </c>
      <c r="B4011" s="1">
        <v>45453</v>
      </c>
      <c r="C4011">
        <v>2024</v>
      </c>
      <c r="D4011">
        <v>6</v>
      </c>
      <c r="E4011" t="s">
        <v>19</v>
      </c>
      <c r="F4011" t="s">
        <v>14</v>
      </c>
      <c r="G4011" t="s">
        <v>54</v>
      </c>
      <c r="H4011" t="s">
        <v>163</v>
      </c>
      <c r="I4011">
        <v>5424.75</v>
      </c>
      <c r="J4011">
        <v>5014.1899999999996</v>
      </c>
      <c r="K4011" t="s">
        <v>17</v>
      </c>
      <c r="L4011" t="b">
        <v>0</v>
      </c>
      <c r="N4011" s="2" t="str">
        <f t="shared" si="356"/>
        <v/>
      </c>
      <c r="Q4011" t="str">
        <f t="shared" si="357"/>
        <v/>
      </c>
    </row>
    <row r="4012" spans="1:17" hidden="1">
      <c r="A4012" t="s">
        <v>4117</v>
      </c>
      <c r="B4012" s="1">
        <v>45453</v>
      </c>
      <c r="C4012">
        <v>2024</v>
      </c>
      <c r="D4012">
        <v>6</v>
      </c>
      <c r="E4012" t="s">
        <v>19</v>
      </c>
      <c r="F4012" t="s">
        <v>14</v>
      </c>
      <c r="G4012" t="s">
        <v>20</v>
      </c>
      <c r="H4012" t="s">
        <v>136</v>
      </c>
      <c r="I4012">
        <v>7710.74</v>
      </c>
      <c r="J4012">
        <v>8286.82</v>
      </c>
      <c r="K4012" t="s">
        <v>17</v>
      </c>
      <c r="L4012" t="b">
        <v>0</v>
      </c>
      <c r="N4012" s="2" t="str">
        <f t="shared" si="356"/>
        <v/>
      </c>
      <c r="Q4012" t="str">
        <f t="shared" si="357"/>
        <v/>
      </c>
    </row>
    <row r="4013" spans="1:17" hidden="1">
      <c r="A4013" t="s">
        <v>4118</v>
      </c>
      <c r="B4013" s="1">
        <v>45453</v>
      </c>
      <c r="C4013">
        <v>2024</v>
      </c>
      <c r="D4013">
        <v>6</v>
      </c>
      <c r="E4013" t="s">
        <v>23</v>
      </c>
      <c r="F4013" t="s">
        <v>14</v>
      </c>
      <c r="G4013" t="s">
        <v>141</v>
      </c>
      <c r="H4013" t="s">
        <v>153</v>
      </c>
      <c r="I4013">
        <v>2632.97</v>
      </c>
      <c r="J4013">
        <v>2860.55</v>
      </c>
      <c r="K4013" t="s">
        <v>17</v>
      </c>
      <c r="L4013" t="b">
        <v>0</v>
      </c>
      <c r="N4013" s="2" t="str">
        <f t="shared" si="356"/>
        <v/>
      </c>
      <c r="Q4013" t="str">
        <f t="shared" si="357"/>
        <v/>
      </c>
    </row>
    <row r="4014" spans="1:17" hidden="1">
      <c r="A4014" t="s">
        <v>4119</v>
      </c>
      <c r="B4014" s="1">
        <v>45453</v>
      </c>
      <c r="C4014">
        <v>2024</v>
      </c>
      <c r="D4014">
        <v>6</v>
      </c>
      <c r="E4014" t="s">
        <v>23</v>
      </c>
      <c r="F4014" t="s">
        <v>28</v>
      </c>
      <c r="G4014" t="s">
        <v>30</v>
      </c>
      <c r="H4014" t="s">
        <v>33</v>
      </c>
      <c r="I4014">
        <v>5976.52</v>
      </c>
      <c r="J4014">
        <v>6405.69</v>
      </c>
      <c r="K4014" t="s">
        <v>17</v>
      </c>
      <c r="L4014" t="b">
        <v>0</v>
      </c>
      <c r="N4014" s="2" t="str">
        <f t="shared" si="356"/>
        <v/>
      </c>
      <c r="Q4014" t="str">
        <f t="shared" si="357"/>
        <v/>
      </c>
    </row>
    <row r="4015" spans="1:17" hidden="1">
      <c r="A4015" t="s">
        <v>4120</v>
      </c>
      <c r="B4015" s="1">
        <v>45453</v>
      </c>
      <c r="C4015">
        <v>2024</v>
      </c>
      <c r="D4015">
        <v>6</v>
      </c>
      <c r="E4015" t="s">
        <v>23</v>
      </c>
      <c r="F4015" t="s">
        <v>24</v>
      </c>
      <c r="G4015" t="s">
        <v>30</v>
      </c>
      <c r="H4015" t="s">
        <v>106</v>
      </c>
      <c r="I4015">
        <v>4682.13</v>
      </c>
      <c r="J4015">
        <v>5083.97</v>
      </c>
      <c r="K4015" t="s">
        <v>17</v>
      </c>
      <c r="L4015" t="b">
        <v>0</v>
      </c>
      <c r="N4015" s="2" t="str">
        <f t="shared" si="356"/>
        <v/>
      </c>
      <c r="Q4015" t="str">
        <f t="shared" si="357"/>
        <v/>
      </c>
    </row>
    <row r="4016" spans="1:17" hidden="1">
      <c r="A4016" t="s">
        <v>4121</v>
      </c>
      <c r="B4016" s="1">
        <v>45453</v>
      </c>
      <c r="C4016">
        <v>2024</v>
      </c>
      <c r="D4016">
        <v>6</v>
      </c>
      <c r="E4016" t="s">
        <v>37</v>
      </c>
      <c r="F4016" t="s">
        <v>14</v>
      </c>
      <c r="G4016" t="s">
        <v>98</v>
      </c>
      <c r="H4016" t="s">
        <v>185</v>
      </c>
      <c r="I4016">
        <v>5976.35</v>
      </c>
      <c r="J4016">
        <v>6423.73</v>
      </c>
      <c r="K4016" t="s">
        <v>17</v>
      </c>
      <c r="L4016" t="b">
        <v>0</v>
      </c>
      <c r="N4016" s="2" t="str">
        <f t="shared" si="356"/>
        <v/>
      </c>
      <c r="Q4016" t="str">
        <f t="shared" si="357"/>
        <v/>
      </c>
    </row>
    <row r="4017" spans="1:17" hidden="1">
      <c r="A4017" t="s">
        <v>4122</v>
      </c>
      <c r="B4017" s="1">
        <v>45453</v>
      </c>
      <c r="C4017">
        <v>2024</v>
      </c>
      <c r="D4017">
        <v>6</v>
      </c>
      <c r="E4017" t="s">
        <v>37</v>
      </c>
      <c r="F4017" t="s">
        <v>24</v>
      </c>
      <c r="G4017" t="s">
        <v>62</v>
      </c>
      <c r="H4017" t="s">
        <v>360</v>
      </c>
      <c r="I4017">
        <v>3711.46</v>
      </c>
      <c r="J4017">
        <v>4069.28</v>
      </c>
      <c r="K4017" t="s">
        <v>17</v>
      </c>
      <c r="L4017" t="b">
        <v>0</v>
      </c>
      <c r="N4017" s="2" t="str">
        <f t="shared" si="356"/>
        <v/>
      </c>
      <c r="Q4017" t="str">
        <f t="shared" si="357"/>
        <v/>
      </c>
    </row>
    <row r="4018" spans="1:17" hidden="1">
      <c r="A4018" t="s">
        <v>4123</v>
      </c>
      <c r="B4018" s="1">
        <v>45454</v>
      </c>
      <c r="C4018">
        <v>2024</v>
      </c>
      <c r="D4018">
        <v>6</v>
      </c>
      <c r="E4018" t="s">
        <v>13</v>
      </c>
      <c r="F4018" t="s">
        <v>14</v>
      </c>
      <c r="G4018" t="s">
        <v>68</v>
      </c>
      <c r="H4018" t="s">
        <v>213</v>
      </c>
      <c r="I4018">
        <v>4130.6899999999996</v>
      </c>
      <c r="J4018">
        <v>4255.72</v>
      </c>
      <c r="K4018" t="s">
        <v>17</v>
      </c>
      <c r="L4018" t="b">
        <v>0</v>
      </c>
      <c r="N4018" s="2" t="str">
        <f t="shared" si="356"/>
        <v/>
      </c>
      <c r="Q4018" t="str">
        <f t="shared" si="357"/>
        <v/>
      </c>
    </row>
    <row r="4019" spans="1:17" hidden="1">
      <c r="A4019" t="s">
        <v>4124</v>
      </c>
      <c r="B4019" s="1">
        <v>45454</v>
      </c>
      <c r="C4019">
        <v>2024</v>
      </c>
      <c r="D4019">
        <v>6</v>
      </c>
      <c r="E4019" t="s">
        <v>23</v>
      </c>
      <c r="F4019" t="s">
        <v>24</v>
      </c>
      <c r="G4019" t="s">
        <v>141</v>
      </c>
      <c r="H4019" t="s">
        <v>209</v>
      </c>
      <c r="I4019">
        <v>7370.96</v>
      </c>
      <c r="J4019">
        <v>6963.22</v>
      </c>
      <c r="K4019" t="s">
        <v>17</v>
      </c>
      <c r="L4019" t="b">
        <v>0</v>
      </c>
      <c r="N4019" s="2" t="str">
        <f t="shared" si="356"/>
        <v/>
      </c>
      <c r="Q4019" t="str">
        <f t="shared" si="357"/>
        <v/>
      </c>
    </row>
    <row r="4020" spans="1:17" hidden="1">
      <c r="A4020" t="s">
        <v>4125</v>
      </c>
      <c r="B4020" s="1">
        <v>45454</v>
      </c>
      <c r="C4020">
        <v>2024</v>
      </c>
      <c r="D4020">
        <v>6</v>
      </c>
      <c r="E4020" t="s">
        <v>37</v>
      </c>
      <c r="F4020" t="s">
        <v>14</v>
      </c>
      <c r="G4020" t="s">
        <v>62</v>
      </c>
      <c r="H4020" t="s">
        <v>66</v>
      </c>
      <c r="I4020">
        <v>4420.7299999999996</v>
      </c>
      <c r="J4020">
        <v>4235.72</v>
      </c>
      <c r="K4020" t="s">
        <v>17</v>
      </c>
      <c r="L4020" t="b">
        <v>0</v>
      </c>
      <c r="N4020" s="2" t="str">
        <f t="shared" si="356"/>
        <v/>
      </c>
      <c r="Q4020" t="str">
        <f t="shared" si="357"/>
        <v/>
      </c>
    </row>
    <row r="4021" spans="1:17" hidden="1">
      <c r="A4021" t="s">
        <v>4126</v>
      </c>
      <c r="B4021" s="1">
        <v>45454</v>
      </c>
      <c r="C4021">
        <v>2024</v>
      </c>
      <c r="D4021">
        <v>6</v>
      </c>
      <c r="E4021" t="s">
        <v>37</v>
      </c>
      <c r="F4021" t="s">
        <v>14</v>
      </c>
      <c r="G4021" t="s">
        <v>98</v>
      </c>
      <c r="H4021" t="s">
        <v>185</v>
      </c>
      <c r="I4021">
        <v>3285.86</v>
      </c>
      <c r="J4021">
        <v>3249.02</v>
      </c>
      <c r="K4021" t="s">
        <v>17</v>
      </c>
      <c r="L4021" t="b">
        <v>0</v>
      </c>
      <c r="N4021" s="2" t="str">
        <f t="shared" si="356"/>
        <v/>
      </c>
      <c r="Q4021" t="str">
        <f t="shared" si="357"/>
        <v/>
      </c>
    </row>
    <row r="4022" spans="1:17" hidden="1">
      <c r="A4022" t="s">
        <v>4127</v>
      </c>
      <c r="B4022" s="1">
        <v>45455</v>
      </c>
      <c r="C4022">
        <v>2024</v>
      </c>
      <c r="D4022">
        <v>6</v>
      </c>
      <c r="E4022" t="s">
        <v>47</v>
      </c>
      <c r="F4022" t="s">
        <v>24</v>
      </c>
      <c r="G4022" t="s">
        <v>77</v>
      </c>
      <c r="H4022" t="s">
        <v>130</v>
      </c>
      <c r="I4022">
        <v>6766.28</v>
      </c>
      <c r="J4022">
        <v>5701.84</v>
      </c>
      <c r="K4022" t="s">
        <v>17</v>
      </c>
      <c r="L4022" t="b">
        <v>0</v>
      </c>
      <c r="N4022" s="2" t="b">
        <f t="shared" si="356"/>
        <v>1</v>
      </c>
      <c r="O4022" t="str">
        <f>IF(AND(E4011="HR",K4011="EXPENSE"),I4011&lt;J4011,"")</f>
        <v/>
      </c>
      <c r="Q4022" t="str">
        <f t="shared" si="357"/>
        <v/>
      </c>
    </row>
    <row r="4023" spans="1:17" hidden="1">
      <c r="A4023" t="s">
        <v>4128</v>
      </c>
      <c r="B4023" s="1">
        <v>45455</v>
      </c>
      <c r="C4023">
        <v>2024</v>
      </c>
      <c r="D4023">
        <v>6</v>
      </c>
      <c r="E4023" t="s">
        <v>19</v>
      </c>
      <c r="F4023" t="s">
        <v>14</v>
      </c>
      <c r="G4023" t="s">
        <v>80</v>
      </c>
      <c r="H4023" t="s">
        <v>81</v>
      </c>
      <c r="I4023">
        <v>5681.7</v>
      </c>
      <c r="J4023">
        <v>5885</v>
      </c>
      <c r="K4023" t="s">
        <v>17</v>
      </c>
      <c r="L4023" t="b">
        <v>0</v>
      </c>
      <c r="N4023" s="2" t="str">
        <f t="shared" si="356"/>
        <v/>
      </c>
      <c r="Q4023" t="str">
        <f t="shared" si="357"/>
        <v/>
      </c>
    </row>
    <row r="4024" spans="1:17" hidden="1">
      <c r="A4024" t="s">
        <v>4129</v>
      </c>
      <c r="B4024" s="1">
        <v>45455</v>
      </c>
      <c r="C4024">
        <v>2024</v>
      </c>
      <c r="D4024">
        <v>6</v>
      </c>
      <c r="E4024" t="s">
        <v>23</v>
      </c>
      <c r="F4024" t="s">
        <v>24</v>
      </c>
      <c r="G4024" t="s">
        <v>25</v>
      </c>
      <c r="H4024" t="s">
        <v>35</v>
      </c>
      <c r="I4024">
        <v>4699.2</v>
      </c>
      <c r="J4024">
        <v>4412.1899999999996</v>
      </c>
      <c r="K4024" t="s">
        <v>17</v>
      </c>
      <c r="L4024" t="b">
        <v>0</v>
      </c>
      <c r="N4024" s="2" t="str">
        <f t="shared" si="356"/>
        <v/>
      </c>
      <c r="Q4024" t="str">
        <f t="shared" si="357"/>
        <v/>
      </c>
    </row>
    <row r="4025" spans="1:17" hidden="1">
      <c r="A4025" t="s">
        <v>4130</v>
      </c>
      <c r="B4025" s="1">
        <v>45455</v>
      </c>
      <c r="C4025">
        <v>2024</v>
      </c>
      <c r="D4025">
        <v>6</v>
      </c>
      <c r="E4025" t="s">
        <v>37</v>
      </c>
      <c r="F4025" t="s">
        <v>28</v>
      </c>
      <c r="G4025" t="s">
        <v>98</v>
      </c>
      <c r="H4025" t="s">
        <v>99</v>
      </c>
      <c r="I4025">
        <v>3500.62</v>
      </c>
      <c r="J4025">
        <v>3277.63</v>
      </c>
      <c r="K4025" t="s">
        <v>17</v>
      </c>
      <c r="L4025" t="b">
        <v>0</v>
      </c>
      <c r="N4025" s="2" t="str">
        <f t="shared" si="356"/>
        <v/>
      </c>
      <c r="Q4025" t="str">
        <f t="shared" si="357"/>
        <v/>
      </c>
    </row>
    <row r="4026" spans="1:17" hidden="1">
      <c r="A4026" t="s">
        <v>4131</v>
      </c>
      <c r="B4026" s="1">
        <v>45456</v>
      </c>
      <c r="C4026">
        <v>2024</v>
      </c>
      <c r="D4026">
        <v>6</v>
      </c>
      <c r="E4026" t="s">
        <v>13</v>
      </c>
      <c r="F4026" t="s">
        <v>14</v>
      </c>
      <c r="G4026" t="s">
        <v>68</v>
      </c>
      <c r="H4026" t="s">
        <v>87</v>
      </c>
      <c r="I4026">
        <v>4828.07</v>
      </c>
      <c r="J4026">
        <v>4785.32</v>
      </c>
      <c r="K4026" t="s">
        <v>17</v>
      </c>
      <c r="L4026" t="b">
        <v>0</v>
      </c>
      <c r="N4026" s="2" t="str">
        <f t="shared" si="356"/>
        <v/>
      </c>
      <c r="Q4026" t="str">
        <f t="shared" si="357"/>
        <v/>
      </c>
    </row>
    <row r="4027" spans="1:17" hidden="1">
      <c r="A4027" t="s">
        <v>4132</v>
      </c>
      <c r="B4027" s="1">
        <v>45456</v>
      </c>
      <c r="C4027">
        <v>2024</v>
      </c>
      <c r="D4027">
        <v>6</v>
      </c>
      <c r="E4027" t="s">
        <v>47</v>
      </c>
      <c r="F4027" t="s">
        <v>24</v>
      </c>
      <c r="G4027" t="s">
        <v>51</v>
      </c>
      <c r="H4027" t="s">
        <v>72</v>
      </c>
      <c r="I4027">
        <v>10954.68</v>
      </c>
      <c r="J4027">
        <v>8993.25</v>
      </c>
      <c r="K4027" t="s">
        <v>17</v>
      </c>
      <c r="L4027" t="b">
        <v>0</v>
      </c>
      <c r="N4027" s="2" t="b">
        <f t="shared" si="356"/>
        <v>1</v>
      </c>
      <c r="O4027" t="str">
        <f>IF(AND(E4016="HR",K4016="EXPENSE"),I4016&lt;J4016,"")</f>
        <v/>
      </c>
      <c r="Q4027" t="str">
        <f t="shared" si="357"/>
        <v/>
      </c>
    </row>
    <row r="4028" spans="1:17" hidden="1">
      <c r="A4028" t="s">
        <v>4133</v>
      </c>
      <c r="B4028" s="1">
        <v>45456</v>
      </c>
      <c r="C4028">
        <v>2024</v>
      </c>
      <c r="D4028">
        <v>6</v>
      </c>
      <c r="E4028" t="s">
        <v>19</v>
      </c>
      <c r="F4028" t="s">
        <v>28</v>
      </c>
      <c r="G4028" t="s">
        <v>80</v>
      </c>
      <c r="H4028" t="s">
        <v>150</v>
      </c>
      <c r="I4028">
        <v>4173.18</v>
      </c>
      <c r="J4028">
        <v>4236.37</v>
      </c>
      <c r="K4028" t="s">
        <v>17</v>
      </c>
      <c r="L4028" t="b">
        <v>0</v>
      </c>
      <c r="N4028" s="2" t="str">
        <f t="shared" si="356"/>
        <v/>
      </c>
      <c r="Q4028" t="str">
        <f t="shared" si="357"/>
        <v/>
      </c>
    </row>
    <row r="4029" spans="1:17" hidden="1">
      <c r="A4029" t="s">
        <v>4134</v>
      </c>
      <c r="B4029" s="1">
        <v>45456</v>
      </c>
      <c r="C4029">
        <v>2024</v>
      </c>
      <c r="D4029">
        <v>6</v>
      </c>
      <c r="E4029" t="s">
        <v>19</v>
      </c>
      <c r="F4029" t="s">
        <v>28</v>
      </c>
      <c r="G4029" t="s">
        <v>54</v>
      </c>
      <c r="H4029" t="s">
        <v>163</v>
      </c>
      <c r="I4029">
        <v>7011.57</v>
      </c>
      <c r="J4029">
        <v>7573.84</v>
      </c>
      <c r="K4029" t="s">
        <v>17</v>
      </c>
      <c r="L4029" t="b">
        <v>0</v>
      </c>
      <c r="N4029" s="2" t="str">
        <f t="shared" si="356"/>
        <v/>
      </c>
      <c r="Q4029" t="str">
        <f t="shared" si="357"/>
        <v/>
      </c>
    </row>
    <row r="4030" spans="1:17" hidden="1">
      <c r="A4030" t="s">
        <v>4135</v>
      </c>
      <c r="B4030" s="1">
        <v>45456</v>
      </c>
      <c r="C4030">
        <v>2024</v>
      </c>
      <c r="D4030">
        <v>6</v>
      </c>
      <c r="E4030" t="s">
        <v>23</v>
      </c>
      <c r="F4030" t="s">
        <v>28</v>
      </c>
      <c r="G4030" t="s">
        <v>25</v>
      </c>
      <c r="H4030" t="s">
        <v>35</v>
      </c>
      <c r="I4030">
        <v>4577.58</v>
      </c>
      <c r="J4030">
        <v>4330.3900000000003</v>
      </c>
      <c r="K4030" t="s">
        <v>17</v>
      </c>
      <c r="L4030" t="b">
        <v>0</v>
      </c>
      <c r="N4030" s="2" t="str">
        <f t="shared" si="356"/>
        <v/>
      </c>
      <c r="Q4030" t="str">
        <f t="shared" si="357"/>
        <v/>
      </c>
    </row>
    <row r="4031" spans="1:17" hidden="1">
      <c r="A4031" t="s">
        <v>4136</v>
      </c>
      <c r="B4031" s="1">
        <v>45456</v>
      </c>
      <c r="C4031">
        <v>2024</v>
      </c>
      <c r="D4031">
        <v>6</v>
      </c>
      <c r="E4031" t="s">
        <v>23</v>
      </c>
      <c r="F4031" t="s">
        <v>28</v>
      </c>
      <c r="G4031" t="s">
        <v>30</v>
      </c>
      <c r="H4031" t="s">
        <v>31</v>
      </c>
      <c r="I4031">
        <v>5965.88</v>
      </c>
      <c r="J4031">
        <v>5812.58</v>
      </c>
      <c r="K4031" t="s">
        <v>17</v>
      </c>
      <c r="L4031" t="b">
        <v>0</v>
      </c>
      <c r="N4031" s="2" t="str">
        <f t="shared" si="356"/>
        <v/>
      </c>
      <c r="Q4031" t="str">
        <f t="shared" si="357"/>
        <v/>
      </c>
    </row>
    <row r="4032" spans="1:17" hidden="1">
      <c r="A4032" t="s">
        <v>4137</v>
      </c>
      <c r="B4032" s="1">
        <v>45457</v>
      </c>
      <c r="C4032">
        <v>2024</v>
      </c>
      <c r="D4032">
        <v>6</v>
      </c>
      <c r="E4032" t="s">
        <v>47</v>
      </c>
      <c r="F4032" t="s">
        <v>28</v>
      </c>
      <c r="G4032" t="s">
        <v>51</v>
      </c>
      <c r="H4032" t="s">
        <v>52</v>
      </c>
      <c r="I4032">
        <v>14729.16</v>
      </c>
      <c r="J4032">
        <v>12396.45</v>
      </c>
      <c r="K4032" t="s">
        <v>17</v>
      </c>
      <c r="L4032" t="b">
        <v>0</v>
      </c>
      <c r="N4032" s="2" t="b">
        <f t="shared" si="356"/>
        <v>1</v>
      </c>
      <c r="O4032" t="str">
        <f t="shared" ref="O4032:O4035" si="361">IF(AND(E4021="HR",K4021="EXPENSE"),I4021&lt;J4021,"")</f>
        <v/>
      </c>
      <c r="Q4032" t="str">
        <f t="shared" si="357"/>
        <v/>
      </c>
    </row>
    <row r="4033" spans="1:17" hidden="1">
      <c r="A4033" t="s">
        <v>4138</v>
      </c>
      <c r="B4033" s="1">
        <v>45457</v>
      </c>
      <c r="C4033">
        <v>2024</v>
      </c>
      <c r="D4033">
        <v>6</v>
      </c>
      <c r="E4033" t="s">
        <v>47</v>
      </c>
      <c r="F4033" t="s">
        <v>28</v>
      </c>
      <c r="G4033" t="s">
        <v>51</v>
      </c>
      <c r="H4033" t="s">
        <v>72</v>
      </c>
      <c r="I4033">
        <v>22067.439999999999</v>
      </c>
      <c r="J4033">
        <v>18631.32</v>
      </c>
      <c r="K4033" t="s">
        <v>17</v>
      </c>
      <c r="L4033" t="b">
        <v>0</v>
      </c>
      <c r="N4033" s="2" t="b">
        <f t="shared" si="356"/>
        <v>1</v>
      </c>
      <c r="O4033" t="str">
        <f t="shared" si="361"/>
        <v/>
      </c>
      <c r="Q4033" t="str">
        <f t="shared" si="357"/>
        <v/>
      </c>
    </row>
    <row r="4034" spans="1:17" hidden="1">
      <c r="A4034" t="s">
        <v>4139</v>
      </c>
      <c r="B4034" s="1">
        <v>45457</v>
      </c>
      <c r="C4034">
        <v>2024</v>
      </c>
      <c r="D4034">
        <v>6</v>
      </c>
      <c r="E4034" t="s">
        <v>47</v>
      </c>
      <c r="F4034" t="s">
        <v>24</v>
      </c>
      <c r="G4034" t="s">
        <v>51</v>
      </c>
      <c r="H4034" t="s">
        <v>52</v>
      </c>
      <c r="I4034">
        <v>13227.83</v>
      </c>
      <c r="J4034">
        <v>11467.55</v>
      </c>
      <c r="K4034" t="s">
        <v>17</v>
      </c>
      <c r="L4034" t="b">
        <v>0</v>
      </c>
      <c r="N4034" s="2" t="b">
        <f t="shared" si="356"/>
        <v>1</v>
      </c>
      <c r="O4034" t="str">
        <f t="shared" si="361"/>
        <v/>
      </c>
      <c r="Q4034" t="str">
        <f t="shared" si="357"/>
        <v/>
      </c>
    </row>
    <row r="4035" spans="1:17" hidden="1">
      <c r="A4035" t="s">
        <v>4140</v>
      </c>
      <c r="B4035" s="1">
        <v>45457</v>
      </c>
      <c r="C4035">
        <v>2024</v>
      </c>
      <c r="D4035">
        <v>6</v>
      </c>
      <c r="E4035" t="s">
        <v>47</v>
      </c>
      <c r="F4035" t="s">
        <v>24</v>
      </c>
      <c r="G4035" t="s">
        <v>51</v>
      </c>
      <c r="H4035" t="s">
        <v>72</v>
      </c>
      <c r="I4035">
        <v>12124</v>
      </c>
      <c r="J4035">
        <v>10387.83</v>
      </c>
      <c r="K4035" t="s">
        <v>17</v>
      </c>
      <c r="L4035" t="b">
        <v>0</v>
      </c>
      <c r="N4035" s="2" t="b">
        <f t="shared" ref="N4035:N4098" si="362">IF(AND(E4035="IT",K4035="EXPENSE"),I4035&gt;J4035,"")</f>
        <v>1</v>
      </c>
      <c r="O4035" t="str">
        <f t="shared" si="361"/>
        <v/>
      </c>
      <c r="Q4035" t="str">
        <f t="shared" ref="Q4035:Q4098" si="363">IF(L4035=TRUE,OR(H4035="Apex Solutions Inc",H4035="Global Trade Partners",H4035="NovaTech Services"),"")</f>
        <v/>
      </c>
    </row>
    <row r="4036" spans="1:17" hidden="1">
      <c r="A4036" t="s">
        <v>4141</v>
      </c>
      <c r="B4036" s="1">
        <v>45457</v>
      </c>
      <c r="C4036">
        <v>2024</v>
      </c>
      <c r="D4036">
        <v>6</v>
      </c>
      <c r="E4036" t="s">
        <v>19</v>
      </c>
      <c r="F4036" t="s">
        <v>14</v>
      </c>
      <c r="G4036" t="s">
        <v>132</v>
      </c>
      <c r="H4036" t="s">
        <v>133</v>
      </c>
      <c r="I4036">
        <v>5124.1899999999996</v>
      </c>
      <c r="J4036">
        <v>5369.94</v>
      </c>
      <c r="K4036" t="s">
        <v>17</v>
      </c>
      <c r="L4036" t="b">
        <v>0</v>
      </c>
      <c r="N4036" s="2" t="str">
        <f t="shared" si="362"/>
        <v/>
      </c>
      <c r="Q4036" t="str">
        <f t="shared" si="363"/>
        <v/>
      </c>
    </row>
    <row r="4037" spans="1:17" hidden="1">
      <c r="A4037" t="s">
        <v>4142</v>
      </c>
      <c r="B4037" s="1">
        <v>45457</v>
      </c>
      <c r="C4037">
        <v>2024</v>
      </c>
      <c r="D4037">
        <v>6</v>
      </c>
      <c r="E4037" t="s">
        <v>19</v>
      </c>
      <c r="F4037" t="s">
        <v>24</v>
      </c>
      <c r="G4037" t="s">
        <v>80</v>
      </c>
      <c r="H4037" t="s">
        <v>81</v>
      </c>
      <c r="I4037">
        <v>6705.78</v>
      </c>
      <c r="J4037">
        <v>6905.27</v>
      </c>
      <c r="K4037" t="s">
        <v>17</v>
      </c>
      <c r="L4037" t="b">
        <v>0</v>
      </c>
      <c r="N4037" s="2" t="str">
        <f t="shared" si="362"/>
        <v/>
      </c>
      <c r="Q4037" t="str">
        <f t="shared" si="363"/>
        <v/>
      </c>
    </row>
    <row r="4038" spans="1:17" hidden="1">
      <c r="A4038" t="s">
        <v>4143</v>
      </c>
      <c r="B4038" s="1">
        <v>45457</v>
      </c>
      <c r="C4038">
        <v>2024</v>
      </c>
      <c r="D4038">
        <v>6</v>
      </c>
      <c r="E4038" t="s">
        <v>23</v>
      </c>
      <c r="F4038" t="s">
        <v>14</v>
      </c>
      <c r="G4038" t="s">
        <v>25</v>
      </c>
      <c r="H4038" t="s">
        <v>26</v>
      </c>
      <c r="I4038">
        <v>8307.4</v>
      </c>
      <c r="J4038">
        <v>7643.2</v>
      </c>
      <c r="K4038" t="s">
        <v>17</v>
      </c>
      <c r="L4038" t="b">
        <v>0</v>
      </c>
      <c r="N4038" s="2" t="str">
        <f t="shared" si="362"/>
        <v/>
      </c>
      <c r="Q4038" t="str">
        <f t="shared" si="363"/>
        <v/>
      </c>
    </row>
    <row r="4039" spans="1:17" hidden="1">
      <c r="A4039" t="s">
        <v>4144</v>
      </c>
      <c r="B4039" s="1">
        <v>45457</v>
      </c>
      <c r="C4039">
        <v>2024</v>
      </c>
      <c r="D4039">
        <v>6</v>
      </c>
      <c r="E4039" t="s">
        <v>37</v>
      </c>
      <c r="F4039" t="s">
        <v>28</v>
      </c>
      <c r="G4039" t="s">
        <v>98</v>
      </c>
      <c r="H4039" t="s">
        <v>99</v>
      </c>
      <c r="I4039">
        <v>6374.21</v>
      </c>
      <c r="J4039">
        <v>5914.23</v>
      </c>
      <c r="K4039" t="s">
        <v>17</v>
      </c>
      <c r="L4039" t="b">
        <v>0</v>
      </c>
      <c r="N4039" s="2" t="str">
        <f t="shared" si="362"/>
        <v/>
      </c>
      <c r="Q4039" t="str">
        <f t="shared" si="363"/>
        <v/>
      </c>
    </row>
    <row r="4040" spans="1:17" hidden="1">
      <c r="A4040" t="s">
        <v>4145</v>
      </c>
      <c r="B4040" s="1">
        <v>45457</v>
      </c>
      <c r="C4040">
        <v>2024</v>
      </c>
      <c r="D4040">
        <v>6</v>
      </c>
      <c r="E4040" t="s">
        <v>37</v>
      </c>
      <c r="F4040" t="s">
        <v>28</v>
      </c>
      <c r="G4040" t="s">
        <v>62</v>
      </c>
      <c r="H4040" t="s">
        <v>360</v>
      </c>
      <c r="I4040">
        <v>3107.07</v>
      </c>
      <c r="J4040">
        <v>3361.16</v>
      </c>
      <c r="K4040" t="s">
        <v>17</v>
      </c>
      <c r="L4040" t="b">
        <v>0</v>
      </c>
      <c r="N4040" s="2" t="str">
        <f t="shared" si="362"/>
        <v/>
      </c>
      <c r="Q4040" t="str">
        <f t="shared" si="363"/>
        <v/>
      </c>
    </row>
    <row r="4041" spans="1:17" hidden="1">
      <c r="A4041" t="s">
        <v>4146</v>
      </c>
      <c r="B4041" s="1">
        <v>45457</v>
      </c>
      <c r="C4041">
        <v>2024</v>
      </c>
      <c r="D4041">
        <v>6</v>
      </c>
      <c r="E4041" t="s">
        <v>37</v>
      </c>
      <c r="F4041" t="s">
        <v>24</v>
      </c>
      <c r="G4041" t="s">
        <v>62</v>
      </c>
      <c r="H4041" t="s">
        <v>121</v>
      </c>
      <c r="I4041">
        <v>3854.12</v>
      </c>
      <c r="J4041">
        <v>3861.06</v>
      </c>
      <c r="K4041" t="s">
        <v>17</v>
      </c>
      <c r="L4041" t="b">
        <v>0</v>
      </c>
      <c r="N4041" s="2" t="str">
        <f t="shared" si="362"/>
        <v/>
      </c>
      <c r="Q4041" t="str">
        <f t="shared" si="363"/>
        <v/>
      </c>
    </row>
    <row r="4042" spans="1:17" hidden="1">
      <c r="A4042" t="s">
        <v>4147</v>
      </c>
      <c r="B4042" s="1">
        <v>45458</v>
      </c>
      <c r="C4042">
        <v>2024</v>
      </c>
      <c r="D4042">
        <v>6</v>
      </c>
      <c r="E4042" t="s">
        <v>13</v>
      </c>
      <c r="F4042" t="s">
        <v>28</v>
      </c>
      <c r="G4042" t="s">
        <v>102</v>
      </c>
      <c r="H4042" t="s">
        <v>278</v>
      </c>
      <c r="I4042">
        <v>4464.6000000000004</v>
      </c>
      <c r="J4042">
        <v>4401.87</v>
      </c>
      <c r="K4042" t="s">
        <v>17</v>
      </c>
      <c r="L4042" t="b">
        <v>0</v>
      </c>
      <c r="N4042" s="2" t="str">
        <f t="shared" si="362"/>
        <v/>
      </c>
      <c r="Q4042" t="str">
        <f t="shared" si="363"/>
        <v/>
      </c>
    </row>
    <row r="4043" spans="1:17" hidden="1">
      <c r="A4043" t="s">
        <v>4148</v>
      </c>
      <c r="B4043" s="1">
        <v>45458</v>
      </c>
      <c r="C4043">
        <v>2024</v>
      </c>
      <c r="D4043">
        <v>6</v>
      </c>
      <c r="E4043" t="s">
        <v>47</v>
      </c>
      <c r="F4043" t="s">
        <v>28</v>
      </c>
      <c r="G4043" t="s">
        <v>51</v>
      </c>
      <c r="H4043" t="s">
        <v>72</v>
      </c>
      <c r="I4043">
        <v>12987.54</v>
      </c>
      <c r="J4043">
        <v>11049.25</v>
      </c>
      <c r="K4043" t="s">
        <v>17</v>
      </c>
      <c r="L4043" t="b">
        <v>0</v>
      </c>
      <c r="N4043" s="2" t="b">
        <f t="shared" si="362"/>
        <v>1</v>
      </c>
      <c r="O4043" t="str">
        <f t="shared" ref="O4043:O4044" si="364">IF(AND(E4032="HR",K4032="EXPENSE"),I4032&lt;J4032,"")</f>
        <v/>
      </c>
      <c r="Q4043" t="str">
        <f t="shared" si="363"/>
        <v/>
      </c>
    </row>
    <row r="4044" spans="1:17" hidden="1">
      <c r="A4044" t="s">
        <v>4149</v>
      </c>
      <c r="B4044" s="1">
        <v>45458</v>
      </c>
      <c r="C4044">
        <v>2024</v>
      </c>
      <c r="D4044">
        <v>6</v>
      </c>
      <c r="E4044" t="s">
        <v>47</v>
      </c>
      <c r="F4044" t="s">
        <v>24</v>
      </c>
      <c r="G4044" t="s">
        <v>77</v>
      </c>
      <c r="H4044" t="s">
        <v>78</v>
      </c>
      <c r="I4044">
        <v>14375.97</v>
      </c>
      <c r="J4044">
        <v>12226.32</v>
      </c>
      <c r="K4044" t="s">
        <v>17</v>
      </c>
      <c r="L4044" t="b">
        <v>0</v>
      </c>
      <c r="N4044" s="2" t="b">
        <f t="shared" si="362"/>
        <v>1</v>
      </c>
      <c r="O4044" t="str">
        <f t="shared" si="364"/>
        <v/>
      </c>
      <c r="Q4044" t="str">
        <f t="shared" si="363"/>
        <v/>
      </c>
    </row>
    <row r="4045" spans="1:17" hidden="1">
      <c r="A4045" t="s">
        <v>4150</v>
      </c>
      <c r="B4045" s="1">
        <v>45458</v>
      </c>
      <c r="C4045">
        <v>2024</v>
      </c>
      <c r="D4045">
        <v>6</v>
      </c>
      <c r="E4045" t="s">
        <v>19</v>
      </c>
      <c r="F4045" t="s">
        <v>14</v>
      </c>
      <c r="G4045" t="s">
        <v>54</v>
      </c>
      <c r="H4045" t="s">
        <v>163</v>
      </c>
      <c r="I4045">
        <v>7708.19</v>
      </c>
      <c r="J4045">
        <v>7359.02</v>
      </c>
      <c r="K4045" t="s">
        <v>17</v>
      </c>
      <c r="L4045" t="b">
        <v>0</v>
      </c>
      <c r="N4045" s="2" t="str">
        <f t="shared" si="362"/>
        <v/>
      </c>
      <c r="Q4045" t="str">
        <f t="shared" si="363"/>
        <v/>
      </c>
    </row>
    <row r="4046" spans="1:17" hidden="1">
      <c r="A4046" t="s">
        <v>4151</v>
      </c>
      <c r="B4046" s="1">
        <v>45458</v>
      </c>
      <c r="C4046">
        <v>2024</v>
      </c>
      <c r="D4046">
        <v>6</v>
      </c>
      <c r="E4046" t="s">
        <v>19</v>
      </c>
      <c r="F4046" t="s">
        <v>24</v>
      </c>
      <c r="G4046" t="s">
        <v>54</v>
      </c>
      <c r="H4046" t="s">
        <v>55</v>
      </c>
      <c r="I4046">
        <v>8038.43</v>
      </c>
      <c r="J4046">
        <v>8616.76</v>
      </c>
      <c r="K4046" t="s">
        <v>17</v>
      </c>
      <c r="L4046" t="b">
        <v>0</v>
      </c>
      <c r="N4046" s="2" t="str">
        <f t="shared" si="362"/>
        <v/>
      </c>
      <c r="Q4046" t="str">
        <f t="shared" si="363"/>
        <v/>
      </c>
    </row>
    <row r="4047" spans="1:17" hidden="1">
      <c r="A4047" t="s">
        <v>4152</v>
      </c>
      <c r="B4047" s="1">
        <v>45458</v>
      </c>
      <c r="C4047">
        <v>2024</v>
      </c>
      <c r="D4047">
        <v>6</v>
      </c>
      <c r="E4047" t="s">
        <v>23</v>
      </c>
      <c r="F4047" t="s">
        <v>14</v>
      </c>
      <c r="G4047" t="s">
        <v>59</v>
      </c>
      <c r="H4047" t="s">
        <v>60</v>
      </c>
      <c r="I4047">
        <v>3372.84</v>
      </c>
      <c r="J4047">
        <v>3649.56</v>
      </c>
      <c r="K4047" t="s">
        <v>17</v>
      </c>
      <c r="L4047" t="b">
        <v>0</v>
      </c>
      <c r="N4047" s="2" t="str">
        <f t="shared" si="362"/>
        <v/>
      </c>
      <c r="Q4047" t="str">
        <f t="shared" si="363"/>
        <v/>
      </c>
    </row>
    <row r="4048" spans="1:17" hidden="1">
      <c r="A4048" t="s">
        <v>4153</v>
      </c>
      <c r="B4048" s="1">
        <v>45458</v>
      </c>
      <c r="C4048">
        <v>2024</v>
      </c>
      <c r="D4048">
        <v>6</v>
      </c>
      <c r="E4048" t="s">
        <v>23</v>
      </c>
      <c r="F4048" t="s">
        <v>14</v>
      </c>
      <c r="G4048" t="s">
        <v>25</v>
      </c>
      <c r="H4048" t="s">
        <v>95</v>
      </c>
      <c r="I4048">
        <v>4675.57</v>
      </c>
      <c r="J4048">
        <v>4570.17</v>
      </c>
      <c r="K4048" t="s">
        <v>17</v>
      </c>
      <c r="L4048" t="b">
        <v>0</v>
      </c>
      <c r="N4048" s="2" t="str">
        <f t="shared" si="362"/>
        <v/>
      </c>
      <c r="Q4048" t="str">
        <f t="shared" si="363"/>
        <v/>
      </c>
    </row>
    <row r="4049" spans="1:17" hidden="1">
      <c r="A4049" t="s">
        <v>4154</v>
      </c>
      <c r="B4049" s="1">
        <v>45458</v>
      </c>
      <c r="C4049">
        <v>2024</v>
      </c>
      <c r="D4049">
        <v>6</v>
      </c>
      <c r="E4049" t="s">
        <v>23</v>
      </c>
      <c r="F4049" t="s">
        <v>28</v>
      </c>
      <c r="G4049" t="s">
        <v>59</v>
      </c>
      <c r="H4049" t="s">
        <v>155</v>
      </c>
      <c r="I4049">
        <v>7278.52</v>
      </c>
      <c r="J4049">
        <v>7150.1</v>
      </c>
      <c r="K4049" t="s">
        <v>17</v>
      </c>
      <c r="L4049" t="b">
        <v>0</v>
      </c>
      <c r="N4049" s="2" t="str">
        <f t="shared" si="362"/>
        <v/>
      </c>
      <c r="Q4049" t="str">
        <f t="shared" si="363"/>
        <v/>
      </c>
    </row>
    <row r="4050" spans="1:17" hidden="1">
      <c r="A4050" t="s">
        <v>4155</v>
      </c>
      <c r="B4050" s="1">
        <v>45458</v>
      </c>
      <c r="C4050">
        <v>2024</v>
      </c>
      <c r="D4050">
        <v>6</v>
      </c>
      <c r="E4050" t="s">
        <v>37</v>
      </c>
      <c r="F4050" t="s">
        <v>24</v>
      </c>
      <c r="G4050" t="s">
        <v>38</v>
      </c>
      <c r="H4050" t="s">
        <v>39</v>
      </c>
      <c r="I4050">
        <v>7716.52</v>
      </c>
      <c r="J4050">
        <v>7516.99</v>
      </c>
      <c r="K4050" t="s">
        <v>17</v>
      </c>
      <c r="L4050" t="b">
        <v>0</v>
      </c>
      <c r="N4050" s="2" t="str">
        <f t="shared" si="362"/>
        <v/>
      </c>
      <c r="Q4050" t="str">
        <f t="shared" si="363"/>
        <v/>
      </c>
    </row>
    <row r="4051" spans="1:17" hidden="1">
      <c r="A4051" t="s">
        <v>4156</v>
      </c>
      <c r="B4051" s="1">
        <v>45458</v>
      </c>
      <c r="C4051">
        <v>2024</v>
      </c>
      <c r="D4051">
        <v>6</v>
      </c>
      <c r="E4051" t="s">
        <v>37</v>
      </c>
      <c r="F4051" t="s">
        <v>24</v>
      </c>
      <c r="G4051" t="s">
        <v>62</v>
      </c>
      <c r="H4051" t="s">
        <v>66</v>
      </c>
      <c r="I4051">
        <v>5809.3</v>
      </c>
      <c r="J4051">
        <v>5686.88</v>
      </c>
      <c r="K4051" t="s">
        <v>17</v>
      </c>
      <c r="L4051" t="b">
        <v>0</v>
      </c>
      <c r="N4051" s="2" t="str">
        <f t="shared" si="362"/>
        <v/>
      </c>
      <c r="Q4051" t="str">
        <f t="shared" si="363"/>
        <v/>
      </c>
    </row>
    <row r="4052" spans="1:17" hidden="1">
      <c r="A4052" t="s">
        <v>4157</v>
      </c>
      <c r="B4052" s="1">
        <v>45459</v>
      </c>
      <c r="C4052">
        <v>2024</v>
      </c>
      <c r="D4052">
        <v>6</v>
      </c>
      <c r="E4052" t="s">
        <v>13</v>
      </c>
      <c r="F4052" t="s">
        <v>14</v>
      </c>
      <c r="G4052" t="s">
        <v>108</v>
      </c>
      <c r="H4052" t="s">
        <v>126</v>
      </c>
      <c r="I4052">
        <v>3546.76</v>
      </c>
      <c r="J4052">
        <v>3603.23</v>
      </c>
      <c r="K4052" t="s">
        <v>17</v>
      </c>
      <c r="L4052" t="b">
        <v>0</v>
      </c>
      <c r="N4052" s="2" t="str">
        <f t="shared" si="362"/>
        <v/>
      </c>
      <c r="Q4052" t="str">
        <f t="shared" si="363"/>
        <v/>
      </c>
    </row>
    <row r="4053" spans="1:17" hidden="1">
      <c r="A4053" t="s">
        <v>4158</v>
      </c>
      <c r="B4053" s="1">
        <v>45459</v>
      </c>
      <c r="C4053">
        <v>2024</v>
      </c>
      <c r="D4053">
        <v>6</v>
      </c>
      <c r="E4053" t="s">
        <v>13</v>
      </c>
      <c r="F4053" t="s">
        <v>24</v>
      </c>
      <c r="G4053" t="s">
        <v>102</v>
      </c>
      <c r="H4053" t="s">
        <v>278</v>
      </c>
      <c r="I4053">
        <v>4180.71</v>
      </c>
      <c r="J4053">
        <v>4185.92</v>
      </c>
      <c r="K4053" t="s">
        <v>17</v>
      </c>
      <c r="L4053" t="b">
        <v>0</v>
      </c>
      <c r="N4053" s="2" t="str">
        <f t="shared" si="362"/>
        <v/>
      </c>
      <c r="Q4053" t="str">
        <f t="shared" si="363"/>
        <v/>
      </c>
    </row>
    <row r="4054" spans="1:17" hidden="1">
      <c r="A4054" t="s">
        <v>4159</v>
      </c>
      <c r="B4054" s="1">
        <v>45459</v>
      </c>
      <c r="C4054">
        <v>2024</v>
      </c>
      <c r="D4054">
        <v>6</v>
      </c>
      <c r="E4054" t="s">
        <v>13</v>
      </c>
      <c r="F4054" t="s">
        <v>24</v>
      </c>
      <c r="G4054" t="s">
        <v>102</v>
      </c>
      <c r="H4054" t="s">
        <v>103</v>
      </c>
      <c r="I4054">
        <v>4745.2299999999996</v>
      </c>
      <c r="J4054">
        <v>4398.29</v>
      </c>
      <c r="K4054" t="s">
        <v>17</v>
      </c>
      <c r="L4054" t="b">
        <v>0</v>
      </c>
      <c r="N4054" s="2" t="str">
        <f t="shared" si="362"/>
        <v/>
      </c>
      <c r="Q4054" t="str">
        <f t="shared" si="363"/>
        <v/>
      </c>
    </row>
    <row r="4055" spans="1:17" hidden="1">
      <c r="A4055" t="s">
        <v>4160</v>
      </c>
      <c r="B4055" s="1">
        <v>45459</v>
      </c>
      <c r="C4055">
        <v>2024</v>
      </c>
      <c r="D4055">
        <v>6</v>
      </c>
      <c r="E4055" t="s">
        <v>47</v>
      </c>
      <c r="F4055" t="s">
        <v>14</v>
      </c>
      <c r="G4055" t="s">
        <v>91</v>
      </c>
      <c r="H4055" t="s">
        <v>254</v>
      </c>
      <c r="I4055">
        <v>24282.15</v>
      </c>
      <c r="J4055">
        <v>20109.810000000001</v>
      </c>
      <c r="K4055" t="s">
        <v>17</v>
      </c>
      <c r="L4055" t="b">
        <v>0</v>
      </c>
      <c r="N4055" s="2" t="b">
        <f t="shared" si="362"/>
        <v>1</v>
      </c>
      <c r="O4055" t="str">
        <f t="shared" ref="O4055:O4056" si="365">IF(AND(E4044="HR",K4044="EXPENSE"),I4044&lt;J4044,"")</f>
        <v/>
      </c>
      <c r="Q4055" t="str">
        <f t="shared" si="363"/>
        <v/>
      </c>
    </row>
    <row r="4056" spans="1:17" hidden="1">
      <c r="A4056" t="s">
        <v>4161</v>
      </c>
      <c r="B4056" s="1">
        <v>45459</v>
      </c>
      <c r="C4056">
        <v>2024</v>
      </c>
      <c r="D4056">
        <v>6</v>
      </c>
      <c r="E4056" t="s">
        <v>47</v>
      </c>
      <c r="F4056" t="s">
        <v>28</v>
      </c>
      <c r="G4056" t="s">
        <v>77</v>
      </c>
      <c r="H4056" t="s">
        <v>147</v>
      </c>
      <c r="I4056">
        <v>12358.95</v>
      </c>
      <c r="J4056">
        <v>10393.09</v>
      </c>
      <c r="K4056" t="s">
        <v>17</v>
      </c>
      <c r="L4056" t="b">
        <v>0</v>
      </c>
      <c r="N4056" s="2" t="b">
        <f t="shared" si="362"/>
        <v>1</v>
      </c>
      <c r="O4056" t="str">
        <f t="shared" si="365"/>
        <v/>
      </c>
      <c r="Q4056" t="str">
        <f t="shared" si="363"/>
        <v/>
      </c>
    </row>
    <row r="4057" spans="1:17" hidden="1">
      <c r="A4057" t="s">
        <v>4162</v>
      </c>
      <c r="B4057" s="1">
        <v>45459</v>
      </c>
      <c r="C4057">
        <v>2024</v>
      </c>
      <c r="D4057">
        <v>6</v>
      </c>
      <c r="E4057" t="s">
        <v>19</v>
      </c>
      <c r="F4057" t="s">
        <v>14</v>
      </c>
      <c r="G4057" t="s">
        <v>80</v>
      </c>
      <c r="H4057" t="s">
        <v>81</v>
      </c>
      <c r="I4057">
        <v>4445.4399999999996</v>
      </c>
      <c r="J4057">
        <v>4403.66</v>
      </c>
      <c r="K4057" t="s">
        <v>17</v>
      </c>
      <c r="L4057" t="b">
        <v>0</v>
      </c>
      <c r="N4057" s="2" t="str">
        <f t="shared" si="362"/>
        <v/>
      </c>
      <c r="Q4057" t="str">
        <f t="shared" si="363"/>
        <v/>
      </c>
    </row>
    <row r="4058" spans="1:17" hidden="1">
      <c r="A4058" t="s">
        <v>4163</v>
      </c>
      <c r="B4058" s="1">
        <v>45459</v>
      </c>
      <c r="C4058">
        <v>2024</v>
      </c>
      <c r="D4058">
        <v>6</v>
      </c>
      <c r="E4058" t="s">
        <v>23</v>
      </c>
      <c r="F4058" t="s">
        <v>24</v>
      </c>
      <c r="G4058" t="s">
        <v>25</v>
      </c>
      <c r="H4058" t="s">
        <v>35</v>
      </c>
      <c r="I4058">
        <v>5279.11</v>
      </c>
      <c r="J4058">
        <v>5651.77</v>
      </c>
      <c r="K4058" t="s">
        <v>17</v>
      </c>
      <c r="L4058" t="b">
        <v>0</v>
      </c>
      <c r="N4058" s="2" t="str">
        <f t="shared" si="362"/>
        <v/>
      </c>
      <c r="Q4058" t="str">
        <f t="shared" si="363"/>
        <v/>
      </c>
    </row>
    <row r="4059" spans="1:17" hidden="1">
      <c r="A4059" t="s">
        <v>4164</v>
      </c>
      <c r="B4059" s="1">
        <v>45459</v>
      </c>
      <c r="C4059">
        <v>2024</v>
      </c>
      <c r="D4059">
        <v>6</v>
      </c>
      <c r="E4059" t="s">
        <v>37</v>
      </c>
      <c r="F4059" t="s">
        <v>24</v>
      </c>
      <c r="G4059" t="s">
        <v>62</v>
      </c>
      <c r="H4059" t="s">
        <v>360</v>
      </c>
      <c r="I4059">
        <v>6399.95</v>
      </c>
      <c r="J4059">
        <v>6055.74</v>
      </c>
      <c r="K4059" t="s">
        <v>17</v>
      </c>
      <c r="L4059" t="b">
        <v>0</v>
      </c>
      <c r="N4059" s="2" t="str">
        <f t="shared" si="362"/>
        <v/>
      </c>
      <c r="Q4059" t="str">
        <f t="shared" si="363"/>
        <v/>
      </c>
    </row>
    <row r="4060" spans="1:17" hidden="1">
      <c r="A4060" t="s">
        <v>4165</v>
      </c>
      <c r="B4060" s="1">
        <v>45459</v>
      </c>
      <c r="C4060">
        <v>2024</v>
      </c>
      <c r="D4060">
        <v>6</v>
      </c>
      <c r="E4060" t="s">
        <v>37</v>
      </c>
      <c r="F4060" t="s">
        <v>14</v>
      </c>
      <c r="G4060" t="s">
        <v>83</v>
      </c>
      <c r="H4060" t="s">
        <v>84</v>
      </c>
      <c r="I4060">
        <v>302676.58</v>
      </c>
      <c r="J4060">
        <v>287542.75</v>
      </c>
      <c r="K4060" t="s">
        <v>85</v>
      </c>
      <c r="L4060" t="b">
        <v>0</v>
      </c>
      <c r="N4060" s="2" t="str">
        <f t="shared" si="362"/>
        <v/>
      </c>
      <c r="Q4060" t="str">
        <f t="shared" si="363"/>
        <v/>
      </c>
    </row>
    <row r="4061" spans="1:17" hidden="1">
      <c r="A4061" t="s">
        <v>4166</v>
      </c>
      <c r="B4061" s="1">
        <v>45460</v>
      </c>
      <c r="C4061">
        <v>2024</v>
      </c>
      <c r="D4061">
        <v>6</v>
      </c>
      <c r="E4061" t="s">
        <v>13</v>
      </c>
      <c r="F4061" t="s">
        <v>28</v>
      </c>
      <c r="G4061" t="s">
        <v>108</v>
      </c>
      <c r="H4061" t="s">
        <v>109</v>
      </c>
      <c r="I4061">
        <v>2686.63</v>
      </c>
      <c r="J4061">
        <v>2487.0500000000002</v>
      </c>
      <c r="K4061" t="s">
        <v>17</v>
      </c>
      <c r="L4061" t="b">
        <v>0</v>
      </c>
      <c r="N4061" s="2" t="str">
        <f t="shared" si="362"/>
        <v/>
      </c>
      <c r="Q4061" t="str">
        <f t="shared" si="363"/>
        <v/>
      </c>
    </row>
    <row r="4062" spans="1:17" hidden="1">
      <c r="A4062" t="s">
        <v>4167</v>
      </c>
      <c r="B4062" s="1">
        <v>45460</v>
      </c>
      <c r="C4062">
        <v>2024</v>
      </c>
      <c r="D4062">
        <v>6</v>
      </c>
      <c r="E4062" t="s">
        <v>47</v>
      </c>
      <c r="F4062" t="s">
        <v>14</v>
      </c>
      <c r="G4062" t="s">
        <v>77</v>
      </c>
      <c r="H4062" t="s">
        <v>130</v>
      </c>
      <c r="I4062">
        <v>14986.19</v>
      </c>
      <c r="J4062">
        <v>12636.82</v>
      </c>
      <c r="K4062" t="s">
        <v>17</v>
      </c>
      <c r="L4062" t="b">
        <v>0</v>
      </c>
      <c r="N4062" s="2" t="b">
        <f t="shared" si="362"/>
        <v>1</v>
      </c>
      <c r="O4062" t="str">
        <f t="shared" ref="O4062:O4064" si="366">IF(AND(E4051="HR",K4051="EXPENSE"),I4051&lt;J4051,"")</f>
        <v/>
      </c>
      <c r="Q4062" t="str">
        <f t="shared" si="363"/>
        <v/>
      </c>
    </row>
    <row r="4063" spans="1:17" hidden="1">
      <c r="A4063" t="s">
        <v>4168</v>
      </c>
      <c r="B4063" s="1">
        <v>45460</v>
      </c>
      <c r="C4063">
        <v>2024</v>
      </c>
      <c r="D4063">
        <v>6</v>
      </c>
      <c r="E4063" t="s">
        <v>47</v>
      </c>
      <c r="F4063" t="s">
        <v>28</v>
      </c>
      <c r="G4063" t="s">
        <v>77</v>
      </c>
      <c r="H4063" t="s">
        <v>130</v>
      </c>
      <c r="I4063">
        <v>8484.7900000000009</v>
      </c>
      <c r="J4063">
        <v>7019</v>
      </c>
      <c r="K4063" t="s">
        <v>17</v>
      </c>
      <c r="L4063" t="b">
        <v>0</v>
      </c>
      <c r="N4063" s="2" t="b">
        <f t="shared" si="362"/>
        <v>1</v>
      </c>
      <c r="O4063" t="b">
        <f t="shared" si="366"/>
        <v>1</v>
      </c>
      <c r="Q4063" t="str">
        <f t="shared" si="363"/>
        <v/>
      </c>
    </row>
    <row r="4064" spans="1:17" hidden="1">
      <c r="A4064" t="s">
        <v>4169</v>
      </c>
      <c r="B4064" s="1">
        <v>45460</v>
      </c>
      <c r="C4064">
        <v>2024</v>
      </c>
      <c r="D4064">
        <v>6</v>
      </c>
      <c r="E4064" t="s">
        <v>47</v>
      </c>
      <c r="F4064" t="s">
        <v>24</v>
      </c>
      <c r="G4064" t="s">
        <v>91</v>
      </c>
      <c r="H4064" t="s">
        <v>254</v>
      </c>
      <c r="I4064">
        <v>9370.93</v>
      </c>
      <c r="J4064">
        <v>7746.42</v>
      </c>
      <c r="K4064" t="s">
        <v>17</v>
      </c>
      <c r="L4064" t="b">
        <v>0</v>
      </c>
      <c r="N4064" s="2" t="b">
        <f t="shared" si="362"/>
        <v>1</v>
      </c>
      <c r="O4064" t="b">
        <f t="shared" si="366"/>
        <v>1</v>
      </c>
      <c r="Q4064" t="str">
        <f t="shared" si="363"/>
        <v/>
      </c>
    </row>
    <row r="4065" spans="1:17" hidden="1">
      <c r="A4065" t="s">
        <v>4170</v>
      </c>
      <c r="B4065" s="1">
        <v>45460</v>
      </c>
      <c r="C4065">
        <v>2024</v>
      </c>
      <c r="D4065">
        <v>6</v>
      </c>
      <c r="E4065" t="s">
        <v>23</v>
      </c>
      <c r="F4065" t="s">
        <v>14</v>
      </c>
      <c r="G4065" t="s">
        <v>141</v>
      </c>
      <c r="H4065" t="s">
        <v>142</v>
      </c>
      <c r="I4065">
        <v>6535.46</v>
      </c>
      <c r="J4065">
        <v>6677.62</v>
      </c>
      <c r="K4065" t="s">
        <v>17</v>
      </c>
      <c r="L4065" t="b">
        <v>0</v>
      </c>
      <c r="N4065" s="2" t="str">
        <f t="shared" si="362"/>
        <v/>
      </c>
      <c r="Q4065" t="str">
        <f t="shared" si="363"/>
        <v/>
      </c>
    </row>
    <row r="4066" spans="1:17" hidden="1">
      <c r="A4066" t="s">
        <v>4171</v>
      </c>
      <c r="B4066" s="1">
        <v>45460</v>
      </c>
      <c r="C4066">
        <v>2024</v>
      </c>
      <c r="D4066">
        <v>6</v>
      </c>
      <c r="E4066" t="s">
        <v>23</v>
      </c>
      <c r="F4066" t="s">
        <v>28</v>
      </c>
      <c r="G4066" t="s">
        <v>59</v>
      </c>
      <c r="H4066" t="s">
        <v>60</v>
      </c>
      <c r="I4066">
        <v>5649.67</v>
      </c>
      <c r="J4066">
        <v>5773.08</v>
      </c>
      <c r="K4066" t="s">
        <v>17</v>
      </c>
      <c r="L4066" t="b">
        <v>0</v>
      </c>
      <c r="N4066" s="2" t="str">
        <f t="shared" si="362"/>
        <v/>
      </c>
      <c r="Q4066" t="str">
        <f t="shared" si="363"/>
        <v/>
      </c>
    </row>
    <row r="4067" spans="1:17" hidden="1">
      <c r="A4067" t="s">
        <v>4172</v>
      </c>
      <c r="B4067" s="1">
        <v>45460</v>
      </c>
      <c r="C4067">
        <v>2024</v>
      </c>
      <c r="D4067">
        <v>6</v>
      </c>
      <c r="E4067" t="s">
        <v>37</v>
      </c>
      <c r="F4067" t="s">
        <v>14</v>
      </c>
      <c r="G4067" t="s">
        <v>62</v>
      </c>
      <c r="H4067" t="s">
        <v>63</v>
      </c>
      <c r="I4067">
        <v>6241.1</v>
      </c>
      <c r="J4067">
        <v>6272.55</v>
      </c>
      <c r="K4067" t="s">
        <v>17</v>
      </c>
      <c r="L4067" t="b">
        <v>0</v>
      </c>
      <c r="N4067" s="2" t="str">
        <f t="shared" si="362"/>
        <v/>
      </c>
      <c r="Q4067" t="str">
        <f t="shared" si="363"/>
        <v/>
      </c>
    </row>
    <row r="4068" spans="1:17" hidden="1">
      <c r="A4068" t="s">
        <v>4173</v>
      </c>
      <c r="B4068" s="1">
        <v>45460</v>
      </c>
      <c r="C4068">
        <v>2024</v>
      </c>
      <c r="D4068">
        <v>6</v>
      </c>
      <c r="E4068" t="s">
        <v>37</v>
      </c>
      <c r="F4068" t="s">
        <v>14</v>
      </c>
      <c r="G4068" t="s">
        <v>62</v>
      </c>
      <c r="H4068" t="s">
        <v>66</v>
      </c>
      <c r="I4068">
        <v>8317.16</v>
      </c>
      <c r="J4068">
        <v>8720.4699999999993</v>
      </c>
      <c r="K4068" t="s">
        <v>17</v>
      </c>
      <c r="L4068" t="b">
        <v>0</v>
      </c>
      <c r="N4068" s="2" t="str">
        <f t="shared" si="362"/>
        <v/>
      </c>
      <c r="Q4068" t="str">
        <f t="shared" si="363"/>
        <v/>
      </c>
    </row>
    <row r="4069" spans="1:17" hidden="1">
      <c r="A4069" t="s">
        <v>4174</v>
      </c>
      <c r="B4069" s="1">
        <v>45460</v>
      </c>
      <c r="C4069">
        <v>2024</v>
      </c>
      <c r="D4069">
        <v>6</v>
      </c>
      <c r="E4069" t="s">
        <v>37</v>
      </c>
      <c r="F4069" t="s">
        <v>28</v>
      </c>
      <c r="G4069" t="s">
        <v>41</v>
      </c>
      <c r="H4069" t="s">
        <v>42</v>
      </c>
      <c r="I4069">
        <v>4356.3599999999997</v>
      </c>
      <c r="J4069">
        <v>4656.45</v>
      </c>
      <c r="K4069" t="s">
        <v>17</v>
      </c>
      <c r="L4069" t="b">
        <v>0</v>
      </c>
      <c r="N4069" s="2" t="str">
        <f t="shared" si="362"/>
        <v/>
      </c>
      <c r="Q4069" t="str">
        <f t="shared" si="363"/>
        <v/>
      </c>
    </row>
    <row r="4070" spans="1:17" hidden="1">
      <c r="A4070" t="s">
        <v>4175</v>
      </c>
      <c r="B4070" s="1">
        <v>45461</v>
      </c>
      <c r="C4070">
        <v>2024</v>
      </c>
      <c r="D4070">
        <v>6</v>
      </c>
      <c r="E4070" t="s">
        <v>13</v>
      </c>
      <c r="F4070" t="s">
        <v>24</v>
      </c>
      <c r="G4070" t="s">
        <v>108</v>
      </c>
      <c r="H4070" t="s">
        <v>123</v>
      </c>
      <c r="I4070">
        <v>4189.6000000000004</v>
      </c>
      <c r="J4070">
        <v>4168.8599999999997</v>
      </c>
      <c r="K4070" t="s">
        <v>17</v>
      </c>
      <c r="L4070" t="b">
        <v>0</v>
      </c>
      <c r="N4070" s="2" t="str">
        <f t="shared" si="362"/>
        <v/>
      </c>
      <c r="Q4070" t="str">
        <f t="shared" si="363"/>
        <v/>
      </c>
    </row>
    <row r="4071" spans="1:17" hidden="1">
      <c r="A4071" t="s">
        <v>4176</v>
      </c>
      <c r="B4071" s="1">
        <v>45461</v>
      </c>
      <c r="C4071">
        <v>2024</v>
      </c>
      <c r="D4071">
        <v>6</v>
      </c>
      <c r="E4071" t="s">
        <v>47</v>
      </c>
      <c r="F4071" t="s">
        <v>28</v>
      </c>
      <c r="G4071" t="s">
        <v>77</v>
      </c>
      <c r="H4071" t="s">
        <v>130</v>
      </c>
      <c r="I4071">
        <v>17297.599999999999</v>
      </c>
      <c r="J4071">
        <v>14388.46</v>
      </c>
      <c r="K4071" t="s">
        <v>17</v>
      </c>
      <c r="L4071" t="b">
        <v>0</v>
      </c>
      <c r="N4071" s="2" t="b">
        <f t="shared" si="362"/>
        <v>1</v>
      </c>
      <c r="O4071" t="str">
        <f t="shared" ref="O4071:O4072" si="367">IF(AND(E4060="HR",K4060="EXPENSE"),I4060&lt;J4060,"")</f>
        <v/>
      </c>
      <c r="Q4071" t="str">
        <f t="shared" si="363"/>
        <v/>
      </c>
    </row>
    <row r="4072" spans="1:17" hidden="1">
      <c r="A4072" t="s">
        <v>4177</v>
      </c>
      <c r="B4072" s="1">
        <v>45461</v>
      </c>
      <c r="C4072">
        <v>2024</v>
      </c>
      <c r="D4072">
        <v>6</v>
      </c>
      <c r="E4072" t="s">
        <v>47</v>
      </c>
      <c r="F4072" t="s">
        <v>24</v>
      </c>
      <c r="G4072" t="s">
        <v>91</v>
      </c>
      <c r="H4072" t="s">
        <v>128</v>
      </c>
      <c r="I4072">
        <v>5514.4</v>
      </c>
      <c r="J4072">
        <v>4600.59</v>
      </c>
      <c r="K4072" t="s">
        <v>17</v>
      </c>
      <c r="L4072" t="b">
        <v>0</v>
      </c>
      <c r="N4072" s="2" t="b">
        <f t="shared" si="362"/>
        <v>1</v>
      </c>
      <c r="O4072" t="b">
        <f t="shared" si="367"/>
        <v>0</v>
      </c>
      <c r="Q4072" t="str">
        <f t="shared" si="363"/>
        <v/>
      </c>
    </row>
    <row r="4073" spans="1:17" hidden="1">
      <c r="A4073" t="s">
        <v>4178</v>
      </c>
      <c r="B4073" s="1">
        <v>45461</v>
      </c>
      <c r="C4073">
        <v>2024</v>
      </c>
      <c r="D4073">
        <v>6</v>
      </c>
      <c r="E4073" t="s">
        <v>19</v>
      </c>
      <c r="F4073" t="s">
        <v>28</v>
      </c>
      <c r="G4073" t="s">
        <v>80</v>
      </c>
      <c r="H4073" t="s">
        <v>150</v>
      </c>
      <c r="I4073">
        <v>6953.88</v>
      </c>
      <c r="J4073">
        <v>7517.66</v>
      </c>
      <c r="K4073" t="s">
        <v>17</v>
      </c>
      <c r="L4073" t="b">
        <v>0</v>
      </c>
      <c r="N4073" s="2" t="str">
        <f t="shared" si="362"/>
        <v/>
      </c>
      <c r="Q4073" t="str">
        <f t="shared" si="363"/>
        <v/>
      </c>
    </row>
    <row r="4074" spans="1:17" hidden="1">
      <c r="A4074" t="s">
        <v>4179</v>
      </c>
      <c r="B4074" s="1">
        <v>45461</v>
      </c>
      <c r="C4074">
        <v>2024</v>
      </c>
      <c r="D4074">
        <v>6</v>
      </c>
      <c r="E4074" t="s">
        <v>37</v>
      </c>
      <c r="F4074" t="s">
        <v>14</v>
      </c>
      <c r="G4074" t="s">
        <v>38</v>
      </c>
      <c r="H4074" t="s">
        <v>227</v>
      </c>
      <c r="I4074">
        <v>6210.85</v>
      </c>
      <c r="J4074">
        <v>5856.16</v>
      </c>
      <c r="K4074" t="s">
        <v>17</v>
      </c>
      <c r="L4074" t="b">
        <v>0</v>
      </c>
      <c r="N4074" s="2" t="str">
        <f t="shared" si="362"/>
        <v/>
      </c>
      <c r="Q4074" t="str">
        <f t="shared" si="363"/>
        <v/>
      </c>
    </row>
    <row r="4075" spans="1:17" hidden="1">
      <c r="A4075" t="s">
        <v>4180</v>
      </c>
      <c r="B4075" s="1">
        <v>45461</v>
      </c>
      <c r="C4075">
        <v>2024</v>
      </c>
      <c r="D4075">
        <v>6</v>
      </c>
      <c r="E4075" t="s">
        <v>37</v>
      </c>
      <c r="F4075" t="s">
        <v>24</v>
      </c>
      <c r="G4075" t="s">
        <v>38</v>
      </c>
      <c r="H4075" t="s">
        <v>39</v>
      </c>
      <c r="I4075">
        <v>5127.75</v>
      </c>
      <c r="J4075">
        <v>4804.05</v>
      </c>
      <c r="K4075" t="s">
        <v>17</v>
      </c>
      <c r="L4075" t="b">
        <v>0</v>
      </c>
      <c r="N4075" s="2" t="str">
        <f t="shared" si="362"/>
        <v/>
      </c>
      <c r="Q4075" t="str">
        <f t="shared" si="363"/>
        <v/>
      </c>
    </row>
    <row r="4076" spans="1:17" hidden="1">
      <c r="A4076" t="s">
        <v>4181</v>
      </c>
      <c r="B4076" s="1">
        <v>45462</v>
      </c>
      <c r="C4076">
        <v>2024</v>
      </c>
      <c r="D4076">
        <v>6</v>
      </c>
      <c r="E4076" t="s">
        <v>13</v>
      </c>
      <c r="F4076" t="s">
        <v>28</v>
      </c>
      <c r="G4076" t="s">
        <v>15</v>
      </c>
      <c r="H4076" t="s">
        <v>89</v>
      </c>
      <c r="I4076">
        <v>2506.5100000000002</v>
      </c>
      <c r="J4076">
        <v>2554.59</v>
      </c>
      <c r="K4076" t="s">
        <v>17</v>
      </c>
      <c r="L4076" t="b">
        <v>0</v>
      </c>
      <c r="N4076" s="2" t="str">
        <f t="shared" si="362"/>
        <v/>
      </c>
      <c r="Q4076" t="str">
        <f t="shared" si="363"/>
        <v/>
      </c>
    </row>
    <row r="4077" spans="1:17" hidden="1">
      <c r="A4077" t="s">
        <v>4182</v>
      </c>
      <c r="B4077" s="1">
        <v>45462</v>
      </c>
      <c r="C4077">
        <v>2024</v>
      </c>
      <c r="D4077">
        <v>6</v>
      </c>
      <c r="E4077" t="s">
        <v>47</v>
      </c>
      <c r="F4077" t="s">
        <v>14</v>
      </c>
      <c r="G4077" t="s">
        <v>51</v>
      </c>
      <c r="H4077" t="s">
        <v>52</v>
      </c>
      <c r="I4077">
        <v>16147.14</v>
      </c>
      <c r="J4077">
        <v>13679.12</v>
      </c>
      <c r="K4077" t="s">
        <v>17</v>
      </c>
      <c r="L4077" t="b">
        <v>0</v>
      </c>
      <c r="N4077" s="2" t="b">
        <f t="shared" si="362"/>
        <v>1</v>
      </c>
      <c r="O4077" t="str">
        <f t="shared" ref="O4077:O4078" si="368">IF(AND(E4066="HR",K4066="EXPENSE"),I4066&lt;J4066,"")</f>
        <v/>
      </c>
      <c r="Q4077" t="str">
        <f t="shared" si="363"/>
        <v/>
      </c>
    </row>
    <row r="4078" spans="1:17" hidden="1">
      <c r="A4078" t="s">
        <v>4183</v>
      </c>
      <c r="B4078" s="1">
        <v>45462</v>
      </c>
      <c r="C4078">
        <v>2024</v>
      </c>
      <c r="D4078">
        <v>6</v>
      </c>
      <c r="E4078" t="s">
        <v>47</v>
      </c>
      <c r="F4078" t="s">
        <v>24</v>
      </c>
      <c r="G4078" t="s">
        <v>51</v>
      </c>
      <c r="H4078" t="s">
        <v>72</v>
      </c>
      <c r="I4078">
        <v>9437.52</v>
      </c>
      <c r="J4078">
        <v>7738.44</v>
      </c>
      <c r="K4078" t="s">
        <v>17</v>
      </c>
      <c r="L4078" t="b">
        <v>0</v>
      </c>
      <c r="N4078" s="2" t="b">
        <f t="shared" si="362"/>
        <v>1</v>
      </c>
      <c r="O4078" t="str">
        <f t="shared" si="368"/>
        <v/>
      </c>
      <c r="Q4078" t="str">
        <f t="shared" si="363"/>
        <v/>
      </c>
    </row>
    <row r="4079" spans="1:17" hidden="1">
      <c r="A4079" t="s">
        <v>4184</v>
      </c>
      <c r="B4079" s="1">
        <v>45462</v>
      </c>
      <c r="C4079">
        <v>2024</v>
      </c>
      <c r="D4079">
        <v>6</v>
      </c>
      <c r="E4079" t="s">
        <v>23</v>
      </c>
      <c r="F4079" t="s">
        <v>28</v>
      </c>
      <c r="G4079" t="s">
        <v>25</v>
      </c>
      <c r="H4079" t="s">
        <v>95</v>
      </c>
      <c r="I4079">
        <v>4547.4799999999996</v>
      </c>
      <c r="J4079">
        <v>4851.68</v>
      </c>
      <c r="K4079" t="s">
        <v>17</v>
      </c>
      <c r="L4079" t="b">
        <v>0</v>
      </c>
      <c r="N4079" s="2" t="str">
        <f t="shared" si="362"/>
        <v/>
      </c>
      <c r="Q4079" t="str">
        <f t="shared" si="363"/>
        <v/>
      </c>
    </row>
    <row r="4080" spans="1:17" hidden="1">
      <c r="A4080" t="s">
        <v>4185</v>
      </c>
      <c r="B4080" s="1">
        <v>45462</v>
      </c>
      <c r="C4080">
        <v>2024</v>
      </c>
      <c r="D4080">
        <v>6</v>
      </c>
      <c r="E4080" t="s">
        <v>37</v>
      </c>
      <c r="F4080" t="s">
        <v>28</v>
      </c>
      <c r="G4080" t="s">
        <v>62</v>
      </c>
      <c r="H4080" t="s">
        <v>121</v>
      </c>
      <c r="I4080">
        <v>4633.26</v>
      </c>
      <c r="J4080">
        <v>4739.05</v>
      </c>
      <c r="K4080" t="s">
        <v>17</v>
      </c>
      <c r="L4080" t="b">
        <v>0</v>
      </c>
      <c r="N4080" s="2" t="str">
        <f t="shared" si="362"/>
        <v/>
      </c>
      <c r="Q4080" t="str">
        <f t="shared" si="363"/>
        <v/>
      </c>
    </row>
    <row r="4081" spans="1:17" hidden="1">
      <c r="A4081" t="s">
        <v>4186</v>
      </c>
      <c r="B4081" s="1">
        <v>45463</v>
      </c>
      <c r="C4081">
        <v>2024</v>
      </c>
      <c r="D4081">
        <v>6</v>
      </c>
      <c r="E4081" t="s">
        <v>13</v>
      </c>
      <c r="F4081" t="s">
        <v>14</v>
      </c>
      <c r="G4081" t="s">
        <v>68</v>
      </c>
      <c r="H4081" t="s">
        <v>213</v>
      </c>
      <c r="I4081">
        <v>3108.95</v>
      </c>
      <c r="J4081">
        <v>3239.46</v>
      </c>
      <c r="K4081" t="s">
        <v>17</v>
      </c>
      <c r="L4081" t="b">
        <v>0</v>
      </c>
      <c r="N4081" s="2" t="str">
        <f t="shared" si="362"/>
        <v/>
      </c>
      <c r="Q4081" t="str">
        <f t="shared" si="363"/>
        <v/>
      </c>
    </row>
    <row r="4082" spans="1:17" hidden="1">
      <c r="A4082" t="s">
        <v>4187</v>
      </c>
      <c r="B4082" s="1">
        <v>45463</v>
      </c>
      <c r="C4082">
        <v>2024</v>
      </c>
      <c r="D4082">
        <v>6</v>
      </c>
      <c r="E4082" t="s">
        <v>13</v>
      </c>
      <c r="F4082" t="s">
        <v>28</v>
      </c>
      <c r="G4082" t="s">
        <v>108</v>
      </c>
      <c r="H4082" t="s">
        <v>123</v>
      </c>
      <c r="I4082">
        <v>1761.67</v>
      </c>
      <c r="J4082">
        <v>1795.96</v>
      </c>
      <c r="K4082" t="s">
        <v>17</v>
      </c>
      <c r="L4082" t="b">
        <v>0</v>
      </c>
      <c r="N4082" s="2" t="str">
        <f t="shared" si="362"/>
        <v/>
      </c>
      <c r="Q4082" t="str">
        <f t="shared" si="363"/>
        <v/>
      </c>
    </row>
    <row r="4083" spans="1:17" hidden="1">
      <c r="A4083" t="s">
        <v>4188</v>
      </c>
      <c r="B4083" s="1">
        <v>45463</v>
      </c>
      <c r="C4083">
        <v>2024</v>
      </c>
      <c r="D4083">
        <v>6</v>
      </c>
      <c r="E4083" t="s">
        <v>13</v>
      </c>
      <c r="F4083" t="s">
        <v>28</v>
      </c>
      <c r="G4083" t="s">
        <v>68</v>
      </c>
      <c r="H4083" t="s">
        <v>87</v>
      </c>
      <c r="I4083">
        <v>1811.91</v>
      </c>
      <c r="J4083">
        <v>1665.85</v>
      </c>
      <c r="K4083" t="s">
        <v>17</v>
      </c>
      <c r="L4083" t="b">
        <v>0</v>
      </c>
      <c r="N4083" s="2" t="str">
        <f t="shared" si="362"/>
        <v/>
      </c>
      <c r="Q4083" t="str">
        <f t="shared" si="363"/>
        <v/>
      </c>
    </row>
    <row r="4084" spans="1:17" hidden="1">
      <c r="A4084" t="s">
        <v>4189</v>
      </c>
      <c r="B4084" s="1">
        <v>45463</v>
      </c>
      <c r="C4084">
        <v>2024</v>
      </c>
      <c r="D4084">
        <v>6</v>
      </c>
      <c r="E4084" t="s">
        <v>19</v>
      </c>
      <c r="F4084" t="s">
        <v>28</v>
      </c>
      <c r="G4084" t="s">
        <v>80</v>
      </c>
      <c r="H4084" t="s">
        <v>150</v>
      </c>
      <c r="I4084">
        <v>6755.65</v>
      </c>
      <c r="J4084">
        <v>7249.4</v>
      </c>
      <c r="K4084" t="s">
        <v>17</v>
      </c>
      <c r="L4084" t="b">
        <v>0</v>
      </c>
      <c r="N4084" s="2" t="str">
        <f t="shared" si="362"/>
        <v/>
      </c>
      <c r="Q4084" t="str">
        <f t="shared" si="363"/>
        <v/>
      </c>
    </row>
    <row r="4085" spans="1:17" hidden="1">
      <c r="A4085" t="s">
        <v>4190</v>
      </c>
      <c r="B4085" s="1">
        <v>45463</v>
      </c>
      <c r="C4085">
        <v>2024</v>
      </c>
      <c r="D4085">
        <v>6</v>
      </c>
      <c r="E4085" t="s">
        <v>19</v>
      </c>
      <c r="F4085" t="s">
        <v>28</v>
      </c>
      <c r="G4085" t="s">
        <v>20</v>
      </c>
      <c r="H4085" t="s">
        <v>174</v>
      </c>
      <c r="I4085">
        <v>7753.79</v>
      </c>
      <c r="J4085">
        <v>7438.68</v>
      </c>
      <c r="K4085" t="s">
        <v>17</v>
      </c>
      <c r="L4085" t="b">
        <v>0</v>
      </c>
      <c r="N4085" s="2" t="str">
        <f t="shared" si="362"/>
        <v/>
      </c>
      <c r="Q4085" t="str">
        <f t="shared" si="363"/>
        <v/>
      </c>
    </row>
    <row r="4086" spans="1:17" hidden="1">
      <c r="A4086" t="s">
        <v>4191</v>
      </c>
      <c r="B4086" s="1">
        <v>45463</v>
      </c>
      <c r="C4086">
        <v>2024</v>
      </c>
      <c r="D4086">
        <v>6</v>
      </c>
      <c r="E4086" t="s">
        <v>37</v>
      </c>
      <c r="F4086" t="s">
        <v>14</v>
      </c>
      <c r="G4086" t="s">
        <v>38</v>
      </c>
      <c r="H4086" t="s">
        <v>118</v>
      </c>
      <c r="I4086">
        <v>3668.55</v>
      </c>
      <c r="J4086">
        <v>3752.76</v>
      </c>
      <c r="K4086" t="s">
        <v>17</v>
      </c>
      <c r="L4086" t="b">
        <v>0</v>
      </c>
      <c r="N4086" s="2" t="str">
        <f t="shared" si="362"/>
        <v/>
      </c>
      <c r="Q4086" t="str">
        <f t="shared" si="363"/>
        <v/>
      </c>
    </row>
    <row r="4087" spans="1:17" hidden="1">
      <c r="A4087" t="s">
        <v>4192</v>
      </c>
      <c r="B4087" s="1">
        <v>45463</v>
      </c>
      <c r="C4087">
        <v>2024</v>
      </c>
      <c r="D4087">
        <v>6</v>
      </c>
      <c r="E4087" t="s">
        <v>37</v>
      </c>
      <c r="F4087" t="s">
        <v>28</v>
      </c>
      <c r="G4087" t="s">
        <v>41</v>
      </c>
      <c r="H4087" t="s">
        <v>42</v>
      </c>
      <c r="I4087">
        <v>2786.55</v>
      </c>
      <c r="J4087">
        <v>2509.7800000000002</v>
      </c>
      <c r="K4087" t="s">
        <v>17</v>
      </c>
      <c r="L4087" t="b">
        <v>0</v>
      </c>
      <c r="N4087" s="2" t="str">
        <f t="shared" si="362"/>
        <v/>
      </c>
      <c r="Q4087" t="str">
        <f t="shared" si="363"/>
        <v/>
      </c>
    </row>
    <row r="4088" spans="1:17" hidden="1">
      <c r="A4088" t="s">
        <v>4193</v>
      </c>
      <c r="B4088" s="1">
        <v>45463</v>
      </c>
      <c r="C4088">
        <v>2024</v>
      </c>
      <c r="D4088">
        <v>6</v>
      </c>
      <c r="E4088" t="s">
        <v>37</v>
      </c>
      <c r="F4088" t="s">
        <v>28</v>
      </c>
      <c r="G4088" t="s">
        <v>38</v>
      </c>
      <c r="H4088" t="s">
        <v>118</v>
      </c>
      <c r="I4088">
        <v>5017.75</v>
      </c>
      <c r="J4088">
        <v>4615.5200000000004</v>
      </c>
      <c r="K4088" t="s">
        <v>17</v>
      </c>
      <c r="L4088" t="b">
        <v>0</v>
      </c>
      <c r="N4088" s="2" t="str">
        <f t="shared" si="362"/>
        <v/>
      </c>
      <c r="Q4088" t="str">
        <f t="shared" si="363"/>
        <v/>
      </c>
    </row>
    <row r="4089" spans="1:17" hidden="1">
      <c r="A4089" t="s">
        <v>4194</v>
      </c>
      <c r="B4089" s="1">
        <v>45463</v>
      </c>
      <c r="C4089">
        <v>2024</v>
      </c>
      <c r="D4089">
        <v>6</v>
      </c>
      <c r="E4089" t="s">
        <v>37</v>
      </c>
      <c r="F4089" t="s">
        <v>28</v>
      </c>
      <c r="G4089" t="s">
        <v>41</v>
      </c>
      <c r="H4089" t="s">
        <v>42</v>
      </c>
      <c r="I4089">
        <v>4504.83</v>
      </c>
      <c r="J4089">
        <v>4223.91</v>
      </c>
      <c r="K4089" t="s">
        <v>17</v>
      </c>
      <c r="L4089" t="b">
        <v>0</v>
      </c>
      <c r="N4089" s="2" t="str">
        <f t="shared" si="362"/>
        <v/>
      </c>
      <c r="Q4089" t="str">
        <f t="shared" si="363"/>
        <v/>
      </c>
    </row>
    <row r="4090" spans="1:17" hidden="1">
      <c r="A4090" t="s">
        <v>4195</v>
      </c>
      <c r="B4090" s="1">
        <v>45463</v>
      </c>
      <c r="C4090">
        <v>2024</v>
      </c>
      <c r="D4090">
        <v>6</v>
      </c>
      <c r="E4090" t="s">
        <v>37</v>
      </c>
      <c r="F4090" t="s">
        <v>24</v>
      </c>
      <c r="G4090" t="s">
        <v>38</v>
      </c>
      <c r="H4090" t="s">
        <v>227</v>
      </c>
      <c r="I4090">
        <v>7727.4</v>
      </c>
      <c r="J4090">
        <v>7786.25</v>
      </c>
      <c r="K4090" t="s">
        <v>17</v>
      </c>
      <c r="L4090" t="b">
        <v>0</v>
      </c>
      <c r="N4090" s="2" t="str">
        <f t="shared" si="362"/>
        <v/>
      </c>
      <c r="Q4090" t="str">
        <f t="shared" si="363"/>
        <v/>
      </c>
    </row>
    <row r="4091" spans="1:17" hidden="1">
      <c r="A4091" t="s">
        <v>4196</v>
      </c>
      <c r="B4091" s="1">
        <v>45464</v>
      </c>
      <c r="C4091">
        <v>2024</v>
      </c>
      <c r="D4091">
        <v>6</v>
      </c>
      <c r="E4091" t="s">
        <v>13</v>
      </c>
      <c r="F4091" t="s">
        <v>14</v>
      </c>
      <c r="G4091" t="s">
        <v>68</v>
      </c>
      <c r="H4091" t="s">
        <v>69</v>
      </c>
      <c r="I4091">
        <v>3040.86</v>
      </c>
      <c r="J4091">
        <v>3108.07</v>
      </c>
      <c r="K4091" t="s">
        <v>17</v>
      </c>
      <c r="L4091" t="b">
        <v>0</v>
      </c>
      <c r="N4091" s="2" t="str">
        <f t="shared" si="362"/>
        <v/>
      </c>
      <c r="Q4091" t="str">
        <f t="shared" si="363"/>
        <v/>
      </c>
    </row>
    <row r="4092" spans="1:17" hidden="1">
      <c r="A4092" t="s">
        <v>4197</v>
      </c>
      <c r="B4092" s="1">
        <v>45464</v>
      </c>
      <c r="C4092">
        <v>2024</v>
      </c>
      <c r="D4092">
        <v>6</v>
      </c>
      <c r="E4092" t="s">
        <v>13</v>
      </c>
      <c r="F4092" t="s">
        <v>14</v>
      </c>
      <c r="G4092" t="s">
        <v>108</v>
      </c>
      <c r="H4092" t="s">
        <v>123</v>
      </c>
      <c r="I4092">
        <v>4594.3599999999997</v>
      </c>
      <c r="J4092">
        <v>4618.84</v>
      </c>
      <c r="K4092" t="s">
        <v>17</v>
      </c>
      <c r="L4092" t="b">
        <v>0</v>
      </c>
      <c r="N4092" s="2" t="str">
        <f t="shared" si="362"/>
        <v/>
      </c>
      <c r="Q4092" t="str">
        <f t="shared" si="363"/>
        <v/>
      </c>
    </row>
    <row r="4093" spans="1:17" hidden="1">
      <c r="A4093" t="s">
        <v>4198</v>
      </c>
      <c r="B4093" s="1">
        <v>45464</v>
      </c>
      <c r="C4093">
        <v>2024</v>
      </c>
      <c r="D4093">
        <v>6</v>
      </c>
      <c r="E4093" t="s">
        <v>13</v>
      </c>
      <c r="F4093" t="s">
        <v>24</v>
      </c>
      <c r="G4093" t="s">
        <v>15</v>
      </c>
      <c r="H4093" t="s">
        <v>45</v>
      </c>
      <c r="I4093">
        <v>4122.79</v>
      </c>
      <c r="J4093">
        <v>3950.93</v>
      </c>
      <c r="K4093" t="s">
        <v>17</v>
      </c>
      <c r="L4093" t="b">
        <v>0</v>
      </c>
      <c r="N4093" s="2" t="str">
        <f t="shared" si="362"/>
        <v/>
      </c>
      <c r="Q4093" t="str">
        <f t="shared" si="363"/>
        <v/>
      </c>
    </row>
    <row r="4094" spans="1:17" hidden="1">
      <c r="A4094" t="s">
        <v>4199</v>
      </c>
      <c r="B4094" s="1">
        <v>45464</v>
      </c>
      <c r="C4094">
        <v>2024</v>
      </c>
      <c r="D4094">
        <v>6</v>
      </c>
      <c r="E4094" t="s">
        <v>47</v>
      </c>
      <c r="F4094" t="s">
        <v>14</v>
      </c>
      <c r="G4094" t="s">
        <v>77</v>
      </c>
      <c r="H4094" t="s">
        <v>147</v>
      </c>
      <c r="I4094">
        <v>8622.2800000000007</v>
      </c>
      <c r="J4094">
        <v>7248.08</v>
      </c>
      <c r="K4094" t="s">
        <v>17</v>
      </c>
      <c r="L4094" t="b">
        <v>0</v>
      </c>
      <c r="N4094" s="2" t="b">
        <f t="shared" si="362"/>
        <v>1</v>
      </c>
      <c r="O4094" t="b">
        <f>IF(AND(E4083="HR",K4083="EXPENSE"),I4083&lt;J4083,"")</f>
        <v>0</v>
      </c>
      <c r="Q4094" t="str">
        <f t="shared" si="363"/>
        <v/>
      </c>
    </row>
    <row r="4095" spans="1:17" hidden="1">
      <c r="A4095" t="s">
        <v>4200</v>
      </c>
      <c r="B4095" s="1">
        <v>45464</v>
      </c>
      <c r="C4095">
        <v>2024</v>
      </c>
      <c r="D4095">
        <v>6</v>
      </c>
      <c r="E4095" t="s">
        <v>19</v>
      </c>
      <c r="F4095" t="s">
        <v>14</v>
      </c>
      <c r="G4095" t="s">
        <v>54</v>
      </c>
      <c r="H4095" t="s">
        <v>55</v>
      </c>
      <c r="I4095">
        <v>5776.59</v>
      </c>
      <c r="J4095">
        <v>5543.26</v>
      </c>
      <c r="K4095" t="s">
        <v>17</v>
      </c>
      <c r="L4095" t="b">
        <v>0</v>
      </c>
      <c r="N4095" s="2" t="str">
        <f t="shared" si="362"/>
        <v/>
      </c>
      <c r="Q4095" t="str">
        <f t="shared" si="363"/>
        <v/>
      </c>
    </row>
    <row r="4096" spans="1:17" hidden="1">
      <c r="A4096" t="s">
        <v>4201</v>
      </c>
      <c r="B4096" s="1">
        <v>45464</v>
      </c>
      <c r="C4096">
        <v>2024</v>
      </c>
      <c r="D4096">
        <v>6</v>
      </c>
      <c r="E4096" t="s">
        <v>19</v>
      </c>
      <c r="F4096" t="s">
        <v>28</v>
      </c>
      <c r="G4096" t="s">
        <v>80</v>
      </c>
      <c r="H4096" t="s">
        <v>150</v>
      </c>
      <c r="I4096">
        <v>5602.93</v>
      </c>
      <c r="J4096">
        <v>5493</v>
      </c>
      <c r="K4096" t="s">
        <v>17</v>
      </c>
      <c r="L4096" t="b">
        <v>0</v>
      </c>
      <c r="N4096" s="2" t="str">
        <f t="shared" si="362"/>
        <v/>
      </c>
      <c r="Q4096" t="str">
        <f t="shared" si="363"/>
        <v/>
      </c>
    </row>
    <row r="4097" spans="1:17" hidden="1">
      <c r="A4097" t="s">
        <v>4202</v>
      </c>
      <c r="B4097" s="1">
        <v>45464</v>
      </c>
      <c r="C4097">
        <v>2024</v>
      </c>
      <c r="D4097">
        <v>6</v>
      </c>
      <c r="E4097" t="s">
        <v>19</v>
      </c>
      <c r="F4097" t="s">
        <v>28</v>
      </c>
      <c r="G4097" t="s">
        <v>80</v>
      </c>
      <c r="H4097" t="s">
        <v>81</v>
      </c>
      <c r="I4097">
        <v>8552.49</v>
      </c>
      <c r="J4097">
        <v>9143.33</v>
      </c>
      <c r="K4097" t="s">
        <v>17</v>
      </c>
      <c r="L4097" t="b">
        <v>0</v>
      </c>
      <c r="N4097" s="2" t="str">
        <f t="shared" si="362"/>
        <v/>
      </c>
      <c r="Q4097" t="str">
        <f t="shared" si="363"/>
        <v/>
      </c>
    </row>
    <row r="4098" spans="1:17" hidden="1">
      <c r="A4098" t="s">
        <v>4203</v>
      </c>
      <c r="B4098" s="1">
        <v>45464</v>
      </c>
      <c r="C4098">
        <v>2024</v>
      </c>
      <c r="D4098">
        <v>6</v>
      </c>
      <c r="E4098" t="s">
        <v>19</v>
      </c>
      <c r="F4098" t="s">
        <v>28</v>
      </c>
      <c r="G4098" t="s">
        <v>20</v>
      </c>
      <c r="H4098" t="s">
        <v>21</v>
      </c>
      <c r="I4098">
        <v>5435.4</v>
      </c>
      <c r="J4098">
        <v>5968.94</v>
      </c>
      <c r="K4098" t="s">
        <v>17</v>
      </c>
      <c r="L4098" t="b">
        <v>0</v>
      </c>
      <c r="N4098" s="2" t="str">
        <f t="shared" si="362"/>
        <v/>
      </c>
      <c r="Q4098" t="str">
        <f t="shared" si="363"/>
        <v/>
      </c>
    </row>
    <row r="4099" spans="1:17" hidden="1">
      <c r="A4099" t="s">
        <v>4204</v>
      </c>
      <c r="B4099" s="1">
        <v>45464</v>
      </c>
      <c r="C4099">
        <v>2024</v>
      </c>
      <c r="D4099">
        <v>6</v>
      </c>
      <c r="E4099" t="s">
        <v>19</v>
      </c>
      <c r="F4099" t="s">
        <v>24</v>
      </c>
      <c r="G4099" t="s">
        <v>54</v>
      </c>
      <c r="H4099" t="s">
        <v>57</v>
      </c>
      <c r="I4099">
        <v>6110.42</v>
      </c>
      <c r="J4099">
        <v>6561.07</v>
      </c>
      <c r="K4099" t="s">
        <v>17</v>
      </c>
      <c r="L4099" t="b">
        <v>0</v>
      </c>
      <c r="N4099" s="2" t="str">
        <f t="shared" ref="N4099:N4162" si="369">IF(AND(E4099="IT",K4099="EXPENSE"),I4099&gt;J4099,"")</f>
        <v/>
      </c>
      <c r="Q4099" t="str">
        <f t="shared" ref="Q4099:Q4162" si="370">IF(L4099=TRUE,OR(H4099="Apex Solutions Inc",H4099="Global Trade Partners",H4099="NovaTech Services"),"")</f>
        <v/>
      </c>
    </row>
    <row r="4100" spans="1:17" hidden="1">
      <c r="A4100" t="s">
        <v>4205</v>
      </c>
      <c r="B4100" s="1">
        <v>45464</v>
      </c>
      <c r="C4100">
        <v>2024</v>
      </c>
      <c r="D4100">
        <v>6</v>
      </c>
      <c r="E4100" t="s">
        <v>23</v>
      </c>
      <c r="F4100" t="s">
        <v>24</v>
      </c>
      <c r="G4100" t="s">
        <v>141</v>
      </c>
      <c r="H4100" t="s">
        <v>142</v>
      </c>
      <c r="I4100">
        <v>9015.58</v>
      </c>
      <c r="J4100">
        <v>8674.8700000000008</v>
      </c>
      <c r="K4100" t="s">
        <v>17</v>
      </c>
      <c r="L4100" t="b">
        <v>0</v>
      </c>
      <c r="N4100" s="2" t="str">
        <f t="shared" si="369"/>
        <v/>
      </c>
      <c r="Q4100" t="str">
        <f t="shared" si="370"/>
        <v/>
      </c>
    </row>
    <row r="4101" spans="1:17" hidden="1">
      <c r="A4101" t="s">
        <v>4206</v>
      </c>
      <c r="B4101" s="1">
        <v>45465</v>
      </c>
      <c r="C4101">
        <v>2024</v>
      </c>
      <c r="D4101">
        <v>6</v>
      </c>
      <c r="E4101" t="s">
        <v>13</v>
      </c>
      <c r="F4101" t="s">
        <v>24</v>
      </c>
      <c r="G4101" t="s">
        <v>15</v>
      </c>
      <c r="H4101" t="s">
        <v>89</v>
      </c>
      <c r="I4101">
        <v>4370.55</v>
      </c>
      <c r="J4101">
        <v>4261.25</v>
      </c>
      <c r="K4101" t="s">
        <v>17</v>
      </c>
      <c r="L4101" t="b">
        <v>0</v>
      </c>
      <c r="N4101" s="2" t="str">
        <f t="shared" si="369"/>
        <v/>
      </c>
      <c r="Q4101" t="str">
        <f t="shared" si="370"/>
        <v/>
      </c>
    </row>
    <row r="4102" spans="1:17" hidden="1">
      <c r="A4102" t="s">
        <v>4207</v>
      </c>
      <c r="B4102" s="1">
        <v>45465</v>
      </c>
      <c r="C4102">
        <v>2024</v>
      </c>
      <c r="D4102">
        <v>6</v>
      </c>
      <c r="E4102" t="s">
        <v>47</v>
      </c>
      <c r="F4102" t="s">
        <v>28</v>
      </c>
      <c r="G4102" t="s">
        <v>51</v>
      </c>
      <c r="H4102" t="s">
        <v>52</v>
      </c>
      <c r="I4102">
        <v>10568.95</v>
      </c>
      <c r="J4102">
        <v>8771.17</v>
      </c>
      <c r="K4102" t="s">
        <v>17</v>
      </c>
      <c r="L4102" t="b">
        <v>0</v>
      </c>
      <c r="N4102" s="2" t="b">
        <f t="shared" si="369"/>
        <v>1</v>
      </c>
      <c r="O4102" t="b">
        <f>IF(AND(E4091="HR",K4091="EXPENSE"),I4091&lt;J4091,"")</f>
        <v>1</v>
      </c>
      <c r="Q4102" t="str">
        <f t="shared" si="370"/>
        <v/>
      </c>
    </row>
    <row r="4103" spans="1:17" hidden="1">
      <c r="A4103" t="s">
        <v>4208</v>
      </c>
      <c r="B4103" s="1">
        <v>45465</v>
      </c>
      <c r="C4103">
        <v>2024</v>
      </c>
      <c r="D4103">
        <v>6</v>
      </c>
      <c r="E4103" t="s">
        <v>19</v>
      </c>
      <c r="F4103" t="s">
        <v>14</v>
      </c>
      <c r="G4103" t="s">
        <v>132</v>
      </c>
      <c r="H4103" t="s">
        <v>133</v>
      </c>
      <c r="I4103">
        <v>3289.1</v>
      </c>
      <c r="J4103">
        <v>3343.41</v>
      </c>
      <c r="K4103" t="s">
        <v>17</v>
      </c>
      <c r="L4103" t="b">
        <v>0</v>
      </c>
      <c r="N4103" s="2" t="str">
        <f t="shared" si="369"/>
        <v/>
      </c>
      <c r="Q4103" t="str">
        <f t="shared" si="370"/>
        <v/>
      </c>
    </row>
    <row r="4104" spans="1:17" hidden="1">
      <c r="A4104" t="s">
        <v>4209</v>
      </c>
      <c r="B4104" s="1">
        <v>45465</v>
      </c>
      <c r="C4104">
        <v>2024</v>
      </c>
      <c r="D4104">
        <v>6</v>
      </c>
      <c r="E4104" t="s">
        <v>19</v>
      </c>
      <c r="F4104" t="s">
        <v>24</v>
      </c>
      <c r="G4104" t="s">
        <v>80</v>
      </c>
      <c r="H4104" t="s">
        <v>217</v>
      </c>
      <c r="I4104">
        <v>5691.62</v>
      </c>
      <c r="J4104">
        <v>5281.29</v>
      </c>
      <c r="K4104" t="s">
        <v>17</v>
      </c>
      <c r="L4104" t="b">
        <v>0</v>
      </c>
      <c r="N4104" s="2" t="str">
        <f t="shared" si="369"/>
        <v/>
      </c>
      <c r="Q4104" t="str">
        <f t="shared" si="370"/>
        <v/>
      </c>
    </row>
    <row r="4105" spans="1:17" hidden="1">
      <c r="A4105" t="s">
        <v>4210</v>
      </c>
      <c r="B4105" s="1">
        <v>45465</v>
      </c>
      <c r="C4105">
        <v>2024</v>
      </c>
      <c r="D4105">
        <v>6</v>
      </c>
      <c r="E4105" t="s">
        <v>19</v>
      </c>
      <c r="F4105" t="s">
        <v>24</v>
      </c>
      <c r="G4105" t="s">
        <v>54</v>
      </c>
      <c r="H4105" t="s">
        <v>55</v>
      </c>
      <c r="I4105">
        <v>6368.8</v>
      </c>
      <c r="J4105">
        <v>6415.36</v>
      </c>
      <c r="K4105" t="s">
        <v>17</v>
      </c>
      <c r="L4105" t="b">
        <v>0</v>
      </c>
      <c r="N4105" s="2" t="str">
        <f t="shared" si="369"/>
        <v/>
      </c>
      <c r="Q4105" t="str">
        <f t="shared" si="370"/>
        <v/>
      </c>
    </row>
    <row r="4106" spans="1:17" hidden="1">
      <c r="A4106" t="s">
        <v>4211</v>
      </c>
      <c r="B4106" s="1">
        <v>45465</v>
      </c>
      <c r="C4106">
        <v>2024</v>
      </c>
      <c r="D4106">
        <v>6</v>
      </c>
      <c r="E4106" t="s">
        <v>23</v>
      </c>
      <c r="F4106" t="s">
        <v>14</v>
      </c>
      <c r="G4106" t="s">
        <v>25</v>
      </c>
      <c r="H4106" t="s">
        <v>26</v>
      </c>
      <c r="I4106">
        <v>5048.63</v>
      </c>
      <c r="J4106">
        <v>5161.93</v>
      </c>
      <c r="K4106" t="s">
        <v>17</v>
      </c>
      <c r="L4106" t="b">
        <v>0</v>
      </c>
      <c r="N4106" s="2" t="str">
        <f t="shared" si="369"/>
        <v/>
      </c>
      <c r="Q4106" t="str">
        <f t="shared" si="370"/>
        <v/>
      </c>
    </row>
    <row r="4107" spans="1:17" hidden="1">
      <c r="A4107" t="s">
        <v>4212</v>
      </c>
      <c r="B4107" s="1">
        <v>45465</v>
      </c>
      <c r="C4107">
        <v>2024</v>
      </c>
      <c r="D4107">
        <v>6</v>
      </c>
      <c r="E4107" t="s">
        <v>23</v>
      </c>
      <c r="F4107" t="s">
        <v>28</v>
      </c>
      <c r="G4107" t="s">
        <v>30</v>
      </c>
      <c r="H4107" t="s">
        <v>33</v>
      </c>
      <c r="I4107">
        <v>4281.13</v>
      </c>
      <c r="J4107">
        <v>4088.4</v>
      </c>
      <c r="K4107" t="s">
        <v>17</v>
      </c>
      <c r="L4107" t="b">
        <v>0</v>
      </c>
      <c r="N4107" s="2" t="str">
        <f t="shared" si="369"/>
        <v/>
      </c>
      <c r="Q4107" t="str">
        <f t="shared" si="370"/>
        <v/>
      </c>
    </row>
    <row r="4108" spans="1:17" hidden="1">
      <c r="A4108" t="s">
        <v>4213</v>
      </c>
      <c r="B4108" s="1">
        <v>45465</v>
      </c>
      <c r="C4108">
        <v>2024</v>
      </c>
      <c r="D4108">
        <v>6</v>
      </c>
      <c r="E4108" t="s">
        <v>23</v>
      </c>
      <c r="F4108" t="s">
        <v>24</v>
      </c>
      <c r="G4108" t="s">
        <v>25</v>
      </c>
      <c r="H4108" t="s">
        <v>95</v>
      </c>
      <c r="I4108">
        <v>6942.06</v>
      </c>
      <c r="J4108">
        <v>7160.72</v>
      </c>
      <c r="K4108" t="s">
        <v>17</v>
      </c>
      <c r="L4108" t="b">
        <v>0</v>
      </c>
      <c r="N4108" s="2" t="str">
        <f t="shared" si="369"/>
        <v/>
      </c>
      <c r="Q4108" t="str">
        <f t="shared" si="370"/>
        <v/>
      </c>
    </row>
    <row r="4109" spans="1:17" hidden="1">
      <c r="A4109" t="s">
        <v>4214</v>
      </c>
      <c r="B4109" s="1">
        <v>45465</v>
      </c>
      <c r="C4109">
        <v>2024</v>
      </c>
      <c r="D4109">
        <v>6</v>
      </c>
      <c r="E4109" t="s">
        <v>37</v>
      </c>
      <c r="F4109" t="s">
        <v>14</v>
      </c>
      <c r="G4109" t="s">
        <v>62</v>
      </c>
      <c r="H4109" t="s">
        <v>63</v>
      </c>
      <c r="I4109">
        <v>5025.7</v>
      </c>
      <c r="J4109">
        <v>4658.3500000000004</v>
      </c>
      <c r="K4109" t="s">
        <v>17</v>
      </c>
      <c r="L4109" t="b">
        <v>0</v>
      </c>
      <c r="N4109" s="2" t="str">
        <f t="shared" si="369"/>
        <v/>
      </c>
      <c r="Q4109" t="str">
        <f t="shared" si="370"/>
        <v/>
      </c>
    </row>
    <row r="4110" spans="1:17" hidden="1">
      <c r="A4110" t="s">
        <v>4215</v>
      </c>
      <c r="B4110" s="1">
        <v>45465</v>
      </c>
      <c r="C4110">
        <v>2024</v>
      </c>
      <c r="D4110">
        <v>6</v>
      </c>
      <c r="E4110" t="s">
        <v>37</v>
      </c>
      <c r="F4110" t="s">
        <v>28</v>
      </c>
      <c r="G4110" t="s">
        <v>98</v>
      </c>
      <c r="H4110" t="s">
        <v>185</v>
      </c>
      <c r="I4110">
        <v>5369.68</v>
      </c>
      <c r="J4110">
        <v>5296.78</v>
      </c>
      <c r="K4110" t="s">
        <v>17</v>
      </c>
      <c r="L4110" t="b">
        <v>0</v>
      </c>
      <c r="N4110" s="2" t="str">
        <f t="shared" si="369"/>
        <v/>
      </c>
      <c r="Q4110" t="str">
        <f t="shared" si="370"/>
        <v/>
      </c>
    </row>
    <row r="4111" spans="1:17" hidden="1">
      <c r="A4111" t="s">
        <v>4216</v>
      </c>
      <c r="B4111" s="1">
        <v>45465</v>
      </c>
      <c r="C4111">
        <v>2024</v>
      </c>
      <c r="D4111">
        <v>6</v>
      </c>
      <c r="E4111" t="s">
        <v>37</v>
      </c>
      <c r="F4111" t="s">
        <v>28</v>
      </c>
      <c r="G4111" t="s">
        <v>62</v>
      </c>
      <c r="H4111" t="s">
        <v>63</v>
      </c>
      <c r="I4111">
        <v>5015.07</v>
      </c>
      <c r="J4111">
        <v>4582.12</v>
      </c>
      <c r="K4111" t="s">
        <v>17</v>
      </c>
      <c r="L4111" t="b">
        <v>0</v>
      </c>
      <c r="N4111" s="2" t="str">
        <f t="shared" si="369"/>
        <v/>
      </c>
      <c r="Q4111" t="str">
        <f t="shared" si="370"/>
        <v/>
      </c>
    </row>
    <row r="4112" spans="1:17" hidden="1">
      <c r="A4112" t="s">
        <v>4217</v>
      </c>
      <c r="B4112" s="1">
        <v>45465</v>
      </c>
      <c r="C4112">
        <v>2024</v>
      </c>
      <c r="D4112">
        <v>6</v>
      </c>
      <c r="E4112" t="s">
        <v>37</v>
      </c>
      <c r="F4112" t="s">
        <v>24</v>
      </c>
      <c r="G4112" t="s">
        <v>62</v>
      </c>
      <c r="H4112" t="s">
        <v>360</v>
      </c>
      <c r="I4112">
        <v>7029.2</v>
      </c>
      <c r="J4112">
        <v>7257.21</v>
      </c>
      <c r="K4112" t="s">
        <v>17</v>
      </c>
      <c r="L4112" t="b">
        <v>0</v>
      </c>
      <c r="N4112" s="2" t="str">
        <f t="shared" si="369"/>
        <v/>
      </c>
      <c r="Q4112" t="str">
        <f t="shared" si="370"/>
        <v/>
      </c>
    </row>
    <row r="4113" spans="1:17" hidden="1">
      <c r="A4113" t="s">
        <v>4218</v>
      </c>
      <c r="B4113" s="1">
        <v>45466</v>
      </c>
      <c r="C4113">
        <v>2024</v>
      </c>
      <c r="D4113">
        <v>6</v>
      </c>
      <c r="E4113" t="s">
        <v>13</v>
      </c>
      <c r="F4113" t="s">
        <v>28</v>
      </c>
      <c r="G4113" t="s">
        <v>102</v>
      </c>
      <c r="H4113" t="s">
        <v>145</v>
      </c>
      <c r="I4113">
        <v>2322.96</v>
      </c>
      <c r="J4113">
        <v>2479.63</v>
      </c>
      <c r="K4113" t="s">
        <v>17</v>
      </c>
      <c r="L4113" t="b">
        <v>0</v>
      </c>
      <c r="N4113" s="2" t="str">
        <f t="shared" si="369"/>
        <v/>
      </c>
      <c r="Q4113" t="str">
        <f t="shared" si="370"/>
        <v/>
      </c>
    </row>
    <row r="4114" spans="1:17" hidden="1">
      <c r="A4114" t="s">
        <v>4219</v>
      </c>
      <c r="B4114" s="1">
        <v>45466</v>
      </c>
      <c r="C4114">
        <v>2024</v>
      </c>
      <c r="D4114">
        <v>6</v>
      </c>
      <c r="E4114" t="s">
        <v>13</v>
      </c>
      <c r="F4114" t="s">
        <v>24</v>
      </c>
      <c r="G4114" t="s">
        <v>68</v>
      </c>
      <c r="H4114" t="s">
        <v>213</v>
      </c>
      <c r="I4114">
        <v>4716.76</v>
      </c>
      <c r="J4114">
        <v>5084.6000000000004</v>
      </c>
      <c r="K4114" t="s">
        <v>17</v>
      </c>
      <c r="L4114" t="b">
        <v>0</v>
      </c>
      <c r="N4114" s="2" t="str">
        <f t="shared" si="369"/>
        <v/>
      </c>
      <c r="Q4114" t="str">
        <f t="shared" si="370"/>
        <v/>
      </c>
    </row>
    <row r="4115" spans="1:17" hidden="1">
      <c r="A4115" t="s">
        <v>4220</v>
      </c>
      <c r="B4115" s="1">
        <v>45466</v>
      </c>
      <c r="C4115">
        <v>2024</v>
      </c>
      <c r="D4115">
        <v>6</v>
      </c>
      <c r="E4115" t="s">
        <v>13</v>
      </c>
      <c r="F4115" t="s">
        <v>24</v>
      </c>
      <c r="G4115" t="s">
        <v>68</v>
      </c>
      <c r="H4115" t="s">
        <v>213</v>
      </c>
      <c r="I4115">
        <v>5320.92</v>
      </c>
      <c r="J4115">
        <v>5327.84</v>
      </c>
      <c r="K4115" t="s">
        <v>17</v>
      </c>
      <c r="L4115" t="b">
        <v>0</v>
      </c>
      <c r="N4115" s="2" t="str">
        <f t="shared" si="369"/>
        <v/>
      </c>
      <c r="Q4115" t="str">
        <f t="shared" si="370"/>
        <v/>
      </c>
    </row>
    <row r="4116" spans="1:17" hidden="1">
      <c r="A4116" t="s">
        <v>4221</v>
      </c>
      <c r="B4116" s="1">
        <v>45466</v>
      </c>
      <c r="C4116">
        <v>2024</v>
      </c>
      <c r="D4116">
        <v>6</v>
      </c>
      <c r="E4116" t="s">
        <v>47</v>
      </c>
      <c r="F4116" t="s">
        <v>24</v>
      </c>
      <c r="G4116" t="s">
        <v>51</v>
      </c>
      <c r="H4116" t="s">
        <v>52</v>
      </c>
      <c r="I4116">
        <v>6203.73</v>
      </c>
      <c r="J4116">
        <v>5156.16</v>
      </c>
      <c r="K4116" t="s">
        <v>17</v>
      </c>
      <c r="L4116" t="b">
        <v>0</v>
      </c>
      <c r="N4116" s="2" t="b">
        <f t="shared" si="369"/>
        <v>1</v>
      </c>
      <c r="O4116" t="str">
        <f t="shared" ref="O4116:O4117" si="371">IF(AND(E4105="HR",K4105="EXPENSE"),I4105&lt;J4105,"")</f>
        <v/>
      </c>
      <c r="Q4116" t="str">
        <f t="shared" si="370"/>
        <v/>
      </c>
    </row>
    <row r="4117" spans="1:17" hidden="1">
      <c r="A4117" t="s">
        <v>4222</v>
      </c>
      <c r="B4117" s="1">
        <v>45466</v>
      </c>
      <c r="C4117">
        <v>2024</v>
      </c>
      <c r="D4117">
        <v>6</v>
      </c>
      <c r="E4117" t="s">
        <v>47</v>
      </c>
      <c r="F4117" t="s">
        <v>24</v>
      </c>
      <c r="G4117" t="s">
        <v>91</v>
      </c>
      <c r="H4117" t="s">
        <v>249</v>
      </c>
      <c r="I4117">
        <v>23789.11</v>
      </c>
      <c r="J4117">
        <v>19598.84</v>
      </c>
      <c r="K4117" t="s">
        <v>17</v>
      </c>
      <c r="L4117" t="b">
        <v>0</v>
      </c>
      <c r="N4117" s="2" t="b">
        <f t="shared" si="369"/>
        <v>1</v>
      </c>
      <c r="O4117" t="str">
        <f t="shared" si="371"/>
        <v/>
      </c>
      <c r="Q4117" t="str">
        <f t="shared" si="370"/>
        <v/>
      </c>
    </row>
    <row r="4118" spans="1:17" hidden="1">
      <c r="A4118" t="s">
        <v>4223</v>
      </c>
      <c r="B4118" s="1">
        <v>45467</v>
      </c>
      <c r="C4118">
        <v>2024</v>
      </c>
      <c r="D4118">
        <v>6</v>
      </c>
      <c r="E4118" t="s">
        <v>13</v>
      </c>
      <c r="F4118" t="s">
        <v>14</v>
      </c>
      <c r="G4118" t="s">
        <v>108</v>
      </c>
      <c r="H4118" t="s">
        <v>123</v>
      </c>
      <c r="I4118">
        <v>3807.23</v>
      </c>
      <c r="J4118">
        <v>3888.09</v>
      </c>
      <c r="K4118" t="s">
        <v>17</v>
      </c>
      <c r="L4118" t="b">
        <v>0</v>
      </c>
      <c r="N4118" s="2" t="str">
        <f t="shared" si="369"/>
        <v/>
      </c>
      <c r="Q4118" t="str">
        <f t="shared" si="370"/>
        <v/>
      </c>
    </row>
    <row r="4119" spans="1:17" hidden="1">
      <c r="A4119" t="s">
        <v>4224</v>
      </c>
      <c r="B4119" s="1">
        <v>45467</v>
      </c>
      <c r="C4119">
        <v>2024</v>
      </c>
      <c r="D4119">
        <v>6</v>
      </c>
      <c r="E4119" t="s">
        <v>13</v>
      </c>
      <c r="F4119" t="s">
        <v>28</v>
      </c>
      <c r="G4119" t="s">
        <v>108</v>
      </c>
      <c r="H4119" t="s">
        <v>126</v>
      </c>
      <c r="I4119">
        <v>3715.41</v>
      </c>
      <c r="J4119">
        <v>3869.06</v>
      </c>
      <c r="K4119" t="s">
        <v>17</v>
      </c>
      <c r="L4119" t="b">
        <v>0</v>
      </c>
      <c r="N4119" s="2" t="str">
        <f t="shared" si="369"/>
        <v/>
      </c>
      <c r="Q4119" t="str">
        <f t="shared" si="370"/>
        <v/>
      </c>
    </row>
    <row r="4120" spans="1:17" hidden="1">
      <c r="A4120" t="s">
        <v>4225</v>
      </c>
      <c r="B4120" s="1">
        <v>45467</v>
      </c>
      <c r="C4120">
        <v>2024</v>
      </c>
      <c r="D4120">
        <v>6</v>
      </c>
      <c r="E4120" t="s">
        <v>47</v>
      </c>
      <c r="F4120" t="s">
        <v>28</v>
      </c>
      <c r="G4120" t="s">
        <v>51</v>
      </c>
      <c r="H4120" t="s">
        <v>189</v>
      </c>
      <c r="I4120">
        <v>12460.01</v>
      </c>
      <c r="J4120">
        <v>10458.81</v>
      </c>
      <c r="K4120" t="s">
        <v>17</v>
      </c>
      <c r="L4120" t="b">
        <v>0</v>
      </c>
      <c r="N4120" s="2" t="b">
        <f t="shared" si="369"/>
        <v>1</v>
      </c>
      <c r="O4120" t="str">
        <f>IF(AND(E4109="HR",K4109="EXPENSE"),I4109&lt;J4109,"")</f>
        <v/>
      </c>
      <c r="Q4120" t="str">
        <f t="shared" si="370"/>
        <v/>
      </c>
    </row>
    <row r="4121" spans="1:17" hidden="1">
      <c r="A4121" t="s">
        <v>4226</v>
      </c>
      <c r="B4121" s="1">
        <v>45467</v>
      </c>
      <c r="C4121">
        <v>2024</v>
      </c>
      <c r="D4121">
        <v>6</v>
      </c>
      <c r="E4121" t="s">
        <v>19</v>
      </c>
      <c r="F4121" t="s">
        <v>28</v>
      </c>
      <c r="G4121" t="s">
        <v>54</v>
      </c>
      <c r="H4121" t="s">
        <v>163</v>
      </c>
      <c r="I4121">
        <v>5551.92</v>
      </c>
      <c r="J4121">
        <v>6080.99</v>
      </c>
      <c r="K4121" t="s">
        <v>17</v>
      </c>
      <c r="L4121" t="b">
        <v>0</v>
      </c>
      <c r="N4121" s="2" t="str">
        <f t="shared" si="369"/>
        <v/>
      </c>
      <c r="Q4121" t="str">
        <f t="shared" si="370"/>
        <v/>
      </c>
    </row>
    <row r="4122" spans="1:17" hidden="1">
      <c r="A4122" t="s">
        <v>4227</v>
      </c>
      <c r="B4122" s="1">
        <v>45467</v>
      </c>
      <c r="C4122">
        <v>2024</v>
      </c>
      <c r="D4122">
        <v>6</v>
      </c>
      <c r="E4122" t="s">
        <v>23</v>
      </c>
      <c r="F4122" t="s">
        <v>28</v>
      </c>
      <c r="G4122" t="s">
        <v>25</v>
      </c>
      <c r="H4122" t="s">
        <v>95</v>
      </c>
      <c r="I4122">
        <v>6583.11</v>
      </c>
      <c r="J4122">
        <v>6495.01</v>
      </c>
      <c r="K4122" t="s">
        <v>17</v>
      </c>
      <c r="L4122" t="b">
        <v>0</v>
      </c>
      <c r="N4122" s="2" t="str">
        <f t="shared" si="369"/>
        <v/>
      </c>
      <c r="Q4122" t="str">
        <f t="shared" si="370"/>
        <v/>
      </c>
    </row>
    <row r="4123" spans="1:17" hidden="1">
      <c r="A4123" t="s">
        <v>4228</v>
      </c>
      <c r="B4123" s="1">
        <v>45467</v>
      </c>
      <c r="C4123">
        <v>2024</v>
      </c>
      <c r="D4123">
        <v>6</v>
      </c>
      <c r="E4123" t="s">
        <v>23</v>
      </c>
      <c r="F4123" t="s">
        <v>24</v>
      </c>
      <c r="G4123" t="s">
        <v>59</v>
      </c>
      <c r="H4123" t="s">
        <v>60</v>
      </c>
      <c r="I4123">
        <v>8412.5300000000007</v>
      </c>
      <c r="J4123">
        <v>8109.69</v>
      </c>
      <c r="K4123" t="s">
        <v>17</v>
      </c>
      <c r="L4123" t="b">
        <v>0</v>
      </c>
      <c r="N4123" s="2" t="str">
        <f t="shared" si="369"/>
        <v/>
      </c>
      <c r="Q4123" t="str">
        <f t="shared" si="370"/>
        <v/>
      </c>
    </row>
    <row r="4124" spans="1:17" hidden="1">
      <c r="A4124" t="s">
        <v>4229</v>
      </c>
      <c r="B4124" s="1">
        <v>45467</v>
      </c>
      <c r="C4124">
        <v>2024</v>
      </c>
      <c r="D4124">
        <v>6</v>
      </c>
      <c r="E4124" t="s">
        <v>37</v>
      </c>
      <c r="F4124" t="s">
        <v>14</v>
      </c>
      <c r="G4124" t="s">
        <v>38</v>
      </c>
      <c r="H4124" t="s">
        <v>118</v>
      </c>
      <c r="I4124">
        <v>5554.11</v>
      </c>
      <c r="J4124">
        <v>5917.3</v>
      </c>
      <c r="K4124" t="s">
        <v>17</v>
      </c>
      <c r="L4124" t="b">
        <v>0</v>
      </c>
      <c r="N4124" s="2" t="str">
        <f t="shared" si="369"/>
        <v/>
      </c>
      <c r="Q4124" t="str">
        <f t="shared" si="370"/>
        <v/>
      </c>
    </row>
    <row r="4125" spans="1:17" hidden="1">
      <c r="A4125" t="s">
        <v>4230</v>
      </c>
      <c r="B4125" s="1">
        <v>45468</v>
      </c>
      <c r="C4125">
        <v>2024</v>
      </c>
      <c r="D4125">
        <v>6</v>
      </c>
      <c r="E4125" t="s">
        <v>13</v>
      </c>
      <c r="F4125" t="s">
        <v>28</v>
      </c>
      <c r="G4125" t="s">
        <v>68</v>
      </c>
      <c r="H4125" t="s">
        <v>69</v>
      </c>
      <c r="I4125">
        <v>3747.35</v>
      </c>
      <c r="J4125">
        <v>3897.48</v>
      </c>
      <c r="K4125" t="s">
        <v>17</v>
      </c>
      <c r="L4125" t="b">
        <v>0</v>
      </c>
      <c r="N4125" s="2" t="str">
        <f t="shared" si="369"/>
        <v/>
      </c>
      <c r="Q4125" t="str">
        <f t="shared" si="370"/>
        <v/>
      </c>
    </row>
    <row r="4126" spans="1:17" hidden="1">
      <c r="A4126" t="s">
        <v>4231</v>
      </c>
      <c r="B4126" s="1">
        <v>45468</v>
      </c>
      <c r="C4126">
        <v>2024</v>
      </c>
      <c r="D4126">
        <v>6</v>
      </c>
      <c r="E4126" t="s">
        <v>13</v>
      </c>
      <c r="F4126" t="s">
        <v>24</v>
      </c>
      <c r="G4126" t="s">
        <v>68</v>
      </c>
      <c r="H4126" t="s">
        <v>213</v>
      </c>
      <c r="I4126">
        <v>4187.1899999999996</v>
      </c>
      <c r="J4126">
        <v>3870.32</v>
      </c>
      <c r="K4126" t="s">
        <v>17</v>
      </c>
      <c r="L4126" t="b">
        <v>0</v>
      </c>
      <c r="N4126" s="2" t="str">
        <f t="shared" si="369"/>
        <v/>
      </c>
      <c r="Q4126" t="str">
        <f t="shared" si="370"/>
        <v/>
      </c>
    </row>
    <row r="4127" spans="1:17" hidden="1">
      <c r="A4127" t="s">
        <v>4232</v>
      </c>
      <c r="B4127" s="1">
        <v>45468</v>
      </c>
      <c r="C4127">
        <v>2024</v>
      </c>
      <c r="D4127">
        <v>6</v>
      </c>
      <c r="E4127" t="s">
        <v>47</v>
      </c>
      <c r="F4127" t="s">
        <v>14</v>
      </c>
      <c r="G4127" t="s">
        <v>48</v>
      </c>
      <c r="H4127" t="s">
        <v>111</v>
      </c>
      <c r="I4127">
        <v>11503.2</v>
      </c>
      <c r="J4127">
        <v>9468.2800000000007</v>
      </c>
      <c r="K4127" t="s">
        <v>17</v>
      </c>
      <c r="L4127" t="b">
        <v>0</v>
      </c>
      <c r="N4127" s="2" t="b">
        <f t="shared" si="369"/>
        <v>1</v>
      </c>
      <c r="O4127" t="str">
        <f>IF(AND(E4116="HR",K4116="EXPENSE"),I4116&lt;J4116,"")</f>
        <v/>
      </c>
      <c r="Q4127" t="str">
        <f t="shared" si="370"/>
        <v/>
      </c>
    </row>
    <row r="4128" spans="1:17" hidden="1">
      <c r="A4128" t="s">
        <v>4233</v>
      </c>
      <c r="B4128" s="1">
        <v>45468</v>
      </c>
      <c r="C4128">
        <v>2024</v>
      </c>
      <c r="D4128">
        <v>6</v>
      </c>
      <c r="E4128" t="s">
        <v>19</v>
      </c>
      <c r="F4128" t="s">
        <v>24</v>
      </c>
      <c r="G4128" t="s">
        <v>20</v>
      </c>
      <c r="H4128" t="s">
        <v>136</v>
      </c>
      <c r="I4128">
        <v>9127.4599999999991</v>
      </c>
      <c r="J4128">
        <v>8351.67</v>
      </c>
      <c r="K4128" t="s">
        <v>17</v>
      </c>
      <c r="L4128" t="b">
        <v>0</v>
      </c>
      <c r="N4128" s="2" t="str">
        <f t="shared" si="369"/>
        <v/>
      </c>
      <c r="Q4128" t="str">
        <f t="shared" si="370"/>
        <v/>
      </c>
    </row>
    <row r="4129" spans="1:17" hidden="1">
      <c r="A4129" t="s">
        <v>4234</v>
      </c>
      <c r="B4129" s="1">
        <v>45468</v>
      </c>
      <c r="C4129">
        <v>2024</v>
      </c>
      <c r="D4129">
        <v>6</v>
      </c>
      <c r="E4129" t="s">
        <v>37</v>
      </c>
      <c r="F4129" t="s">
        <v>24</v>
      </c>
      <c r="G4129" t="s">
        <v>38</v>
      </c>
      <c r="H4129" t="s">
        <v>39</v>
      </c>
      <c r="I4129">
        <v>4114.9399999999996</v>
      </c>
      <c r="J4129">
        <v>4489.4799999999996</v>
      </c>
      <c r="K4129" t="s">
        <v>17</v>
      </c>
      <c r="L4129" t="b">
        <v>0</v>
      </c>
      <c r="N4129" s="2" t="str">
        <f t="shared" si="369"/>
        <v/>
      </c>
      <c r="Q4129" t="str">
        <f t="shared" si="370"/>
        <v/>
      </c>
    </row>
    <row r="4130" spans="1:17" hidden="1">
      <c r="A4130" t="s">
        <v>4235</v>
      </c>
      <c r="B4130" s="1">
        <v>45469</v>
      </c>
      <c r="C4130">
        <v>2024</v>
      </c>
      <c r="D4130">
        <v>6</v>
      </c>
      <c r="E4130" t="s">
        <v>47</v>
      </c>
      <c r="F4130" t="s">
        <v>28</v>
      </c>
      <c r="G4130" t="s">
        <v>48</v>
      </c>
      <c r="H4130" t="s">
        <v>111</v>
      </c>
      <c r="I4130">
        <v>13161.25</v>
      </c>
      <c r="J4130">
        <v>11338.89</v>
      </c>
      <c r="K4130" t="s">
        <v>17</v>
      </c>
      <c r="L4130" t="b">
        <v>0</v>
      </c>
      <c r="N4130" s="2" t="b">
        <f t="shared" si="369"/>
        <v>1</v>
      </c>
      <c r="O4130" t="b">
        <f t="shared" ref="O4130:O4132" si="372">IF(AND(E4119="HR",K4119="EXPENSE"),I4119&lt;J4119,"")</f>
        <v>1</v>
      </c>
      <c r="Q4130" t="str">
        <f t="shared" si="370"/>
        <v/>
      </c>
    </row>
    <row r="4131" spans="1:17" hidden="1">
      <c r="A4131" t="s">
        <v>4236</v>
      </c>
      <c r="B4131" s="1">
        <v>45469</v>
      </c>
      <c r="C4131">
        <v>2024</v>
      </c>
      <c r="D4131">
        <v>6</v>
      </c>
      <c r="E4131" t="s">
        <v>47</v>
      </c>
      <c r="F4131" t="s">
        <v>28</v>
      </c>
      <c r="G4131" t="s">
        <v>91</v>
      </c>
      <c r="H4131" t="s">
        <v>249</v>
      </c>
      <c r="I4131">
        <v>14794.43</v>
      </c>
      <c r="J4131">
        <v>12523.05</v>
      </c>
      <c r="K4131" t="s">
        <v>17</v>
      </c>
      <c r="L4131" t="b">
        <v>0</v>
      </c>
      <c r="N4131" s="2" t="b">
        <f t="shared" si="369"/>
        <v>1</v>
      </c>
      <c r="O4131" t="str">
        <f t="shared" si="372"/>
        <v/>
      </c>
      <c r="Q4131" t="str">
        <f t="shared" si="370"/>
        <v/>
      </c>
    </row>
    <row r="4132" spans="1:17" hidden="1">
      <c r="A4132" t="s">
        <v>4237</v>
      </c>
      <c r="B4132" s="1">
        <v>45469</v>
      </c>
      <c r="C4132">
        <v>2024</v>
      </c>
      <c r="D4132">
        <v>6</v>
      </c>
      <c r="E4132" t="s">
        <v>47</v>
      </c>
      <c r="F4132" t="s">
        <v>24</v>
      </c>
      <c r="G4132" t="s">
        <v>48</v>
      </c>
      <c r="H4132" t="s">
        <v>49</v>
      </c>
      <c r="I4132">
        <v>9036.9699999999993</v>
      </c>
      <c r="J4132">
        <v>7585.76</v>
      </c>
      <c r="K4132" t="s">
        <v>17</v>
      </c>
      <c r="L4132" t="b">
        <v>0</v>
      </c>
      <c r="N4132" s="2" t="b">
        <f t="shared" si="369"/>
        <v>1</v>
      </c>
      <c r="O4132" t="str">
        <f t="shared" si="372"/>
        <v/>
      </c>
      <c r="Q4132" t="str">
        <f t="shared" si="370"/>
        <v/>
      </c>
    </row>
    <row r="4133" spans="1:17" hidden="1">
      <c r="A4133" t="s">
        <v>4238</v>
      </c>
      <c r="B4133" s="1">
        <v>45469</v>
      </c>
      <c r="C4133">
        <v>2024</v>
      </c>
      <c r="D4133">
        <v>6</v>
      </c>
      <c r="E4133" t="s">
        <v>19</v>
      </c>
      <c r="F4133" t="s">
        <v>14</v>
      </c>
      <c r="G4133" t="s">
        <v>54</v>
      </c>
      <c r="H4133" t="s">
        <v>55</v>
      </c>
      <c r="I4133">
        <v>5450.6</v>
      </c>
      <c r="J4133">
        <v>5427.75</v>
      </c>
      <c r="K4133" t="s">
        <v>17</v>
      </c>
      <c r="L4133" t="b">
        <v>0</v>
      </c>
      <c r="N4133" s="2" t="str">
        <f t="shared" si="369"/>
        <v/>
      </c>
      <c r="Q4133" t="str">
        <f t="shared" si="370"/>
        <v/>
      </c>
    </row>
    <row r="4134" spans="1:17" hidden="1">
      <c r="A4134" t="s">
        <v>4239</v>
      </c>
      <c r="B4134" s="1">
        <v>45469</v>
      </c>
      <c r="C4134">
        <v>2024</v>
      </c>
      <c r="D4134">
        <v>6</v>
      </c>
      <c r="E4134" t="s">
        <v>19</v>
      </c>
      <c r="F4134" t="s">
        <v>28</v>
      </c>
      <c r="G4134" t="s">
        <v>80</v>
      </c>
      <c r="H4134" t="s">
        <v>81</v>
      </c>
      <c r="I4134">
        <v>5774.02</v>
      </c>
      <c r="J4134">
        <v>5539.02</v>
      </c>
      <c r="K4134" t="s">
        <v>17</v>
      </c>
      <c r="L4134" t="b">
        <v>0</v>
      </c>
      <c r="N4134" s="2" t="str">
        <f t="shared" si="369"/>
        <v/>
      </c>
      <c r="Q4134" t="str">
        <f t="shared" si="370"/>
        <v/>
      </c>
    </row>
    <row r="4135" spans="1:17" hidden="1">
      <c r="A4135" t="s">
        <v>4240</v>
      </c>
      <c r="B4135" s="1">
        <v>45469</v>
      </c>
      <c r="C4135">
        <v>2024</v>
      </c>
      <c r="D4135">
        <v>6</v>
      </c>
      <c r="E4135" t="s">
        <v>37</v>
      </c>
      <c r="F4135" t="s">
        <v>28</v>
      </c>
      <c r="G4135" t="s">
        <v>38</v>
      </c>
      <c r="H4135" t="s">
        <v>39</v>
      </c>
      <c r="I4135">
        <v>5896.87</v>
      </c>
      <c r="J4135">
        <v>5862.08</v>
      </c>
      <c r="K4135" t="s">
        <v>17</v>
      </c>
      <c r="L4135" t="b">
        <v>0</v>
      </c>
      <c r="N4135" s="2" t="str">
        <f t="shared" si="369"/>
        <v/>
      </c>
      <c r="Q4135" t="str">
        <f t="shared" si="370"/>
        <v/>
      </c>
    </row>
    <row r="4136" spans="1:17" hidden="1">
      <c r="A4136" t="s">
        <v>4241</v>
      </c>
      <c r="B4136" s="1">
        <v>45469</v>
      </c>
      <c r="C4136">
        <v>2024</v>
      </c>
      <c r="D4136">
        <v>6</v>
      </c>
      <c r="E4136" t="s">
        <v>37</v>
      </c>
      <c r="F4136" t="s">
        <v>28</v>
      </c>
      <c r="G4136" t="s">
        <v>62</v>
      </c>
      <c r="H4136" t="s">
        <v>63</v>
      </c>
      <c r="I4136">
        <v>2270.2600000000002</v>
      </c>
      <c r="J4136">
        <v>2155.54</v>
      </c>
      <c r="K4136" t="s">
        <v>17</v>
      </c>
      <c r="L4136" t="b">
        <v>0</v>
      </c>
      <c r="N4136" s="2" t="str">
        <f t="shared" si="369"/>
        <v/>
      </c>
      <c r="Q4136" t="str">
        <f t="shared" si="370"/>
        <v/>
      </c>
    </row>
    <row r="4137" spans="1:17" hidden="1">
      <c r="A4137" t="s">
        <v>4242</v>
      </c>
      <c r="B4137" s="1">
        <v>45469</v>
      </c>
      <c r="C4137">
        <v>2024</v>
      </c>
      <c r="D4137">
        <v>6</v>
      </c>
      <c r="E4137" t="s">
        <v>37</v>
      </c>
      <c r="F4137" t="s">
        <v>28</v>
      </c>
      <c r="G4137" t="s">
        <v>38</v>
      </c>
      <c r="H4137" t="s">
        <v>118</v>
      </c>
      <c r="I4137">
        <v>3714.55</v>
      </c>
      <c r="J4137">
        <v>3564.37</v>
      </c>
      <c r="K4137" t="s">
        <v>17</v>
      </c>
      <c r="L4137" t="b">
        <v>0</v>
      </c>
      <c r="N4137" s="2" t="str">
        <f t="shared" si="369"/>
        <v/>
      </c>
      <c r="Q4137" t="str">
        <f t="shared" si="370"/>
        <v/>
      </c>
    </row>
    <row r="4138" spans="1:17" hidden="1">
      <c r="A4138" t="s">
        <v>4243</v>
      </c>
      <c r="B4138" s="1">
        <v>45470</v>
      </c>
      <c r="C4138">
        <v>2024</v>
      </c>
      <c r="D4138">
        <v>6</v>
      </c>
      <c r="E4138" t="s">
        <v>13</v>
      </c>
      <c r="F4138" t="s">
        <v>24</v>
      </c>
      <c r="G4138" t="s">
        <v>15</v>
      </c>
      <c r="H4138" t="s">
        <v>16</v>
      </c>
      <c r="I4138">
        <v>5378.66</v>
      </c>
      <c r="J4138">
        <v>5439.76</v>
      </c>
      <c r="K4138" t="s">
        <v>17</v>
      </c>
      <c r="L4138" t="b">
        <v>0</v>
      </c>
      <c r="N4138" s="2" t="str">
        <f t="shared" si="369"/>
        <v/>
      </c>
      <c r="Q4138" t="str">
        <f t="shared" si="370"/>
        <v/>
      </c>
    </row>
    <row r="4139" spans="1:17" hidden="1">
      <c r="A4139" t="s">
        <v>4244</v>
      </c>
      <c r="B4139" s="1">
        <v>45470</v>
      </c>
      <c r="C4139">
        <v>2024</v>
      </c>
      <c r="D4139">
        <v>6</v>
      </c>
      <c r="E4139" t="s">
        <v>47</v>
      </c>
      <c r="F4139" t="s">
        <v>14</v>
      </c>
      <c r="G4139" t="s">
        <v>91</v>
      </c>
      <c r="H4139" t="s">
        <v>128</v>
      </c>
      <c r="I4139">
        <v>16228.44</v>
      </c>
      <c r="J4139">
        <v>13408.1</v>
      </c>
      <c r="K4139" t="s">
        <v>17</v>
      </c>
      <c r="L4139" t="b">
        <v>0</v>
      </c>
      <c r="N4139" s="2" t="b">
        <f t="shared" si="369"/>
        <v>1</v>
      </c>
      <c r="O4139" t="str">
        <f t="shared" ref="O4139:O4142" si="373">IF(AND(E4128="HR",K4128="EXPENSE"),I4128&lt;J4128,"")</f>
        <v/>
      </c>
      <c r="Q4139" t="str">
        <f t="shared" si="370"/>
        <v/>
      </c>
    </row>
    <row r="4140" spans="1:17" hidden="1">
      <c r="A4140" t="s">
        <v>4245</v>
      </c>
      <c r="B4140" s="1">
        <v>45470</v>
      </c>
      <c r="C4140">
        <v>2024</v>
      </c>
      <c r="D4140">
        <v>6</v>
      </c>
      <c r="E4140" t="s">
        <v>47</v>
      </c>
      <c r="F4140" t="s">
        <v>28</v>
      </c>
      <c r="G4140" t="s">
        <v>91</v>
      </c>
      <c r="H4140" t="s">
        <v>254</v>
      </c>
      <c r="I4140">
        <v>14221.97</v>
      </c>
      <c r="J4140">
        <v>12160.62</v>
      </c>
      <c r="K4140" t="s">
        <v>17</v>
      </c>
      <c r="L4140" t="b">
        <v>0</v>
      </c>
      <c r="N4140" s="2" t="b">
        <f t="shared" si="369"/>
        <v>1</v>
      </c>
      <c r="O4140" t="str">
        <f t="shared" si="373"/>
        <v/>
      </c>
      <c r="Q4140" t="str">
        <f t="shared" si="370"/>
        <v/>
      </c>
    </row>
    <row r="4141" spans="1:17" hidden="1">
      <c r="A4141" t="s">
        <v>4246</v>
      </c>
      <c r="B4141" s="1">
        <v>45470</v>
      </c>
      <c r="C4141">
        <v>2024</v>
      </c>
      <c r="D4141">
        <v>6</v>
      </c>
      <c r="E4141" t="s">
        <v>47</v>
      </c>
      <c r="F4141" t="s">
        <v>28</v>
      </c>
      <c r="G4141" t="s">
        <v>48</v>
      </c>
      <c r="H4141" t="s">
        <v>75</v>
      </c>
      <c r="I4141">
        <v>17473.54</v>
      </c>
      <c r="J4141">
        <v>14456.41</v>
      </c>
      <c r="K4141" t="s">
        <v>17</v>
      </c>
      <c r="L4141" t="b">
        <v>0</v>
      </c>
      <c r="N4141" s="2" t="b">
        <f t="shared" si="369"/>
        <v>1</v>
      </c>
      <c r="O4141" t="str">
        <f t="shared" si="373"/>
        <v/>
      </c>
      <c r="Q4141" t="str">
        <f t="shared" si="370"/>
        <v/>
      </c>
    </row>
    <row r="4142" spans="1:17" hidden="1">
      <c r="A4142" t="s">
        <v>4247</v>
      </c>
      <c r="B4142" s="1">
        <v>45470</v>
      </c>
      <c r="C4142">
        <v>2024</v>
      </c>
      <c r="D4142">
        <v>6</v>
      </c>
      <c r="E4142" t="s">
        <v>47</v>
      </c>
      <c r="F4142" t="s">
        <v>24</v>
      </c>
      <c r="G4142" t="s">
        <v>48</v>
      </c>
      <c r="H4142" t="s">
        <v>191</v>
      </c>
      <c r="I4142">
        <v>11825.69</v>
      </c>
      <c r="J4142">
        <v>10056.52</v>
      </c>
      <c r="K4142" t="s">
        <v>17</v>
      </c>
      <c r="L4142" t="b">
        <v>0</v>
      </c>
      <c r="N4142" s="2" t="b">
        <f t="shared" si="369"/>
        <v>1</v>
      </c>
      <c r="O4142" t="str">
        <f t="shared" si="373"/>
        <v/>
      </c>
      <c r="Q4142" t="str">
        <f t="shared" si="370"/>
        <v/>
      </c>
    </row>
    <row r="4143" spans="1:17" hidden="1">
      <c r="A4143" t="s">
        <v>4248</v>
      </c>
      <c r="B4143" s="1">
        <v>45470</v>
      </c>
      <c r="C4143">
        <v>2024</v>
      </c>
      <c r="D4143">
        <v>6</v>
      </c>
      <c r="E4143" t="s">
        <v>19</v>
      </c>
      <c r="F4143" t="s">
        <v>14</v>
      </c>
      <c r="G4143" t="s">
        <v>132</v>
      </c>
      <c r="H4143" t="s">
        <v>171</v>
      </c>
      <c r="I4143">
        <v>4147.7299999999996</v>
      </c>
      <c r="J4143">
        <v>3819.69</v>
      </c>
      <c r="K4143" t="s">
        <v>17</v>
      </c>
      <c r="L4143" t="b">
        <v>0</v>
      </c>
      <c r="N4143" s="2" t="str">
        <f t="shared" si="369"/>
        <v/>
      </c>
      <c r="Q4143" t="str">
        <f t="shared" si="370"/>
        <v/>
      </c>
    </row>
    <row r="4144" spans="1:17" hidden="1">
      <c r="A4144" t="s">
        <v>4249</v>
      </c>
      <c r="B4144" s="1">
        <v>45470</v>
      </c>
      <c r="C4144">
        <v>2024</v>
      </c>
      <c r="D4144">
        <v>6</v>
      </c>
      <c r="E4144" t="s">
        <v>19</v>
      </c>
      <c r="F4144" t="s">
        <v>28</v>
      </c>
      <c r="G4144" t="s">
        <v>80</v>
      </c>
      <c r="H4144" t="s">
        <v>217</v>
      </c>
      <c r="I4144">
        <v>7136.47</v>
      </c>
      <c r="J4144">
        <v>6591.04</v>
      </c>
      <c r="K4144" t="s">
        <v>17</v>
      </c>
      <c r="L4144" t="b">
        <v>0</v>
      </c>
      <c r="N4144" s="2" t="str">
        <f t="shared" si="369"/>
        <v/>
      </c>
      <c r="Q4144" t="str">
        <f t="shared" si="370"/>
        <v/>
      </c>
    </row>
    <row r="4145" spans="1:17" hidden="1">
      <c r="A4145" t="s">
        <v>4250</v>
      </c>
      <c r="B4145" s="1">
        <v>45470</v>
      </c>
      <c r="C4145">
        <v>2024</v>
      </c>
      <c r="D4145">
        <v>6</v>
      </c>
      <c r="E4145" t="s">
        <v>37</v>
      </c>
      <c r="F4145" t="s">
        <v>24</v>
      </c>
      <c r="G4145" t="s">
        <v>41</v>
      </c>
      <c r="H4145" t="s">
        <v>42</v>
      </c>
      <c r="I4145">
        <v>5548.79</v>
      </c>
      <c r="J4145">
        <v>5312.65</v>
      </c>
      <c r="K4145" t="s">
        <v>17</v>
      </c>
      <c r="L4145" t="b">
        <v>0</v>
      </c>
      <c r="N4145" s="2" t="str">
        <f t="shared" si="369"/>
        <v/>
      </c>
      <c r="Q4145" t="str">
        <f t="shared" si="370"/>
        <v/>
      </c>
    </row>
    <row r="4146" spans="1:17" hidden="1">
      <c r="A4146" t="s">
        <v>4251</v>
      </c>
      <c r="B4146" s="1">
        <v>45471</v>
      </c>
      <c r="C4146">
        <v>2024</v>
      </c>
      <c r="D4146">
        <v>6</v>
      </c>
      <c r="E4146" t="s">
        <v>13</v>
      </c>
      <c r="F4146" t="s">
        <v>14</v>
      </c>
      <c r="G4146" t="s">
        <v>102</v>
      </c>
      <c r="H4146" t="s">
        <v>145</v>
      </c>
      <c r="I4146">
        <v>3624.16</v>
      </c>
      <c r="J4146">
        <v>3718.96</v>
      </c>
      <c r="K4146" t="s">
        <v>17</v>
      </c>
      <c r="L4146" t="b">
        <v>0</v>
      </c>
      <c r="N4146" s="2" t="str">
        <f t="shared" si="369"/>
        <v/>
      </c>
      <c r="Q4146" t="str">
        <f t="shared" si="370"/>
        <v/>
      </c>
    </row>
    <row r="4147" spans="1:17" hidden="1">
      <c r="A4147" t="s">
        <v>4252</v>
      </c>
      <c r="B4147" s="1">
        <v>45471</v>
      </c>
      <c r="C4147">
        <v>2024</v>
      </c>
      <c r="D4147">
        <v>6</v>
      </c>
      <c r="E4147" t="s">
        <v>13</v>
      </c>
      <c r="F4147" t="s">
        <v>28</v>
      </c>
      <c r="G4147" t="s">
        <v>108</v>
      </c>
      <c r="H4147" t="s">
        <v>123</v>
      </c>
      <c r="I4147">
        <v>2907.81</v>
      </c>
      <c r="J4147">
        <v>3052.57</v>
      </c>
      <c r="K4147" t="s">
        <v>17</v>
      </c>
      <c r="L4147" t="b">
        <v>0</v>
      </c>
      <c r="N4147" s="2" t="str">
        <f t="shared" si="369"/>
        <v/>
      </c>
      <c r="Q4147" t="str">
        <f t="shared" si="370"/>
        <v/>
      </c>
    </row>
    <row r="4148" spans="1:17" hidden="1">
      <c r="A4148" t="s">
        <v>4253</v>
      </c>
      <c r="B4148" s="1">
        <v>45471</v>
      </c>
      <c r="C4148">
        <v>2024</v>
      </c>
      <c r="D4148">
        <v>6</v>
      </c>
      <c r="E4148" t="s">
        <v>47</v>
      </c>
      <c r="F4148" t="s">
        <v>24</v>
      </c>
      <c r="G4148" t="s">
        <v>77</v>
      </c>
      <c r="H4148" t="s">
        <v>130</v>
      </c>
      <c r="I4148">
        <v>7796.6</v>
      </c>
      <c r="J4148">
        <v>6775.93</v>
      </c>
      <c r="K4148" t="s">
        <v>17</v>
      </c>
      <c r="L4148" t="b">
        <v>0</v>
      </c>
      <c r="N4148" s="2" t="b">
        <f t="shared" si="369"/>
        <v>1</v>
      </c>
      <c r="O4148" t="str">
        <f>IF(AND(E4137="HR",K4137="EXPENSE"),I4137&lt;J4137,"")</f>
        <v/>
      </c>
      <c r="Q4148" t="str">
        <f t="shared" si="370"/>
        <v/>
      </c>
    </row>
    <row r="4149" spans="1:17" hidden="1">
      <c r="A4149" t="s">
        <v>4254</v>
      </c>
      <c r="B4149" s="1">
        <v>45471</v>
      </c>
      <c r="C4149">
        <v>2024</v>
      </c>
      <c r="D4149">
        <v>6</v>
      </c>
      <c r="E4149" t="s">
        <v>37</v>
      </c>
      <c r="F4149" t="s">
        <v>14</v>
      </c>
      <c r="G4149" t="s">
        <v>98</v>
      </c>
      <c r="H4149" t="s">
        <v>185</v>
      </c>
      <c r="I4149">
        <v>6486.77</v>
      </c>
      <c r="J4149">
        <v>6123.36</v>
      </c>
      <c r="K4149" t="s">
        <v>17</v>
      </c>
      <c r="L4149" t="b">
        <v>0</v>
      </c>
      <c r="N4149" s="2" t="str">
        <f t="shared" si="369"/>
        <v/>
      </c>
      <c r="Q4149" t="str">
        <f t="shared" si="370"/>
        <v/>
      </c>
    </row>
    <row r="4150" spans="1:17" hidden="1">
      <c r="A4150" t="s">
        <v>4255</v>
      </c>
      <c r="B4150" s="1">
        <v>45472</v>
      </c>
      <c r="C4150">
        <v>2024</v>
      </c>
      <c r="D4150">
        <v>6</v>
      </c>
      <c r="E4150" t="s">
        <v>13</v>
      </c>
      <c r="F4150" t="s">
        <v>28</v>
      </c>
      <c r="G4150" t="s">
        <v>108</v>
      </c>
      <c r="H4150" t="s">
        <v>123</v>
      </c>
      <c r="I4150">
        <v>3392.77</v>
      </c>
      <c r="J4150">
        <v>3287.21</v>
      </c>
      <c r="K4150" t="s">
        <v>17</v>
      </c>
      <c r="L4150" t="b">
        <v>0</v>
      </c>
      <c r="N4150" s="2" t="str">
        <f t="shared" si="369"/>
        <v/>
      </c>
      <c r="Q4150" t="str">
        <f t="shared" si="370"/>
        <v/>
      </c>
    </row>
    <row r="4151" spans="1:17" hidden="1">
      <c r="A4151" t="s">
        <v>4256</v>
      </c>
      <c r="B4151" s="1">
        <v>45472</v>
      </c>
      <c r="C4151">
        <v>2024</v>
      </c>
      <c r="D4151">
        <v>6</v>
      </c>
      <c r="E4151" t="s">
        <v>47</v>
      </c>
      <c r="F4151" t="s">
        <v>14</v>
      </c>
      <c r="G4151" t="s">
        <v>51</v>
      </c>
      <c r="H4151" t="s">
        <v>72</v>
      </c>
      <c r="I4151">
        <v>16477.78</v>
      </c>
      <c r="J4151">
        <v>13736.5</v>
      </c>
      <c r="K4151" t="s">
        <v>17</v>
      </c>
      <c r="L4151" t="b">
        <v>0</v>
      </c>
      <c r="N4151" s="2" t="b">
        <f t="shared" si="369"/>
        <v>1</v>
      </c>
      <c r="O4151" t="str">
        <f t="shared" ref="O4151:O4152" si="374">IF(AND(E4140="HR",K4140="EXPENSE"),I4140&lt;J4140,"")</f>
        <v/>
      </c>
      <c r="Q4151" t="str">
        <f t="shared" si="370"/>
        <v/>
      </c>
    </row>
    <row r="4152" spans="1:17" hidden="1">
      <c r="A4152" t="s">
        <v>4257</v>
      </c>
      <c r="B4152" s="1">
        <v>45472</v>
      </c>
      <c r="C4152">
        <v>2024</v>
      </c>
      <c r="D4152">
        <v>6</v>
      </c>
      <c r="E4152" t="s">
        <v>47</v>
      </c>
      <c r="F4152" t="s">
        <v>14</v>
      </c>
      <c r="G4152" t="s">
        <v>48</v>
      </c>
      <c r="H4152" t="s">
        <v>49</v>
      </c>
      <c r="I4152">
        <v>13663.25</v>
      </c>
      <c r="J4152">
        <v>11215.09</v>
      </c>
      <c r="K4152" t="s">
        <v>17</v>
      </c>
      <c r="L4152" t="b">
        <v>0</v>
      </c>
      <c r="N4152" s="2" t="b">
        <f t="shared" si="369"/>
        <v>1</v>
      </c>
      <c r="O4152" t="str">
        <f t="shared" si="374"/>
        <v/>
      </c>
      <c r="Q4152" t="str">
        <f t="shared" si="370"/>
        <v/>
      </c>
    </row>
    <row r="4153" spans="1:17" hidden="1">
      <c r="A4153" t="s">
        <v>4258</v>
      </c>
      <c r="B4153" s="1">
        <v>45472</v>
      </c>
      <c r="C4153">
        <v>2024</v>
      </c>
      <c r="D4153">
        <v>6</v>
      </c>
      <c r="E4153" t="s">
        <v>19</v>
      </c>
      <c r="F4153" t="s">
        <v>14</v>
      </c>
      <c r="G4153" t="s">
        <v>20</v>
      </c>
      <c r="H4153" t="s">
        <v>174</v>
      </c>
      <c r="I4153">
        <v>5447.26</v>
      </c>
      <c r="J4153">
        <v>5368.65</v>
      </c>
      <c r="K4153" t="s">
        <v>17</v>
      </c>
      <c r="L4153" t="b">
        <v>0</v>
      </c>
      <c r="N4153" s="2" t="str">
        <f t="shared" si="369"/>
        <v/>
      </c>
      <c r="Q4153" t="str">
        <f t="shared" si="370"/>
        <v/>
      </c>
    </row>
    <row r="4154" spans="1:17" hidden="1">
      <c r="A4154" t="s">
        <v>4259</v>
      </c>
      <c r="B4154" s="1">
        <v>45472</v>
      </c>
      <c r="C4154">
        <v>2024</v>
      </c>
      <c r="D4154">
        <v>6</v>
      </c>
      <c r="E4154" t="s">
        <v>19</v>
      </c>
      <c r="F4154" t="s">
        <v>24</v>
      </c>
      <c r="G4154" t="s">
        <v>132</v>
      </c>
      <c r="H4154" t="s">
        <v>133</v>
      </c>
      <c r="I4154">
        <v>8148.97</v>
      </c>
      <c r="J4154">
        <v>7482.5</v>
      </c>
      <c r="K4154" t="s">
        <v>17</v>
      </c>
      <c r="L4154" t="b">
        <v>0</v>
      </c>
      <c r="N4154" s="2" t="str">
        <f t="shared" si="369"/>
        <v/>
      </c>
      <c r="Q4154" t="str">
        <f t="shared" si="370"/>
        <v/>
      </c>
    </row>
    <row r="4155" spans="1:17" hidden="1">
      <c r="A4155" t="s">
        <v>4260</v>
      </c>
      <c r="B4155" s="1">
        <v>45472</v>
      </c>
      <c r="C4155">
        <v>2024</v>
      </c>
      <c r="D4155">
        <v>6</v>
      </c>
      <c r="E4155" t="s">
        <v>19</v>
      </c>
      <c r="F4155" t="s">
        <v>24</v>
      </c>
      <c r="G4155" t="s">
        <v>80</v>
      </c>
      <c r="H4155" t="s">
        <v>113</v>
      </c>
      <c r="I4155">
        <v>4764.74</v>
      </c>
      <c r="J4155">
        <v>4620.16</v>
      </c>
      <c r="K4155" t="s">
        <v>17</v>
      </c>
      <c r="L4155" t="b">
        <v>0</v>
      </c>
      <c r="N4155" s="2" t="str">
        <f t="shared" si="369"/>
        <v/>
      </c>
      <c r="Q4155" t="str">
        <f t="shared" si="370"/>
        <v/>
      </c>
    </row>
    <row r="4156" spans="1:17" hidden="1">
      <c r="A4156" t="s">
        <v>4261</v>
      </c>
      <c r="B4156" s="1">
        <v>45472</v>
      </c>
      <c r="C4156">
        <v>2024</v>
      </c>
      <c r="D4156">
        <v>6</v>
      </c>
      <c r="E4156" t="s">
        <v>23</v>
      </c>
      <c r="F4156" t="s">
        <v>14</v>
      </c>
      <c r="G4156" t="s">
        <v>141</v>
      </c>
      <c r="H4156" t="s">
        <v>209</v>
      </c>
      <c r="I4156">
        <v>8409.14</v>
      </c>
      <c r="J4156">
        <v>7661.54</v>
      </c>
      <c r="K4156" t="s">
        <v>17</v>
      </c>
      <c r="L4156" t="b">
        <v>0</v>
      </c>
      <c r="N4156" s="2" t="str">
        <f t="shared" si="369"/>
        <v/>
      </c>
      <c r="Q4156" t="str">
        <f t="shared" si="370"/>
        <v/>
      </c>
    </row>
    <row r="4157" spans="1:17" hidden="1">
      <c r="A4157" t="s">
        <v>4262</v>
      </c>
      <c r="B4157" s="1">
        <v>45472</v>
      </c>
      <c r="C4157">
        <v>2024</v>
      </c>
      <c r="D4157">
        <v>6</v>
      </c>
      <c r="E4157" t="s">
        <v>23</v>
      </c>
      <c r="F4157" t="s">
        <v>24</v>
      </c>
      <c r="G4157" t="s">
        <v>141</v>
      </c>
      <c r="H4157" t="s">
        <v>142</v>
      </c>
      <c r="I4157">
        <v>3317.76</v>
      </c>
      <c r="J4157">
        <v>3220.82</v>
      </c>
      <c r="K4157" t="s">
        <v>17</v>
      </c>
      <c r="L4157" t="b">
        <v>0</v>
      </c>
      <c r="N4157" s="2" t="str">
        <f t="shared" si="369"/>
        <v/>
      </c>
      <c r="Q4157" t="str">
        <f t="shared" si="370"/>
        <v/>
      </c>
    </row>
    <row r="4158" spans="1:17" hidden="1">
      <c r="A4158" t="s">
        <v>4263</v>
      </c>
      <c r="B4158" s="1">
        <v>45472</v>
      </c>
      <c r="C4158">
        <v>2024</v>
      </c>
      <c r="D4158">
        <v>6</v>
      </c>
      <c r="E4158" t="s">
        <v>37</v>
      </c>
      <c r="F4158" t="s">
        <v>14</v>
      </c>
      <c r="G4158" t="s">
        <v>38</v>
      </c>
      <c r="H4158" t="s">
        <v>39</v>
      </c>
      <c r="I4158">
        <v>3230.11</v>
      </c>
      <c r="J4158">
        <v>3526.92</v>
      </c>
      <c r="K4158" t="s">
        <v>17</v>
      </c>
      <c r="L4158" t="b">
        <v>0</v>
      </c>
      <c r="N4158" s="2" t="str">
        <f t="shared" si="369"/>
        <v/>
      </c>
      <c r="Q4158" t="str">
        <f t="shared" si="370"/>
        <v/>
      </c>
    </row>
    <row r="4159" spans="1:17" hidden="1">
      <c r="A4159" t="s">
        <v>4264</v>
      </c>
      <c r="B4159" s="1">
        <v>45473</v>
      </c>
      <c r="C4159">
        <v>2024</v>
      </c>
      <c r="D4159">
        <v>6</v>
      </c>
      <c r="E4159" t="s">
        <v>47</v>
      </c>
      <c r="F4159" t="s">
        <v>14</v>
      </c>
      <c r="G4159" t="s">
        <v>77</v>
      </c>
      <c r="H4159" t="s">
        <v>147</v>
      </c>
      <c r="I4159">
        <v>7971.01</v>
      </c>
      <c r="J4159">
        <v>6652.23</v>
      </c>
      <c r="K4159" t="s">
        <v>17</v>
      </c>
      <c r="L4159" t="b">
        <v>0</v>
      </c>
      <c r="N4159" s="2" t="b">
        <f t="shared" si="369"/>
        <v>1</v>
      </c>
      <c r="O4159" t="str">
        <f t="shared" ref="O4159:O4160" si="375">IF(AND(E4148="HR",K4148="EXPENSE"),I4148&lt;J4148,"")</f>
        <v/>
      </c>
      <c r="Q4159" t="str">
        <f t="shared" si="370"/>
        <v/>
      </c>
    </row>
    <row r="4160" spans="1:17" hidden="1">
      <c r="A4160" t="s">
        <v>4265</v>
      </c>
      <c r="B4160" s="1">
        <v>45473</v>
      </c>
      <c r="C4160">
        <v>2024</v>
      </c>
      <c r="D4160">
        <v>6</v>
      </c>
      <c r="E4160" t="s">
        <v>47</v>
      </c>
      <c r="F4160" t="s">
        <v>24</v>
      </c>
      <c r="G4160" t="s">
        <v>91</v>
      </c>
      <c r="H4160" t="s">
        <v>249</v>
      </c>
      <c r="I4160">
        <v>11679.1</v>
      </c>
      <c r="J4160">
        <v>9893.51</v>
      </c>
      <c r="K4160" t="s">
        <v>17</v>
      </c>
      <c r="L4160" t="b">
        <v>0</v>
      </c>
      <c r="N4160" s="2" t="b">
        <f t="shared" si="369"/>
        <v>1</v>
      </c>
      <c r="O4160" t="str">
        <f t="shared" si="375"/>
        <v/>
      </c>
      <c r="Q4160" t="str">
        <f t="shared" si="370"/>
        <v/>
      </c>
    </row>
    <row r="4161" spans="1:17" hidden="1">
      <c r="A4161" t="s">
        <v>4266</v>
      </c>
      <c r="B4161" s="1">
        <v>45473</v>
      </c>
      <c r="C4161">
        <v>2024</v>
      </c>
      <c r="D4161">
        <v>6</v>
      </c>
      <c r="E4161" t="s">
        <v>19</v>
      </c>
      <c r="F4161" t="s">
        <v>14</v>
      </c>
      <c r="G4161" t="s">
        <v>54</v>
      </c>
      <c r="H4161" t="s">
        <v>163</v>
      </c>
      <c r="I4161">
        <v>6632.91</v>
      </c>
      <c r="J4161">
        <v>6542.35</v>
      </c>
      <c r="K4161" t="s">
        <v>17</v>
      </c>
      <c r="L4161" t="b">
        <v>0</v>
      </c>
      <c r="N4161" s="2" t="str">
        <f t="shared" si="369"/>
        <v/>
      </c>
      <c r="Q4161" t="str">
        <f t="shared" si="370"/>
        <v/>
      </c>
    </row>
    <row r="4162" spans="1:17" hidden="1">
      <c r="A4162" t="s">
        <v>4267</v>
      </c>
      <c r="B4162" s="1">
        <v>45473</v>
      </c>
      <c r="C4162">
        <v>2024</v>
      </c>
      <c r="D4162">
        <v>6</v>
      </c>
      <c r="E4162" t="s">
        <v>19</v>
      </c>
      <c r="F4162" t="s">
        <v>24</v>
      </c>
      <c r="G4162" t="s">
        <v>80</v>
      </c>
      <c r="H4162" t="s">
        <v>217</v>
      </c>
      <c r="I4162">
        <v>5422.91</v>
      </c>
      <c r="J4162">
        <v>5597.85</v>
      </c>
      <c r="K4162" t="s">
        <v>17</v>
      </c>
      <c r="L4162" t="b">
        <v>0</v>
      </c>
      <c r="N4162" s="2" t="str">
        <f t="shared" si="369"/>
        <v/>
      </c>
      <c r="Q4162" t="str">
        <f t="shared" si="370"/>
        <v/>
      </c>
    </row>
    <row r="4163" spans="1:17" hidden="1">
      <c r="A4163" t="s">
        <v>4268</v>
      </c>
      <c r="B4163" s="1">
        <v>45473</v>
      </c>
      <c r="C4163">
        <v>2024</v>
      </c>
      <c r="D4163">
        <v>6</v>
      </c>
      <c r="E4163" t="s">
        <v>19</v>
      </c>
      <c r="F4163" t="s">
        <v>24</v>
      </c>
      <c r="G4163" t="s">
        <v>132</v>
      </c>
      <c r="H4163" t="s">
        <v>171</v>
      </c>
      <c r="I4163">
        <v>6164.5</v>
      </c>
      <c r="J4163">
        <v>6028.33</v>
      </c>
      <c r="K4163" t="s">
        <v>17</v>
      </c>
      <c r="L4163" t="b">
        <v>0</v>
      </c>
      <c r="N4163" s="2" t="str">
        <f t="shared" ref="N4163:N4226" si="376">IF(AND(E4163="IT",K4163="EXPENSE"),I4163&gt;J4163,"")</f>
        <v/>
      </c>
      <c r="Q4163" t="str">
        <f t="shared" ref="Q4163:Q4226" si="377">IF(L4163=TRUE,OR(H4163="Apex Solutions Inc",H4163="Global Trade Partners",H4163="NovaTech Services"),"")</f>
        <v/>
      </c>
    </row>
    <row r="4164" spans="1:17" hidden="1">
      <c r="A4164" t="s">
        <v>4269</v>
      </c>
      <c r="B4164" s="1">
        <v>45473</v>
      </c>
      <c r="C4164">
        <v>2024</v>
      </c>
      <c r="D4164">
        <v>6</v>
      </c>
      <c r="E4164" t="s">
        <v>23</v>
      </c>
      <c r="F4164" t="s">
        <v>14</v>
      </c>
      <c r="G4164" t="s">
        <v>141</v>
      </c>
      <c r="H4164" t="s">
        <v>209</v>
      </c>
      <c r="I4164">
        <v>6277.26</v>
      </c>
      <c r="J4164">
        <v>6430.64</v>
      </c>
      <c r="K4164" t="s">
        <v>17</v>
      </c>
      <c r="L4164" t="b">
        <v>0</v>
      </c>
      <c r="N4164" s="2" t="str">
        <f t="shared" si="376"/>
        <v/>
      </c>
      <c r="Q4164" t="str">
        <f t="shared" si="377"/>
        <v/>
      </c>
    </row>
    <row r="4165" spans="1:17" hidden="1">
      <c r="A4165" t="s">
        <v>4270</v>
      </c>
      <c r="B4165" s="1">
        <v>45474</v>
      </c>
      <c r="C4165">
        <v>2024</v>
      </c>
      <c r="D4165">
        <v>7</v>
      </c>
      <c r="E4165" t="s">
        <v>13</v>
      </c>
      <c r="F4165" t="s">
        <v>28</v>
      </c>
      <c r="G4165" t="s">
        <v>68</v>
      </c>
      <c r="H4165" t="s">
        <v>87</v>
      </c>
      <c r="I4165">
        <v>2979.59</v>
      </c>
      <c r="J4165">
        <v>3131.85</v>
      </c>
      <c r="K4165" t="s">
        <v>17</v>
      </c>
      <c r="L4165" t="b">
        <v>0</v>
      </c>
      <c r="N4165" s="2" t="str">
        <f t="shared" si="376"/>
        <v/>
      </c>
      <c r="Q4165" t="str">
        <f t="shared" si="377"/>
        <v/>
      </c>
    </row>
    <row r="4166" spans="1:17" hidden="1">
      <c r="A4166" t="s">
        <v>4271</v>
      </c>
      <c r="B4166" s="1">
        <v>45474</v>
      </c>
      <c r="C4166">
        <v>2024</v>
      </c>
      <c r="D4166">
        <v>7</v>
      </c>
      <c r="E4166" t="s">
        <v>13</v>
      </c>
      <c r="F4166" t="s">
        <v>24</v>
      </c>
      <c r="G4166" t="s">
        <v>68</v>
      </c>
      <c r="H4166" t="s">
        <v>69</v>
      </c>
      <c r="I4166">
        <v>3080.17</v>
      </c>
      <c r="J4166">
        <v>2997.04</v>
      </c>
      <c r="K4166" t="s">
        <v>17</v>
      </c>
      <c r="L4166" t="b">
        <v>0</v>
      </c>
      <c r="N4166" s="2" t="str">
        <f t="shared" si="376"/>
        <v/>
      </c>
      <c r="Q4166" t="str">
        <f t="shared" si="377"/>
        <v/>
      </c>
    </row>
    <row r="4167" spans="1:17" hidden="1">
      <c r="A4167" t="s">
        <v>4272</v>
      </c>
      <c r="B4167" s="1">
        <v>45474</v>
      </c>
      <c r="C4167">
        <v>2024</v>
      </c>
      <c r="D4167">
        <v>7</v>
      </c>
      <c r="E4167" t="s">
        <v>19</v>
      </c>
      <c r="F4167" t="s">
        <v>24</v>
      </c>
      <c r="G4167" t="s">
        <v>20</v>
      </c>
      <c r="H4167" t="s">
        <v>136</v>
      </c>
      <c r="I4167">
        <v>6930.67</v>
      </c>
      <c r="J4167">
        <v>7163.45</v>
      </c>
      <c r="K4167" t="s">
        <v>17</v>
      </c>
      <c r="L4167" t="b">
        <v>0</v>
      </c>
      <c r="N4167" s="2" t="str">
        <f t="shared" si="376"/>
        <v/>
      </c>
      <c r="Q4167" t="str">
        <f t="shared" si="377"/>
        <v/>
      </c>
    </row>
    <row r="4168" spans="1:17" hidden="1">
      <c r="A4168" t="s">
        <v>4273</v>
      </c>
      <c r="B4168" s="1">
        <v>45474</v>
      </c>
      <c r="C4168">
        <v>2024</v>
      </c>
      <c r="D4168">
        <v>7</v>
      </c>
      <c r="E4168" t="s">
        <v>23</v>
      </c>
      <c r="F4168" t="s">
        <v>14</v>
      </c>
      <c r="G4168" t="s">
        <v>25</v>
      </c>
      <c r="H4168" t="s">
        <v>35</v>
      </c>
      <c r="I4168">
        <v>5424.73</v>
      </c>
      <c r="J4168">
        <v>5215.5</v>
      </c>
      <c r="K4168" t="s">
        <v>17</v>
      </c>
      <c r="L4168" t="b">
        <v>0</v>
      </c>
      <c r="N4168" s="2" t="str">
        <f t="shared" si="376"/>
        <v/>
      </c>
      <c r="Q4168" t="str">
        <f t="shared" si="377"/>
        <v/>
      </c>
    </row>
    <row r="4169" spans="1:17" hidden="1">
      <c r="A4169" t="s">
        <v>4274</v>
      </c>
      <c r="B4169" s="1">
        <v>45474</v>
      </c>
      <c r="C4169">
        <v>2024</v>
      </c>
      <c r="D4169">
        <v>7</v>
      </c>
      <c r="E4169" t="s">
        <v>23</v>
      </c>
      <c r="F4169" t="s">
        <v>24</v>
      </c>
      <c r="G4169" t="s">
        <v>30</v>
      </c>
      <c r="H4169" t="s">
        <v>33</v>
      </c>
      <c r="I4169">
        <v>5929.64</v>
      </c>
      <c r="J4169">
        <v>5981.27</v>
      </c>
      <c r="K4169" t="s">
        <v>17</v>
      </c>
      <c r="L4169" t="b">
        <v>0</v>
      </c>
      <c r="N4169" s="2" t="str">
        <f t="shared" si="376"/>
        <v/>
      </c>
      <c r="Q4169" t="str">
        <f t="shared" si="377"/>
        <v/>
      </c>
    </row>
    <row r="4170" spans="1:17" hidden="1">
      <c r="A4170" t="s">
        <v>4275</v>
      </c>
      <c r="B4170" s="1">
        <v>45474</v>
      </c>
      <c r="C4170">
        <v>2024</v>
      </c>
      <c r="D4170">
        <v>7</v>
      </c>
      <c r="E4170" t="s">
        <v>23</v>
      </c>
      <c r="F4170" t="s">
        <v>24</v>
      </c>
      <c r="G4170" t="s">
        <v>30</v>
      </c>
      <c r="H4170" t="s">
        <v>31</v>
      </c>
      <c r="I4170">
        <v>5369.05</v>
      </c>
      <c r="J4170">
        <v>5626.8</v>
      </c>
      <c r="K4170" t="s">
        <v>17</v>
      </c>
      <c r="L4170" t="b">
        <v>0</v>
      </c>
      <c r="N4170" s="2" t="str">
        <f t="shared" si="376"/>
        <v/>
      </c>
      <c r="Q4170" t="str">
        <f t="shared" si="377"/>
        <v/>
      </c>
    </row>
    <row r="4171" spans="1:17" hidden="1">
      <c r="A4171" t="s">
        <v>4276</v>
      </c>
      <c r="B4171" s="1">
        <v>45474</v>
      </c>
      <c r="C4171">
        <v>2024</v>
      </c>
      <c r="D4171">
        <v>7</v>
      </c>
      <c r="E4171" t="s">
        <v>37</v>
      </c>
      <c r="F4171" t="s">
        <v>14</v>
      </c>
      <c r="G4171" t="s">
        <v>41</v>
      </c>
      <c r="H4171" t="s">
        <v>42</v>
      </c>
      <c r="I4171">
        <v>6449.12</v>
      </c>
      <c r="J4171">
        <v>5946.85</v>
      </c>
      <c r="K4171" t="s">
        <v>17</v>
      </c>
      <c r="L4171" t="b">
        <v>0</v>
      </c>
      <c r="N4171" s="2" t="str">
        <f t="shared" si="376"/>
        <v/>
      </c>
      <c r="Q4171" t="str">
        <f t="shared" si="377"/>
        <v/>
      </c>
    </row>
    <row r="4172" spans="1:17" hidden="1">
      <c r="A4172" t="s">
        <v>4277</v>
      </c>
      <c r="B4172" s="1">
        <v>45474</v>
      </c>
      <c r="C4172">
        <v>2024</v>
      </c>
      <c r="D4172">
        <v>7</v>
      </c>
      <c r="E4172" t="s">
        <v>37</v>
      </c>
      <c r="F4172" t="s">
        <v>14</v>
      </c>
      <c r="G4172" t="s">
        <v>41</v>
      </c>
      <c r="H4172" t="s">
        <v>42</v>
      </c>
      <c r="I4172">
        <v>5371.3</v>
      </c>
      <c r="J4172">
        <v>5035.25</v>
      </c>
      <c r="K4172" t="s">
        <v>17</v>
      </c>
      <c r="L4172" t="b">
        <v>0</v>
      </c>
      <c r="N4172" s="2" t="str">
        <f t="shared" si="376"/>
        <v/>
      </c>
      <c r="Q4172" t="str">
        <f t="shared" si="377"/>
        <v/>
      </c>
    </row>
    <row r="4173" spans="1:17" hidden="1">
      <c r="A4173" t="s">
        <v>4278</v>
      </c>
      <c r="B4173" s="1">
        <v>45475</v>
      </c>
      <c r="C4173">
        <v>2024</v>
      </c>
      <c r="D4173">
        <v>7</v>
      </c>
      <c r="E4173" t="s">
        <v>13</v>
      </c>
      <c r="F4173" t="s">
        <v>14</v>
      </c>
      <c r="G4173" t="s">
        <v>108</v>
      </c>
      <c r="H4173" t="s">
        <v>126</v>
      </c>
      <c r="I4173">
        <v>4021.3</v>
      </c>
      <c r="J4173">
        <v>4384.49</v>
      </c>
      <c r="K4173" t="s">
        <v>17</v>
      </c>
      <c r="L4173" t="b">
        <v>0</v>
      </c>
      <c r="N4173" s="2" t="str">
        <f t="shared" si="376"/>
        <v/>
      </c>
      <c r="Q4173" t="str">
        <f t="shared" si="377"/>
        <v/>
      </c>
    </row>
    <row r="4174" spans="1:17" hidden="1">
      <c r="A4174" t="s">
        <v>4279</v>
      </c>
      <c r="B4174" s="1">
        <v>45475</v>
      </c>
      <c r="C4174">
        <v>2024</v>
      </c>
      <c r="D4174">
        <v>7</v>
      </c>
      <c r="E4174" t="s">
        <v>13</v>
      </c>
      <c r="F4174" t="s">
        <v>28</v>
      </c>
      <c r="G4174" t="s">
        <v>102</v>
      </c>
      <c r="H4174" t="s">
        <v>103</v>
      </c>
      <c r="I4174">
        <v>3360.26</v>
      </c>
      <c r="J4174">
        <v>3425.87</v>
      </c>
      <c r="K4174" t="s">
        <v>17</v>
      </c>
      <c r="L4174" t="b">
        <v>0</v>
      </c>
      <c r="N4174" s="2" t="str">
        <f t="shared" si="376"/>
        <v/>
      </c>
      <c r="Q4174" t="str">
        <f t="shared" si="377"/>
        <v/>
      </c>
    </row>
    <row r="4175" spans="1:17" hidden="1">
      <c r="A4175" t="s">
        <v>4280</v>
      </c>
      <c r="B4175" s="1">
        <v>45475</v>
      </c>
      <c r="C4175">
        <v>2024</v>
      </c>
      <c r="D4175">
        <v>7</v>
      </c>
      <c r="E4175" t="s">
        <v>13</v>
      </c>
      <c r="F4175" t="s">
        <v>24</v>
      </c>
      <c r="G4175" t="s">
        <v>108</v>
      </c>
      <c r="H4175" t="s">
        <v>126</v>
      </c>
      <c r="I4175">
        <v>2258.8200000000002</v>
      </c>
      <c r="J4175">
        <v>2170.9</v>
      </c>
      <c r="K4175" t="s">
        <v>17</v>
      </c>
      <c r="L4175" t="b">
        <v>0</v>
      </c>
      <c r="N4175" s="2" t="str">
        <f t="shared" si="376"/>
        <v/>
      </c>
      <c r="Q4175" t="str">
        <f t="shared" si="377"/>
        <v/>
      </c>
    </row>
    <row r="4176" spans="1:17" hidden="1">
      <c r="A4176" t="s">
        <v>4281</v>
      </c>
      <c r="B4176" s="1">
        <v>45475</v>
      </c>
      <c r="C4176">
        <v>2024</v>
      </c>
      <c r="D4176">
        <v>7</v>
      </c>
      <c r="E4176" t="s">
        <v>47</v>
      </c>
      <c r="F4176" t="s">
        <v>24</v>
      </c>
      <c r="G4176" t="s">
        <v>91</v>
      </c>
      <c r="H4176" t="s">
        <v>249</v>
      </c>
      <c r="I4176">
        <v>16001.83</v>
      </c>
      <c r="J4176">
        <v>13345.84</v>
      </c>
      <c r="K4176" t="s">
        <v>17</v>
      </c>
      <c r="L4176" t="b">
        <v>0</v>
      </c>
      <c r="N4176" s="2" t="b">
        <f t="shared" si="376"/>
        <v>1</v>
      </c>
      <c r="O4176" t="b">
        <f>IF(AND(E4165="HR",K4165="EXPENSE"),I4165&lt;J4165,"")</f>
        <v>1</v>
      </c>
      <c r="Q4176" t="str">
        <f t="shared" si="377"/>
        <v/>
      </c>
    </row>
    <row r="4177" spans="1:17" hidden="1">
      <c r="A4177" t="s">
        <v>4282</v>
      </c>
      <c r="B4177" s="1">
        <v>45475</v>
      </c>
      <c r="C4177">
        <v>2024</v>
      </c>
      <c r="D4177">
        <v>7</v>
      </c>
      <c r="E4177" t="s">
        <v>19</v>
      </c>
      <c r="F4177" t="s">
        <v>24</v>
      </c>
      <c r="G4177" t="s">
        <v>80</v>
      </c>
      <c r="H4177" t="s">
        <v>113</v>
      </c>
      <c r="I4177">
        <v>4888.54</v>
      </c>
      <c r="J4177">
        <v>4423.9399999999996</v>
      </c>
      <c r="K4177" t="s">
        <v>17</v>
      </c>
      <c r="L4177" t="b">
        <v>0</v>
      </c>
      <c r="N4177" s="2" t="str">
        <f t="shared" si="376"/>
        <v/>
      </c>
      <c r="Q4177" t="str">
        <f t="shared" si="377"/>
        <v/>
      </c>
    </row>
    <row r="4178" spans="1:17" hidden="1">
      <c r="A4178" t="s">
        <v>4283</v>
      </c>
      <c r="B4178" s="1">
        <v>45475</v>
      </c>
      <c r="C4178">
        <v>2024</v>
      </c>
      <c r="D4178">
        <v>7</v>
      </c>
      <c r="E4178" t="s">
        <v>23</v>
      </c>
      <c r="F4178" t="s">
        <v>14</v>
      </c>
      <c r="G4178" t="s">
        <v>141</v>
      </c>
      <c r="H4178" t="s">
        <v>142</v>
      </c>
      <c r="I4178">
        <v>3981.93</v>
      </c>
      <c r="J4178">
        <v>3689.98</v>
      </c>
      <c r="K4178" t="s">
        <v>17</v>
      </c>
      <c r="L4178" t="b">
        <v>0</v>
      </c>
      <c r="N4178" s="2" t="str">
        <f t="shared" si="376"/>
        <v/>
      </c>
      <c r="Q4178" t="str">
        <f t="shared" si="377"/>
        <v/>
      </c>
    </row>
    <row r="4179" spans="1:17" hidden="1">
      <c r="A4179" t="s">
        <v>4284</v>
      </c>
      <c r="B4179" s="1">
        <v>45475</v>
      </c>
      <c r="C4179">
        <v>2024</v>
      </c>
      <c r="D4179">
        <v>7</v>
      </c>
      <c r="E4179" t="s">
        <v>23</v>
      </c>
      <c r="F4179" t="s">
        <v>24</v>
      </c>
      <c r="G4179" t="s">
        <v>30</v>
      </c>
      <c r="H4179" t="s">
        <v>106</v>
      </c>
      <c r="I4179">
        <v>6044.07</v>
      </c>
      <c r="J4179">
        <v>5701.05</v>
      </c>
      <c r="K4179" t="s">
        <v>17</v>
      </c>
      <c r="L4179" t="b">
        <v>0</v>
      </c>
      <c r="N4179" s="2" t="str">
        <f t="shared" si="376"/>
        <v/>
      </c>
      <c r="Q4179" t="str">
        <f t="shared" si="377"/>
        <v/>
      </c>
    </row>
    <row r="4180" spans="1:17" hidden="1">
      <c r="A4180" t="s">
        <v>4285</v>
      </c>
      <c r="B4180" s="1">
        <v>45475</v>
      </c>
      <c r="C4180">
        <v>2024</v>
      </c>
      <c r="D4180">
        <v>7</v>
      </c>
      <c r="E4180" t="s">
        <v>37</v>
      </c>
      <c r="F4180" t="s">
        <v>28</v>
      </c>
      <c r="G4180" t="s">
        <v>41</v>
      </c>
      <c r="H4180" t="s">
        <v>42</v>
      </c>
      <c r="I4180">
        <v>6668.28</v>
      </c>
      <c r="J4180">
        <v>6354.2</v>
      </c>
      <c r="K4180" t="s">
        <v>17</v>
      </c>
      <c r="L4180" t="b">
        <v>0</v>
      </c>
      <c r="N4180" s="2" t="str">
        <f t="shared" si="376"/>
        <v/>
      </c>
      <c r="Q4180" t="str">
        <f t="shared" si="377"/>
        <v/>
      </c>
    </row>
    <row r="4181" spans="1:17" hidden="1">
      <c r="A4181" t="s">
        <v>4286</v>
      </c>
      <c r="B4181" s="1">
        <v>45475</v>
      </c>
      <c r="C4181">
        <v>2024</v>
      </c>
      <c r="D4181">
        <v>7</v>
      </c>
      <c r="E4181" t="s">
        <v>37</v>
      </c>
      <c r="F4181" t="s">
        <v>24</v>
      </c>
      <c r="G4181" t="s">
        <v>41</v>
      </c>
      <c r="H4181" t="s">
        <v>42</v>
      </c>
      <c r="I4181">
        <v>4968.24</v>
      </c>
      <c r="J4181">
        <v>4479.6000000000004</v>
      </c>
      <c r="K4181" t="s">
        <v>17</v>
      </c>
      <c r="L4181" t="b">
        <v>0</v>
      </c>
      <c r="N4181" s="2" t="str">
        <f t="shared" si="376"/>
        <v/>
      </c>
      <c r="Q4181" t="str">
        <f t="shared" si="377"/>
        <v/>
      </c>
    </row>
    <row r="4182" spans="1:17" hidden="1">
      <c r="A4182" t="s">
        <v>4287</v>
      </c>
      <c r="B4182" s="1">
        <v>45475</v>
      </c>
      <c r="C4182">
        <v>2024</v>
      </c>
      <c r="D4182">
        <v>7</v>
      </c>
      <c r="E4182" t="s">
        <v>37</v>
      </c>
      <c r="F4182" t="s">
        <v>24</v>
      </c>
      <c r="G4182" t="s">
        <v>38</v>
      </c>
      <c r="H4182" t="s">
        <v>39</v>
      </c>
      <c r="I4182">
        <v>5901.52</v>
      </c>
      <c r="J4182">
        <v>6429.45</v>
      </c>
      <c r="K4182" t="s">
        <v>17</v>
      </c>
      <c r="L4182" t="b">
        <v>0</v>
      </c>
      <c r="N4182" s="2" t="str">
        <f t="shared" si="376"/>
        <v/>
      </c>
      <c r="Q4182" t="str">
        <f t="shared" si="377"/>
        <v/>
      </c>
    </row>
    <row r="4183" spans="1:17" hidden="1">
      <c r="A4183" t="s">
        <v>4288</v>
      </c>
      <c r="B4183" s="1">
        <v>45476</v>
      </c>
      <c r="C4183">
        <v>2024</v>
      </c>
      <c r="D4183">
        <v>7</v>
      </c>
      <c r="E4183" t="s">
        <v>13</v>
      </c>
      <c r="F4183" t="s">
        <v>28</v>
      </c>
      <c r="G4183" t="s">
        <v>15</v>
      </c>
      <c r="H4183" t="s">
        <v>16</v>
      </c>
      <c r="I4183">
        <v>4875.4399999999996</v>
      </c>
      <c r="J4183">
        <v>5098.75</v>
      </c>
      <c r="K4183" t="s">
        <v>17</v>
      </c>
      <c r="L4183" t="b">
        <v>0</v>
      </c>
      <c r="N4183" s="2" t="str">
        <f t="shared" si="376"/>
        <v/>
      </c>
      <c r="Q4183" t="str">
        <f t="shared" si="377"/>
        <v/>
      </c>
    </row>
    <row r="4184" spans="1:17" hidden="1">
      <c r="A4184" t="s">
        <v>4289</v>
      </c>
      <c r="B4184" s="1">
        <v>45476</v>
      </c>
      <c r="C4184">
        <v>2024</v>
      </c>
      <c r="D4184">
        <v>7</v>
      </c>
      <c r="E4184" t="s">
        <v>13</v>
      </c>
      <c r="F4184" t="s">
        <v>24</v>
      </c>
      <c r="G4184" t="s">
        <v>108</v>
      </c>
      <c r="H4184" t="s">
        <v>123</v>
      </c>
      <c r="I4184">
        <v>1569.27</v>
      </c>
      <c r="J4184">
        <v>1544.54</v>
      </c>
      <c r="K4184" t="s">
        <v>17</v>
      </c>
      <c r="L4184" t="b">
        <v>0</v>
      </c>
      <c r="N4184" s="2" t="str">
        <f t="shared" si="376"/>
        <v/>
      </c>
      <c r="Q4184" t="str">
        <f t="shared" si="377"/>
        <v/>
      </c>
    </row>
    <row r="4185" spans="1:17" hidden="1">
      <c r="A4185" t="s">
        <v>4290</v>
      </c>
      <c r="B4185" s="1">
        <v>45476</v>
      </c>
      <c r="C4185">
        <v>2024</v>
      </c>
      <c r="D4185">
        <v>7</v>
      </c>
      <c r="E4185" t="s">
        <v>47</v>
      </c>
      <c r="F4185" t="s">
        <v>28</v>
      </c>
      <c r="G4185" t="s">
        <v>77</v>
      </c>
      <c r="H4185" t="s">
        <v>130</v>
      </c>
      <c r="I4185">
        <v>11899.17</v>
      </c>
      <c r="J4185">
        <v>10265.049999999999</v>
      </c>
      <c r="K4185" t="s">
        <v>17</v>
      </c>
      <c r="L4185" t="b">
        <v>0</v>
      </c>
      <c r="N4185" s="2" t="b">
        <f t="shared" si="376"/>
        <v>1</v>
      </c>
      <c r="O4185" t="b">
        <f>IF(AND(E4174="HR",K4174="EXPENSE"),I4174&lt;J4174,"")</f>
        <v>1</v>
      </c>
      <c r="Q4185" t="str">
        <f t="shared" si="377"/>
        <v/>
      </c>
    </row>
    <row r="4186" spans="1:17" hidden="1">
      <c r="A4186" t="s">
        <v>4291</v>
      </c>
      <c r="B4186" s="1">
        <v>45476</v>
      </c>
      <c r="C4186">
        <v>2024</v>
      </c>
      <c r="D4186">
        <v>7</v>
      </c>
      <c r="E4186" t="s">
        <v>19</v>
      </c>
      <c r="F4186" t="s">
        <v>28</v>
      </c>
      <c r="G4186" t="s">
        <v>54</v>
      </c>
      <c r="H4186" t="s">
        <v>57</v>
      </c>
      <c r="I4186">
        <v>5519.36</v>
      </c>
      <c r="J4186">
        <v>6008.43</v>
      </c>
      <c r="K4186" t="s">
        <v>17</v>
      </c>
      <c r="L4186" t="b">
        <v>0</v>
      </c>
      <c r="N4186" s="2" t="str">
        <f t="shared" si="376"/>
        <v/>
      </c>
      <c r="Q4186" t="str">
        <f t="shared" si="377"/>
        <v/>
      </c>
    </row>
    <row r="4187" spans="1:17" hidden="1">
      <c r="A4187" t="s">
        <v>4292</v>
      </c>
      <c r="B4187" s="1">
        <v>45476</v>
      </c>
      <c r="C4187">
        <v>2024</v>
      </c>
      <c r="D4187">
        <v>7</v>
      </c>
      <c r="E4187" t="s">
        <v>19</v>
      </c>
      <c r="F4187" t="s">
        <v>28</v>
      </c>
      <c r="G4187" t="s">
        <v>80</v>
      </c>
      <c r="H4187" t="s">
        <v>81</v>
      </c>
      <c r="I4187">
        <v>6286.33</v>
      </c>
      <c r="J4187">
        <v>6560.42</v>
      </c>
      <c r="K4187" t="s">
        <v>17</v>
      </c>
      <c r="L4187" t="b">
        <v>0</v>
      </c>
      <c r="N4187" s="2" t="str">
        <f t="shared" si="376"/>
        <v/>
      </c>
      <c r="Q4187" t="str">
        <f t="shared" si="377"/>
        <v/>
      </c>
    </row>
    <row r="4188" spans="1:17" hidden="1">
      <c r="A4188" t="s">
        <v>4293</v>
      </c>
      <c r="B4188" s="1">
        <v>45476</v>
      </c>
      <c r="C4188">
        <v>2024</v>
      </c>
      <c r="D4188">
        <v>7</v>
      </c>
      <c r="E4188" t="s">
        <v>19</v>
      </c>
      <c r="F4188" t="s">
        <v>24</v>
      </c>
      <c r="G4188" t="s">
        <v>20</v>
      </c>
      <c r="H4188" t="s">
        <v>174</v>
      </c>
      <c r="I4188">
        <v>5037.84</v>
      </c>
      <c r="J4188">
        <v>4863.63</v>
      </c>
      <c r="K4188" t="s">
        <v>17</v>
      </c>
      <c r="L4188" t="b">
        <v>0</v>
      </c>
      <c r="N4188" s="2" t="str">
        <f t="shared" si="376"/>
        <v/>
      </c>
      <c r="Q4188" t="str">
        <f t="shared" si="377"/>
        <v/>
      </c>
    </row>
    <row r="4189" spans="1:17" hidden="1">
      <c r="A4189" t="s">
        <v>4294</v>
      </c>
      <c r="B4189" s="1">
        <v>45476</v>
      </c>
      <c r="C4189">
        <v>2024</v>
      </c>
      <c r="D4189">
        <v>7</v>
      </c>
      <c r="E4189" t="s">
        <v>23</v>
      </c>
      <c r="F4189" t="s">
        <v>14</v>
      </c>
      <c r="G4189" t="s">
        <v>141</v>
      </c>
      <c r="H4189" t="s">
        <v>209</v>
      </c>
      <c r="I4189">
        <v>6392.42</v>
      </c>
      <c r="J4189">
        <v>6554.96</v>
      </c>
      <c r="K4189" t="s">
        <v>17</v>
      </c>
      <c r="L4189" t="b">
        <v>0</v>
      </c>
      <c r="N4189" s="2" t="str">
        <f t="shared" si="376"/>
        <v/>
      </c>
      <c r="Q4189" t="str">
        <f t="shared" si="377"/>
        <v/>
      </c>
    </row>
    <row r="4190" spans="1:17" hidden="1">
      <c r="A4190" t="s">
        <v>4295</v>
      </c>
      <c r="B4190" s="1">
        <v>45476</v>
      </c>
      <c r="C4190">
        <v>2024</v>
      </c>
      <c r="D4190">
        <v>7</v>
      </c>
      <c r="E4190" t="s">
        <v>23</v>
      </c>
      <c r="F4190" t="s">
        <v>14</v>
      </c>
      <c r="G4190" t="s">
        <v>25</v>
      </c>
      <c r="H4190" t="s">
        <v>35</v>
      </c>
      <c r="I4190">
        <v>4848.68</v>
      </c>
      <c r="J4190">
        <v>4955.22</v>
      </c>
      <c r="K4190" t="s">
        <v>17</v>
      </c>
      <c r="L4190" t="b">
        <v>0</v>
      </c>
      <c r="N4190" s="2" t="str">
        <f t="shared" si="376"/>
        <v/>
      </c>
      <c r="Q4190" t="str">
        <f t="shared" si="377"/>
        <v/>
      </c>
    </row>
    <row r="4191" spans="1:17" hidden="1">
      <c r="A4191" t="s">
        <v>4296</v>
      </c>
      <c r="B4191" s="1">
        <v>45476</v>
      </c>
      <c r="C4191">
        <v>2024</v>
      </c>
      <c r="D4191">
        <v>7</v>
      </c>
      <c r="E4191" t="s">
        <v>23</v>
      </c>
      <c r="F4191" t="s">
        <v>28</v>
      </c>
      <c r="G4191" t="s">
        <v>30</v>
      </c>
      <c r="H4191" t="s">
        <v>31</v>
      </c>
      <c r="I4191">
        <v>7033.45</v>
      </c>
      <c r="J4191">
        <v>6914.87</v>
      </c>
      <c r="K4191" t="s">
        <v>17</v>
      </c>
      <c r="L4191" t="b">
        <v>0</v>
      </c>
      <c r="N4191" s="2" t="str">
        <f t="shared" si="376"/>
        <v/>
      </c>
      <c r="Q4191" t="str">
        <f t="shared" si="377"/>
        <v/>
      </c>
    </row>
    <row r="4192" spans="1:17" hidden="1">
      <c r="A4192" t="s">
        <v>4297</v>
      </c>
      <c r="B4192" s="1">
        <v>45476</v>
      </c>
      <c r="C4192">
        <v>2024</v>
      </c>
      <c r="D4192">
        <v>7</v>
      </c>
      <c r="E4192" t="s">
        <v>37</v>
      </c>
      <c r="F4192" t="s">
        <v>28</v>
      </c>
      <c r="G4192" t="s">
        <v>38</v>
      </c>
      <c r="H4192" t="s">
        <v>118</v>
      </c>
      <c r="I4192">
        <v>5584.04</v>
      </c>
      <c r="J4192">
        <v>5446.49</v>
      </c>
      <c r="K4192" t="s">
        <v>17</v>
      </c>
      <c r="L4192" t="b">
        <v>0</v>
      </c>
      <c r="N4192" s="2" t="str">
        <f t="shared" si="376"/>
        <v/>
      </c>
      <c r="Q4192" t="str">
        <f t="shared" si="377"/>
        <v/>
      </c>
    </row>
    <row r="4193" spans="1:17" hidden="1">
      <c r="A4193" t="s">
        <v>4298</v>
      </c>
      <c r="B4193" s="1">
        <v>45477</v>
      </c>
      <c r="C4193">
        <v>2024</v>
      </c>
      <c r="D4193">
        <v>7</v>
      </c>
      <c r="E4193" t="s">
        <v>13</v>
      </c>
      <c r="F4193" t="s">
        <v>28</v>
      </c>
      <c r="G4193" t="s">
        <v>68</v>
      </c>
      <c r="H4193" t="s">
        <v>69</v>
      </c>
      <c r="I4193">
        <v>3812.85</v>
      </c>
      <c r="J4193">
        <v>3434.9</v>
      </c>
      <c r="K4193" t="s">
        <v>17</v>
      </c>
      <c r="L4193" t="b">
        <v>0</v>
      </c>
      <c r="N4193" s="2" t="str">
        <f t="shared" si="376"/>
        <v/>
      </c>
      <c r="Q4193" t="str">
        <f t="shared" si="377"/>
        <v/>
      </c>
    </row>
    <row r="4194" spans="1:17" hidden="1">
      <c r="A4194" t="s">
        <v>4299</v>
      </c>
      <c r="B4194" s="1">
        <v>45477</v>
      </c>
      <c r="C4194">
        <v>2024</v>
      </c>
      <c r="D4194">
        <v>7</v>
      </c>
      <c r="E4194" t="s">
        <v>47</v>
      </c>
      <c r="F4194" t="s">
        <v>14</v>
      </c>
      <c r="G4194" t="s">
        <v>51</v>
      </c>
      <c r="H4194" t="s">
        <v>52</v>
      </c>
      <c r="I4194">
        <v>13866.88</v>
      </c>
      <c r="J4194">
        <v>11538.33</v>
      </c>
      <c r="K4194" t="s">
        <v>17</v>
      </c>
      <c r="L4194" t="b">
        <v>0</v>
      </c>
      <c r="N4194" s="2" t="b">
        <f t="shared" si="376"/>
        <v>1</v>
      </c>
      <c r="O4194" t="b">
        <f t="shared" ref="O4194:O4197" si="378">IF(AND(E4183="HR",K4183="EXPENSE"),I4183&lt;J4183,"")</f>
        <v>1</v>
      </c>
      <c r="Q4194" t="str">
        <f t="shared" si="377"/>
        <v/>
      </c>
    </row>
    <row r="4195" spans="1:17" hidden="1">
      <c r="A4195" t="s">
        <v>4300</v>
      </c>
      <c r="B4195" s="1">
        <v>45477</v>
      </c>
      <c r="C4195">
        <v>2024</v>
      </c>
      <c r="D4195">
        <v>7</v>
      </c>
      <c r="E4195" t="s">
        <v>47</v>
      </c>
      <c r="F4195" t="s">
        <v>14</v>
      </c>
      <c r="G4195" t="s">
        <v>91</v>
      </c>
      <c r="H4195" t="s">
        <v>254</v>
      </c>
      <c r="I4195">
        <v>10773.18</v>
      </c>
      <c r="J4195">
        <v>9015.94</v>
      </c>
      <c r="K4195" t="s">
        <v>17</v>
      </c>
      <c r="L4195" t="b">
        <v>0</v>
      </c>
      <c r="N4195" s="2" t="b">
        <f t="shared" si="376"/>
        <v>1</v>
      </c>
      <c r="O4195" t="b">
        <f t="shared" si="378"/>
        <v>0</v>
      </c>
      <c r="Q4195" t="str">
        <f t="shared" si="377"/>
        <v/>
      </c>
    </row>
    <row r="4196" spans="1:17" hidden="1">
      <c r="A4196" t="s">
        <v>4301</v>
      </c>
      <c r="B4196" s="1">
        <v>45477</v>
      </c>
      <c r="C4196">
        <v>2024</v>
      </c>
      <c r="D4196">
        <v>7</v>
      </c>
      <c r="E4196" t="s">
        <v>47</v>
      </c>
      <c r="F4196" t="s">
        <v>28</v>
      </c>
      <c r="G4196" t="s">
        <v>77</v>
      </c>
      <c r="H4196" t="s">
        <v>78</v>
      </c>
      <c r="I4196">
        <v>8951.16</v>
      </c>
      <c r="J4196">
        <v>7408.8</v>
      </c>
      <c r="K4196" t="s">
        <v>17</v>
      </c>
      <c r="L4196" t="b">
        <v>0</v>
      </c>
      <c r="N4196" s="2" t="b">
        <f t="shared" si="376"/>
        <v>1</v>
      </c>
      <c r="O4196" t="str">
        <f t="shared" si="378"/>
        <v/>
      </c>
      <c r="Q4196" t="str">
        <f t="shared" si="377"/>
        <v/>
      </c>
    </row>
    <row r="4197" spans="1:17" hidden="1">
      <c r="A4197" t="s">
        <v>4302</v>
      </c>
      <c r="B4197" s="1">
        <v>45477</v>
      </c>
      <c r="C4197">
        <v>2024</v>
      </c>
      <c r="D4197">
        <v>7</v>
      </c>
      <c r="E4197" t="s">
        <v>47</v>
      </c>
      <c r="F4197" t="s">
        <v>28</v>
      </c>
      <c r="G4197" t="s">
        <v>91</v>
      </c>
      <c r="H4197" t="s">
        <v>92</v>
      </c>
      <c r="I4197">
        <v>16375.53</v>
      </c>
      <c r="J4197">
        <v>14096.26</v>
      </c>
      <c r="K4197" t="s">
        <v>17</v>
      </c>
      <c r="L4197" t="b">
        <v>0</v>
      </c>
      <c r="N4197" s="2" t="b">
        <f t="shared" si="376"/>
        <v>1</v>
      </c>
      <c r="O4197" t="str">
        <f t="shared" si="378"/>
        <v/>
      </c>
      <c r="Q4197" t="str">
        <f t="shared" si="377"/>
        <v/>
      </c>
    </row>
    <row r="4198" spans="1:17" hidden="1">
      <c r="A4198" t="s">
        <v>4303</v>
      </c>
      <c r="B4198" s="1">
        <v>45477</v>
      </c>
      <c r="C4198">
        <v>2024</v>
      </c>
      <c r="D4198">
        <v>7</v>
      </c>
      <c r="E4198" t="s">
        <v>19</v>
      </c>
      <c r="F4198" t="s">
        <v>24</v>
      </c>
      <c r="G4198" t="s">
        <v>54</v>
      </c>
      <c r="H4198" t="s">
        <v>163</v>
      </c>
      <c r="I4198">
        <v>5909.12</v>
      </c>
      <c r="J4198">
        <v>5778.67</v>
      </c>
      <c r="K4198" t="s">
        <v>17</v>
      </c>
      <c r="L4198" t="b">
        <v>0</v>
      </c>
      <c r="N4198" s="2" t="str">
        <f t="shared" si="376"/>
        <v/>
      </c>
      <c r="Q4198" t="str">
        <f t="shared" si="377"/>
        <v/>
      </c>
    </row>
    <row r="4199" spans="1:17" hidden="1">
      <c r="A4199" t="s">
        <v>4304</v>
      </c>
      <c r="B4199" s="1">
        <v>45477</v>
      </c>
      <c r="C4199">
        <v>2024</v>
      </c>
      <c r="D4199">
        <v>7</v>
      </c>
      <c r="E4199" t="s">
        <v>19</v>
      </c>
      <c r="F4199" t="s">
        <v>24</v>
      </c>
      <c r="G4199" t="s">
        <v>20</v>
      </c>
      <c r="H4199" t="s">
        <v>174</v>
      </c>
      <c r="I4199">
        <v>8045.59</v>
      </c>
      <c r="J4199">
        <v>8691.89</v>
      </c>
      <c r="K4199" t="s">
        <v>17</v>
      </c>
      <c r="L4199" t="b">
        <v>0</v>
      </c>
      <c r="N4199" s="2" t="str">
        <f t="shared" si="376"/>
        <v/>
      </c>
      <c r="Q4199" t="str">
        <f t="shared" si="377"/>
        <v/>
      </c>
    </row>
    <row r="4200" spans="1:17" hidden="1">
      <c r="A4200" t="s">
        <v>4305</v>
      </c>
      <c r="B4200" s="1">
        <v>45477</v>
      </c>
      <c r="C4200">
        <v>2024</v>
      </c>
      <c r="D4200">
        <v>7</v>
      </c>
      <c r="E4200" t="s">
        <v>23</v>
      </c>
      <c r="F4200" t="s">
        <v>14</v>
      </c>
      <c r="G4200" t="s">
        <v>25</v>
      </c>
      <c r="H4200" t="s">
        <v>26</v>
      </c>
      <c r="I4200">
        <v>5266.02</v>
      </c>
      <c r="J4200">
        <v>5647.04</v>
      </c>
      <c r="K4200" t="s">
        <v>17</v>
      </c>
      <c r="L4200" t="b">
        <v>0</v>
      </c>
      <c r="N4200" s="2" t="str">
        <f t="shared" si="376"/>
        <v/>
      </c>
      <c r="Q4200" t="str">
        <f t="shared" si="377"/>
        <v/>
      </c>
    </row>
    <row r="4201" spans="1:17" hidden="1">
      <c r="A4201" t="s">
        <v>4306</v>
      </c>
      <c r="B4201" s="1">
        <v>45477</v>
      </c>
      <c r="C4201">
        <v>2024</v>
      </c>
      <c r="D4201">
        <v>7</v>
      </c>
      <c r="E4201" t="s">
        <v>37</v>
      </c>
      <c r="F4201" t="s">
        <v>14</v>
      </c>
      <c r="G4201" t="s">
        <v>38</v>
      </c>
      <c r="H4201" t="s">
        <v>118</v>
      </c>
      <c r="I4201">
        <v>7603.7</v>
      </c>
      <c r="J4201">
        <v>7797.95</v>
      </c>
      <c r="K4201" t="s">
        <v>17</v>
      </c>
      <c r="L4201" t="b">
        <v>0</v>
      </c>
      <c r="N4201" s="2" t="str">
        <f t="shared" si="376"/>
        <v/>
      </c>
      <c r="Q4201" t="str">
        <f t="shared" si="377"/>
        <v/>
      </c>
    </row>
    <row r="4202" spans="1:17" hidden="1">
      <c r="A4202" t="s">
        <v>4307</v>
      </c>
      <c r="B4202" s="1">
        <v>45477</v>
      </c>
      <c r="C4202">
        <v>2024</v>
      </c>
      <c r="D4202">
        <v>7</v>
      </c>
      <c r="E4202" t="s">
        <v>37</v>
      </c>
      <c r="F4202" t="s">
        <v>24</v>
      </c>
      <c r="G4202" t="s">
        <v>98</v>
      </c>
      <c r="H4202" t="s">
        <v>185</v>
      </c>
      <c r="I4202">
        <v>4724.03</v>
      </c>
      <c r="J4202">
        <v>4382.74</v>
      </c>
      <c r="K4202" t="s">
        <v>17</v>
      </c>
      <c r="L4202" t="b">
        <v>0</v>
      </c>
      <c r="N4202" s="2" t="str">
        <f t="shared" si="376"/>
        <v/>
      </c>
      <c r="Q4202" t="str">
        <f t="shared" si="377"/>
        <v/>
      </c>
    </row>
    <row r="4203" spans="1:17" hidden="1">
      <c r="A4203" t="s">
        <v>4308</v>
      </c>
      <c r="B4203" s="1">
        <v>45477</v>
      </c>
      <c r="C4203">
        <v>2024</v>
      </c>
      <c r="D4203">
        <v>7</v>
      </c>
      <c r="E4203" t="s">
        <v>37</v>
      </c>
      <c r="F4203" t="s">
        <v>24</v>
      </c>
      <c r="G4203" t="s">
        <v>98</v>
      </c>
      <c r="H4203" t="s">
        <v>185</v>
      </c>
      <c r="I4203">
        <v>3847.33</v>
      </c>
      <c r="J4203">
        <v>4048.43</v>
      </c>
      <c r="K4203" t="s">
        <v>17</v>
      </c>
      <c r="L4203" t="b">
        <v>0</v>
      </c>
      <c r="N4203" s="2" t="str">
        <f t="shared" si="376"/>
        <v/>
      </c>
      <c r="Q4203" t="str">
        <f t="shared" si="377"/>
        <v/>
      </c>
    </row>
    <row r="4204" spans="1:17" hidden="1">
      <c r="A4204" t="s">
        <v>4309</v>
      </c>
      <c r="B4204" s="1">
        <v>45478</v>
      </c>
      <c r="C4204">
        <v>2024</v>
      </c>
      <c r="D4204">
        <v>7</v>
      </c>
      <c r="E4204" t="s">
        <v>13</v>
      </c>
      <c r="F4204" t="s">
        <v>24</v>
      </c>
      <c r="G4204" t="s">
        <v>102</v>
      </c>
      <c r="H4204" t="s">
        <v>278</v>
      </c>
      <c r="I4204">
        <v>3261.95</v>
      </c>
      <c r="J4204">
        <v>3225.36</v>
      </c>
      <c r="K4204" t="s">
        <v>17</v>
      </c>
      <c r="L4204" t="b">
        <v>0</v>
      </c>
      <c r="N4204" s="2" t="str">
        <f t="shared" si="376"/>
        <v/>
      </c>
      <c r="Q4204" t="str">
        <f t="shared" si="377"/>
        <v/>
      </c>
    </row>
    <row r="4205" spans="1:17" hidden="1">
      <c r="A4205" t="s">
        <v>4310</v>
      </c>
      <c r="B4205" s="1">
        <v>45478</v>
      </c>
      <c r="C4205">
        <v>2024</v>
      </c>
      <c r="D4205">
        <v>7</v>
      </c>
      <c r="E4205" t="s">
        <v>47</v>
      </c>
      <c r="F4205" t="s">
        <v>14</v>
      </c>
      <c r="G4205" t="s">
        <v>91</v>
      </c>
      <c r="H4205" t="s">
        <v>249</v>
      </c>
      <c r="I4205">
        <v>15379.32</v>
      </c>
      <c r="J4205">
        <v>12968.61</v>
      </c>
      <c r="K4205" t="s">
        <v>17</v>
      </c>
      <c r="L4205" t="b">
        <v>0</v>
      </c>
      <c r="N4205" s="2" t="b">
        <f t="shared" si="376"/>
        <v>1</v>
      </c>
      <c r="O4205" t="str">
        <f t="shared" ref="O4205:O4206" si="379">IF(AND(E4194="HR",K4194="EXPENSE"),I4194&lt;J4194,"")</f>
        <v/>
      </c>
      <c r="Q4205" t="str">
        <f t="shared" si="377"/>
        <v/>
      </c>
    </row>
    <row r="4206" spans="1:17" hidden="1">
      <c r="A4206" t="s">
        <v>4311</v>
      </c>
      <c r="B4206" s="1">
        <v>45478</v>
      </c>
      <c r="C4206">
        <v>2024</v>
      </c>
      <c r="D4206">
        <v>7</v>
      </c>
      <c r="E4206" t="s">
        <v>47</v>
      </c>
      <c r="F4206" t="s">
        <v>24</v>
      </c>
      <c r="G4206" t="s">
        <v>48</v>
      </c>
      <c r="H4206" t="s">
        <v>191</v>
      </c>
      <c r="I4206">
        <v>19398.88</v>
      </c>
      <c r="J4206">
        <v>16095.27</v>
      </c>
      <c r="K4206" t="s">
        <v>17</v>
      </c>
      <c r="L4206" t="b">
        <v>0</v>
      </c>
      <c r="N4206" s="2" t="b">
        <f t="shared" si="376"/>
        <v>1</v>
      </c>
      <c r="O4206" t="str">
        <f t="shared" si="379"/>
        <v/>
      </c>
      <c r="Q4206" t="str">
        <f t="shared" si="377"/>
        <v/>
      </c>
    </row>
    <row r="4207" spans="1:17">
      <c r="A4207" t="s">
        <v>4312</v>
      </c>
      <c r="B4207" s="1">
        <v>45478</v>
      </c>
      <c r="C4207">
        <v>2024</v>
      </c>
      <c r="D4207">
        <v>7</v>
      </c>
      <c r="E4207" t="s">
        <v>19</v>
      </c>
      <c r="F4207" t="s">
        <v>14</v>
      </c>
      <c r="G4207" t="s">
        <v>20</v>
      </c>
      <c r="H4207" t="s">
        <v>651</v>
      </c>
      <c r="I4207">
        <v>47614.67</v>
      </c>
      <c r="J4207">
        <v>10159.530000000001</v>
      </c>
      <c r="K4207" t="s">
        <v>17</v>
      </c>
      <c r="L4207" t="b">
        <v>1</v>
      </c>
      <c r="N4207" s="2" t="str">
        <f t="shared" si="376"/>
        <v/>
      </c>
      <c r="Q4207" t="b">
        <f t="shared" si="377"/>
        <v>1</v>
      </c>
    </row>
    <row r="4208" spans="1:17" hidden="1">
      <c r="A4208" t="s">
        <v>4313</v>
      </c>
      <c r="B4208" s="1">
        <v>45478</v>
      </c>
      <c r="C4208">
        <v>2024</v>
      </c>
      <c r="D4208">
        <v>7</v>
      </c>
      <c r="E4208" t="s">
        <v>19</v>
      </c>
      <c r="F4208" t="s">
        <v>14</v>
      </c>
      <c r="G4208" t="s">
        <v>80</v>
      </c>
      <c r="H4208" t="s">
        <v>81</v>
      </c>
      <c r="I4208">
        <v>6511.19</v>
      </c>
      <c r="J4208">
        <v>6733.56</v>
      </c>
      <c r="K4208" t="s">
        <v>17</v>
      </c>
      <c r="L4208" t="b">
        <v>0</v>
      </c>
      <c r="N4208" s="2" t="str">
        <f t="shared" si="376"/>
        <v/>
      </c>
      <c r="Q4208" t="str">
        <f t="shared" si="377"/>
        <v/>
      </c>
    </row>
    <row r="4209" spans="1:17" hidden="1">
      <c r="A4209" t="s">
        <v>4314</v>
      </c>
      <c r="B4209" s="1">
        <v>45478</v>
      </c>
      <c r="C4209">
        <v>2024</v>
      </c>
      <c r="D4209">
        <v>7</v>
      </c>
      <c r="E4209" t="s">
        <v>23</v>
      </c>
      <c r="F4209" t="s">
        <v>14</v>
      </c>
      <c r="G4209" t="s">
        <v>30</v>
      </c>
      <c r="H4209" t="s">
        <v>106</v>
      </c>
      <c r="I4209">
        <v>3080.32</v>
      </c>
      <c r="J4209">
        <v>3070.59</v>
      </c>
      <c r="K4209" t="s">
        <v>17</v>
      </c>
      <c r="L4209" t="b">
        <v>0</v>
      </c>
      <c r="N4209" s="2" t="str">
        <f t="shared" si="376"/>
        <v/>
      </c>
      <c r="Q4209" t="str">
        <f t="shared" si="377"/>
        <v/>
      </c>
    </row>
    <row r="4210" spans="1:17" hidden="1">
      <c r="A4210" t="s">
        <v>4315</v>
      </c>
      <c r="B4210" s="1">
        <v>45478</v>
      </c>
      <c r="C4210">
        <v>2024</v>
      </c>
      <c r="D4210">
        <v>7</v>
      </c>
      <c r="E4210" t="s">
        <v>23</v>
      </c>
      <c r="F4210" t="s">
        <v>14</v>
      </c>
      <c r="G4210" t="s">
        <v>141</v>
      </c>
      <c r="H4210" t="s">
        <v>142</v>
      </c>
      <c r="I4210">
        <v>6613.5</v>
      </c>
      <c r="J4210">
        <v>6029.65</v>
      </c>
      <c r="K4210" t="s">
        <v>17</v>
      </c>
      <c r="L4210" t="b">
        <v>0</v>
      </c>
      <c r="N4210" s="2" t="str">
        <f t="shared" si="376"/>
        <v/>
      </c>
      <c r="Q4210" t="str">
        <f t="shared" si="377"/>
        <v/>
      </c>
    </row>
    <row r="4211" spans="1:17" hidden="1">
      <c r="A4211" t="s">
        <v>4316</v>
      </c>
      <c r="B4211" s="1">
        <v>45479</v>
      </c>
      <c r="C4211">
        <v>2024</v>
      </c>
      <c r="D4211">
        <v>7</v>
      </c>
      <c r="E4211" t="s">
        <v>13</v>
      </c>
      <c r="F4211" t="s">
        <v>14</v>
      </c>
      <c r="G4211" t="s">
        <v>108</v>
      </c>
      <c r="H4211" t="s">
        <v>123</v>
      </c>
      <c r="I4211">
        <v>3707.5</v>
      </c>
      <c r="J4211">
        <v>3421.76</v>
      </c>
      <c r="K4211" t="s">
        <v>17</v>
      </c>
      <c r="L4211" t="b">
        <v>0</v>
      </c>
      <c r="N4211" s="2" t="str">
        <f t="shared" si="376"/>
        <v/>
      </c>
      <c r="Q4211" t="str">
        <f t="shared" si="377"/>
        <v/>
      </c>
    </row>
    <row r="4212" spans="1:17" hidden="1">
      <c r="A4212" t="s">
        <v>4317</v>
      </c>
      <c r="B4212" s="1">
        <v>45479</v>
      </c>
      <c r="C4212">
        <v>2024</v>
      </c>
      <c r="D4212">
        <v>7</v>
      </c>
      <c r="E4212" t="s">
        <v>37</v>
      </c>
      <c r="F4212" t="s">
        <v>14</v>
      </c>
      <c r="G4212" t="s">
        <v>98</v>
      </c>
      <c r="H4212" t="s">
        <v>185</v>
      </c>
      <c r="I4212">
        <v>3367.61</v>
      </c>
      <c r="J4212">
        <v>3075.05</v>
      </c>
      <c r="K4212" t="s">
        <v>17</v>
      </c>
      <c r="L4212" t="b">
        <v>0</v>
      </c>
      <c r="N4212" s="2" t="str">
        <f t="shared" si="376"/>
        <v/>
      </c>
      <c r="Q4212" t="str">
        <f t="shared" si="377"/>
        <v/>
      </c>
    </row>
    <row r="4213" spans="1:17" hidden="1">
      <c r="A4213" t="s">
        <v>4318</v>
      </c>
      <c r="B4213" s="1">
        <v>45479</v>
      </c>
      <c r="C4213">
        <v>2024</v>
      </c>
      <c r="D4213">
        <v>7</v>
      </c>
      <c r="E4213" t="s">
        <v>37</v>
      </c>
      <c r="F4213" t="s">
        <v>28</v>
      </c>
      <c r="G4213" t="s">
        <v>41</v>
      </c>
      <c r="H4213" t="s">
        <v>42</v>
      </c>
      <c r="I4213">
        <v>5233.76</v>
      </c>
      <c r="J4213">
        <v>5602.44</v>
      </c>
      <c r="K4213" t="s">
        <v>17</v>
      </c>
      <c r="L4213" t="b">
        <v>0</v>
      </c>
      <c r="N4213" s="2" t="str">
        <f t="shared" si="376"/>
        <v/>
      </c>
      <c r="Q4213" t="str">
        <f t="shared" si="377"/>
        <v/>
      </c>
    </row>
    <row r="4214" spans="1:17" hidden="1">
      <c r="A4214" t="s">
        <v>4319</v>
      </c>
      <c r="B4214" s="1">
        <v>45480</v>
      </c>
      <c r="C4214">
        <v>2024</v>
      </c>
      <c r="D4214">
        <v>7</v>
      </c>
      <c r="E4214" t="s">
        <v>13</v>
      </c>
      <c r="F4214" t="s">
        <v>14</v>
      </c>
      <c r="G4214" t="s">
        <v>68</v>
      </c>
      <c r="H4214" t="s">
        <v>69</v>
      </c>
      <c r="I4214">
        <v>3726.52</v>
      </c>
      <c r="J4214">
        <v>3501.19</v>
      </c>
      <c r="K4214" t="s">
        <v>17</v>
      </c>
      <c r="L4214" t="b">
        <v>0</v>
      </c>
      <c r="N4214" s="2" t="str">
        <f t="shared" si="376"/>
        <v/>
      </c>
      <c r="Q4214" t="str">
        <f t="shared" si="377"/>
        <v/>
      </c>
    </row>
    <row r="4215" spans="1:17" hidden="1">
      <c r="A4215" t="s">
        <v>4320</v>
      </c>
      <c r="B4215" s="1">
        <v>45480</v>
      </c>
      <c r="C4215">
        <v>2024</v>
      </c>
      <c r="D4215">
        <v>7</v>
      </c>
      <c r="E4215" t="s">
        <v>13</v>
      </c>
      <c r="F4215" t="s">
        <v>24</v>
      </c>
      <c r="G4215" t="s">
        <v>108</v>
      </c>
      <c r="H4215" t="s">
        <v>126</v>
      </c>
      <c r="I4215">
        <v>1675.74</v>
      </c>
      <c r="J4215">
        <v>1644.53</v>
      </c>
      <c r="K4215" t="s">
        <v>17</v>
      </c>
      <c r="L4215" t="b">
        <v>0</v>
      </c>
      <c r="N4215" s="2" t="str">
        <f t="shared" si="376"/>
        <v/>
      </c>
      <c r="Q4215" t="str">
        <f t="shared" si="377"/>
        <v/>
      </c>
    </row>
    <row r="4216" spans="1:17" hidden="1">
      <c r="A4216" t="s">
        <v>4321</v>
      </c>
      <c r="B4216" s="1">
        <v>45480</v>
      </c>
      <c r="C4216">
        <v>2024</v>
      </c>
      <c r="D4216">
        <v>7</v>
      </c>
      <c r="E4216" t="s">
        <v>47</v>
      </c>
      <c r="F4216" t="s">
        <v>28</v>
      </c>
      <c r="G4216" t="s">
        <v>77</v>
      </c>
      <c r="H4216" t="s">
        <v>130</v>
      </c>
      <c r="I4216">
        <v>12421.62</v>
      </c>
      <c r="J4216">
        <v>10236.35</v>
      </c>
      <c r="K4216" t="s">
        <v>17</v>
      </c>
      <c r="L4216" t="b">
        <v>0</v>
      </c>
      <c r="N4216" s="2" t="b">
        <f t="shared" si="376"/>
        <v>1</v>
      </c>
      <c r="O4216" t="str">
        <f>IF(AND(E4205="HR",K4205="EXPENSE"),I4205&lt;J4205,"")</f>
        <v/>
      </c>
      <c r="Q4216" t="str">
        <f t="shared" si="377"/>
        <v/>
      </c>
    </row>
    <row r="4217" spans="1:17" hidden="1">
      <c r="A4217" t="s">
        <v>4322</v>
      </c>
      <c r="B4217" s="1">
        <v>45480</v>
      </c>
      <c r="C4217">
        <v>2024</v>
      </c>
      <c r="D4217">
        <v>7</v>
      </c>
      <c r="E4217" t="s">
        <v>19</v>
      </c>
      <c r="F4217" t="s">
        <v>28</v>
      </c>
      <c r="G4217" t="s">
        <v>54</v>
      </c>
      <c r="H4217" t="s">
        <v>163</v>
      </c>
      <c r="I4217">
        <v>6756.84</v>
      </c>
      <c r="J4217">
        <v>6870.13</v>
      </c>
      <c r="K4217" t="s">
        <v>17</v>
      </c>
      <c r="L4217" t="b">
        <v>0</v>
      </c>
      <c r="N4217" s="2" t="str">
        <f t="shared" si="376"/>
        <v/>
      </c>
      <c r="Q4217" t="str">
        <f t="shared" si="377"/>
        <v/>
      </c>
    </row>
    <row r="4218" spans="1:17" hidden="1">
      <c r="A4218" t="s">
        <v>4323</v>
      </c>
      <c r="B4218" s="1">
        <v>45480</v>
      </c>
      <c r="C4218">
        <v>2024</v>
      </c>
      <c r="D4218">
        <v>7</v>
      </c>
      <c r="E4218" t="s">
        <v>23</v>
      </c>
      <c r="F4218" t="s">
        <v>14</v>
      </c>
      <c r="G4218" t="s">
        <v>59</v>
      </c>
      <c r="H4218" t="s">
        <v>60</v>
      </c>
      <c r="I4218">
        <v>5595.74</v>
      </c>
      <c r="J4218">
        <v>5231.21</v>
      </c>
      <c r="K4218" t="s">
        <v>17</v>
      </c>
      <c r="L4218" t="b">
        <v>0</v>
      </c>
      <c r="N4218" s="2" t="str">
        <f t="shared" si="376"/>
        <v/>
      </c>
      <c r="Q4218" t="str">
        <f t="shared" si="377"/>
        <v/>
      </c>
    </row>
    <row r="4219" spans="1:17" hidden="1">
      <c r="A4219" t="s">
        <v>4324</v>
      </c>
      <c r="B4219" s="1">
        <v>45480</v>
      </c>
      <c r="C4219">
        <v>2024</v>
      </c>
      <c r="D4219">
        <v>7</v>
      </c>
      <c r="E4219" t="s">
        <v>23</v>
      </c>
      <c r="F4219" t="s">
        <v>24</v>
      </c>
      <c r="G4219" t="s">
        <v>25</v>
      </c>
      <c r="H4219" t="s">
        <v>95</v>
      </c>
      <c r="I4219">
        <v>6819.05</v>
      </c>
      <c r="J4219">
        <v>7104.53</v>
      </c>
      <c r="K4219" t="s">
        <v>17</v>
      </c>
      <c r="L4219" t="b">
        <v>0</v>
      </c>
      <c r="N4219" s="2" t="str">
        <f t="shared" si="376"/>
        <v/>
      </c>
      <c r="Q4219" t="str">
        <f t="shared" si="377"/>
        <v/>
      </c>
    </row>
    <row r="4220" spans="1:17" hidden="1">
      <c r="A4220" t="s">
        <v>4325</v>
      </c>
      <c r="B4220" s="1">
        <v>45480</v>
      </c>
      <c r="C4220">
        <v>2024</v>
      </c>
      <c r="D4220">
        <v>7</v>
      </c>
      <c r="E4220" t="s">
        <v>37</v>
      </c>
      <c r="F4220" t="s">
        <v>24</v>
      </c>
      <c r="G4220" t="s">
        <v>98</v>
      </c>
      <c r="H4220" t="s">
        <v>185</v>
      </c>
      <c r="I4220">
        <v>6863.7</v>
      </c>
      <c r="J4220">
        <v>6192.7</v>
      </c>
      <c r="K4220" t="s">
        <v>17</v>
      </c>
      <c r="L4220" t="b">
        <v>0</v>
      </c>
      <c r="N4220" s="2" t="str">
        <f t="shared" si="376"/>
        <v/>
      </c>
      <c r="Q4220" t="str">
        <f t="shared" si="377"/>
        <v/>
      </c>
    </row>
    <row r="4221" spans="1:17" hidden="1">
      <c r="A4221" t="s">
        <v>4326</v>
      </c>
      <c r="B4221" s="1">
        <v>45481</v>
      </c>
      <c r="C4221">
        <v>2024</v>
      </c>
      <c r="D4221">
        <v>7</v>
      </c>
      <c r="E4221" t="s">
        <v>13</v>
      </c>
      <c r="F4221" t="s">
        <v>28</v>
      </c>
      <c r="G4221" t="s">
        <v>68</v>
      </c>
      <c r="H4221" t="s">
        <v>69</v>
      </c>
      <c r="I4221">
        <v>3216.37</v>
      </c>
      <c r="J4221">
        <v>3487.89</v>
      </c>
      <c r="K4221" t="s">
        <v>17</v>
      </c>
      <c r="L4221" t="b">
        <v>0</v>
      </c>
      <c r="N4221" s="2" t="str">
        <f t="shared" si="376"/>
        <v/>
      </c>
      <c r="Q4221" t="str">
        <f t="shared" si="377"/>
        <v/>
      </c>
    </row>
    <row r="4222" spans="1:17" hidden="1">
      <c r="A4222" t="s">
        <v>4327</v>
      </c>
      <c r="B4222" s="1">
        <v>45481</v>
      </c>
      <c r="C4222">
        <v>2024</v>
      </c>
      <c r="D4222">
        <v>7</v>
      </c>
      <c r="E4222" t="s">
        <v>13</v>
      </c>
      <c r="F4222" t="s">
        <v>24</v>
      </c>
      <c r="G4222" t="s">
        <v>102</v>
      </c>
      <c r="H4222" t="s">
        <v>278</v>
      </c>
      <c r="I4222">
        <v>2886.84</v>
      </c>
      <c r="J4222">
        <v>2904.3</v>
      </c>
      <c r="K4222" t="s">
        <v>17</v>
      </c>
      <c r="L4222" t="b">
        <v>0</v>
      </c>
      <c r="N4222" s="2" t="str">
        <f t="shared" si="376"/>
        <v/>
      </c>
      <c r="Q4222" t="str">
        <f t="shared" si="377"/>
        <v/>
      </c>
    </row>
    <row r="4223" spans="1:17" hidden="1">
      <c r="A4223" t="s">
        <v>4328</v>
      </c>
      <c r="B4223" s="1">
        <v>45481</v>
      </c>
      <c r="C4223">
        <v>2024</v>
      </c>
      <c r="D4223">
        <v>7</v>
      </c>
      <c r="E4223" t="s">
        <v>47</v>
      </c>
      <c r="F4223" t="s">
        <v>24</v>
      </c>
      <c r="G4223" t="s">
        <v>48</v>
      </c>
      <c r="H4223" t="s">
        <v>191</v>
      </c>
      <c r="I4223">
        <v>18720.52</v>
      </c>
      <c r="J4223">
        <v>16248.65</v>
      </c>
      <c r="K4223" t="s">
        <v>17</v>
      </c>
      <c r="L4223" t="b">
        <v>0</v>
      </c>
      <c r="N4223" s="2" t="b">
        <f t="shared" si="376"/>
        <v>1</v>
      </c>
      <c r="O4223" t="str">
        <f>IF(AND(E4212="HR",K4212="EXPENSE"),I4212&lt;J4212,"")</f>
        <v/>
      </c>
      <c r="Q4223" t="str">
        <f t="shared" si="377"/>
        <v/>
      </c>
    </row>
    <row r="4224" spans="1:17" hidden="1">
      <c r="A4224" t="s">
        <v>4329</v>
      </c>
      <c r="B4224" s="1">
        <v>45481</v>
      </c>
      <c r="C4224">
        <v>2024</v>
      </c>
      <c r="D4224">
        <v>7</v>
      </c>
      <c r="E4224" t="s">
        <v>19</v>
      </c>
      <c r="F4224" t="s">
        <v>24</v>
      </c>
      <c r="G4224" t="s">
        <v>80</v>
      </c>
      <c r="H4224" t="s">
        <v>150</v>
      </c>
      <c r="I4224">
        <v>4974.1400000000003</v>
      </c>
      <c r="J4224">
        <v>5113.51</v>
      </c>
      <c r="K4224" t="s">
        <v>17</v>
      </c>
      <c r="L4224" t="b">
        <v>0</v>
      </c>
      <c r="N4224" s="2" t="str">
        <f t="shared" si="376"/>
        <v/>
      </c>
      <c r="Q4224" t="str">
        <f t="shared" si="377"/>
        <v/>
      </c>
    </row>
    <row r="4225" spans="1:17" hidden="1">
      <c r="A4225" t="s">
        <v>4330</v>
      </c>
      <c r="B4225" s="1">
        <v>45481</v>
      </c>
      <c r="C4225">
        <v>2024</v>
      </c>
      <c r="D4225">
        <v>7</v>
      </c>
      <c r="E4225" t="s">
        <v>23</v>
      </c>
      <c r="F4225" t="s">
        <v>14</v>
      </c>
      <c r="G4225" t="s">
        <v>25</v>
      </c>
      <c r="H4225" t="s">
        <v>95</v>
      </c>
      <c r="I4225">
        <v>5764.63</v>
      </c>
      <c r="J4225">
        <v>6324.91</v>
      </c>
      <c r="K4225" t="s">
        <v>17</v>
      </c>
      <c r="L4225" t="b">
        <v>0</v>
      </c>
      <c r="N4225" s="2" t="str">
        <f t="shared" si="376"/>
        <v/>
      </c>
      <c r="Q4225" t="str">
        <f t="shared" si="377"/>
        <v/>
      </c>
    </row>
    <row r="4226" spans="1:17" hidden="1">
      <c r="A4226" t="s">
        <v>4331</v>
      </c>
      <c r="B4226" s="1">
        <v>45481</v>
      </c>
      <c r="C4226">
        <v>2024</v>
      </c>
      <c r="D4226">
        <v>7</v>
      </c>
      <c r="E4226" t="s">
        <v>23</v>
      </c>
      <c r="F4226" t="s">
        <v>28</v>
      </c>
      <c r="G4226" t="s">
        <v>141</v>
      </c>
      <c r="H4226" t="s">
        <v>209</v>
      </c>
      <c r="I4226">
        <v>5893.02</v>
      </c>
      <c r="J4226">
        <v>5667.15</v>
      </c>
      <c r="K4226" t="s">
        <v>17</v>
      </c>
      <c r="L4226" t="b">
        <v>0</v>
      </c>
      <c r="N4226" s="2" t="str">
        <f t="shared" si="376"/>
        <v/>
      </c>
      <c r="Q4226" t="str">
        <f t="shared" si="377"/>
        <v/>
      </c>
    </row>
    <row r="4227" spans="1:17" hidden="1">
      <c r="A4227" t="s">
        <v>4332</v>
      </c>
      <c r="B4227" s="1">
        <v>45482</v>
      </c>
      <c r="C4227">
        <v>2024</v>
      </c>
      <c r="D4227">
        <v>7</v>
      </c>
      <c r="E4227" t="s">
        <v>19</v>
      </c>
      <c r="F4227" t="s">
        <v>24</v>
      </c>
      <c r="G4227" t="s">
        <v>20</v>
      </c>
      <c r="H4227" t="s">
        <v>136</v>
      </c>
      <c r="I4227">
        <v>4836.84</v>
      </c>
      <c r="J4227">
        <v>4395.6899999999996</v>
      </c>
      <c r="K4227" t="s">
        <v>17</v>
      </c>
      <c r="L4227" t="b">
        <v>0</v>
      </c>
      <c r="N4227" s="2" t="str">
        <f t="shared" ref="N4227:N4290" si="380">IF(AND(E4227="IT",K4227="EXPENSE"),I4227&gt;J4227,"")</f>
        <v/>
      </c>
      <c r="Q4227" t="str">
        <f t="shared" ref="Q4227:Q4290" si="381">IF(L4227=TRUE,OR(H4227="Apex Solutions Inc",H4227="Global Trade Partners",H4227="NovaTech Services"),"")</f>
        <v/>
      </c>
    </row>
    <row r="4228" spans="1:17" hidden="1">
      <c r="A4228" t="s">
        <v>4333</v>
      </c>
      <c r="B4228" s="1">
        <v>45482</v>
      </c>
      <c r="C4228">
        <v>2024</v>
      </c>
      <c r="D4228">
        <v>7</v>
      </c>
      <c r="E4228" t="s">
        <v>23</v>
      </c>
      <c r="F4228" t="s">
        <v>24</v>
      </c>
      <c r="G4228" t="s">
        <v>30</v>
      </c>
      <c r="H4228" t="s">
        <v>33</v>
      </c>
      <c r="I4228">
        <v>4428.83</v>
      </c>
      <c r="J4228">
        <v>4282.88</v>
      </c>
      <c r="K4228" t="s">
        <v>17</v>
      </c>
      <c r="L4228" t="b">
        <v>0</v>
      </c>
      <c r="N4228" s="2" t="str">
        <f t="shared" si="380"/>
        <v/>
      </c>
      <c r="Q4228" t="str">
        <f t="shared" si="381"/>
        <v/>
      </c>
    </row>
    <row r="4229" spans="1:17" hidden="1">
      <c r="A4229" t="s">
        <v>4334</v>
      </c>
      <c r="B4229" s="1">
        <v>45482</v>
      </c>
      <c r="C4229">
        <v>2024</v>
      </c>
      <c r="D4229">
        <v>7</v>
      </c>
      <c r="E4229" t="s">
        <v>23</v>
      </c>
      <c r="F4229" t="s">
        <v>24</v>
      </c>
      <c r="G4229" t="s">
        <v>25</v>
      </c>
      <c r="H4229" t="s">
        <v>95</v>
      </c>
      <c r="I4229">
        <v>6332.94</v>
      </c>
      <c r="J4229">
        <v>6182.94</v>
      </c>
      <c r="K4229" t="s">
        <v>17</v>
      </c>
      <c r="L4229" t="b">
        <v>0</v>
      </c>
      <c r="N4229" s="2" t="str">
        <f t="shared" si="380"/>
        <v/>
      </c>
      <c r="Q4229" t="str">
        <f t="shared" si="381"/>
        <v/>
      </c>
    </row>
    <row r="4230" spans="1:17" hidden="1">
      <c r="A4230" t="s">
        <v>4335</v>
      </c>
      <c r="B4230" s="1">
        <v>45483</v>
      </c>
      <c r="C4230">
        <v>2024</v>
      </c>
      <c r="D4230">
        <v>7</v>
      </c>
      <c r="E4230" t="s">
        <v>47</v>
      </c>
      <c r="F4230" t="s">
        <v>14</v>
      </c>
      <c r="G4230" t="s">
        <v>48</v>
      </c>
      <c r="H4230" t="s">
        <v>49</v>
      </c>
      <c r="I4230">
        <v>14804.77</v>
      </c>
      <c r="J4230">
        <v>12844.17</v>
      </c>
      <c r="K4230" t="s">
        <v>17</v>
      </c>
      <c r="L4230" t="b">
        <v>0</v>
      </c>
      <c r="N4230" s="2" t="b">
        <f t="shared" si="380"/>
        <v>1</v>
      </c>
      <c r="O4230" t="str">
        <f t="shared" ref="O4230:O4232" si="382">IF(AND(E4219="HR",K4219="EXPENSE"),I4219&lt;J4219,"")</f>
        <v/>
      </c>
      <c r="Q4230" t="str">
        <f t="shared" si="381"/>
        <v/>
      </c>
    </row>
    <row r="4231" spans="1:17" hidden="1">
      <c r="A4231" t="s">
        <v>4336</v>
      </c>
      <c r="B4231" s="1">
        <v>45483</v>
      </c>
      <c r="C4231">
        <v>2024</v>
      </c>
      <c r="D4231">
        <v>7</v>
      </c>
      <c r="E4231" t="s">
        <v>47</v>
      </c>
      <c r="F4231" t="s">
        <v>28</v>
      </c>
      <c r="G4231" t="s">
        <v>77</v>
      </c>
      <c r="H4231" t="s">
        <v>130</v>
      </c>
      <c r="I4231">
        <v>13932.97</v>
      </c>
      <c r="J4231">
        <v>11470.27</v>
      </c>
      <c r="K4231" t="s">
        <v>17</v>
      </c>
      <c r="L4231" t="b">
        <v>0</v>
      </c>
      <c r="N4231" s="2" t="b">
        <f t="shared" si="380"/>
        <v>1</v>
      </c>
      <c r="O4231" t="str">
        <f t="shared" si="382"/>
        <v/>
      </c>
      <c r="Q4231" t="str">
        <f t="shared" si="381"/>
        <v/>
      </c>
    </row>
    <row r="4232" spans="1:17" hidden="1">
      <c r="A4232" t="s">
        <v>4337</v>
      </c>
      <c r="B4232" s="1">
        <v>45483</v>
      </c>
      <c r="C4232">
        <v>2024</v>
      </c>
      <c r="D4232">
        <v>7</v>
      </c>
      <c r="E4232" t="s">
        <v>47</v>
      </c>
      <c r="F4232" t="s">
        <v>28</v>
      </c>
      <c r="G4232" t="s">
        <v>91</v>
      </c>
      <c r="H4232" t="s">
        <v>128</v>
      </c>
      <c r="I4232">
        <v>12355.74</v>
      </c>
      <c r="J4232">
        <v>10483.629999999999</v>
      </c>
      <c r="K4232" t="s">
        <v>17</v>
      </c>
      <c r="L4232" t="b">
        <v>0</v>
      </c>
      <c r="N4232" s="2" t="b">
        <f t="shared" si="380"/>
        <v>1</v>
      </c>
      <c r="O4232" t="b">
        <f t="shared" si="382"/>
        <v>1</v>
      </c>
      <c r="Q4232" t="str">
        <f t="shared" si="381"/>
        <v/>
      </c>
    </row>
    <row r="4233" spans="1:17" hidden="1">
      <c r="A4233" t="s">
        <v>4338</v>
      </c>
      <c r="B4233" s="1">
        <v>45483</v>
      </c>
      <c r="C4233">
        <v>2024</v>
      </c>
      <c r="D4233">
        <v>7</v>
      </c>
      <c r="E4233" t="s">
        <v>19</v>
      </c>
      <c r="F4233" t="s">
        <v>14</v>
      </c>
      <c r="G4233" t="s">
        <v>80</v>
      </c>
      <c r="H4233" t="s">
        <v>150</v>
      </c>
      <c r="I4233">
        <v>5533.92</v>
      </c>
      <c r="J4233">
        <v>5323.55</v>
      </c>
      <c r="K4233" t="s">
        <v>17</v>
      </c>
      <c r="L4233" t="b">
        <v>0</v>
      </c>
      <c r="N4233" s="2" t="str">
        <f t="shared" si="380"/>
        <v/>
      </c>
      <c r="Q4233" t="str">
        <f t="shared" si="381"/>
        <v/>
      </c>
    </row>
    <row r="4234" spans="1:17" hidden="1">
      <c r="A4234" t="s">
        <v>4339</v>
      </c>
      <c r="B4234" s="1">
        <v>45483</v>
      </c>
      <c r="C4234">
        <v>2024</v>
      </c>
      <c r="D4234">
        <v>7</v>
      </c>
      <c r="E4234" t="s">
        <v>19</v>
      </c>
      <c r="F4234" t="s">
        <v>14</v>
      </c>
      <c r="G4234" t="s">
        <v>132</v>
      </c>
      <c r="H4234" t="s">
        <v>138</v>
      </c>
      <c r="I4234">
        <v>8362.49</v>
      </c>
      <c r="J4234">
        <v>9031.4599999999991</v>
      </c>
      <c r="K4234" t="s">
        <v>17</v>
      </c>
      <c r="L4234" t="b">
        <v>0</v>
      </c>
      <c r="N4234" s="2" t="str">
        <f t="shared" si="380"/>
        <v/>
      </c>
      <c r="Q4234" t="str">
        <f t="shared" si="381"/>
        <v/>
      </c>
    </row>
    <row r="4235" spans="1:17" hidden="1">
      <c r="A4235" t="s">
        <v>4340</v>
      </c>
      <c r="B4235" s="1">
        <v>45483</v>
      </c>
      <c r="C4235">
        <v>2024</v>
      </c>
      <c r="D4235">
        <v>7</v>
      </c>
      <c r="E4235" t="s">
        <v>23</v>
      </c>
      <c r="F4235" t="s">
        <v>24</v>
      </c>
      <c r="G4235" t="s">
        <v>59</v>
      </c>
      <c r="H4235" t="s">
        <v>60</v>
      </c>
      <c r="I4235">
        <v>3790.9</v>
      </c>
      <c r="J4235">
        <v>3443.69</v>
      </c>
      <c r="K4235" t="s">
        <v>17</v>
      </c>
      <c r="L4235" t="b">
        <v>0</v>
      </c>
      <c r="N4235" s="2" t="str">
        <f t="shared" si="380"/>
        <v/>
      </c>
      <c r="Q4235" t="str">
        <f t="shared" si="381"/>
        <v/>
      </c>
    </row>
    <row r="4236" spans="1:17" hidden="1">
      <c r="A4236" t="s">
        <v>4341</v>
      </c>
      <c r="B4236" s="1">
        <v>45484</v>
      </c>
      <c r="C4236">
        <v>2024</v>
      </c>
      <c r="D4236">
        <v>7</v>
      </c>
      <c r="E4236" t="s">
        <v>13</v>
      </c>
      <c r="F4236" t="s">
        <v>28</v>
      </c>
      <c r="G4236" t="s">
        <v>68</v>
      </c>
      <c r="H4236" t="s">
        <v>69</v>
      </c>
      <c r="I4236">
        <v>3390.74</v>
      </c>
      <c r="J4236">
        <v>3606.07</v>
      </c>
      <c r="K4236" t="s">
        <v>17</v>
      </c>
      <c r="L4236" t="b">
        <v>0</v>
      </c>
      <c r="N4236" s="2" t="str">
        <f t="shared" si="380"/>
        <v/>
      </c>
      <c r="Q4236" t="str">
        <f t="shared" si="381"/>
        <v/>
      </c>
    </row>
    <row r="4237" spans="1:17" hidden="1">
      <c r="A4237" t="s">
        <v>4342</v>
      </c>
      <c r="B4237" s="1">
        <v>45484</v>
      </c>
      <c r="C4237">
        <v>2024</v>
      </c>
      <c r="D4237">
        <v>7</v>
      </c>
      <c r="E4237" t="s">
        <v>23</v>
      </c>
      <c r="F4237" t="s">
        <v>24</v>
      </c>
      <c r="G4237" t="s">
        <v>141</v>
      </c>
      <c r="H4237" t="s">
        <v>209</v>
      </c>
      <c r="I4237">
        <v>6515.33</v>
      </c>
      <c r="J4237">
        <v>7129.59</v>
      </c>
      <c r="K4237" t="s">
        <v>17</v>
      </c>
      <c r="L4237" t="b">
        <v>0</v>
      </c>
      <c r="N4237" s="2" t="str">
        <f t="shared" si="380"/>
        <v/>
      </c>
      <c r="Q4237" t="str">
        <f t="shared" si="381"/>
        <v/>
      </c>
    </row>
    <row r="4238" spans="1:17" hidden="1">
      <c r="A4238" t="s">
        <v>4343</v>
      </c>
      <c r="B4238" s="1">
        <v>45484</v>
      </c>
      <c r="C4238">
        <v>2024</v>
      </c>
      <c r="D4238">
        <v>7</v>
      </c>
      <c r="E4238" t="s">
        <v>37</v>
      </c>
      <c r="F4238" t="s">
        <v>24</v>
      </c>
      <c r="G4238" t="s">
        <v>62</v>
      </c>
      <c r="H4238" t="s">
        <v>63</v>
      </c>
      <c r="I4238">
        <v>5456.69</v>
      </c>
      <c r="J4238">
        <v>5258</v>
      </c>
      <c r="K4238" t="s">
        <v>17</v>
      </c>
      <c r="L4238" t="b">
        <v>0</v>
      </c>
      <c r="N4238" s="2" t="str">
        <f t="shared" si="380"/>
        <v/>
      </c>
      <c r="Q4238" t="str">
        <f t="shared" si="381"/>
        <v/>
      </c>
    </row>
    <row r="4239" spans="1:17" hidden="1">
      <c r="A4239" t="s">
        <v>4344</v>
      </c>
      <c r="B4239" s="1">
        <v>45484</v>
      </c>
      <c r="C4239">
        <v>2024</v>
      </c>
      <c r="D4239">
        <v>7</v>
      </c>
      <c r="E4239" t="s">
        <v>37</v>
      </c>
      <c r="F4239" t="s">
        <v>14</v>
      </c>
      <c r="G4239" t="s">
        <v>83</v>
      </c>
      <c r="H4239" t="s">
        <v>84</v>
      </c>
      <c r="I4239">
        <v>270637.59999999998</v>
      </c>
      <c r="J4239">
        <v>257105.72</v>
      </c>
      <c r="K4239" t="s">
        <v>85</v>
      </c>
      <c r="L4239" t="b">
        <v>0</v>
      </c>
      <c r="N4239" s="2" t="str">
        <f t="shared" si="380"/>
        <v/>
      </c>
      <c r="Q4239" t="str">
        <f t="shared" si="381"/>
        <v/>
      </c>
    </row>
    <row r="4240" spans="1:17" hidden="1">
      <c r="A4240" t="s">
        <v>4345</v>
      </c>
      <c r="B4240" s="1">
        <v>45485</v>
      </c>
      <c r="C4240">
        <v>2024</v>
      </c>
      <c r="D4240">
        <v>7</v>
      </c>
      <c r="E4240" t="s">
        <v>13</v>
      </c>
      <c r="F4240" t="s">
        <v>14</v>
      </c>
      <c r="G4240" t="s">
        <v>15</v>
      </c>
      <c r="H4240" t="s">
        <v>89</v>
      </c>
      <c r="I4240">
        <v>2885.36</v>
      </c>
      <c r="J4240">
        <v>3143.36</v>
      </c>
      <c r="K4240" t="s">
        <v>17</v>
      </c>
      <c r="L4240" t="b">
        <v>0</v>
      </c>
      <c r="N4240" s="2" t="str">
        <f t="shared" si="380"/>
        <v/>
      </c>
      <c r="Q4240" t="str">
        <f t="shared" si="381"/>
        <v/>
      </c>
    </row>
    <row r="4241" spans="1:17" hidden="1">
      <c r="A4241" t="s">
        <v>4346</v>
      </c>
      <c r="B4241" s="1">
        <v>45485</v>
      </c>
      <c r="C4241">
        <v>2024</v>
      </c>
      <c r="D4241">
        <v>7</v>
      </c>
      <c r="E4241" t="s">
        <v>13</v>
      </c>
      <c r="F4241" t="s">
        <v>14</v>
      </c>
      <c r="G4241" t="s">
        <v>102</v>
      </c>
      <c r="H4241" t="s">
        <v>278</v>
      </c>
      <c r="I4241">
        <v>3975.23</v>
      </c>
      <c r="J4241">
        <v>4027.56</v>
      </c>
      <c r="K4241" t="s">
        <v>17</v>
      </c>
      <c r="L4241" t="b">
        <v>0</v>
      </c>
      <c r="N4241" s="2" t="str">
        <f t="shared" si="380"/>
        <v/>
      </c>
      <c r="Q4241" t="str">
        <f t="shared" si="381"/>
        <v/>
      </c>
    </row>
    <row r="4242" spans="1:17" hidden="1">
      <c r="A4242" t="s">
        <v>4347</v>
      </c>
      <c r="B4242" s="1">
        <v>45485</v>
      </c>
      <c r="C4242">
        <v>2024</v>
      </c>
      <c r="D4242">
        <v>7</v>
      </c>
      <c r="E4242" t="s">
        <v>47</v>
      </c>
      <c r="F4242" t="s">
        <v>14</v>
      </c>
      <c r="G4242" t="s">
        <v>77</v>
      </c>
      <c r="H4242" t="s">
        <v>130</v>
      </c>
      <c r="I4242">
        <v>16621.84</v>
      </c>
      <c r="J4242">
        <v>14231</v>
      </c>
      <c r="K4242" t="s">
        <v>17</v>
      </c>
      <c r="L4242" t="b">
        <v>0</v>
      </c>
      <c r="N4242" s="2" t="b">
        <f t="shared" si="380"/>
        <v>1</v>
      </c>
      <c r="O4242" t="str">
        <f t="shared" ref="O4242:O4243" si="383">IF(AND(E4231="HR",K4231="EXPENSE"),I4231&lt;J4231,"")</f>
        <v/>
      </c>
      <c r="Q4242" t="str">
        <f t="shared" si="381"/>
        <v/>
      </c>
    </row>
    <row r="4243" spans="1:17" hidden="1">
      <c r="A4243" t="s">
        <v>4348</v>
      </c>
      <c r="B4243" s="1">
        <v>45485</v>
      </c>
      <c r="C4243">
        <v>2024</v>
      </c>
      <c r="D4243">
        <v>7</v>
      </c>
      <c r="E4243" t="s">
        <v>47</v>
      </c>
      <c r="F4243" t="s">
        <v>24</v>
      </c>
      <c r="G4243" t="s">
        <v>91</v>
      </c>
      <c r="H4243" t="s">
        <v>128</v>
      </c>
      <c r="I4243">
        <v>8856.98</v>
      </c>
      <c r="J4243">
        <v>7373.48</v>
      </c>
      <c r="K4243" t="s">
        <v>17</v>
      </c>
      <c r="L4243" t="b">
        <v>0</v>
      </c>
      <c r="N4243" s="2" t="b">
        <f t="shared" si="380"/>
        <v>1</v>
      </c>
      <c r="O4243" t="str">
        <f t="shared" si="383"/>
        <v/>
      </c>
      <c r="Q4243" t="str">
        <f t="shared" si="381"/>
        <v/>
      </c>
    </row>
    <row r="4244" spans="1:17" hidden="1">
      <c r="A4244" t="s">
        <v>4349</v>
      </c>
      <c r="B4244" s="1">
        <v>45485</v>
      </c>
      <c r="C4244">
        <v>2024</v>
      </c>
      <c r="D4244">
        <v>7</v>
      </c>
      <c r="E4244" t="s">
        <v>19</v>
      </c>
      <c r="F4244" t="s">
        <v>14</v>
      </c>
      <c r="G4244" t="s">
        <v>132</v>
      </c>
      <c r="H4244" t="s">
        <v>133</v>
      </c>
      <c r="I4244">
        <v>7077.7</v>
      </c>
      <c r="J4244">
        <v>7579.18</v>
      </c>
      <c r="K4244" t="s">
        <v>17</v>
      </c>
      <c r="L4244" t="b">
        <v>0</v>
      </c>
      <c r="N4244" s="2" t="str">
        <f t="shared" si="380"/>
        <v/>
      </c>
      <c r="Q4244" t="str">
        <f t="shared" si="381"/>
        <v/>
      </c>
    </row>
    <row r="4245" spans="1:17" hidden="1">
      <c r="A4245" t="s">
        <v>4350</v>
      </c>
      <c r="B4245" s="1">
        <v>45485</v>
      </c>
      <c r="C4245">
        <v>2024</v>
      </c>
      <c r="D4245">
        <v>7</v>
      </c>
      <c r="E4245" t="s">
        <v>23</v>
      </c>
      <c r="F4245" t="s">
        <v>28</v>
      </c>
      <c r="G4245" t="s">
        <v>25</v>
      </c>
      <c r="H4245" t="s">
        <v>95</v>
      </c>
      <c r="I4245">
        <v>5216.33</v>
      </c>
      <c r="J4245">
        <v>5488.74</v>
      </c>
      <c r="K4245" t="s">
        <v>17</v>
      </c>
      <c r="L4245" t="b">
        <v>0</v>
      </c>
      <c r="N4245" s="2" t="str">
        <f t="shared" si="380"/>
        <v/>
      </c>
      <c r="Q4245" t="str">
        <f t="shared" si="381"/>
        <v/>
      </c>
    </row>
    <row r="4246" spans="1:17" hidden="1">
      <c r="A4246" t="s">
        <v>4351</v>
      </c>
      <c r="B4246" s="1">
        <v>45485</v>
      </c>
      <c r="C4246">
        <v>2024</v>
      </c>
      <c r="D4246">
        <v>7</v>
      </c>
      <c r="E4246" t="s">
        <v>23</v>
      </c>
      <c r="F4246" t="s">
        <v>28</v>
      </c>
      <c r="G4246" t="s">
        <v>141</v>
      </c>
      <c r="H4246" t="s">
        <v>209</v>
      </c>
      <c r="I4246">
        <v>4392.04</v>
      </c>
      <c r="J4246">
        <v>4830.66</v>
      </c>
      <c r="K4246" t="s">
        <v>17</v>
      </c>
      <c r="L4246" t="b">
        <v>0</v>
      </c>
      <c r="N4246" s="2" t="str">
        <f t="shared" si="380"/>
        <v/>
      </c>
      <c r="Q4246" t="str">
        <f t="shared" si="381"/>
        <v/>
      </c>
    </row>
    <row r="4247" spans="1:17" hidden="1">
      <c r="A4247" t="s">
        <v>4352</v>
      </c>
      <c r="B4247" s="1">
        <v>45485</v>
      </c>
      <c r="C4247">
        <v>2024</v>
      </c>
      <c r="D4247">
        <v>7</v>
      </c>
      <c r="E4247" t="s">
        <v>37</v>
      </c>
      <c r="F4247" t="s">
        <v>14</v>
      </c>
      <c r="G4247" t="s">
        <v>62</v>
      </c>
      <c r="H4247" t="s">
        <v>360</v>
      </c>
      <c r="I4247">
        <v>5960.48</v>
      </c>
      <c r="J4247">
        <v>5869.38</v>
      </c>
      <c r="K4247" t="s">
        <v>17</v>
      </c>
      <c r="L4247" t="b">
        <v>0</v>
      </c>
      <c r="N4247" s="2" t="str">
        <f t="shared" si="380"/>
        <v/>
      </c>
      <c r="Q4247" t="str">
        <f t="shared" si="381"/>
        <v/>
      </c>
    </row>
    <row r="4248" spans="1:17" hidden="1">
      <c r="A4248" t="s">
        <v>4353</v>
      </c>
      <c r="B4248" s="1">
        <v>45486</v>
      </c>
      <c r="C4248">
        <v>2024</v>
      </c>
      <c r="D4248">
        <v>7</v>
      </c>
      <c r="E4248" t="s">
        <v>13</v>
      </c>
      <c r="F4248" t="s">
        <v>28</v>
      </c>
      <c r="G4248" t="s">
        <v>68</v>
      </c>
      <c r="H4248" t="s">
        <v>213</v>
      </c>
      <c r="I4248">
        <v>3910.08</v>
      </c>
      <c r="J4248">
        <v>3980.29</v>
      </c>
      <c r="K4248" t="s">
        <v>17</v>
      </c>
      <c r="L4248" t="b">
        <v>0</v>
      </c>
      <c r="N4248" s="2" t="str">
        <f t="shared" si="380"/>
        <v/>
      </c>
      <c r="Q4248" t="str">
        <f t="shared" si="381"/>
        <v/>
      </c>
    </row>
    <row r="4249" spans="1:17" hidden="1">
      <c r="A4249" t="s">
        <v>4354</v>
      </c>
      <c r="B4249" s="1">
        <v>45486</v>
      </c>
      <c r="C4249">
        <v>2024</v>
      </c>
      <c r="D4249">
        <v>7</v>
      </c>
      <c r="E4249" t="s">
        <v>47</v>
      </c>
      <c r="F4249" t="s">
        <v>28</v>
      </c>
      <c r="G4249" t="s">
        <v>91</v>
      </c>
      <c r="H4249" t="s">
        <v>92</v>
      </c>
      <c r="I4249">
        <v>14369.14</v>
      </c>
      <c r="J4249">
        <v>11829.46</v>
      </c>
      <c r="K4249" t="s">
        <v>17</v>
      </c>
      <c r="L4249" t="b">
        <v>0</v>
      </c>
      <c r="N4249" s="2" t="b">
        <f t="shared" si="380"/>
        <v>1</v>
      </c>
      <c r="O4249" t="str">
        <f t="shared" ref="O4249:O4250" si="384">IF(AND(E4238="HR",K4238="EXPENSE"),I4238&lt;J4238,"")</f>
        <v/>
      </c>
      <c r="Q4249" t="str">
        <f t="shared" si="381"/>
        <v/>
      </c>
    </row>
    <row r="4250" spans="1:17" hidden="1">
      <c r="A4250" t="s">
        <v>4355</v>
      </c>
      <c r="B4250" s="1">
        <v>45486</v>
      </c>
      <c r="C4250">
        <v>2024</v>
      </c>
      <c r="D4250">
        <v>7</v>
      </c>
      <c r="E4250" t="s">
        <v>47</v>
      </c>
      <c r="F4250" t="s">
        <v>24</v>
      </c>
      <c r="G4250" t="s">
        <v>77</v>
      </c>
      <c r="H4250" t="s">
        <v>130</v>
      </c>
      <c r="I4250">
        <v>24453.51</v>
      </c>
      <c r="J4250">
        <v>20794.259999999998</v>
      </c>
      <c r="K4250" t="s">
        <v>17</v>
      </c>
      <c r="L4250" t="b">
        <v>0</v>
      </c>
      <c r="N4250" s="2" t="b">
        <f t="shared" si="380"/>
        <v>1</v>
      </c>
      <c r="O4250" t="str">
        <f t="shared" si="384"/>
        <v/>
      </c>
      <c r="Q4250" t="str">
        <f t="shared" si="381"/>
        <v/>
      </c>
    </row>
    <row r="4251" spans="1:17" hidden="1">
      <c r="A4251" t="s">
        <v>4356</v>
      </c>
      <c r="B4251" s="1">
        <v>45486</v>
      </c>
      <c r="C4251">
        <v>2024</v>
      </c>
      <c r="D4251">
        <v>7</v>
      </c>
      <c r="E4251" t="s">
        <v>19</v>
      </c>
      <c r="F4251" t="s">
        <v>14</v>
      </c>
      <c r="G4251" t="s">
        <v>80</v>
      </c>
      <c r="H4251" t="s">
        <v>150</v>
      </c>
      <c r="I4251">
        <v>9261.1</v>
      </c>
      <c r="J4251">
        <v>8372.44</v>
      </c>
      <c r="K4251" t="s">
        <v>17</v>
      </c>
      <c r="L4251" t="b">
        <v>0</v>
      </c>
      <c r="N4251" s="2" t="str">
        <f t="shared" si="380"/>
        <v/>
      </c>
      <c r="Q4251" t="str">
        <f t="shared" si="381"/>
        <v/>
      </c>
    </row>
    <row r="4252" spans="1:17" hidden="1">
      <c r="A4252" t="s">
        <v>4357</v>
      </c>
      <c r="B4252" s="1">
        <v>45486</v>
      </c>
      <c r="C4252">
        <v>2024</v>
      </c>
      <c r="D4252">
        <v>7</v>
      </c>
      <c r="E4252" t="s">
        <v>19</v>
      </c>
      <c r="F4252" t="s">
        <v>28</v>
      </c>
      <c r="G4252" t="s">
        <v>80</v>
      </c>
      <c r="H4252" t="s">
        <v>150</v>
      </c>
      <c r="I4252">
        <v>7338.91</v>
      </c>
      <c r="J4252">
        <v>7388.75</v>
      </c>
      <c r="K4252" t="s">
        <v>17</v>
      </c>
      <c r="L4252" t="b">
        <v>0</v>
      </c>
      <c r="N4252" s="2" t="str">
        <f t="shared" si="380"/>
        <v/>
      </c>
      <c r="Q4252" t="str">
        <f t="shared" si="381"/>
        <v/>
      </c>
    </row>
    <row r="4253" spans="1:17" hidden="1">
      <c r="A4253" t="s">
        <v>4358</v>
      </c>
      <c r="B4253" s="1">
        <v>45486</v>
      </c>
      <c r="C4253">
        <v>2024</v>
      </c>
      <c r="D4253">
        <v>7</v>
      </c>
      <c r="E4253" t="s">
        <v>19</v>
      </c>
      <c r="F4253" t="s">
        <v>24</v>
      </c>
      <c r="G4253" t="s">
        <v>54</v>
      </c>
      <c r="H4253" t="s">
        <v>57</v>
      </c>
      <c r="I4253">
        <v>7005.66</v>
      </c>
      <c r="J4253">
        <v>6842.81</v>
      </c>
      <c r="K4253" t="s">
        <v>17</v>
      </c>
      <c r="L4253" t="b">
        <v>0</v>
      </c>
      <c r="N4253" s="2" t="str">
        <f t="shared" si="380"/>
        <v/>
      </c>
      <c r="Q4253" t="str">
        <f t="shared" si="381"/>
        <v/>
      </c>
    </row>
    <row r="4254" spans="1:17" hidden="1">
      <c r="A4254" t="s">
        <v>4359</v>
      </c>
      <c r="B4254" s="1">
        <v>45486</v>
      </c>
      <c r="C4254">
        <v>2024</v>
      </c>
      <c r="D4254">
        <v>7</v>
      </c>
      <c r="E4254" t="s">
        <v>37</v>
      </c>
      <c r="F4254" t="s">
        <v>14</v>
      </c>
      <c r="G4254" t="s">
        <v>38</v>
      </c>
      <c r="H4254" t="s">
        <v>118</v>
      </c>
      <c r="I4254">
        <v>6196.06</v>
      </c>
      <c r="J4254">
        <v>5907.4</v>
      </c>
      <c r="K4254" t="s">
        <v>17</v>
      </c>
      <c r="L4254" t="b">
        <v>0</v>
      </c>
      <c r="N4254" s="2" t="str">
        <f t="shared" si="380"/>
        <v/>
      </c>
      <c r="Q4254" t="str">
        <f t="shared" si="381"/>
        <v/>
      </c>
    </row>
    <row r="4255" spans="1:17" hidden="1">
      <c r="A4255" t="s">
        <v>4360</v>
      </c>
      <c r="B4255" s="1">
        <v>45486</v>
      </c>
      <c r="C4255">
        <v>2024</v>
      </c>
      <c r="D4255">
        <v>7</v>
      </c>
      <c r="E4255" t="s">
        <v>37</v>
      </c>
      <c r="F4255" t="s">
        <v>24</v>
      </c>
      <c r="G4255" t="s">
        <v>62</v>
      </c>
      <c r="H4255" t="s">
        <v>360</v>
      </c>
      <c r="I4255">
        <v>8880.18</v>
      </c>
      <c r="J4255">
        <v>8067.35</v>
      </c>
      <c r="K4255" t="s">
        <v>17</v>
      </c>
      <c r="L4255" t="b">
        <v>0</v>
      </c>
      <c r="N4255" s="2" t="str">
        <f t="shared" si="380"/>
        <v/>
      </c>
      <c r="Q4255" t="str">
        <f t="shared" si="381"/>
        <v/>
      </c>
    </row>
    <row r="4256" spans="1:17" hidden="1">
      <c r="A4256" t="s">
        <v>4361</v>
      </c>
      <c r="B4256" s="1">
        <v>45487</v>
      </c>
      <c r="C4256">
        <v>2024</v>
      </c>
      <c r="D4256">
        <v>7</v>
      </c>
      <c r="E4256" t="s">
        <v>13</v>
      </c>
      <c r="F4256" t="s">
        <v>28</v>
      </c>
      <c r="G4256" t="s">
        <v>108</v>
      </c>
      <c r="H4256" t="s">
        <v>123</v>
      </c>
      <c r="I4256">
        <v>3061.5</v>
      </c>
      <c r="J4256">
        <v>3177</v>
      </c>
      <c r="K4256" t="s">
        <v>17</v>
      </c>
      <c r="L4256" t="b">
        <v>0</v>
      </c>
      <c r="N4256" s="2" t="str">
        <f t="shared" si="380"/>
        <v/>
      </c>
      <c r="Q4256" t="str">
        <f t="shared" si="381"/>
        <v/>
      </c>
    </row>
    <row r="4257" spans="1:17" hidden="1">
      <c r="A4257" t="s">
        <v>4362</v>
      </c>
      <c r="B4257" s="1">
        <v>45487</v>
      </c>
      <c r="C4257">
        <v>2024</v>
      </c>
      <c r="D4257">
        <v>7</v>
      </c>
      <c r="E4257" t="s">
        <v>47</v>
      </c>
      <c r="F4257" t="s">
        <v>28</v>
      </c>
      <c r="G4257" t="s">
        <v>91</v>
      </c>
      <c r="H4257" t="s">
        <v>249</v>
      </c>
      <c r="I4257">
        <v>7973.41</v>
      </c>
      <c r="J4257">
        <v>6923.67</v>
      </c>
      <c r="K4257" t="s">
        <v>17</v>
      </c>
      <c r="L4257" t="b">
        <v>0</v>
      </c>
      <c r="N4257" s="2" t="b">
        <f t="shared" si="380"/>
        <v>1</v>
      </c>
      <c r="O4257" t="str">
        <f t="shared" ref="O4257:O4258" si="385">IF(AND(E4246="HR",K4246="EXPENSE"),I4246&lt;J4246,"")</f>
        <v/>
      </c>
      <c r="Q4257" t="str">
        <f t="shared" si="381"/>
        <v/>
      </c>
    </row>
    <row r="4258" spans="1:17" hidden="1">
      <c r="A4258" t="s">
        <v>4363</v>
      </c>
      <c r="B4258" s="1">
        <v>45487</v>
      </c>
      <c r="C4258">
        <v>2024</v>
      </c>
      <c r="D4258">
        <v>7</v>
      </c>
      <c r="E4258" t="s">
        <v>47</v>
      </c>
      <c r="F4258" t="s">
        <v>24</v>
      </c>
      <c r="G4258" t="s">
        <v>91</v>
      </c>
      <c r="H4258" t="s">
        <v>249</v>
      </c>
      <c r="I4258">
        <v>27587.77</v>
      </c>
      <c r="J4258">
        <v>23931.08</v>
      </c>
      <c r="K4258" t="s">
        <v>17</v>
      </c>
      <c r="L4258" t="b">
        <v>0</v>
      </c>
      <c r="N4258" s="2" t="b">
        <f t="shared" si="380"/>
        <v>1</v>
      </c>
      <c r="O4258" t="str">
        <f t="shared" si="385"/>
        <v/>
      </c>
      <c r="Q4258" t="str">
        <f t="shared" si="381"/>
        <v/>
      </c>
    </row>
    <row r="4259" spans="1:17" hidden="1">
      <c r="A4259" t="s">
        <v>4364</v>
      </c>
      <c r="B4259" s="1">
        <v>45487</v>
      </c>
      <c r="C4259">
        <v>2024</v>
      </c>
      <c r="D4259">
        <v>7</v>
      </c>
      <c r="E4259" t="s">
        <v>19</v>
      </c>
      <c r="F4259" t="s">
        <v>14</v>
      </c>
      <c r="G4259" t="s">
        <v>80</v>
      </c>
      <c r="H4259" t="s">
        <v>113</v>
      </c>
      <c r="I4259">
        <v>8041.81</v>
      </c>
      <c r="J4259">
        <v>7829.24</v>
      </c>
      <c r="K4259" t="s">
        <v>17</v>
      </c>
      <c r="L4259" t="b">
        <v>0</v>
      </c>
      <c r="N4259" s="2" t="str">
        <f t="shared" si="380"/>
        <v/>
      </c>
      <c r="Q4259" t="str">
        <f t="shared" si="381"/>
        <v/>
      </c>
    </row>
    <row r="4260" spans="1:17" hidden="1">
      <c r="A4260" t="s">
        <v>4365</v>
      </c>
      <c r="B4260" s="1">
        <v>45487</v>
      </c>
      <c r="C4260">
        <v>2024</v>
      </c>
      <c r="D4260">
        <v>7</v>
      </c>
      <c r="E4260" t="s">
        <v>19</v>
      </c>
      <c r="F4260" t="s">
        <v>24</v>
      </c>
      <c r="G4260" t="s">
        <v>80</v>
      </c>
      <c r="H4260" t="s">
        <v>81</v>
      </c>
      <c r="I4260">
        <v>5196.13</v>
      </c>
      <c r="J4260">
        <v>5125.7</v>
      </c>
      <c r="K4260" t="s">
        <v>17</v>
      </c>
      <c r="L4260" t="b">
        <v>0</v>
      </c>
      <c r="N4260" s="2" t="str">
        <f t="shared" si="380"/>
        <v/>
      </c>
      <c r="Q4260" t="str">
        <f t="shared" si="381"/>
        <v/>
      </c>
    </row>
    <row r="4261" spans="1:17" hidden="1">
      <c r="A4261" t="s">
        <v>4366</v>
      </c>
      <c r="B4261" s="1">
        <v>45487</v>
      </c>
      <c r="C4261">
        <v>2024</v>
      </c>
      <c r="D4261">
        <v>7</v>
      </c>
      <c r="E4261" t="s">
        <v>37</v>
      </c>
      <c r="F4261" t="s">
        <v>14</v>
      </c>
      <c r="G4261" t="s">
        <v>62</v>
      </c>
      <c r="H4261" t="s">
        <v>360</v>
      </c>
      <c r="I4261">
        <v>5964.56</v>
      </c>
      <c r="J4261">
        <v>5893.16</v>
      </c>
      <c r="K4261" t="s">
        <v>17</v>
      </c>
      <c r="L4261" t="b">
        <v>0</v>
      </c>
      <c r="N4261" s="2" t="str">
        <f t="shared" si="380"/>
        <v/>
      </c>
      <c r="Q4261" t="str">
        <f t="shared" si="381"/>
        <v/>
      </c>
    </row>
    <row r="4262" spans="1:17" hidden="1">
      <c r="A4262" t="s">
        <v>4367</v>
      </c>
      <c r="B4262" s="1">
        <v>45488</v>
      </c>
      <c r="C4262">
        <v>2024</v>
      </c>
      <c r="D4262">
        <v>7</v>
      </c>
      <c r="E4262" t="s">
        <v>13</v>
      </c>
      <c r="F4262" t="s">
        <v>14</v>
      </c>
      <c r="G4262" t="s">
        <v>15</v>
      </c>
      <c r="H4262" t="s">
        <v>89</v>
      </c>
      <c r="I4262">
        <v>3315.23</v>
      </c>
      <c r="J4262">
        <v>3096.35</v>
      </c>
      <c r="K4262" t="s">
        <v>17</v>
      </c>
      <c r="L4262" t="b">
        <v>0</v>
      </c>
      <c r="N4262" s="2" t="str">
        <f t="shared" si="380"/>
        <v/>
      </c>
      <c r="Q4262" t="str">
        <f t="shared" si="381"/>
        <v/>
      </c>
    </row>
    <row r="4263" spans="1:17" hidden="1">
      <c r="A4263" t="s">
        <v>4368</v>
      </c>
      <c r="B4263" s="1">
        <v>45488</v>
      </c>
      <c r="C4263">
        <v>2024</v>
      </c>
      <c r="D4263">
        <v>7</v>
      </c>
      <c r="E4263" t="s">
        <v>47</v>
      </c>
      <c r="F4263" t="s">
        <v>28</v>
      </c>
      <c r="G4263" t="s">
        <v>91</v>
      </c>
      <c r="H4263" t="s">
        <v>249</v>
      </c>
      <c r="I4263">
        <v>9255.5</v>
      </c>
      <c r="J4263">
        <v>7711.05</v>
      </c>
      <c r="K4263" t="s">
        <v>17</v>
      </c>
      <c r="L4263" t="b">
        <v>0</v>
      </c>
      <c r="N4263" s="2" t="b">
        <f t="shared" si="380"/>
        <v>1</v>
      </c>
      <c r="O4263" t="str">
        <f>IF(AND(E4252="HR",K4252="EXPENSE"),I4252&lt;J4252,"")</f>
        <v/>
      </c>
      <c r="Q4263" t="str">
        <f t="shared" si="381"/>
        <v/>
      </c>
    </row>
    <row r="4264" spans="1:17" hidden="1">
      <c r="A4264" t="s">
        <v>4369</v>
      </c>
      <c r="B4264" s="1">
        <v>45488</v>
      </c>
      <c r="C4264">
        <v>2024</v>
      </c>
      <c r="D4264">
        <v>7</v>
      </c>
      <c r="E4264" t="s">
        <v>23</v>
      </c>
      <c r="F4264" t="s">
        <v>14</v>
      </c>
      <c r="G4264" t="s">
        <v>25</v>
      </c>
      <c r="H4264" t="s">
        <v>95</v>
      </c>
      <c r="I4264">
        <v>7438.43</v>
      </c>
      <c r="J4264">
        <v>6742.37</v>
      </c>
      <c r="K4264" t="s">
        <v>17</v>
      </c>
      <c r="L4264" t="b">
        <v>0</v>
      </c>
      <c r="N4264" s="2" t="str">
        <f t="shared" si="380"/>
        <v/>
      </c>
      <c r="Q4264" t="str">
        <f t="shared" si="381"/>
        <v/>
      </c>
    </row>
    <row r="4265" spans="1:17" hidden="1">
      <c r="A4265" t="s">
        <v>4370</v>
      </c>
      <c r="B4265" s="1">
        <v>45488</v>
      </c>
      <c r="C4265">
        <v>2024</v>
      </c>
      <c r="D4265">
        <v>7</v>
      </c>
      <c r="E4265" t="s">
        <v>23</v>
      </c>
      <c r="F4265" t="s">
        <v>28</v>
      </c>
      <c r="G4265" t="s">
        <v>59</v>
      </c>
      <c r="H4265" t="s">
        <v>155</v>
      </c>
      <c r="I4265">
        <v>9088.27</v>
      </c>
      <c r="J4265">
        <v>9276.24</v>
      </c>
      <c r="K4265" t="s">
        <v>17</v>
      </c>
      <c r="L4265" t="b">
        <v>0</v>
      </c>
      <c r="N4265" s="2" t="str">
        <f t="shared" si="380"/>
        <v/>
      </c>
      <c r="Q4265" t="str">
        <f t="shared" si="381"/>
        <v/>
      </c>
    </row>
    <row r="4266" spans="1:17" hidden="1">
      <c r="A4266" t="s">
        <v>4371</v>
      </c>
      <c r="B4266" s="1">
        <v>45488</v>
      </c>
      <c r="C4266">
        <v>2024</v>
      </c>
      <c r="D4266">
        <v>7</v>
      </c>
      <c r="E4266" t="s">
        <v>23</v>
      </c>
      <c r="F4266" t="s">
        <v>24</v>
      </c>
      <c r="G4266" t="s">
        <v>30</v>
      </c>
      <c r="H4266" t="s">
        <v>31</v>
      </c>
      <c r="I4266">
        <v>3228.65</v>
      </c>
      <c r="J4266">
        <v>2996.88</v>
      </c>
      <c r="K4266" t="s">
        <v>17</v>
      </c>
      <c r="L4266" t="b">
        <v>0</v>
      </c>
      <c r="N4266" s="2" t="str">
        <f t="shared" si="380"/>
        <v/>
      </c>
      <c r="Q4266" t="str">
        <f t="shared" si="381"/>
        <v/>
      </c>
    </row>
    <row r="4267" spans="1:17" hidden="1">
      <c r="A4267" t="s">
        <v>4372</v>
      </c>
      <c r="B4267" s="1">
        <v>45488</v>
      </c>
      <c r="C4267">
        <v>2024</v>
      </c>
      <c r="D4267">
        <v>7</v>
      </c>
      <c r="E4267" t="s">
        <v>37</v>
      </c>
      <c r="F4267" t="s">
        <v>14</v>
      </c>
      <c r="G4267" t="s">
        <v>38</v>
      </c>
      <c r="H4267" t="s">
        <v>39</v>
      </c>
      <c r="I4267">
        <v>5335.57</v>
      </c>
      <c r="J4267">
        <v>5734.93</v>
      </c>
      <c r="K4267" t="s">
        <v>17</v>
      </c>
      <c r="L4267" t="b">
        <v>0</v>
      </c>
      <c r="N4267" s="2" t="str">
        <f t="shared" si="380"/>
        <v/>
      </c>
      <c r="Q4267" t="str">
        <f t="shared" si="381"/>
        <v/>
      </c>
    </row>
    <row r="4268" spans="1:17" hidden="1">
      <c r="A4268" t="s">
        <v>4373</v>
      </c>
      <c r="B4268" s="1">
        <v>45489</v>
      </c>
      <c r="C4268">
        <v>2024</v>
      </c>
      <c r="D4268">
        <v>7</v>
      </c>
      <c r="E4268" t="s">
        <v>13</v>
      </c>
      <c r="F4268" t="s">
        <v>28</v>
      </c>
      <c r="G4268" t="s">
        <v>108</v>
      </c>
      <c r="H4268" t="s">
        <v>109</v>
      </c>
      <c r="I4268">
        <v>4884.6499999999996</v>
      </c>
      <c r="J4268">
        <v>4852.38</v>
      </c>
      <c r="K4268" t="s">
        <v>17</v>
      </c>
      <c r="L4268" t="b">
        <v>0</v>
      </c>
      <c r="N4268" s="2" t="str">
        <f t="shared" si="380"/>
        <v/>
      </c>
      <c r="Q4268" t="str">
        <f t="shared" si="381"/>
        <v/>
      </c>
    </row>
    <row r="4269" spans="1:17" hidden="1">
      <c r="A4269" t="s">
        <v>4374</v>
      </c>
      <c r="B4269" s="1">
        <v>45489</v>
      </c>
      <c r="C4269">
        <v>2024</v>
      </c>
      <c r="D4269">
        <v>7</v>
      </c>
      <c r="E4269" t="s">
        <v>13</v>
      </c>
      <c r="F4269" t="s">
        <v>24</v>
      </c>
      <c r="G4269" t="s">
        <v>108</v>
      </c>
      <c r="H4269" t="s">
        <v>126</v>
      </c>
      <c r="I4269">
        <v>4240.45</v>
      </c>
      <c r="J4269">
        <v>4399.87</v>
      </c>
      <c r="K4269" t="s">
        <v>17</v>
      </c>
      <c r="L4269" t="b">
        <v>0</v>
      </c>
      <c r="N4269" s="2" t="str">
        <f t="shared" si="380"/>
        <v/>
      </c>
      <c r="Q4269" t="str">
        <f t="shared" si="381"/>
        <v/>
      </c>
    </row>
    <row r="4270" spans="1:17" hidden="1">
      <c r="A4270" t="s">
        <v>4375</v>
      </c>
      <c r="B4270" s="1">
        <v>45489</v>
      </c>
      <c r="C4270">
        <v>2024</v>
      </c>
      <c r="D4270">
        <v>7</v>
      </c>
      <c r="E4270" t="s">
        <v>13</v>
      </c>
      <c r="F4270" t="s">
        <v>24</v>
      </c>
      <c r="G4270" t="s">
        <v>108</v>
      </c>
      <c r="H4270" t="s">
        <v>109</v>
      </c>
      <c r="I4270">
        <v>3862.09</v>
      </c>
      <c r="J4270">
        <v>3783.8</v>
      </c>
      <c r="K4270" t="s">
        <v>17</v>
      </c>
      <c r="L4270" t="b">
        <v>0</v>
      </c>
      <c r="N4270" s="2" t="str">
        <f t="shared" si="380"/>
        <v/>
      </c>
      <c r="Q4270" t="str">
        <f t="shared" si="381"/>
        <v/>
      </c>
    </row>
    <row r="4271" spans="1:17" hidden="1">
      <c r="A4271" t="s">
        <v>4376</v>
      </c>
      <c r="B4271" s="1">
        <v>45489</v>
      </c>
      <c r="C4271">
        <v>2024</v>
      </c>
      <c r="D4271">
        <v>7</v>
      </c>
      <c r="E4271" t="s">
        <v>13</v>
      </c>
      <c r="F4271" t="s">
        <v>24</v>
      </c>
      <c r="G4271" t="s">
        <v>68</v>
      </c>
      <c r="H4271" t="s">
        <v>213</v>
      </c>
      <c r="I4271">
        <v>3531.15</v>
      </c>
      <c r="J4271">
        <v>3361.74</v>
      </c>
      <c r="K4271" t="s">
        <v>17</v>
      </c>
      <c r="L4271" t="b">
        <v>0</v>
      </c>
      <c r="N4271" s="2" t="str">
        <f t="shared" si="380"/>
        <v/>
      </c>
      <c r="Q4271" t="str">
        <f t="shared" si="381"/>
        <v/>
      </c>
    </row>
    <row r="4272" spans="1:17" hidden="1">
      <c r="A4272" t="s">
        <v>4377</v>
      </c>
      <c r="B4272" s="1">
        <v>45489</v>
      </c>
      <c r="C4272">
        <v>2024</v>
      </c>
      <c r="D4272">
        <v>7</v>
      </c>
      <c r="E4272" t="s">
        <v>13</v>
      </c>
      <c r="F4272" t="s">
        <v>24</v>
      </c>
      <c r="G4272" t="s">
        <v>108</v>
      </c>
      <c r="H4272" t="s">
        <v>109</v>
      </c>
      <c r="I4272">
        <v>3024.21</v>
      </c>
      <c r="J4272">
        <v>3284.55</v>
      </c>
      <c r="K4272" t="s">
        <v>17</v>
      </c>
      <c r="L4272" t="b">
        <v>0</v>
      </c>
      <c r="N4272" s="2" t="str">
        <f t="shared" si="380"/>
        <v/>
      </c>
      <c r="Q4272" t="str">
        <f t="shared" si="381"/>
        <v/>
      </c>
    </row>
    <row r="4273" spans="1:17" hidden="1">
      <c r="A4273" t="s">
        <v>4378</v>
      </c>
      <c r="B4273" s="1">
        <v>45489</v>
      </c>
      <c r="C4273">
        <v>2024</v>
      </c>
      <c r="D4273">
        <v>7</v>
      </c>
      <c r="E4273" t="s">
        <v>47</v>
      </c>
      <c r="F4273" t="s">
        <v>14</v>
      </c>
      <c r="G4273" t="s">
        <v>91</v>
      </c>
      <c r="H4273" t="s">
        <v>254</v>
      </c>
      <c r="I4273">
        <v>18418.57</v>
      </c>
      <c r="J4273">
        <v>15228.94</v>
      </c>
      <c r="K4273" t="s">
        <v>17</v>
      </c>
      <c r="L4273" t="b">
        <v>0</v>
      </c>
      <c r="N4273" s="2" t="b">
        <f t="shared" si="380"/>
        <v>1</v>
      </c>
      <c r="O4273" t="b">
        <f t="shared" ref="O4273:O4275" si="386">IF(AND(E4262="HR",K4262="EXPENSE"),I4262&lt;J4262,"")</f>
        <v>0</v>
      </c>
      <c r="Q4273" t="str">
        <f t="shared" si="381"/>
        <v/>
      </c>
    </row>
    <row r="4274" spans="1:17" hidden="1">
      <c r="A4274" t="s">
        <v>4379</v>
      </c>
      <c r="B4274" s="1">
        <v>45489</v>
      </c>
      <c r="C4274">
        <v>2024</v>
      </c>
      <c r="D4274">
        <v>7</v>
      </c>
      <c r="E4274" t="s">
        <v>47</v>
      </c>
      <c r="F4274" t="s">
        <v>14</v>
      </c>
      <c r="G4274" t="s">
        <v>51</v>
      </c>
      <c r="H4274" t="s">
        <v>52</v>
      </c>
      <c r="I4274">
        <v>16581.43</v>
      </c>
      <c r="J4274">
        <v>13853.31</v>
      </c>
      <c r="K4274" t="s">
        <v>17</v>
      </c>
      <c r="L4274" t="b">
        <v>0</v>
      </c>
      <c r="N4274" s="2" t="b">
        <f t="shared" si="380"/>
        <v>1</v>
      </c>
      <c r="O4274" t="str">
        <f t="shared" si="386"/>
        <v/>
      </c>
      <c r="Q4274" t="str">
        <f t="shared" si="381"/>
        <v/>
      </c>
    </row>
    <row r="4275" spans="1:17" hidden="1">
      <c r="A4275" t="s">
        <v>4380</v>
      </c>
      <c r="B4275" s="1">
        <v>45489</v>
      </c>
      <c r="C4275">
        <v>2024</v>
      </c>
      <c r="D4275">
        <v>7</v>
      </c>
      <c r="E4275" t="s">
        <v>47</v>
      </c>
      <c r="F4275" t="s">
        <v>24</v>
      </c>
      <c r="G4275" t="s">
        <v>48</v>
      </c>
      <c r="H4275" t="s">
        <v>49</v>
      </c>
      <c r="I4275">
        <v>10139.200000000001</v>
      </c>
      <c r="J4275">
        <v>8333.39</v>
      </c>
      <c r="K4275" t="s">
        <v>17</v>
      </c>
      <c r="L4275" t="b">
        <v>0</v>
      </c>
      <c r="N4275" s="2" t="b">
        <f t="shared" si="380"/>
        <v>1</v>
      </c>
      <c r="O4275" t="str">
        <f t="shared" si="386"/>
        <v/>
      </c>
      <c r="Q4275" t="str">
        <f t="shared" si="381"/>
        <v/>
      </c>
    </row>
    <row r="4276" spans="1:17" hidden="1">
      <c r="A4276" t="s">
        <v>4381</v>
      </c>
      <c r="B4276" s="1">
        <v>45489</v>
      </c>
      <c r="C4276">
        <v>2024</v>
      </c>
      <c r="D4276">
        <v>7</v>
      </c>
      <c r="E4276" t="s">
        <v>23</v>
      </c>
      <c r="F4276" t="s">
        <v>28</v>
      </c>
      <c r="G4276" t="s">
        <v>59</v>
      </c>
      <c r="H4276" t="s">
        <v>155</v>
      </c>
      <c r="I4276">
        <v>5438.26</v>
      </c>
      <c r="J4276">
        <v>5795.98</v>
      </c>
      <c r="K4276" t="s">
        <v>17</v>
      </c>
      <c r="L4276" t="b">
        <v>0</v>
      </c>
      <c r="N4276" s="2" t="str">
        <f t="shared" si="380"/>
        <v/>
      </c>
      <c r="Q4276" t="str">
        <f t="shared" si="381"/>
        <v/>
      </c>
    </row>
    <row r="4277" spans="1:17" hidden="1">
      <c r="A4277" t="s">
        <v>4382</v>
      </c>
      <c r="B4277" s="1">
        <v>45489</v>
      </c>
      <c r="C4277">
        <v>2024</v>
      </c>
      <c r="D4277">
        <v>7</v>
      </c>
      <c r="E4277" t="s">
        <v>37</v>
      </c>
      <c r="F4277" t="s">
        <v>14</v>
      </c>
      <c r="G4277" t="s">
        <v>98</v>
      </c>
      <c r="H4277" t="s">
        <v>99</v>
      </c>
      <c r="I4277">
        <v>2882.11</v>
      </c>
      <c r="J4277">
        <v>2825.3</v>
      </c>
      <c r="K4277" t="s">
        <v>17</v>
      </c>
      <c r="L4277" t="b">
        <v>0</v>
      </c>
      <c r="N4277" s="2" t="str">
        <f t="shared" si="380"/>
        <v/>
      </c>
      <c r="Q4277" t="str">
        <f t="shared" si="381"/>
        <v/>
      </c>
    </row>
    <row r="4278" spans="1:17" hidden="1">
      <c r="A4278" t="s">
        <v>4383</v>
      </c>
      <c r="B4278" s="1">
        <v>45490</v>
      </c>
      <c r="C4278">
        <v>2024</v>
      </c>
      <c r="D4278">
        <v>7</v>
      </c>
      <c r="E4278" t="s">
        <v>47</v>
      </c>
      <c r="F4278" t="s">
        <v>14</v>
      </c>
      <c r="G4278" t="s">
        <v>91</v>
      </c>
      <c r="H4278" t="s">
        <v>128</v>
      </c>
      <c r="I4278">
        <v>13979.31</v>
      </c>
      <c r="J4278">
        <v>11664.17</v>
      </c>
      <c r="K4278" t="s">
        <v>17</v>
      </c>
      <c r="L4278" t="b">
        <v>0</v>
      </c>
      <c r="N4278" s="2" t="b">
        <f t="shared" si="380"/>
        <v>1</v>
      </c>
      <c r="O4278" t="str">
        <f>IF(AND(E4267="HR",K4267="EXPENSE"),I4267&lt;J4267,"")</f>
        <v/>
      </c>
      <c r="Q4278" t="str">
        <f t="shared" si="381"/>
        <v/>
      </c>
    </row>
    <row r="4279" spans="1:17" hidden="1">
      <c r="A4279" t="s">
        <v>4384</v>
      </c>
      <c r="B4279" s="1">
        <v>45490</v>
      </c>
      <c r="C4279">
        <v>2024</v>
      </c>
      <c r="D4279">
        <v>7</v>
      </c>
      <c r="E4279" t="s">
        <v>19</v>
      </c>
      <c r="F4279" t="s">
        <v>14</v>
      </c>
      <c r="G4279" t="s">
        <v>80</v>
      </c>
      <c r="H4279" t="s">
        <v>217</v>
      </c>
      <c r="I4279">
        <v>3731.34</v>
      </c>
      <c r="J4279">
        <v>4001.79</v>
      </c>
      <c r="K4279" t="s">
        <v>17</v>
      </c>
      <c r="L4279" t="b">
        <v>0</v>
      </c>
      <c r="N4279" s="2" t="str">
        <f t="shared" si="380"/>
        <v/>
      </c>
      <c r="Q4279" t="str">
        <f t="shared" si="381"/>
        <v/>
      </c>
    </row>
    <row r="4280" spans="1:17" hidden="1">
      <c r="A4280" t="s">
        <v>4385</v>
      </c>
      <c r="B4280" s="1">
        <v>45490</v>
      </c>
      <c r="C4280">
        <v>2024</v>
      </c>
      <c r="D4280">
        <v>7</v>
      </c>
      <c r="E4280" t="s">
        <v>23</v>
      </c>
      <c r="F4280" t="s">
        <v>28</v>
      </c>
      <c r="G4280" t="s">
        <v>59</v>
      </c>
      <c r="H4280" t="s">
        <v>155</v>
      </c>
      <c r="I4280">
        <v>3383.09</v>
      </c>
      <c r="J4280">
        <v>3156.78</v>
      </c>
      <c r="K4280" t="s">
        <v>17</v>
      </c>
      <c r="L4280" t="b">
        <v>0</v>
      </c>
      <c r="N4280" s="2" t="str">
        <f t="shared" si="380"/>
        <v/>
      </c>
      <c r="Q4280" t="str">
        <f t="shared" si="381"/>
        <v/>
      </c>
    </row>
    <row r="4281" spans="1:17" hidden="1">
      <c r="A4281" t="s">
        <v>4386</v>
      </c>
      <c r="B4281" s="1">
        <v>45491</v>
      </c>
      <c r="C4281">
        <v>2024</v>
      </c>
      <c r="D4281">
        <v>7</v>
      </c>
      <c r="E4281" t="s">
        <v>13</v>
      </c>
      <c r="F4281" t="s">
        <v>14</v>
      </c>
      <c r="G4281" t="s">
        <v>102</v>
      </c>
      <c r="H4281" t="s">
        <v>278</v>
      </c>
      <c r="I4281">
        <v>6045.56</v>
      </c>
      <c r="J4281">
        <v>6141.17</v>
      </c>
      <c r="K4281" t="s">
        <v>17</v>
      </c>
      <c r="L4281" t="b">
        <v>0</v>
      </c>
      <c r="N4281" s="2" t="str">
        <f t="shared" si="380"/>
        <v/>
      </c>
      <c r="Q4281" t="str">
        <f t="shared" si="381"/>
        <v/>
      </c>
    </row>
    <row r="4282" spans="1:17" hidden="1">
      <c r="A4282" t="s">
        <v>4387</v>
      </c>
      <c r="B4282" s="1">
        <v>45491</v>
      </c>
      <c r="C4282">
        <v>2024</v>
      </c>
      <c r="D4282">
        <v>7</v>
      </c>
      <c r="E4282" t="s">
        <v>23</v>
      </c>
      <c r="F4282" t="s">
        <v>24</v>
      </c>
      <c r="G4282" t="s">
        <v>59</v>
      </c>
      <c r="H4282" t="s">
        <v>155</v>
      </c>
      <c r="I4282">
        <v>5148.99</v>
      </c>
      <c r="J4282">
        <v>5413.11</v>
      </c>
      <c r="K4282" t="s">
        <v>17</v>
      </c>
      <c r="L4282" t="b">
        <v>0</v>
      </c>
      <c r="N4282" s="2" t="str">
        <f t="shared" si="380"/>
        <v/>
      </c>
      <c r="Q4282" t="str">
        <f t="shared" si="381"/>
        <v/>
      </c>
    </row>
    <row r="4283" spans="1:17" hidden="1">
      <c r="A4283" t="s">
        <v>4388</v>
      </c>
      <c r="B4283" s="1">
        <v>45491</v>
      </c>
      <c r="C4283">
        <v>2024</v>
      </c>
      <c r="D4283">
        <v>7</v>
      </c>
      <c r="E4283" t="s">
        <v>23</v>
      </c>
      <c r="F4283" t="s">
        <v>24</v>
      </c>
      <c r="G4283" t="s">
        <v>25</v>
      </c>
      <c r="H4283" t="s">
        <v>95</v>
      </c>
      <c r="I4283">
        <v>3795.3</v>
      </c>
      <c r="J4283">
        <v>4103.67</v>
      </c>
      <c r="K4283" t="s">
        <v>17</v>
      </c>
      <c r="L4283" t="b">
        <v>0</v>
      </c>
      <c r="N4283" s="2" t="str">
        <f t="shared" si="380"/>
        <v/>
      </c>
      <c r="Q4283" t="str">
        <f t="shared" si="381"/>
        <v/>
      </c>
    </row>
    <row r="4284" spans="1:17" hidden="1">
      <c r="A4284" t="s">
        <v>4389</v>
      </c>
      <c r="B4284" s="1">
        <v>45492</v>
      </c>
      <c r="C4284">
        <v>2024</v>
      </c>
      <c r="D4284">
        <v>7</v>
      </c>
      <c r="E4284" t="s">
        <v>13</v>
      </c>
      <c r="F4284" t="s">
        <v>14</v>
      </c>
      <c r="G4284" t="s">
        <v>15</v>
      </c>
      <c r="H4284" t="s">
        <v>89</v>
      </c>
      <c r="I4284">
        <v>4059.78</v>
      </c>
      <c r="J4284">
        <v>3769.33</v>
      </c>
      <c r="K4284" t="s">
        <v>17</v>
      </c>
      <c r="L4284" t="b">
        <v>0</v>
      </c>
      <c r="N4284" s="2" t="str">
        <f t="shared" si="380"/>
        <v/>
      </c>
      <c r="Q4284" t="str">
        <f t="shared" si="381"/>
        <v/>
      </c>
    </row>
    <row r="4285" spans="1:17" hidden="1">
      <c r="A4285" t="s">
        <v>4390</v>
      </c>
      <c r="B4285" s="1">
        <v>45492</v>
      </c>
      <c r="C4285">
        <v>2024</v>
      </c>
      <c r="D4285">
        <v>7</v>
      </c>
      <c r="E4285" t="s">
        <v>13</v>
      </c>
      <c r="F4285" t="s">
        <v>28</v>
      </c>
      <c r="G4285" t="s">
        <v>102</v>
      </c>
      <c r="H4285" t="s">
        <v>103</v>
      </c>
      <c r="I4285">
        <v>4430.59</v>
      </c>
      <c r="J4285">
        <v>4830.7700000000004</v>
      </c>
      <c r="K4285" t="s">
        <v>17</v>
      </c>
      <c r="L4285" t="b">
        <v>0</v>
      </c>
      <c r="N4285" s="2" t="str">
        <f t="shared" si="380"/>
        <v/>
      </c>
      <c r="Q4285" t="str">
        <f t="shared" si="381"/>
        <v/>
      </c>
    </row>
    <row r="4286" spans="1:17" hidden="1">
      <c r="A4286" t="s">
        <v>4391</v>
      </c>
      <c r="B4286" s="1">
        <v>45492</v>
      </c>
      <c r="C4286">
        <v>2024</v>
      </c>
      <c r="D4286">
        <v>7</v>
      </c>
      <c r="E4286" t="s">
        <v>47</v>
      </c>
      <c r="F4286" t="s">
        <v>14</v>
      </c>
      <c r="G4286" t="s">
        <v>48</v>
      </c>
      <c r="H4286" t="s">
        <v>49</v>
      </c>
      <c r="I4286">
        <v>16965.04</v>
      </c>
      <c r="J4286">
        <v>14352.17</v>
      </c>
      <c r="K4286" t="s">
        <v>17</v>
      </c>
      <c r="L4286" t="b">
        <v>0</v>
      </c>
      <c r="N4286" s="2" t="b">
        <f t="shared" si="380"/>
        <v>1</v>
      </c>
      <c r="O4286" t="str">
        <f t="shared" ref="O4286:O4289" si="387">IF(AND(E4275="HR",K4275="EXPENSE"),I4275&lt;J4275,"")</f>
        <v/>
      </c>
      <c r="Q4286" t="str">
        <f t="shared" si="381"/>
        <v/>
      </c>
    </row>
    <row r="4287" spans="1:17" hidden="1">
      <c r="A4287" t="s">
        <v>4392</v>
      </c>
      <c r="B4287" s="1">
        <v>45492</v>
      </c>
      <c r="C4287">
        <v>2024</v>
      </c>
      <c r="D4287">
        <v>7</v>
      </c>
      <c r="E4287" t="s">
        <v>47</v>
      </c>
      <c r="F4287" t="s">
        <v>14</v>
      </c>
      <c r="G4287" t="s">
        <v>48</v>
      </c>
      <c r="H4287" t="s">
        <v>189</v>
      </c>
      <c r="I4287">
        <v>13264.46</v>
      </c>
      <c r="J4287">
        <v>11261.57</v>
      </c>
      <c r="K4287" t="s">
        <v>17</v>
      </c>
      <c r="L4287" t="b">
        <v>0</v>
      </c>
      <c r="N4287" s="2" t="b">
        <f t="shared" si="380"/>
        <v>1</v>
      </c>
      <c r="O4287" t="str">
        <f t="shared" si="387"/>
        <v/>
      </c>
      <c r="Q4287" t="str">
        <f t="shared" si="381"/>
        <v/>
      </c>
    </row>
    <row r="4288" spans="1:17" hidden="1">
      <c r="A4288" t="s">
        <v>4393</v>
      </c>
      <c r="B4288" s="1">
        <v>45492</v>
      </c>
      <c r="C4288">
        <v>2024</v>
      </c>
      <c r="D4288">
        <v>7</v>
      </c>
      <c r="E4288" t="s">
        <v>47</v>
      </c>
      <c r="F4288" t="s">
        <v>28</v>
      </c>
      <c r="G4288" t="s">
        <v>51</v>
      </c>
      <c r="H4288" t="s">
        <v>189</v>
      </c>
      <c r="I4288">
        <v>17299.16</v>
      </c>
      <c r="J4288">
        <v>14712.84</v>
      </c>
      <c r="K4288" t="s">
        <v>17</v>
      </c>
      <c r="L4288" t="b">
        <v>0</v>
      </c>
      <c r="N4288" s="2" t="b">
        <f t="shared" si="380"/>
        <v>1</v>
      </c>
      <c r="O4288" t="str">
        <f t="shared" si="387"/>
        <v/>
      </c>
      <c r="Q4288" t="str">
        <f t="shared" si="381"/>
        <v/>
      </c>
    </row>
    <row r="4289" spans="1:17" hidden="1">
      <c r="A4289" t="s">
        <v>4394</v>
      </c>
      <c r="B4289" s="1">
        <v>45492</v>
      </c>
      <c r="C4289">
        <v>2024</v>
      </c>
      <c r="D4289">
        <v>7</v>
      </c>
      <c r="E4289" t="s">
        <v>47</v>
      </c>
      <c r="F4289" t="s">
        <v>24</v>
      </c>
      <c r="G4289" t="s">
        <v>51</v>
      </c>
      <c r="H4289" t="s">
        <v>52</v>
      </c>
      <c r="I4289">
        <v>9688.7800000000007</v>
      </c>
      <c r="J4289">
        <v>8108.35</v>
      </c>
      <c r="K4289" t="s">
        <v>17</v>
      </c>
      <c r="L4289" t="b">
        <v>0</v>
      </c>
      <c r="N4289" s="2" t="b">
        <f t="shared" si="380"/>
        <v>1</v>
      </c>
      <c r="O4289" t="str">
        <f t="shared" si="387"/>
        <v/>
      </c>
      <c r="Q4289" t="str">
        <f t="shared" si="381"/>
        <v/>
      </c>
    </row>
    <row r="4290" spans="1:17" hidden="1">
      <c r="A4290" t="s">
        <v>4395</v>
      </c>
      <c r="B4290" s="1">
        <v>45492</v>
      </c>
      <c r="C4290">
        <v>2024</v>
      </c>
      <c r="D4290">
        <v>7</v>
      </c>
      <c r="E4290" t="s">
        <v>19</v>
      </c>
      <c r="F4290" t="s">
        <v>14</v>
      </c>
      <c r="G4290" t="s">
        <v>132</v>
      </c>
      <c r="H4290" t="s">
        <v>138</v>
      </c>
      <c r="I4290">
        <v>7237.15</v>
      </c>
      <c r="J4290">
        <v>7161.8</v>
      </c>
      <c r="K4290" t="s">
        <v>17</v>
      </c>
      <c r="L4290" t="b">
        <v>0</v>
      </c>
      <c r="N4290" s="2" t="str">
        <f t="shared" si="380"/>
        <v/>
      </c>
      <c r="Q4290" t="str">
        <f t="shared" si="381"/>
        <v/>
      </c>
    </row>
    <row r="4291" spans="1:17" hidden="1">
      <c r="A4291" t="s">
        <v>4396</v>
      </c>
      <c r="B4291" s="1">
        <v>45492</v>
      </c>
      <c r="C4291">
        <v>2024</v>
      </c>
      <c r="D4291">
        <v>7</v>
      </c>
      <c r="E4291" t="s">
        <v>19</v>
      </c>
      <c r="F4291" t="s">
        <v>28</v>
      </c>
      <c r="G4291" t="s">
        <v>132</v>
      </c>
      <c r="H4291" t="s">
        <v>138</v>
      </c>
      <c r="I4291">
        <v>8322.31</v>
      </c>
      <c r="J4291">
        <v>7909.85</v>
      </c>
      <c r="K4291" t="s">
        <v>17</v>
      </c>
      <c r="L4291" t="b">
        <v>0</v>
      </c>
      <c r="N4291" s="2" t="str">
        <f t="shared" ref="N4291:N4354" si="388">IF(AND(E4291="IT",K4291="EXPENSE"),I4291&gt;J4291,"")</f>
        <v/>
      </c>
      <c r="Q4291" t="str">
        <f t="shared" ref="Q4291:Q4354" si="389">IF(L4291=TRUE,OR(H4291="Apex Solutions Inc",H4291="Global Trade Partners",H4291="NovaTech Services"),"")</f>
        <v/>
      </c>
    </row>
    <row r="4292" spans="1:17" hidden="1">
      <c r="A4292" t="s">
        <v>4397</v>
      </c>
      <c r="B4292" s="1">
        <v>45492</v>
      </c>
      <c r="C4292">
        <v>2024</v>
      </c>
      <c r="D4292">
        <v>7</v>
      </c>
      <c r="E4292" t="s">
        <v>19</v>
      </c>
      <c r="F4292" t="s">
        <v>28</v>
      </c>
      <c r="G4292" t="s">
        <v>54</v>
      </c>
      <c r="H4292" t="s">
        <v>57</v>
      </c>
      <c r="I4292">
        <v>6828.7</v>
      </c>
      <c r="J4292">
        <v>7022.82</v>
      </c>
      <c r="K4292" t="s">
        <v>17</v>
      </c>
      <c r="L4292" t="b">
        <v>0</v>
      </c>
      <c r="N4292" s="2" t="str">
        <f t="shared" si="388"/>
        <v/>
      </c>
      <c r="Q4292" t="str">
        <f t="shared" si="389"/>
        <v/>
      </c>
    </row>
    <row r="4293" spans="1:17" hidden="1">
      <c r="A4293" t="s">
        <v>4398</v>
      </c>
      <c r="B4293" s="1">
        <v>45492</v>
      </c>
      <c r="C4293">
        <v>2024</v>
      </c>
      <c r="D4293">
        <v>7</v>
      </c>
      <c r="E4293" t="s">
        <v>37</v>
      </c>
      <c r="F4293" t="s">
        <v>14</v>
      </c>
      <c r="G4293" t="s">
        <v>41</v>
      </c>
      <c r="H4293" t="s">
        <v>42</v>
      </c>
      <c r="I4293">
        <v>5833.49</v>
      </c>
      <c r="J4293">
        <v>5867.44</v>
      </c>
      <c r="K4293" t="s">
        <v>17</v>
      </c>
      <c r="L4293" t="b">
        <v>0</v>
      </c>
      <c r="N4293" s="2" t="str">
        <f t="shared" si="388"/>
        <v/>
      </c>
      <c r="Q4293" t="str">
        <f t="shared" si="389"/>
        <v/>
      </c>
    </row>
    <row r="4294" spans="1:17" hidden="1">
      <c r="A4294" t="s">
        <v>4399</v>
      </c>
      <c r="B4294" s="1">
        <v>45492</v>
      </c>
      <c r="C4294">
        <v>2024</v>
      </c>
      <c r="D4294">
        <v>7</v>
      </c>
      <c r="E4294" t="s">
        <v>37</v>
      </c>
      <c r="F4294" t="s">
        <v>28</v>
      </c>
      <c r="G4294" t="s">
        <v>41</v>
      </c>
      <c r="H4294" t="s">
        <v>42</v>
      </c>
      <c r="I4294">
        <v>6534.9</v>
      </c>
      <c r="J4294">
        <v>6276.94</v>
      </c>
      <c r="K4294" t="s">
        <v>17</v>
      </c>
      <c r="L4294" t="b">
        <v>0</v>
      </c>
      <c r="N4294" s="2" t="str">
        <f t="shared" si="388"/>
        <v/>
      </c>
      <c r="Q4294" t="str">
        <f t="shared" si="389"/>
        <v/>
      </c>
    </row>
    <row r="4295" spans="1:17" hidden="1">
      <c r="A4295" t="s">
        <v>4400</v>
      </c>
      <c r="B4295" s="1">
        <v>45493</v>
      </c>
      <c r="C4295">
        <v>2024</v>
      </c>
      <c r="D4295">
        <v>7</v>
      </c>
      <c r="E4295" t="s">
        <v>13</v>
      </c>
      <c r="F4295" t="s">
        <v>28</v>
      </c>
      <c r="G4295" t="s">
        <v>68</v>
      </c>
      <c r="H4295" t="s">
        <v>213</v>
      </c>
      <c r="I4295">
        <v>3622.27</v>
      </c>
      <c r="J4295">
        <v>3435.26</v>
      </c>
      <c r="K4295" t="s">
        <v>17</v>
      </c>
      <c r="L4295" t="b">
        <v>0</v>
      </c>
      <c r="N4295" s="2" t="str">
        <f t="shared" si="388"/>
        <v/>
      </c>
      <c r="Q4295" t="str">
        <f t="shared" si="389"/>
        <v/>
      </c>
    </row>
    <row r="4296" spans="1:17" hidden="1">
      <c r="A4296" t="s">
        <v>4401</v>
      </c>
      <c r="B4296" s="1">
        <v>45493</v>
      </c>
      <c r="C4296">
        <v>2024</v>
      </c>
      <c r="D4296">
        <v>7</v>
      </c>
      <c r="E4296" t="s">
        <v>13</v>
      </c>
      <c r="F4296" t="s">
        <v>24</v>
      </c>
      <c r="G4296" t="s">
        <v>15</v>
      </c>
      <c r="H4296" t="s">
        <v>45</v>
      </c>
      <c r="I4296">
        <v>2950.15</v>
      </c>
      <c r="J4296">
        <v>3025.3</v>
      </c>
      <c r="K4296" t="s">
        <v>17</v>
      </c>
      <c r="L4296" t="b">
        <v>0</v>
      </c>
      <c r="N4296" s="2" t="str">
        <f t="shared" si="388"/>
        <v/>
      </c>
      <c r="Q4296" t="str">
        <f t="shared" si="389"/>
        <v/>
      </c>
    </row>
    <row r="4297" spans="1:17" hidden="1">
      <c r="A4297" t="s">
        <v>4402</v>
      </c>
      <c r="B4297" s="1">
        <v>45493</v>
      </c>
      <c r="C4297">
        <v>2024</v>
      </c>
      <c r="D4297">
        <v>7</v>
      </c>
      <c r="E4297" t="s">
        <v>19</v>
      </c>
      <c r="F4297" t="s">
        <v>14</v>
      </c>
      <c r="G4297" t="s">
        <v>132</v>
      </c>
      <c r="H4297" t="s">
        <v>133</v>
      </c>
      <c r="I4297">
        <v>7135.33</v>
      </c>
      <c r="J4297">
        <v>7326.88</v>
      </c>
      <c r="K4297" t="s">
        <v>17</v>
      </c>
      <c r="L4297" t="b">
        <v>0</v>
      </c>
      <c r="N4297" s="2" t="str">
        <f t="shared" si="388"/>
        <v/>
      </c>
      <c r="Q4297" t="str">
        <f t="shared" si="389"/>
        <v/>
      </c>
    </row>
    <row r="4298" spans="1:17" hidden="1">
      <c r="A4298" t="s">
        <v>4403</v>
      </c>
      <c r="B4298" s="1">
        <v>45493</v>
      </c>
      <c r="C4298">
        <v>2024</v>
      </c>
      <c r="D4298">
        <v>7</v>
      </c>
      <c r="E4298" t="s">
        <v>19</v>
      </c>
      <c r="F4298" t="s">
        <v>28</v>
      </c>
      <c r="G4298" t="s">
        <v>132</v>
      </c>
      <c r="H4298" t="s">
        <v>138</v>
      </c>
      <c r="I4298">
        <v>8213.8799999999992</v>
      </c>
      <c r="J4298">
        <v>7925.98</v>
      </c>
      <c r="K4298" t="s">
        <v>17</v>
      </c>
      <c r="L4298" t="b">
        <v>0</v>
      </c>
      <c r="N4298" s="2" t="str">
        <f t="shared" si="388"/>
        <v/>
      </c>
      <c r="Q4298" t="str">
        <f t="shared" si="389"/>
        <v/>
      </c>
    </row>
    <row r="4299" spans="1:17" hidden="1">
      <c r="A4299" t="s">
        <v>4404</v>
      </c>
      <c r="B4299" s="1">
        <v>45493</v>
      </c>
      <c r="C4299">
        <v>2024</v>
      </c>
      <c r="D4299">
        <v>7</v>
      </c>
      <c r="E4299" t="s">
        <v>19</v>
      </c>
      <c r="F4299" t="s">
        <v>28</v>
      </c>
      <c r="G4299" t="s">
        <v>54</v>
      </c>
      <c r="H4299" t="s">
        <v>57</v>
      </c>
      <c r="I4299">
        <v>6857.07</v>
      </c>
      <c r="J4299">
        <v>6931.83</v>
      </c>
      <c r="K4299" t="s">
        <v>17</v>
      </c>
      <c r="L4299" t="b">
        <v>0</v>
      </c>
      <c r="N4299" s="2" t="str">
        <f t="shared" si="388"/>
        <v/>
      </c>
      <c r="Q4299" t="str">
        <f t="shared" si="389"/>
        <v/>
      </c>
    </row>
    <row r="4300" spans="1:17" hidden="1">
      <c r="A4300" t="s">
        <v>4405</v>
      </c>
      <c r="B4300" s="1">
        <v>45493</v>
      </c>
      <c r="C4300">
        <v>2024</v>
      </c>
      <c r="D4300">
        <v>7</v>
      </c>
      <c r="E4300" t="s">
        <v>19</v>
      </c>
      <c r="F4300" t="s">
        <v>24</v>
      </c>
      <c r="G4300" t="s">
        <v>54</v>
      </c>
      <c r="H4300" t="s">
        <v>57</v>
      </c>
      <c r="I4300">
        <v>5369.26</v>
      </c>
      <c r="J4300">
        <v>5729.26</v>
      </c>
      <c r="K4300" t="s">
        <v>17</v>
      </c>
      <c r="L4300" t="b">
        <v>0</v>
      </c>
      <c r="N4300" s="2" t="str">
        <f t="shared" si="388"/>
        <v/>
      </c>
      <c r="Q4300" t="str">
        <f t="shared" si="389"/>
        <v/>
      </c>
    </row>
    <row r="4301" spans="1:17" hidden="1">
      <c r="A4301" t="s">
        <v>4406</v>
      </c>
      <c r="B4301" s="1">
        <v>45493</v>
      </c>
      <c r="C4301">
        <v>2024</v>
      </c>
      <c r="D4301">
        <v>7</v>
      </c>
      <c r="E4301" t="s">
        <v>19</v>
      </c>
      <c r="F4301" t="s">
        <v>24</v>
      </c>
      <c r="G4301" t="s">
        <v>54</v>
      </c>
      <c r="H4301" t="s">
        <v>55</v>
      </c>
      <c r="I4301">
        <v>6986.22</v>
      </c>
      <c r="J4301">
        <v>6604.98</v>
      </c>
      <c r="K4301" t="s">
        <v>17</v>
      </c>
      <c r="L4301" t="b">
        <v>0</v>
      </c>
      <c r="N4301" s="2" t="str">
        <f t="shared" si="388"/>
        <v/>
      </c>
      <c r="Q4301" t="str">
        <f t="shared" si="389"/>
        <v/>
      </c>
    </row>
    <row r="4302" spans="1:17" hidden="1">
      <c r="A4302" t="s">
        <v>4407</v>
      </c>
      <c r="B4302" s="1">
        <v>45493</v>
      </c>
      <c r="C4302">
        <v>2024</v>
      </c>
      <c r="D4302">
        <v>7</v>
      </c>
      <c r="E4302" t="s">
        <v>23</v>
      </c>
      <c r="F4302" t="s">
        <v>14</v>
      </c>
      <c r="G4302" t="s">
        <v>59</v>
      </c>
      <c r="H4302" t="s">
        <v>60</v>
      </c>
      <c r="I4302">
        <v>4205.41</v>
      </c>
      <c r="J4302">
        <v>4506.17</v>
      </c>
      <c r="K4302" t="s">
        <v>17</v>
      </c>
      <c r="L4302" t="b">
        <v>0</v>
      </c>
      <c r="N4302" s="2" t="str">
        <f t="shared" si="388"/>
        <v/>
      </c>
      <c r="Q4302" t="str">
        <f t="shared" si="389"/>
        <v/>
      </c>
    </row>
    <row r="4303" spans="1:17" hidden="1">
      <c r="A4303" t="s">
        <v>4408</v>
      </c>
      <c r="B4303" s="1">
        <v>45493</v>
      </c>
      <c r="C4303">
        <v>2024</v>
      </c>
      <c r="D4303">
        <v>7</v>
      </c>
      <c r="E4303" t="s">
        <v>37</v>
      </c>
      <c r="F4303" t="s">
        <v>28</v>
      </c>
      <c r="G4303" t="s">
        <v>38</v>
      </c>
      <c r="H4303" t="s">
        <v>227</v>
      </c>
      <c r="I4303">
        <v>4243.97</v>
      </c>
      <c r="J4303">
        <v>4611.2299999999996</v>
      </c>
      <c r="K4303" t="s">
        <v>17</v>
      </c>
      <c r="L4303" t="b">
        <v>0</v>
      </c>
      <c r="N4303" s="2" t="str">
        <f t="shared" si="388"/>
        <v/>
      </c>
      <c r="Q4303" t="str">
        <f t="shared" si="389"/>
        <v/>
      </c>
    </row>
    <row r="4304" spans="1:17" hidden="1">
      <c r="A4304" t="s">
        <v>4409</v>
      </c>
      <c r="B4304" s="1">
        <v>45494</v>
      </c>
      <c r="C4304">
        <v>2024</v>
      </c>
      <c r="D4304">
        <v>7</v>
      </c>
      <c r="E4304" t="s">
        <v>19</v>
      </c>
      <c r="F4304" t="s">
        <v>24</v>
      </c>
      <c r="G4304" t="s">
        <v>20</v>
      </c>
      <c r="H4304" t="s">
        <v>21</v>
      </c>
      <c r="I4304">
        <v>4332.28</v>
      </c>
      <c r="J4304">
        <v>4078.19</v>
      </c>
      <c r="K4304" t="s">
        <v>17</v>
      </c>
      <c r="L4304" t="b">
        <v>0</v>
      </c>
      <c r="N4304" s="2" t="str">
        <f t="shared" si="388"/>
        <v/>
      </c>
      <c r="Q4304" t="str">
        <f t="shared" si="389"/>
        <v/>
      </c>
    </row>
    <row r="4305" spans="1:17" hidden="1">
      <c r="A4305" t="s">
        <v>4410</v>
      </c>
      <c r="B4305" s="1">
        <v>45494</v>
      </c>
      <c r="C4305">
        <v>2024</v>
      </c>
      <c r="D4305">
        <v>7</v>
      </c>
      <c r="E4305" t="s">
        <v>37</v>
      </c>
      <c r="F4305" t="s">
        <v>14</v>
      </c>
      <c r="G4305" t="s">
        <v>38</v>
      </c>
      <c r="H4305" t="s">
        <v>39</v>
      </c>
      <c r="I4305">
        <v>3798.87</v>
      </c>
      <c r="J4305">
        <v>4084.7</v>
      </c>
      <c r="K4305" t="s">
        <v>17</v>
      </c>
      <c r="L4305" t="b">
        <v>0</v>
      </c>
      <c r="N4305" s="2" t="str">
        <f t="shared" si="388"/>
        <v/>
      </c>
      <c r="Q4305" t="str">
        <f t="shared" si="389"/>
        <v/>
      </c>
    </row>
    <row r="4306" spans="1:17" hidden="1">
      <c r="A4306" t="s">
        <v>4411</v>
      </c>
      <c r="B4306" s="1">
        <v>45494</v>
      </c>
      <c r="C4306">
        <v>2024</v>
      </c>
      <c r="D4306">
        <v>7</v>
      </c>
      <c r="E4306" t="s">
        <v>37</v>
      </c>
      <c r="F4306" t="s">
        <v>28</v>
      </c>
      <c r="G4306" t="s">
        <v>98</v>
      </c>
      <c r="H4306" t="s">
        <v>99</v>
      </c>
      <c r="I4306">
        <v>8275.94</v>
      </c>
      <c r="J4306">
        <v>8933.11</v>
      </c>
      <c r="K4306" t="s">
        <v>17</v>
      </c>
      <c r="L4306" t="b">
        <v>0</v>
      </c>
      <c r="N4306" s="2" t="str">
        <f t="shared" si="388"/>
        <v/>
      </c>
      <c r="Q4306" t="str">
        <f t="shared" si="389"/>
        <v/>
      </c>
    </row>
    <row r="4307" spans="1:17" hidden="1">
      <c r="A4307" t="s">
        <v>4412</v>
      </c>
      <c r="B4307" s="1">
        <v>45494</v>
      </c>
      <c r="C4307">
        <v>2024</v>
      </c>
      <c r="D4307">
        <v>7</v>
      </c>
      <c r="E4307" t="s">
        <v>37</v>
      </c>
      <c r="F4307" t="s">
        <v>24</v>
      </c>
      <c r="G4307" t="s">
        <v>38</v>
      </c>
      <c r="H4307" t="s">
        <v>227</v>
      </c>
      <c r="I4307">
        <v>9004.66</v>
      </c>
      <c r="J4307">
        <v>9162.5400000000009</v>
      </c>
      <c r="K4307" t="s">
        <v>17</v>
      </c>
      <c r="L4307" t="b">
        <v>0</v>
      </c>
      <c r="N4307" s="2" t="str">
        <f t="shared" si="388"/>
        <v/>
      </c>
      <c r="Q4307" t="str">
        <f t="shared" si="389"/>
        <v/>
      </c>
    </row>
    <row r="4308" spans="1:17" hidden="1">
      <c r="A4308" t="s">
        <v>4413</v>
      </c>
      <c r="B4308" s="1">
        <v>45495</v>
      </c>
      <c r="C4308">
        <v>2024</v>
      </c>
      <c r="D4308">
        <v>7</v>
      </c>
      <c r="E4308" t="s">
        <v>13</v>
      </c>
      <c r="F4308" t="s">
        <v>14</v>
      </c>
      <c r="G4308" t="s">
        <v>102</v>
      </c>
      <c r="H4308" t="s">
        <v>145</v>
      </c>
      <c r="I4308">
        <v>2828.75</v>
      </c>
      <c r="J4308">
        <v>2666.98</v>
      </c>
      <c r="K4308" t="s">
        <v>17</v>
      </c>
      <c r="L4308" t="b">
        <v>0</v>
      </c>
      <c r="N4308" s="2" t="str">
        <f t="shared" si="388"/>
        <v/>
      </c>
      <c r="Q4308" t="str">
        <f t="shared" si="389"/>
        <v/>
      </c>
    </row>
    <row r="4309" spans="1:17" hidden="1">
      <c r="A4309" t="s">
        <v>4414</v>
      </c>
      <c r="B4309" s="1">
        <v>45495</v>
      </c>
      <c r="C4309">
        <v>2024</v>
      </c>
      <c r="D4309">
        <v>7</v>
      </c>
      <c r="E4309" t="s">
        <v>13</v>
      </c>
      <c r="F4309" t="s">
        <v>24</v>
      </c>
      <c r="G4309" t="s">
        <v>102</v>
      </c>
      <c r="H4309" t="s">
        <v>278</v>
      </c>
      <c r="I4309">
        <v>2880.43</v>
      </c>
      <c r="J4309">
        <v>2859.92</v>
      </c>
      <c r="K4309" t="s">
        <v>17</v>
      </c>
      <c r="L4309" t="b">
        <v>0</v>
      </c>
      <c r="N4309" s="2" t="str">
        <f t="shared" si="388"/>
        <v/>
      </c>
      <c r="Q4309" t="str">
        <f t="shared" si="389"/>
        <v/>
      </c>
    </row>
    <row r="4310" spans="1:17" hidden="1">
      <c r="A4310" t="s">
        <v>4415</v>
      </c>
      <c r="B4310" s="1">
        <v>45495</v>
      </c>
      <c r="C4310">
        <v>2024</v>
      </c>
      <c r="D4310">
        <v>7</v>
      </c>
      <c r="E4310" t="s">
        <v>47</v>
      </c>
      <c r="F4310" t="s">
        <v>14</v>
      </c>
      <c r="G4310" t="s">
        <v>91</v>
      </c>
      <c r="H4310" t="s">
        <v>92</v>
      </c>
      <c r="I4310">
        <v>18726.169999999998</v>
      </c>
      <c r="J4310">
        <v>15464.3</v>
      </c>
      <c r="K4310" t="s">
        <v>17</v>
      </c>
      <c r="L4310" t="b">
        <v>0</v>
      </c>
      <c r="N4310" s="2" t="b">
        <f t="shared" si="388"/>
        <v>1</v>
      </c>
      <c r="O4310" t="str">
        <f t="shared" ref="O4310:O4312" si="390">IF(AND(E4299="HR",K4299="EXPENSE"),I4299&lt;J4299,"")</f>
        <v/>
      </c>
      <c r="Q4310" t="str">
        <f t="shared" si="389"/>
        <v/>
      </c>
    </row>
    <row r="4311" spans="1:17" hidden="1">
      <c r="A4311" t="s">
        <v>4416</v>
      </c>
      <c r="B4311" s="1">
        <v>45495</v>
      </c>
      <c r="C4311">
        <v>2024</v>
      </c>
      <c r="D4311">
        <v>7</v>
      </c>
      <c r="E4311" t="s">
        <v>47</v>
      </c>
      <c r="F4311" t="s">
        <v>14</v>
      </c>
      <c r="G4311" t="s">
        <v>77</v>
      </c>
      <c r="H4311" t="s">
        <v>147</v>
      </c>
      <c r="I4311">
        <v>17158.830000000002</v>
      </c>
      <c r="J4311">
        <v>14096.77</v>
      </c>
      <c r="K4311" t="s">
        <v>17</v>
      </c>
      <c r="L4311" t="b">
        <v>0</v>
      </c>
      <c r="N4311" s="2" t="b">
        <f t="shared" si="388"/>
        <v>1</v>
      </c>
      <c r="O4311" t="str">
        <f t="shared" si="390"/>
        <v/>
      </c>
      <c r="Q4311" t="str">
        <f t="shared" si="389"/>
        <v/>
      </c>
    </row>
    <row r="4312" spans="1:17" hidden="1">
      <c r="A4312" t="s">
        <v>4417</v>
      </c>
      <c r="B4312" s="1">
        <v>45495</v>
      </c>
      <c r="C4312">
        <v>2024</v>
      </c>
      <c r="D4312">
        <v>7</v>
      </c>
      <c r="E4312" t="s">
        <v>47</v>
      </c>
      <c r="F4312" t="s">
        <v>28</v>
      </c>
      <c r="G4312" t="s">
        <v>51</v>
      </c>
      <c r="H4312" t="s">
        <v>52</v>
      </c>
      <c r="I4312">
        <v>12941.93</v>
      </c>
      <c r="J4312">
        <v>11073.44</v>
      </c>
      <c r="K4312" t="s">
        <v>17</v>
      </c>
      <c r="L4312" t="b">
        <v>0</v>
      </c>
      <c r="N4312" s="2" t="b">
        <f t="shared" si="388"/>
        <v>1</v>
      </c>
      <c r="O4312" t="str">
        <f t="shared" si="390"/>
        <v/>
      </c>
      <c r="Q4312" t="str">
        <f t="shared" si="389"/>
        <v/>
      </c>
    </row>
    <row r="4313" spans="1:17" hidden="1">
      <c r="A4313" t="s">
        <v>4418</v>
      </c>
      <c r="B4313" s="1">
        <v>45495</v>
      </c>
      <c r="C4313">
        <v>2024</v>
      </c>
      <c r="D4313">
        <v>7</v>
      </c>
      <c r="E4313" t="s">
        <v>23</v>
      </c>
      <c r="F4313" t="s">
        <v>14</v>
      </c>
      <c r="G4313" t="s">
        <v>30</v>
      </c>
      <c r="H4313" t="s">
        <v>31</v>
      </c>
      <c r="I4313">
        <v>8147.44</v>
      </c>
      <c r="J4313">
        <v>7630.35</v>
      </c>
      <c r="K4313" t="s">
        <v>17</v>
      </c>
      <c r="L4313" t="b">
        <v>0</v>
      </c>
      <c r="N4313" s="2" t="str">
        <f t="shared" si="388"/>
        <v/>
      </c>
      <c r="Q4313" t="str">
        <f t="shared" si="389"/>
        <v/>
      </c>
    </row>
    <row r="4314" spans="1:17" hidden="1">
      <c r="A4314" t="s">
        <v>4419</v>
      </c>
      <c r="B4314" s="1">
        <v>45495</v>
      </c>
      <c r="C4314">
        <v>2024</v>
      </c>
      <c r="D4314">
        <v>7</v>
      </c>
      <c r="E4314" t="s">
        <v>23</v>
      </c>
      <c r="F4314" t="s">
        <v>24</v>
      </c>
      <c r="G4314" t="s">
        <v>30</v>
      </c>
      <c r="H4314" t="s">
        <v>33</v>
      </c>
      <c r="I4314">
        <v>5547.28</v>
      </c>
      <c r="J4314">
        <v>5012.3900000000003</v>
      </c>
      <c r="K4314" t="s">
        <v>17</v>
      </c>
      <c r="L4314" t="b">
        <v>0</v>
      </c>
      <c r="N4314" s="2" t="str">
        <f t="shared" si="388"/>
        <v/>
      </c>
      <c r="Q4314" t="str">
        <f t="shared" si="389"/>
        <v/>
      </c>
    </row>
    <row r="4315" spans="1:17" hidden="1">
      <c r="A4315" t="s">
        <v>4420</v>
      </c>
      <c r="B4315" s="1">
        <v>45495</v>
      </c>
      <c r="C4315">
        <v>2024</v>
      </c>
      <c r="D4315">
        <v>7</v>
      </c>
      <c r="E4315" t="s">
        <v>37</v>
      </c>
      <c r="F4315" t="s">
        <v>14</v>
      </c>
      <c r="G4315" t="s">
        <v>38</v>
      </c>
      <c r="H4315" t="s">
        <v>118</v>
      </c>
      <c r="I4315">
        <v>6069.03</v>
      </c>
      <c r="J4315">
        <v>5964.03</v>
      </c>
      <c r="K4315" t="s">
        <v>17</v>
      </c>
      <c r="L4315" t="b">
        <v>0</v>
      </c>
      <c r="N4315" s="2" t="str">
        <f t="shared" si="388"/>
        <v/>
      </c>
      <c r="Q4315" t="str">
        <f t="shared" si="389"/>
        <v/>
      </c>
    </row>
    <row r="4316" spans="1:17" hidden="1">
      <c r="A4316" t="s">
        <v>4421</v>
      </c>
      <c r="B4316" s="1">
        <v>45496</v>
      </c>
      <c r="C4316">
        <v>2024</v>
      </c>
      <c r="D4316">
        <v>7</v>
      </c>
      <c r="E4316" t="s">
        <v>13</v>
      </c>
      <c r="F4316" t="s">
        <v>28</v>
      </c>
      <c r="G4316" t="s">
        <v>108</v>
      </c>
      <c r="H4316" t="s">
        <v>109</v>
      </c>
      <c r="I4316">
        <v>3385.15</v>
      </c>
      <c r="J4316">
        <v>3351.38</v>
      </c>
      <c r="K4316" t="s">
        <v>17</v>
      </c>
      <c r="L4316" t="b">
        <v>0</v>
      </c>
      <c r="N4316" s="2" t="str">
        <f t="shared" si="388"/>
        <v/>
      </c>
      <c r="Q4316" t="str">
        <f t="shared" si="389"/>
        <v/>
      </c>
    </row>
    <row r="4317" spans="1:17" hidden="1">
      <c r="A4317" t="s">
        <v>4422</v>
      </c>
      <c r="B4317" s="1">
        <v>45496</v>
      </c>
      <c r="C4317">
        <v>2024</v>
      </c>
      <c r="D4317">
        <v>7</v>
      </c>
      <c r="E4317" t="s">
        <v>47</v>
      </c>
      <c r="F4317" t="s">
        <v>14</v>
      </c>
      <c r="G4317" t="s">
        <v>91</v>
      </c>
      <c r="H4317" t="s">
        <v>92</v>
      </c>
      <c r="I4317">
        <v>14992.77</v>
      </c>
      <c r="J4317">
        <v>12995.78</v>
      </c>
      <c r="K4317" t="s">
        <v>17</v>
      </c>
      <c r="L4317" t="b">
        <v>0</v>
      </c>
      <c r="N4317" s="2" t="b">
        <f t="shared" si="388"/>
        <v>1</v>
      </c>
      <c r="O4317" t="str">
        <f>IF(AND(E4306="HR",K4306="EXPENSE"),I4306&lt;J4306,"")</f>
        <v/>
      </c>
      <c r="Q4317" t="str">
        <f t="shared" si="389"/>
        <v/>
      </c>
    </row>
    <row r="4318" spans="1:17" hidden="1">
      <c r="A4318" t="s">
        <v>4423</v>
      </c>
      <c r="B4318" s="1">
        <v>45496</v>
      </c>
      <c r="C4318">
        <v>2024</v>
      </c>
      <c r="D4318">
        <v>7</v>
      </c>
      <c r="E4318" t="s">
        <v>23</v>
      </c>
      <c r="F4318" t="s">
        <v>28</v>
      </c>
      <c r="G4318" t="s">
        <v>59</v>
      </c>
      <c r="H4318" t="s">
        <v>60</v>
      </c>
      <c r="I4318">
        <v>4078.07</v>
      </c>
      <c r="J4318">
        <v>3997.24</v>
      </c>
      <c r="K4318" t="s">
        <v>17</v>
      </c>
      <c r="L4318" t="b">
        <v>0</v>
      </c>
      <c r="N4318" s="2" t="str">
        <f t="shared" si="388"/>
        <v/>
      </c>
      <c r="Q4318" t="str">
        <f t="shared" si="389"/>
        <v/>
      </c>
    </row>
    <row r="4319" spans="1:17" hidden="1">
      <c r="A4319" t="s">
        <v>4424</v>
      </c>
      <c r="B4319" s="1">
        <v>45496</v>
      </c>
      <c r="C4319">
        <v>2024</v>
      </c>
      <c r="D4319">
        <v>7</v>
      </c>
      <c r="E4319" t="s">
        <v>37</v>
      </c>
      <c r="F4319" t="s">
        <v>28</v>
      </c>
      <c r="G4319" t="s">
        <v>38</v>
      </c>
      <c r="H4319" t="s">
        <v>118</v>
      </c>
      <c r="I4319">
        <v>6387.93</v>
      </c>
      <c r="J4319">
        <v>6901.19</v>
      </c>
      <c r="K4319" t="s">
        <v>17</v>
      </c>
      <c r="L4319" t="b">
        <v>0</v>
      </c>
      <c r="N4319" s="2" t="str">
        <f t="shared" si="388"/>
        <v/>
      </c>
      <c r="Q4319" t="str">
        <f t="shared" si="389"/>
        <v/>
      </c>
    </row>
    <row r="4320" spans="1:17" hidden="1">
      <c r="A4320" t="s">
        <v>4425</v>
      </c>
      <c r="B4320" s="1">
        <v>45496</v>
      </c>
      <c r="C4320">
        <v>2024</v>
      </c>
      <c r="D4320">
        <v>7</v>
      </c>
      <c r="E4320" t="s">
        <v>37</v>
      </c>
      <c r="F4320" t="s">
        <v>28</v>
      </c>
      <c r="G4320" t="s">
        <v>38</v>
      </c>
      <c r="H4320" t="s">
        <v>39</v>
      </c>
      <c r="I4320">
        <v>4149.24</v>
      </c>
      <c r="J4320">
        <v>4337.3900000000003</v>
      </c>
      <c r="K4320" t="s">
        <v>17</v>
      </c>
      <c r="L4320" t="b">
        <v>0</v>
      </c>
      <c r="N4320" s="2" t="str">
        <f t="shared" si="388"/>
        <v/>
      </c>
      <c r="Q4320" t="str">
        <f t="shared" si="389"/>
        <v/>
      </c>
    </row>
    <row r="4321" spans="1:17" hidden="1">
      <c r="A4321" t="s">
        <v>4426</v>
      </c>
      <c r="B4321" s="1">
        <v>45497</v>
      </c>
      <c r="C4321">
        <v>2024</v>
      </c>
      <c r="D4321">
        <v>7</v>
      </c>
      <c r="E4321" t="s">
        <v>13</v>
      </c>
      <c r="F4321" t="s">
        <v>24</v>
      </c>
      <c r="G4321" t="s">
        <v>102</v>
      </c>
      <c r="H4321" t="s">
        <v>278</v>
      </c>
      <c r="I4321">
        <v>3184.65</v>
      </c>
      <c r="J4321">
        <v>3236.3</v>
      </c>
      <c r="K4321" t="s">
        <v>17</v>
      </c>
      <c r="L4321" t="b">
        <v>0</v>
      </c>
      <c r="N4321" s="2" t="str">
        <f t="shared" si="388"/>
        <v/>
      </c>
      <c r="Q4321" t="str">
        <f t="shared" si="389"/>
        <v/>
      </c>
    </row>
    <row r="4322" spans="1:17" hidden="1">
      <c r="A4322" t="s">
        <v>4427</v>
      </c>
      <c r="B4322" s="1">
        <v>45497</v>
      </c>
      <c r="C4322">
        <v>2024</v>
      </c>
      <c r="D4322">
        <v>7</v>
      </c>
      <c r="E4322" t="s">
        <v>13</v>
      </c>
      <c r="F4322" t="s">
        <v>24</v>
      </c>
      <c r="G4322" t="s">
        <v>15</v>
      </c>
      <c r="H4322" t="s">
        <v>16</v>
      </c>
      <c r="I4322">
        <v>2785.64</v>
      </c>
      <c r="J4322">
        <v>2562.1</v>
      </c>
      <c r="K4322" t="s">
        <v>17</v>
      </c>
      <c r="L4322" t="b">
        <v>0</v>
      </c>
      <c r="N4322" s="2" t="str">
        <f t="shared" si="388"/>
        <v/>
      </c>
      <c r="Q4322" t="str">
        <f t="shared" si="389"/>
        <v/>
      </c>
    </row>
    <row r="4323" spans="1:17" hidden="1">
      <c r="A4323" t="s">
        <v>4428</v>
      </c>
      <c r="B4323" s="1">
        <v>45497</v>
      </c>
      <c r="C4323">
        <v>2024</v>
      </c>
      <c r="D4323">
        <v>7</v>
      </c>
      <c r="E4323" t="s">
        <v>19</v>
      </c>
      <c r="F4323" t="s">
        <v>28</v>
      </c>
      <c r="G4323" t="s">
        <v>54</v>
      </c>
      <c r="H4323" t="s">
        <v>55</v>
      </c>
      <c r="I4323">
        <v>7100.6</v>
      </c>
      <c r="J4323">
        <v>7520.36</v>
      </c>
      <c r="K4323" t="s">
        <v>17</v>
      </c>
      <c r="L4323" t="b">
        <v>0</v>
      </c>
      <c r="N4323" s="2" t="str">
        <f t="shared" si="388"/>
        <v/>
      </c>
      <c r="Q4323" t="str">
        <f t="shared" si="389"/>
        <v/>
      </c>
    </row>
    <row r="4324" spans="1:17" hidden="1">
      <c r="A4324" t="s">
        <v>4429</v>
      </c>
      <c r="B4324" s="1">
        <v>45497</v>
      </c>
      <c r="C4324">
        <v>2024</v>
      </c>
      <c r="D4324">
        <v>7</v>
      </c>
      <c r="E4324" t="s">
        <v>19</v>
      </c>
      <c r="F4324" t="s">
        <v>24</v>
      </c>
      <c r="G4324" t="s">
        <v>20</v>
      </c>
      <c r="H4324" t="s">
        <v>136</v>
      </c>
      <c r="I4324">
        <v>6331.1</v>
      </c>
      <c r="J4324">
        <v>6056.84</v>
      </c>
      <c r="K4324" t="s">
        <v>17</v>
      </c>
      <c r="L4324" t="b">
        <v>0</v>
      </c>
      <c r="N4324" s="2" t="str">
        <f t="shared" si="388"/>
        <v/>
      </c>
      <c r="Q4324" t="str">
        <f t="shared" si="389"/>
        <v/>
      </c>
    </row>
    <row r="4325" spans="1:17" hidden="1">
      <c r="A4325" t="s">
        <v>4430</v>
      </c>
      <c r="B4325" s="1">
        <v>45497</v>
      </c>
      <c r="C4325">
        <v>2024</v>
      </c>
      <c r="D4325">
        <v>7</v>
      </c>
      <c r="E4325" t="s">
        <v>23</v>
      </c>
      <c r="F4325" t="s">
        <v>14</v>
      </c>
      <c r="G4325" t="s">
        <v>141</v>
      </c>
      <c r="H4325" t="s">
        <v>142</v>
      </c>
      <c r="I4325">
        <v>4400.66</v>
      </c>
      <c r="J4325">
        <v>4757.1899999999996</v>
      </c>
      <c r="K4325" t="s">
        <v>17</v>
      </c>
      <c r="L4325" t="b">
        <v>0</v>
      </c>
      <c r="N4325" s="2" t="str">
        <f t="shared" si="388"/>
        <v/>
      </c>
      <c r="Q4325" t="str">
        <f t="shared" si="389"/>
        <v/>
      </c>
    </row>
    <row r="4326" spans="1:17" hidden="1">
      <c r="A4326" t="s">
        <v>4431</v>
      </c>
      <c r="B4326" s="1">
        <v>45497</v>
      </c>
      <c r="C4326">
        <v>2024</v>
      </c>
      <c r="D4326">
        <v>7</v>
      </c>
      <c r="E4326" t="s">
        <v>23</v>
      </c>
      <c r="F4326" t="s">
        <v>28</v>
      </c>
      <c r="G4326" t="s">
        <v>141</v>
      </c>
      <c r="H4326" t="s">
        <v>142</v>
      </c>
      <c r="I4326">
        <v>9659.2000000000007</v>
      </c>
      <c r="J4326">
        <v>8796.32</v>
      </c>
      <c r="K4326" t="s">
        <v>17</v>
      </c>
      <c r="L4326" t="b">
        <v>0</v>
      </c>
      <c r="N4326" s="2" t="str">
        <f t="shared" si="388"/>
        <v/>
      </c>
      <c r="Q4326" t="str">
        <f t="shared" si="389"/>
        <v/>
      </c>
    </row>
    <row r="4327" spans="1:17" hidden="1">
      <c r="A4327" t="s">
        <v>4432</v>
      </c>
      <c r="B4327" s="1">
        <v>45498</v>
      </c>
      <c r="C4327">
        <v>2024</v>
      </c>
      <c r="D4327">
        <v>7</v>
      </c>
      <c r="E4327" t="s">
        <v>13</v>
      </c>
      <c r="F4327" t="s">
        <v>24</v>
      </c>
      <c r="G4327" t="s">
        <v>108</v>
      </c>
      <c r="H4327" t="s">
        <v>126</v>
      </c>
      <c r="I4327">
        <v>3458.44</v>
      </c>
      <c r="J4327">
        <v>3578.59</v>
      </c>
      <c r="K4327" t="s">
        <v>17</v>
      </c>
      <c r="L4327" t="b">
        <v>0</v>
      </c>
      <c r="N4327" s="2" t="str">
        <f t="shared" si="388"/>
        <v/>
      </c>
      <c r="Q4327" t="str">
        <f t="shared" si="389"/>
        <v/>
      </c>
    </row>
    <row r="4328" spans="1:17" hidden="1">
      <c r="A4328" t="s">
        <v>4433</v>
      </c>
      <c r="B4328" s="1">
        <v>45498</v>
      </c>
      <c r="C4328">
        <v>2024</v>
      </c>
      <c r="D4328">
        <v>7</v>
      </c>
      <c r="E4328" t="s">
        <v>13</v>
      </c>
      <c r="F4328" t="s">
        <v>24</v>
      </c>
      <c r="G4328" t="s">
        <v>108</v>
      </c>
      <c r="H4328" t="s">
        <v>123</v>
      </c>
      <c r="I4328">
        <v>4079.71</v>
      </c>
      <c r="J4328">
        <v>4312.91</v>
      </c>
      <c r="K4328" t="s">
        <v>17</v>
      </c>
      <c r="L4328" t="b">
        <v>0</v>
      </c>
      <c r="N4328" s="2" t="str">
        <f t="shared" si="388"/>
        <v/>
      </c>
      <c r="Q4328" t="str">
        <f t="shared" si="389"/>
        <v/>
      </c>
    </row>
    <row r="4329" spans="1:17" hidden="1">
      <c r="A4329" t="s">
        <v>4434</v>
      </c>
      <c r="B4329" s="1">
        <v>45498</v>
      </c>
      <c r="C4329">
        <v>2024</v>
      </c>
      <c r="D4329">
        <v>7</v>
      </c>
      <c r="E4329" t="s">
        <v>47</v>
      </c>
      <c r="F4329" t="s">
        <v>14</v>
      </c>
      <c r="G4329" t="s">
        <v>51</v>
      </c>
      <c r="H4329" t="s">
        <v>189</v>
      </c>
      <c r="I4329">
        <v>17518.419999999998</v>
      </c>
      <c r="J4329">
        <v>14960.33</v>
      </c>
      <c r="K4329" t="s">
        <v>17</v>
      </c>
      <c r="L4329" t="b">
        <v>0</v>
      </c>
      <c r="N4329" s="2" t="b">
        <f t="shared" si="388"/>
        <v>1</v>
      </c>
      <c r="O4329" t="str">
        <f>IF(AND(E4318="HR",K4318="EXPENSE"),I4318&lt;J4318,"")</f>
        <v/>
      </c>
      <c r="Q4329" t="str">
        <f t="shared" si="389"/>
        <v/>
      </c>
    </row>
    <row r="4330" spans="1:17" hidden="1">
      <c r="A4330" t="s">
        <v>4435</v>
      </c>
      <c r="B4330" s="1">
        <v>45498</v>
      </c>
      <c r="C4330">
        <v>2024</v>
      </c>
      <c r="D4330">
        <v>7</v>
      </c>
      <c r="E4330" t="s">
        <v>19</v>
      </c>
      <c r="F4330" t="s">
        <v>14</v>
      </c>
      <c r="G4330" t="s">
        <v>20</v>
      </c>
      <c r="H4330" t="s">
        <v>136</v>
      </c>
      <c r="I4330">
        <v>6462.63</v>
      </c>
      <c r="J4330">
        <v>6235.11</v>
      </c>
      <c r="K4330" t="s">
        <v>17</v>
      </c>
      <c r="L4330" t="b">
        <v>0</v>
      </c>
      <c r="N4330" s="2" t="str">
        <f t="shared" si="388"/>
        <v/>
      </c>
      <c r="Q4330" t="str">
        <f t="shared" si="389"/>
        <v/>
      </c>
    </row>
    <row r="4331" spans="1:17" hidden="1">
      <c r="A4331" t="s">
        <v>4436</v>
      </c>
      <c r="B4331" s="1">
        <v>45498</v>
      </c>
      <c r="C4331">
        <v>2024</v>
      </c>
      <c r="D4331">
        <v>7</v>
      </c>
      <c r="E4331" t="s">
        <v>19</v>
      </c>
      <c r="F4331" t="s">
        <v>28</v>
      </c>
      <c r="G4331" t="s">
        <v>132</v>
      </c>
      <c r="H4331" t="s">
        <v>138</v>
      </c>
      <c r="I4331">
        <v>7119.67</v>
      </c>
      <c r="J4331">
        <v>6876.32</v>
      </c>
      <c r="K4331" t="s">
        <v>17</v>
      </c>
      <c r="L4331" t="b">
        <v>0</v>
      </c>
      <c r="N4331" s="2" t="str">
        <f t="shared" si="388"/>
        <v/>
      </c>
      <c r="Q4331" t="str">
        <f t="shared" si="389"/>
        <v/>
      </c>
    </row>
    <row r="4332" spans="1:17" hidden="1">
      <c r="A4332" t="s">
        <v>4437</v>
      </c>
      <c r="B4332" s="1">
        <v>45498</v>
      </c>
      <c r="C4332">
        <v>2024</v>
      </c>
      <c r="D4332">
        <v>7</v>
      </c>
      <c r="E4332" t="s">
        <v>23</v>
      </c>
      <c r="F4332" t="s">
        <v>28</v>
      </c>
      <c r="G4332" t="s">
        <v>59</v>
      </c>
      <c r="H4332" t="s">
        <v>60</v>
      </c>
      <c r="I4332">
        <v>9007.01</v>
      </c>
      <c r="J4332">
        <v>9145.2800000000007</v>
      </c>
      <c r="K4332" t="s">
        <v>17</v>
      </c>
      <c r="L4332" t="b">
        <v>0</v>
      </c>
      <c r="N4332" s="2" t="str">
        <f t="shared" si="388"/>
        <v/>
      </c>
      <c r="Q4332" t="str">
        <f t="shared" si="389"/>
        <v/>
      </c>
    </row>
    <row r="4333" spans="1:17" hidden="1">
      <c r="A4333" t="s">
        <v>4438</v>
      </c>
      <c r="B4333" s="1">
        <v>45498</v>
      </c>
      <c r="C4333">
        <v>2024</v>
      </c>
      <c r="D4333">
        <v>7</v>
      </c>
      <c r="E4333" t="s">
        <v>23</v>
      </c>
      <c r="F4333" t="s">
        <v>24</v>
      </c>
      <c r="G4333" t="s">
        <v>30</v>
      </c>
      <c r="H4333" t="s">
        <v>106</v>
      </c>
      <c r="I4333">
        <v>5426.1</v>
      </c>
      <c r="J4333">
        <v>5253.46</v>
      </c>
      <c r="K4333" t="s">
        <v>17</v>
      </c>
      <c r="L4333" t="b">
        <v>0</v>
      </c>
      <c r="N4333" s="2" t="str">
        <f t="shared" si="388"/>
        <v/>
      </c>
      <c r="Q4333" t="str">
        <f t="shared" si="389"/>
        <v/>
      </c>
    </row>
    <row r="4334" spans="1:17" hidden="1">
      <c r="A4334" t="s">
        <v>4439</v>
      </c>
      <c r="B4334" s="1">
        <v>45498</v>
      </c>
      <c r="C4334">
        <v>2024</v>
      </c>
      <c r="D4334">
        <v>7</v>
      </c>
      <c r="E4334" t="s">
        <v>37</v>
      </c>
      <c r="F4334" t="s">
        <v>24</v>
      </c>
      <c r="G4334" t="s">
        <v>41</v>
      </c>
      <c r="H4334" t="s">
        <v>42</v>
      </c>
      <c r="I4334">
        <v>7397.04</v>
      </c>
      <c r="J4334">
        <v>7865.64</v>
      </c>
      <c r="K4334" t="s">
        <v>17</v>
      </c>
      <c r="L4334" t="b">
        <v>0</v>
      </c>
      <c r="N4334" s="2" t="str">
        <f t="shared" si="388"/>
        <v/>
      </c>
      <c r="Q4334" t="str">
        <f t="shared" si="389"/>
        <v/>
      </c>
    </row>
    <row r="4335" spans="1:17" hidden="1">
      <c r="A4335" t="s">
        <v>4440</v>
      </c>
      <c r="B4335" s="1">
        <v>45498</v>
      </c>
      <c r="C4335">
        <v>2024</v>
      </c>
      <c r="D4335">
        <v>7</v>
      </c>
      <c r="E4335" t="s">
        <v>37</v>
      </c>
      <c r="F4335" t="s">
        <v>24</v>
      </c>
      <c r="G4335" t="s">
        <v>98</v>
      </c>
      <c r="H4335" t="s">
        <v>99</v>
      </c>
      <c r="I4335">
        <v>4875.5600000000004</v>
      </c>
      <c r="J4335">
        <v>5329.76</v>
      </c>
      <c r="K4335" t="s">
        <v>17</v>
      </c>
      <c r="L4335" t="b">
        <v>0</v>
      </c>
      <c r="N4335" s="2" t="str">
        <f t="shared" si="388"/>
        <v/>
      </c>
      <c r="Q4335" t="str">
        <f t="shared" si="389"/>
        <v/>
      </c>
    </row>
    <row r="4336" spans="1:17" hidden="1">
      <c r="A4336" t="s">
        <v>4441</v>
      </c>
      <c r="B4336" s="1">
        <v>45498</v>
      </c>
      <c r="C4336">
        <v>2024</v>
      </c>
      <c r="D4336">
        <v>7</v>
      </c>
      <c r="E4336" t="s">
        <v>37</v>
      </c>
      <c r="F4336" t="s">
        <v>24</v>
      </c>
      <c r="G4336" t="s">
        <v>62</v>
      </c>
      <c r="H4336" t="s">
        <v>360</v>
      </c>
      <c r="I4336">
        <v>6690.68</v>
      </c>
      <c r="J4336">
        <v>6479.67</v>
      </c>
      <c r="K4336" t="s">
        <v>17</v>
      </c>
      <c r="L4336" t="b">
        <v>0</v>
      </c>
      <c r="N4336" s="2" t="str">
        <f t="shared" si="388"/>
        <v/>
      </c>
      <c r="Q4336" t="str">
        <f t="shared" si="389"/>
        <v/>
      </c>
    </row>
    <row r="4337" spans="1:17" hidden="1">
      <c r="A4337" t="s">
        <v>4442</v>
      </c>
      <c r="B4337" s="1">
        <v>45499</v>
      </c>
      <c r="C4337">
        <v>2024</v>
      </c>
      <c r="D4337">
        <v>7</v>
      </c>
      <c r="E4337" t="s">
        <v>13</v>
      </c>
      <c r="F4337" t="s">
        <v>28</v>
      </c>
      <c r="G4337" t="s">
        <v>108</v>
      </c>
      <c r="H4337" t="s">
        <v>126</v>
      </c>
      <c r="I4337">
        <v>3396.17</v>
      </c>
      <c r="J4337">
        <v>3154.97</v>
      </c>
      <c r="K4337" t="s">
        <v>17</v>
      </c>
      <c r="L4337" t="b">
        <v>0</v>
      </c>
      <c r="N4337" s="2" t="str">
        <f t="shared" si="388"/>
        <v/>
      </c>
      <c r="Q4337" t="str">
        <f t="shared" si="389"/>
        <v/>
      </c>
    </row>
    <row r="4338" spans="1:17" hidden="1">
      <c r="A4338" t="s">
        <v>4443</v>
      </c>
      <c r="B4338" s="1">
        <v>45499</v>
      </c>
      <c r="C4338">
        <v>2024</v>
      </c>
      <c r="D4338">
        <v>7</v>
      </c>
      <c r="E4338" t="s">
        <v>47</v>
      </c>
      <c r="F4338" t="s">
        <v>24</v>
      </c>
      <c r="G4338" t="s">
        <v>91</v>
      </c>
      <c r="H4338" t="s">
        <v>128</v>
      </c>
      <c r="I4338">
        <v>9909.8700000000008</v>
      </c>
      <c r="J4338">
        <v>8239.23</v>
      </c>
      <c r="K4338" t="s">
        <v>17</v>
      </c>
      <c r="L4338" t="b">
        <v>0</v>
      </c>
      <c r="N4338" s="2" t="b">
        <f t="shared" si="388"/>
        <v>1</v>
      </c>
      <c r="O4338" t="b">
        <f>IF(AND(E4327="HR",K4327="EXPENSE"),I4327&lt;J4327,"")</f>
        <v>1</v>
      </c>
      <c r="Q4338" t="str">
        <f t="shared" si="389"/>
        <v/>
      </c>
    </row>
    <row r="4339" spans="1:17" hidden="1">
      <c r="A4339" t="s">
        <v>4444</v>
      </c>
      <c r="B4339" s="1">
        <v>45499</v>
      </c>
      <c r="C4339">
        <v>2024</v>
      </c>
      <c r="D4339">
        <v>7</v>
      </c>
      <c r="E4339" t="s">
        <v>19</v>
      </c>
      <c r="F4339" t="s">
        <v>14</v>
      </c>
      <c r="G4339" t="s">
        <v>80</v>
      </c>
      <c r="H4339" t="s">
        <v>217</v>
      </c>
      <c r="I4339">
        <v>10177.290000000001</v>
      </c>
      <c r="J4339">
        <v>10892.31</v>
      </c>
      <c r="K4339" t="s">
        <v>17</v>
      </c>
      <c r="L4339" t="b">
        <v>0</v>
      </c>
      <c r="N4339" s="2" t="str">
        <f t="shared" si="388"/>
        <v/>
      </c>
      <c r="Q4339" t="str">
        <f t="shared" si="389"/>
        <v/>
      </c>
    </row>
    <row r="4340" spans="1:17" hidden="1">
      <c r="A4340" t="s">
        <v>4445</v>
      </c>
      <c r="B4340" s="1">
        <v>45499</v>
      </c>
      <c r="C4340">
        <v>2024</v>
      </c>
      <c r="D4340">
        <v>7</v>
      </c>
      <c r="E4340" t="s">
        <v>19</v>
      </c>
      <c r="F4340" t="s">
        <v>28</v>
      </c>
      <c r="G4340" t="s">
        <v>54</v>
      </c>
      <c r="H4340" t="s">
        <v>57</v>
      </c>
      <c r="I4340">
        <v>4960.7700000000004</v>
      </c>
      <c r="J4340">
        <v>5301.4</v>
      </c>
      <c r="K4340" t="s">
        <v>17</v>
      </c>
      <c r="L4340" t="b">
        <v>0</v>
      </c>
      <c r="N4340" s="2" t="str">
        <f t="shared" si="388"/>
        <v/>
      </c>
      <c r="Q4340" t="str">
        <f t="shared" si="389"/>
        <v/>
      </c>
    </row>
    <row r="4341" spans="1:17" hidden="1">
      <c r="A4341" t="s">
        <v>4446</v>
      </c>
      <c r="B4341" s="1">
        <v>45499</v>
      </c>
      <c r="C4341">
        <v>2024</v>
      </c>
      <c r="D4341">
        <v>7</v>
      </c>
      <c r="E4341" t="s">
        <v>23</v>
      </c>
      <c r="F4341" t="s">
        <v>24</v>
      </c>
      <c r="G4341" t="s">
        <v>59</v>
      </c>
      <c r="H4341" t="s">
        <v>60</v>
      </c>
      <c r="I4341">
        <v>5248.61</v>
      </c>
      <c r="J4341">
        <v>5448.02</v>
      </c>
      <c r="K4341" t="s">
        <v>17</v>
      </c>
      <c r="L4341" t="b">
        <v>0</v>
      </c>
      <c r="N4341" s="2" t="str">
        <f t="shared" si="388"/>
        <v/>
      </c>
      <c r="Q4341" t="str">
        <f t="shared" si="389"/>
        <v/>
      </c>
    </row>
    <row r="4342" spans="1:17" hidden="1">
      <c r="A4342" t="s">
        <v>4447</v>
      </c>
      <c r="B4342" s="1">
        <v>45499</v>
      </c>
      <c r="C4342">
        <v>2024</v>
      </c>
      <c r="D4342">
        <v>7</v>
      </c>
      <c r="E4342" t="s">
        <v>23</v>
      </c>
      <c r="F4342" t="s">
        <v>24</v>
      </c>
      <c r="G4342" t="s">
        <v>30</v>
      </c>
      <c r="H4342" t="s">
        <v>31</v>
      </c>
      <c r="I4342">
        <v>4655.1099999999997</v>
      </c>
      <c r="J4342">
        <v>4982.3100000000004</v>
      </c>
      <c r="K4342" t="s">
        <v>17</v>
      </c>
      <c r="L4342" t="b">
        <v>0</v>
      </c>
      <c r="N4342" s="2" t="str">
        <f t="shared" si="388"/>
        <v/>
      </c>
      <c r="Q4342" t="str">
        <f t="shared" si="389"/>
        <v/>
      </c>
    </row>
    <row r="4343" spans="1:17" hidden="1">
      <c r="A4343" t="s">
        <v>4448</v>
      </c>
      <c r="B4343" s="1">
        <v>45499</v>
      </c>
      <c r="C4343">
        <v>2024</v>
      </c>
      <c r="D4343">
        <v>7</v>
      </c>
      <c r="E4343" t="s">
        <v>37</v>
      </c>
      <c r="F4343" t="s">
        <v>28</v>
      </c>
      <c r="G4343" t="s">
        <v>98</v>
      </c>
      <c r="H4343" t="s">
        <v>99</v>
      </c>
      <c r="I4343">
        <v>6257.82</v>
      </c>
      <c r="J4343">
        <v>5663.18</v>
      </c>
      <c r="K4343" t="s">
        <v>17</v>
      </c>
      <c r="L4343" t="b">
        <v>0</v>
      </c>
      <c r="N4343" s="2" t="str">
        <f t="shared" si="388"/>
        <v/>
      </c>
      <c r="Q4343" t="str">
        <f t="shared" si="389"/>
        <v/>
      </c>
    </row>
    <row r="4344" spans="1:17" hidden="1">
      <c r="A4344" t="s">
        <v>4449</v>
      </c>
      <c r="B4344" s="1">
        <v>45499</v>
      </c>
      <c r="C4344">
        <v>2024</v>
      </c>
      <c r="D4344">
        <v>7</v>
      </c>
      <c r="E4344" t="s">
        <v>37</v>
      </c>
      <c r="F4344" t="s">
        <v>24</v>
      </c>
      <c r="G4344" t="s">
        <v>83</v>
      </c>
      <c r="H4344" t="s">
        <v>84</v>
      </c>
      <c r="I4344">
        <v>116754.42</v>
      </c>
      <c r="J4344">
        <v>110916.7</v>
      </c>
      <c r="K4344" t="s">
        <v>85</v>
      </c>
      <c r="L4344" t="b">
        <v>0</v>
      </c>
      <c r="N4344" s="2" t="str">
        <f t="shared" si="388"/>
        <v/>
      </c>
      <c r="Q4344" t="str">
        <f t="shared" si="389"/>
        <v/>
      </c>
    </row>
    <row r="4345" spans="1:17" hidden="1">
      <c r="A4345" t="s">
        <v>4450</v>
      </c>
      <c r="B4345" s="1">
        <v>45500</v>
      </c>
      <c r="C4345">
        <v>2024</v>
      </c>
      <c r="D4345">
        <v>7</v>
      </c>
      <c r="E4345" t="s">
        <v>13</v>
      </c>
      <c r="F4345" t="s">
        <v>14</v>
      </c>
      <c r="G4345" t="s">
        <v>15</v>
      </c>
      <c r="H4345" t="s">
        <v>16</v>
      </c>
      <c r="I4345">
        <v>2827.45</v>
      </c>
      <c r="J4345">
        <v>2573.62</v>
      </c>
      <c r="K4345" t="s">
        <v>17</v>
      </c>
      <c r="L4345" t="b">
        <v>0</v>
      </c>
      <c r="N4345" s="2" t="str">
        <f t="shared" si="388"/>
        <v/>
      </c>
      <c r="Q4345" t="str">
        <f t="shared" si="389"/>
        <v/>
      </c>
    </row>
    <row r="4346" spans="1:17" hidden="1">
      <c r="A4346" t="s">
        <v>4451</v>
      </c>
      <c r="B4346" s="1">
        <v>45500</v>
      </c>
      <c r="C4346">
        <v>2024</v>
      </c>
      <c r="D4346">
        <v>7</v>
      </c>
      <c r="E4346" t="s">
        <v>13</v>
      </c>
      <c r="F4346" t="s">
        <v>14</v>
      </c>
      <c r="G4346" t="s">
        <v>102</v>
      </c>
      <c r="H4346" t="s">
        <v>103</v>
      </c>
      <c r="I4346">
        <v>4254.91</v>
      </c>
      <c r="J4346">
        <v>3852.93</v>
      </c>
      <c r="K4346" t="s">
        <v>17</v>
      </c>
      <c r="L4346" t="b">
        <v>0</v>
      </c>
      <c r="N4346" s="2" t="str">
        <f t="shared" si="388"/>
        <v/>
      </c>
      <c r="Q4346" t="str">
        <f t="shared" si="389"/>
        <v/>
      </c>
    </row>
    <row r="4347" spans="1:17" hidden="1">
      <c r="A4347" t="s">
        <v>4452</v>
      </c>
      <c r="B4347" s="1">
        <v>45500</v>
      </c>
      <c r="C4347">
        <v>2024</v>
      </c>
      <c r="D4347">
        <v>7</v>
      </c>
      <c r="E4347" t="s">
        <v>13</v>
      </c>
      <c r="F4347" t="s">
        <v>14</v>
      </c>
      <c r="G4347" t="s">
        <v>15</v>
      </c>
      <c r="H4347" t="s">
        <v>45</v>
      </c>
      <c r="I4347">
        <v>3728.16</v>
      </c>
      <c r="J4347">
        <v>3899.49</v>
      </c>
      <c r="K4347" t="s">
        <v>17</v>
      </c>
      <c r="L4347" t="b">
        <v>0</v>
      </c>
      <c r="N4347" s="2" t="str">
        <f t="shared" si="388"/>
        <v/>
      </c>
      <c r="Q4347" t="str">
        <f t="shared" si="389"/>
        <v/>
      </c>
    </row>
    <row r="4348" spans="1:17" hidden="1">
      <c r="A4348" t="s">
        <v>4453</v>
      </c>
      <c r="B4348" s="1">
        <v>45500</v>
      </c>
      <c r="C4348">
        <v>2024</v>
      </c>
      <c r="D4348">
        <v>7</v>
      </c>
      <c r="E4348" t="s">
        <v>47</v>
      </c>
      <c r="F4348" t="s">
        <v>14</v>
      </c>
      <c r="G4348" t="s">
        <v>77</v>
      </c>
      <c r="H4348" t="s">
        <v>147</v>
      </c>
      <c r="I4348">
        <v>13543.43</v>
      </c>
      <c r="J4348">
        <v>11406.8</v>
      </c>
      <c r="K4348" t="s">
        <v>17</v>
      </c>
      <c r="L4348" t="b">
        <v>0</v>
      </c>
      <c r="N4348" s="2" t="b">
        <f t="shared" si="388"/>
        <v>1</v>
      </c>
      <c r="O4348" t="b">
        <f t="shared" ref="O4348:O4349" si="391">IF(AND(E4337="HR",K4337="EXPENSE"),I4337&lt;J4337,"")</f>
        <v>0</v>
      </c>
      <c r="Q4348" t="str">
        <f t="shared" si="389"/>
        <v/>
      </c>
    </row>
    <row r="4349" spans="1:17" hidden="1">
      <c r="A4349" t="s">
        <v>4454</v>
      </c>
      <c r="B4349" s="1">
        <v>45500</v>
      </c>
      <c r="C4349">
        <v>2024</v>
      </c>
      <c r="D4349">
        <v>7</v>
      </c>
      <c r="E4349" t="s">
        <v>47</v>
      </c>
      <c r="F4349" t="s">
        <v>24</v>
      </c>
      <c r="G4349" t="s">
        <v>51</v>
      </c>
      <c r="H4349" t="s">
        <v>52</v>
      </c>
      <c r="I4349">
        <v>10860.09</v>
      </c>
      <c r="J4349">
        <v>8950.5400000000009</v>
      </c>
      <c r="K4349" t="s">
        <v>17</v>
      </c>
      <c r="L4349" t="b">
        <v>0</v>
      </c>
      <c r="N4349" s="2" t="b">
        <f t="shared" si="388"/>
        <v>1</v>
      </c>
      <c r="O4349" t="str">
        <f t="shared" si="391"/>
        <v/>
      </c>
      <c r="Q4349" t="str">
        <f t="shared" si="389"/>
        <v/>
      </c>
    </row>
    <row r="4350" spans="1:17" hidden="1">
      <c r="A4350" t="s">
        <v>4455</v>
      </c>
      <c r="B4350" s="1">
        <v>45500</v>
      </c>
      <c r="C4350">
        <v>2024</v>
      </c>
      <c r="D4350">
        <v>7</v>
      </c>
      <c r="E4350" t="s">
        <v>19</v>
      </c>
      <c r="F4350" t="s">
        <v>28</v>
      </c>
      <c r="G4350" t="s">
        <v>54</v>
      </c>
      <c r="H4350" t="s">
        <v>57</v>
      </c>
      <c r="I4350">
        <v>6561.73</v>
      </c>
      <c r="J4350">
        <v>7139.69</v>
      </c>
      <c r="K4350" t="s">
        <v>17</v>
      </c>
      <c r="L4350" t="b">
        <v>0</v>
      </c>
      <c r="N4350" s="2" t="str">
        <f t="shared" si="388"/>
        <v/>
      </c>
      <c r="Q4350" t="str">
        <f t="shared" si="389"/>
        <v/>
      </c>
    </row>
    <row r="4351" spans="1:17" hidden="1">
      <c r="A4351" t="s">
        <v>4456</v>
      </c>
      <c r="B4351" s="1">
        <v>45500</v>
      </c>
      <c r="C4351">
        <v>2024</v>
      </c>
      <c r="D4351">
        <v>7</v>
      </c>
      <c r="E4351" t="s">
        <v>19</v>
      </c>
      <c r="F4351" t="s">
        <v>24</v>
      </c>
      <c r="G4351" t="s">
        <v>80</v>
      </c>
      <c r="H4351" t="s">
        <v>81</v>
      </c>
      <c r="I4351">
        <v>6816.42</v>
      </c>
      <c r="J4351">
        <v>7382.83</v>
      </c>
      <c r="K4351" t="s">
        <v>17</v>
      </c>
      <c r="L4351" t="b">
        <v>0</v>
      </c>
      <c r="N4351" s="2" t="str">
        <f t="shared" si="388"/>
        <v/>
      </c>
      <c r="Q4351" t="str">
        <f t="shared" si="389"/>
        <v/>
      </c>
    </row>
    <row r="4352" spans="1:17" hidden="1">
      <c r="A4352" t="s">
        <v>4457</v>
      </c>
      <c r="B4352" s="1">
        <v>45500</v>
      </c>
      <c r="C4352">
        <v>2024</v>
      </c>
      <c r="D4352">
        <v>7</v>
      </c>
      <c r="E4352" t="s">
        <v>19</v>
      </c>
      <c r="F4352" t="s">
        <v>24</v>
      </c>
      <c r="G4352" t="s">
        <v>80</v>
      </c>
      <c r="H4352" t="s">
        <v>150</v>
      </c>
      <c r="I4352">
        <v>6583.52</v>
      </c>
      <c r="J4352">
        <v>6795.68</v>
      </c>
      <c r="K4352" t="s">
        <v>17</v>
      </c>
      <c r="L4352" t="b">
        <v>0</v>
      </c>
      <c r="N4352" s="2" t="str">
        <f t="shared" si="388"/>
        <v/>
      </c>
      <c r="Q4352" t="str">
        <f t="shared" si="389"/>
        <v/>
      </c>
    </row>
    <row r="4353" spans="1:17" hidden="1">
      <c r="A4353" t="s">
        <v>4458</v>
      </c>
      <c r="B4353" s="1">
        <v>45500</v>
      </c>
      <c r="C4353">
        <v>2024</v>
      </c>
      <c r="D4353">
        <v>7</v>
      </c>
      <c r="E4353" t="s">
        <v>23</v>
      </c>
      <c r="F4353" t="s">
        <v>28</v>
      </c>
      <c r="G4353" t="s">
        <v>141</v>
      </c>
      <c r="H4353" t="s">
        <v>209</v>
      </c>
      <c r="I4353">
        <v>7496.47</v>
      </c>
      <c r="J4353">
        <v>7566.98</v>
      </c>
      <c r="K4353" t="s">
        <v>17</v>
      </c>
      <c r="L4353" t="b">
        <v>0</v>
      </c>
      <c r="N4353" s="2" t="str">
        <f t="shared" si="388"/>
        <v/>
      </c>
      <c r="Q4353" t="str">
        <f t="shared" si="389"/>
        <v/>
      </c>
    </row>
    <row r="4354" spans="1:17" hidden="1">
      <c r="A4354" t="s">
        <v>4459</v>
      </c>
      <c r="B4354" s="1">
        <v>45501</v>
      </c>
      <c r="C4354">
        <v>2024</v>
      </c>
      <c r="D4354">
        <v>7</v>
      </c>
      <c r="E4354" t="s">
        <v>13</v>
      </c>
      <c r="F4354" t="s">
        <v>28</v>
      </c>
      <c r="G4354" t="s">
        <v>68</v>
      </c>
      <c r="H4354" t="s">
        <v>69</v>
      </c>
      <c r="I4354">
        <v>3285.39</v>
      </c>
      <c r="J4354">
        <v>3201.15</v>
      </c>
      <c r="K4354" t="s">
        <v>17</v>
      </c>
      <c r="L4354" t="b">
        <v>0</v>
      </c>
      <c r="N4354" s="2" t="str">
        <f t="shared" si="388"/>
        <v/>
      </c>
      <c r="Q4354" t="str">
        <f t="shared" si="389"/>
        <v/>
      </c>
    </row>
    <row r="4355" spans="1:17" hidden="1">
      <c r="A4355" t="s">
        <v>4460</v>
      </c>
      <c r="B4355" s="1">
        <v>45501</v>
      </c>
      <c r="C4355">
        <v>2024</v>
      </c>
      <c r="D4355">
        <v>7</v>
      </c>
      <c r="E4355" t="s">
        <v>19</v>
      </c>
      <c r="F4355" t="s">
        <v>28</v>
      </c>
      <c r="G4355" t="s">
        <v>80</v>
      </c>
      <c r="H4355" t="s">
        <v>217</v>
      </c>
      <c r="I4355">
        <v>6437.42</v>
      </c>
      <c r="J4355">
        <v>5833.31</v>
      </c>
      <c r="K4355" t="s">
        <v>17</v>
      </c>
      <c r="L4355" t="b">
        <v>0</v>
      </c>
      <c r="N4355" s="2" t="str">
        <f t="shared" ref="N4355:N4418" si="392">IF(AND(E4355="IT",K4355="EXPENSE"),I4355&gt;J4355,"")</f>
        <v/>
      </c>
      <c r="Q4355" t="str">
        <f t="shared" ref="Q4355:Q4418" si="393">IF(L4355=TRUE,OR(H4355="Apex Solutions Inc",H4355="Global Trade Partners",H4355="NovaTech Services"),"")</f>
        <v/>
      </c>
    </row>
    <row r="4356" spans="1:17" hidden="1">
      <c r="A4356" t="s">
        <v>4461</v>
      </c>
      <c r="B4356" s="1">
        <v>45501</v>
      </c>
      <c r="C4356">
        <v>2024</v>
      </c>
      <c r="D4356">
        <v>7</v>
      </c>
      <c r="E4356" t="s">
        <v>23</v>
      </c>
      <c r="F4356" t="s">
        <v>14</v>
      </c>
      <c r="G4356" t="s">
        <v>25</v>
      </c>
      <c r="H4356" t="s">
        <v>95</v>
      </c>
      <c r="I4356">
        <v>5151.25</v>
      </c>
      <c r="J4356">
        <v>4719.7700000000004</v>
      </c>
      <c r="K4356" t="s">
        <v>17</v>
      </c>
      <c r="L4356" t="b">
        <v>0</v>
      </c>
      <c r="N4356" s="2" t="str">
        <f t="shared" si="392"/>
        <v/>
      </c>
      <c r="Q4356" t="str">
        <f t="shared" si="393"/>
        <v/>
      </c>
    </row>
    <row r="4357" spans="1:17" hidden="1">
      <c r="A4357" t="s">
        <v>4462</v>
      </c>
      <c r="B4357" s="1">
        <v>45501</v>
      </c>
      <c r="C4357">
        <v>2024</v>
      </c>
      <c r="D4357">
        <v>7</v>
      </c>
      <c r="E4357" t="s">
        <v>37</v>
      </c>
      <c r="F4357" t="s">
        <v>28</v>
      </c>
      <c r="G4357" t="s">
        <v>38</v>
      </c>
      <c r="H4357" t="s">
        <v>227</v>
      </c>
      <c r="I4357">
        <v>4003.27</v>
      </c>
      <c r="J4357">
        <v>4222.09</v>
      </c>
      <c r="K4357" t="s">
        <v>17</v>
      </c>
      <c r="L4357" t="b">
        <v>0</v>
      </c>
      <c r="N4357" s="2" t="str">
        <f t="shared" si="392"/>
        <v/>
      </c>
      <c r="Q4357" t="str">
        <f t="shared" si="393"/>
        <v/>
      </c>
    </row>
    <row r="4358" spans="1:17" hidden="1">
      <c r="A4358" t="s">
        <v>4463</v>
      </c>
      <c r="B4358" s="1">
        <v>45502</v>
      </c>
      <c r="C4358">
        <v>2024</v>
      </c>
      <c r="D4358">
        <v>7</v>
      </c>
      <c r="E4358" t="s">
        <v>13</v>
      </c>
      <c r="F4358" t="s">
        <v>14</v>
      </c>
      <c r="G4358" t="s">
        <v>68</v>
      </c>
      <c r="H4358" t="s">
        <v>87</v>
      </c>
      <c r="I4358">
        <v>2999.32</v>
      </c>
      <c r="J4358">
        <v>2941.45</v>
      </c>
      <c r="K4358" t="s">
        <v>17</v>
      </c>
      <c r="L4358" t="b">
        <v>0</v>
      </c>
      <c r="N4358" s="2" t="str">
        <f t="shared" si="392"/>
        <v/>
      </c>
      <c r="Q4358" t="str">
        <f t="shared" si="393"/>
        <v/>
      </c>
    </row>
    <row r="4359" spans="1:17" hidden="1">
      <c r="A4359" t="s">
        <v>4464</v>
      </c>
      <c r="B4359" s="1">
        <v>45502</v>
      </c>
      <c r="C4359">
        <v>2024</v>
      </c>
      <c r="D4359">
        <v>7</v>
      </c>
      <c r="E4359" t="s">
        <v>13</v>
      </c>
      <c r="F4359" t="s">
        <v>24</v>
      </c>
      <c r="G4359" t="s">
        <v>108</v>
      </c>
      <c r="H4359" t="s">
        <v>109</v>
      </c>
      <c r="I4359">
        <v>3321.12</v>
      </c>
      <c r="J4359">
        <v>3289.62</v>
      </c>
      <c r="K4359" t="s">
        <v>17</v>
      </c>
      <c r="L4359" t="b">
        <v>0</v>
      </c>
      <c r="N4359" s="2" t="str">
        <f t="shared" si="392"/>
        <v/>
      </c>
      <c r="Q4359" t="str">
        <f t="shared" si="393"/>
        <v/>
      </c>
    </row>
    <row r="4360" spans="1:17" hidden="1">
      <c r="A4360" t="s">
        <v>4465</v>
      </c>
      <c r="B4360" s="1">
        <v>45502</v>
      </c>
      <c r="C4360">
        <v>2024</v>
      </c>
      <c r="D4360">
        <v>7</v>
      </c>
      <c r="E4360" t="s">
        <v>37</v>
      </c>
      <c r="F4360" t="s">
        <v>28</v>
      </c>
      <c r="G4360" t="s">
        <v>98</v>
      </c>
      <c r="H4360" t="s">
        <v>99</v>
      </c>
      <c r="I4360">
        <v>2658.97</v>
      </c>
      <c r="J4360">
        <v>2585.11</v>
      </c>
      <c r="K4360" t="s">
        <v>17</v>
      </c>
      <c r="L4360" t="b">
        <v>0</v>
      </c>
      <c r="N4360" s="2" t="str">
        <f t="shared" si="392"/>
        <v/>
      </c>
      <c r="Q4360" t="str">
        <f t="shared" si="393"/>
        <v/>
      </c>
    </row>
    <row r="4361" spans="1:17" hidden="1">
      <c r="A4361" t="s">
        <v>4466</v>
      </c>
      <c r="B4361" s="1">
        <v>45503</v>
      </c>
      <c r="C4361">
        <v>2024</v>
      </c>
      <c r="D4361">
        <v>7</v>
      </c>
      <c r="E4361" t="s">
        <v>13</v>
      </c>
      <c r="F4361" t="s">
        <v>28</v>
      </c>
      <c r="G4361" t="s">
        <v>15</v>
      </c>
      <c r="H4361" t="s">
        <v>45</v>
      </c>
      <c r="I4361">
        <v>3850.4</v>
      </c>
      <c r="J4361">
        <v>4175.17</v>
      </c>
      <c r="K4361" t="s">
        <v>17</v>
      </c>
      <c r="L4361" t="b">
        <v>0</v>
      </c>
      <c r="N4361" s="2" t="str">
        <f t="shared" si="392"/>
        <v/>
      </c>
      <c r="Q4361" t="str">
        <f t="shared" si="393"/>
        <v/>
      </c>
    </row>
    <row r="4362" spans="1:17" hidden="1">
      <c r="A4362" t="s">
        <v>4467</v>
      </c>
      <c r="B4362" s="1">
        <v>45503</v>
      </c>
      <c r="C4362">
        <v>2024</v>
      </c>
      <c r="D4362">
        <v>7</v>
      </c>
      <c r="E4362" t="s">
        <v>13</v>
      </c>
      <c r="F4362" t="s">
        <v>24</v>
      </c>
      <c r="G4362" t="s">
        <v>68</v>
      </c>
      <c r="H4362" t="s">
        <v>87</v>
      </c>
      <c r="I4362">
        <v>3925</v>
      </c>
      <c r="J4362">
        <v>3731.79</v>
      </c>
      <c r="K4362" t="s">
        <v>17</v>
      </c>
      <c r="L4362" t="b">
        <v>0</v>
      </c>
      <c r="N4362" s="2" t="str">
        <f t="shared" si="392"/>
        <v/>
      </c>
      <c r="Q4362" t="str">
        <f t="shared" si="393"/>
        <v/>
      </c>
    </row>
    <row r="4363" spans="1:17" hidden="1">
      <c r="A4363" t="s">
        <v>4468</v>
      </c>
      <c r="B4363" s="1">
        <v>45503</v>
      </c>
      <c r="C4363">
        <v>2024</v>
      </c>
      <c r="D4363">
        <v>7</v>
      </c>
      <c r="E4363" t="s">
        <v>47</v>
      </c>
      <c r="F4363" t="s">
        <v>28</v>
      </c>
      <c r="G4363" t="s">
        <v>48</v>
      </c>
      <c r="H4363" t="s">
        <v>189</v>
      </c>
      <c r="I4363">
        <v>13026.5</v>
      </c>
      <c r="J4363">
        <v>11018.65</v>
      </c>
      <c r="K4363" t="s">
        <v>17</v>
      </c>
      <c r="L4363" t="b">
        <v>0</v>
      </c>
      <c r="N4363" s="2" t="b">
        <f t="shared" si="392"/>
        <v>1</v>
      </c>
      <c r="O4363" t="str">
        <f t="shared" ref="O4363:O4366" si="394">IF(AND(E4352="HR",K4352="EXPENSE"),I4352&lt;J4352,"")</f>
        <v/>
      </c>
      <c r="Q4363" t="str">
        <f t="shared" si="393"/>
        <v/>
      </c>
    </row>
    <row r="4364" spans="1:17" hidden="1">
      <c r="A4364" t="s">
        <v>4469</v>
      </c>
      <c r="B4364" s="1">
        <v>45503</v>
      </c>
      <c r="C4364">
        <v>2024</v>
      </c>
      <c r="D4364">
        <v>7</v>
      </c>
      <c r="E4364" t="s">
        <v>47</v>
      </c>
      <c r="F4364" t="s">
        <v>28</v>
      </c>
      <c r="G4364" t="s">
        <v>51</v>
      </c>
      <c r="H4364" t="s">
        <v>52</v>
      </c>
      <c r="I4364">
        <v>15607.91</v>
      </c>
      <c r="J4364">
        <v>13087.35</v>
      </c>
      <c r="K4364" t="s">
        <v>17</v>
      </c>
      <c r="L4364" t="b">
        <v>0</v>
      </c>
      <c r="N4364" s="2" t="b">
        <f t="shared" si="392"/>
        <v>1</v>
      </c>
      <c r="O4364" t="str">
        <f t="shared" si="394"/>
        <v/>
      </c>
      <c r="Q4364" t="str">
        <f t="shared" si="393"/>
        <v/>
      </c>
    </row>
    <row r="4365" spans="1:17" hidden="1">
      <c r="A4365" t="s">
        <v>4470</v>
      </c>
      <c r="B4365" s="1">
        <v>45503</v>
      </c>
      <c r="C4365">
        <v>2024</v>
      </c>
      <c r="D4365">
        <v>7</v>
      </c>
      <c r="E4365" t="s">
        <v>47</v>
      </c>
      <c r="F4365" t="s">
        <v>28</v>
      </c>
      <c r="G4365" t="s">
        <v>48</v>
      </c>
      <c r="H4365" t="s">
        <v>75</v>
      </c>
      <c r="I4365">
        <v>7359.08</v>
      </c>
      <c r="J4365">
        <v>6118.05</v>
      </c>
      <c r="K4365" t="s">
        <v>17</v>
      </c>
      <c r="L4365" t="b">
        <v>0</v>
      </c>
      <c r="N4365" s="2" t="b">
        <f t="shared" si="392"/>
        <v>1</v>
      </c>
      <c r="O4365" t="b">
        <f t="shared" si="394"/>
        <v>0</v>
      </c>
      <c r="Q4365" t="str">
        <f t="shared" si="393"/>
        <v/>
      </c>
    </row>
    <row r="4366" spans="1:17" hidden="1">
      <c r="A4366" t="s">
        <v>4471</v>
      </c>
      <c r="B4366" s="1">
        <v>45503</v>
      </c>
      <c r="C4366">
        <v>2024</v>
      </c>
      <c r="D4366">
        <v>7</v>
      </c>
      <c r="E4366" t="s">
        <v>47</v>
      </c>
      <c r="F4366" t="s">
        <v>24</v>
      </c>
      <c r="G4366" t="s">
        <v>48</v>
      </c>
      <c r="H4366" t="s">
        <v>75</v>
      </c>
      <c r="I4366">
        <v>26608.23</v>
      </c>
      <c r="J4366">
        <v>21900.22</v>
      </c>
      <c r="K4366" t="s">
        <v>17</v>
      </c>
      <c r="L4366" t="b">
        <v>0</v>
      </c>
      <c r="N4366" s="2" t="b">
        <f t="shared" si="392"/>
        <v>1</v>
      </c>
      <c r="O4366" t="str">
        <f t="shared" si="394"/>
        <v/>
      </c>
      <c r="Q4366" t="str">
        <f t="shared" si="393"/>
        <v/>
      </c>
    </row>
    <row r="4367" spans="1:17" hidden="1">
      <c r="A4367" t="s">
        <v>4472</v>
      </c>
      <c r="B4367" s="1">
        <v>45503</v>
      </c>
      <c r="C4367">
        <v>2024</v>
      </c>
      <c r="D4367">
        <v>7</v>
      </c>
      <c r="E4367" t="s">
        <v>19</v>
      </c>
      <c r="F4367" t="s">
        <v>28</v>
      </c>
      <c r="G4367" t="s">
        <v>80</v>
      </c>
      <c r="H4367" t="s">
        <v>81</v>
      </c>
      <c r="I4367">
        <v>5896.59</v>
      </c>
      <c r="J4367">
        <v>5797.12</v>
      </c>
      <c r="K4367" t="s">
        <v>17</v>
      </c>
      <c r="L4367" t="b">
        <v>0</v>
      </c>
      <c r="N4367" s="2" t="str">
        <f t="shared" si="392"/>
        <v/>
      </c>
      <c r="Q4367" t="str">
        <f t="shared" si="393"/>
        <v/>
      </c>
    </row>
    <row r="4368" spans="1:17" hidden="1">
      <c r="A4368" t="s">
        <v>4473</v>
      </c>
      <c r="B4368" s="1">
        <v>45503</v>
      </c>
      <c r="C4368">
        <v>2024</v>
      </c>
      <c r="D4368">
        <v>7</v>
      </c>
      <c r="E4368" t="s">
        <v>19</v>
      </c>
      <c r="F4368" t="s">
        <v>28</v>
      </c>
      <c r="G4368" t="s">
        <v>20</v>
      </c>
      <c r="H4368" t="s">
        <v>136</v>
      </c>
      <c r="I4368">
        <v>7754.62</v>
      </c>
      <c r="J4368">
        <v>7257.76</v>
      </c>
      <c r="K4368" t="s">
        <v>17</v>
      </c>
      <c r="L4368" t="b">
        <v>0</v>
      </c>
      <c r="N4368" s="2" t="str">
        <f t="shared" si="392"/>
        <v/>
      </c>
      <c r="Q4368" t="str">
        <f t="shared" si="393"/>
        <v/>
      </c>
    </row>
    <row r="4369" spans="1:17" hidden="1">
      <c r="A4369" t="s">
        <v>4474</v>
      </c>
      <c r="B4369" s="1">
        <v>45503</v>
      </c>
      <c r="C4369">
        <v>2024</v>
      </c>
      <c r="D4369">
        <v>7</v>
      </c>
      <c r="E4369" t="s">
        <v>19</v>
      </c>
      <c r="F4369" t="s">
        <v>24</v>
      </c>
      <c r="G4369" t="s">
        <v>132</v>
      </c>
      <c r="H4369" t="s">
        <v>171</v>
      </c>
      <c r="I4369">
        <v>6436.02</v>
      </c>
      <c r="J4369">
        <v>6592.59</v>
      </c>
      <c r="K4369" t="s">
        <v>17</v>
      </c>
      <c r="L4369" t="b">
        <v>0</v>
      </c>
      <c r="N4369" s="2" t="str">
        <f t="shared" si="392"/>
        <v/>
      </c>
      <c r="Q4369" t="str">
        <f t="shared" si="393"/>
        <v/>
      </c>
    </row>
    <row r="4370" spans="1:17" hidden="1">
      <c r="A4370" t="s">
        <v>4475</v>
      </c>
      <c r="B4370" s="1">
        <v>45503</v>
      </c>
      <c r="C4370">
        <v>2024</v>
      </c>
      <c r="D4370">
        <v>7</v>
      </c>
      <c r="E4370" t="s">
        <v>23</v>
      </c>
      <c r="F4370" t="s">
        <v>14</v>
      </c>
      <c r="G4370" t="s">
        <v>59</v>
      </c>
      <c r="H4370" t="s">
        <v>60</v>
      </c>
      <c r="I4370">
        <v>5284.86</v>
      </c>
      <c r="J4370">
        <v>5178.6400000000003</v>
      </c>
      <c r="K4370" t="s">
        <v>17</v>
      </c>
      <c r="L4370" t="b">
        <v>0</v>
      </c>
      <c r="N4370" s="2" t="str">
        <f t="shared" si="392"/>
        <v/>
      </c>
      <c r="Q4370" t="str">
        <f t="shared" si="393"/>
        <v/>
      </c>
    </row>
    <row r="4371" spans="1:17" hidden="1">
      <c r="A4371" t="s">
        <v>4476</v>
      </c>
      <c r="B4371" s="1">
        <v>45503</v>
      </c>
      <c r="C4371">
        <v>2024</v>
      </c>
      <c r="D4371">
        <v>7</v>
      </c>
      <c r="E4371" t="s">
        <v>23</v>
      </c>
      <c r="F4371" t="s">
        <v>24</v>
      </c>
      <c r="G4371" t="s">
        <v>59</v>
      </c>
      <c r="H4371" t="s">
        <v>155</v>
      </c>
      <c r="I4371">
        <v>4088.7</v>
      </c>
      <c r="J4371">
        <v>3770.26</v>
      </c>
      <c r="K4371" t="s">
        <v>17</v>
      </c>
      <c r="L4371" t="b">
        <v>0</v>
      </c>
      <c r="N4371" s="2" t="str">
        <f t="shared" si="392"/>
        <v/>
      </c>
      <c r="Q4371" t="str">
        <f t="shared" si="393"/>
        <v/>
      </c>
    </row>
    <row r="4372" spans="1:17" hidden="1">
      <c r="A4372" t="s">
        <v>4477</v>
      </c>
      <c r="B4372" s="1">
        <v>45503</v>
      </c>
      <c r="C4372">
        <v>2024</v>
      </c>
      <c r="D4372">
        <v>7</v>
      </c>
      <c r="E4372" t="s">
        <v>23</v>
      </c>
      <c r="F4372" t="s">
        <v>24</v>
      </c>
      <c r="G4372" t="s">
        <v>30</v>
      </c>
      <c r="H4372" t="s">
        <v>106</v>
      </c>
      <c r="I4372">
        <v>8221.32</v>
      </c>
      <c r="J4372">
        <v>8563.57</v>
      </c>
      <c r="K4372" t="s">
        <v>17</v>
      </c>
      <c r="L4372" t="b">
        <v>0</v>
      </c>
      <c r="N4372" s="2" t="str">
        <f t="shared" si="392"/>
        <v/>
      </c>
      <c r="Q4372" t="str">
        <f t="shared" si="393"/>
        <v/>
      </c>
    </row>
    <row r="4373" spans="1:17" hidden="1">
      <c r="A4373" t="s">
        <v>4478</v>
      </c>
      <c r="B4373" s="1">
        <v>45503</v>
      </c>
      <c r="C4373">
        <v>2024</v>
      </c>
      <c r="D4373">
        <v>7</v>
      </c>
      <c r="E4373" t="s">
        <v>37</v>
      </c>
      <c r="F4373" t="s">
        <v>14</v>
      </c>
      <c r="G4373" t="s">
        <v>41</v>
      </c>
      <c r="H4373" t="s">
        <v>42</v>
      </c>
      <c r="I4373">
        <v>3219</v>
      </c>
      <c r="J4373">
        <v>3045.8</v>
      </c>
      <c r="K4373" t="s">
        <v>17</v>
      </c>
      <c r="L4373" t="b">
        <v>0</v>
      </c>
      <c r="N4373" s="2" t="str">
        <f t="shared" si="392"/>
        <v/>
      </c>
      <c r="Q4373" t="str">
        <f t="shared" si="393"/>
        <v/>
      </c>
    </row>
    <row r="4374" spans="1:17" hidden="1">
      <c r="A4374" t="s">
        <v>4479</v>
      </c>
      <c r="B4374" s="1">
        <v>45503</v>
      </c>
      <c r="C4374">
        <v>2024</v>
      </c>
      <c r="D4374">
        <v>7</v>
      </c>
      <c r="E4374" t="s">
        <v>37</v>
      </c>
      <c r="F4374" t="s">
        <v>24</v>
      </c>
      <c r="G4374" t="s">
        <v>62</v>
      </c>
      <c r="H4374" t="s">
        <v>360</v>
      </c>
      <c r="I4374">
        <v>6500.42</v>
      </c>
      <c r="J4374">
        <v>6240.44</v>
      </c>
      <c r="K4374" t="s">
        <v>17</v>
      </c>
      <c r="L4374" t="b">
        <v>0</v>
      </c>
      <c r="N4374" s="2" t="str">
        <f t="shared" si="392"/>
        <v/>
      </c>
      <c r="Q4374" t="str">
        <f t="shared" si="393"/>
        <v/>
      </c>
    </row>
    <row r="4375" spans="1:17" hidden="1">
      <c r="A4375" t="s">
        <v>4480</v>
      </c>
      <c r="B4375" s="1">
        <v>45504</v>
      </c>
      <c r="C4375">
        <v>2024</v>
      </c>
      <c r="D4375">
        <v>7</v>
      </c>
      <c r="E4375" t="s">
        <v>13</v>
      </c>
      <c r="F4375" t="s">
        <v>14</v>
      </c>
      <c r="G4375" t="s">
        <v>108</v>
      </c>
      <c r="H4375" t="s">
        <v>109</v>
      </c>
      <c r="I4375">
        <v>3442.86</v>
      </c>
      <c r="J4375">
        <v>3448.98</v>
      </c>
      <c r="K4375" t="s">
        <v>17</v>
      </c>
      <c r="L4375" t="b">
        <v>0</v>
      </c>
      <c r="N4375" s="2" t="str">
        <f t="shared" si="392"/>
        <v/>
      </c>
      <c r="Q4375" t="str">
        <f t="shared" si="393"/>
        <v/>
      </c>
    </row>
    <row r="4376" spans="1:17" hidden="1">
      <c r="A4376" t="s">
        <v>4481</v>
      </c>
      <c r="B4376" s="1">
        <v>45504</v>
      </c>
      <c r="C4376">
        <v>2024</v>
      </c>
      <c r="D4376">
        <v>7</v>
      </c>
      <c r="E4376" t="s">
        <v>47</v>
      </c>
      <c r="F4376" t="s">
        <v>28</v>
      </c>
      <c r="G4376" t="s">
        <v>91</v>
      </c>
      <c r="H4376" t="s">
        <v>254</v>
      </c>
      <c r="I4376">
        <v>12847.11</v>
      </c>
      <c r="J4376">
        <v>10988.85</v>
      </c>
      <c r="K4376" t="s">
        <v>17</v>
      </c>
      <c r="L4376" t="b">
        <v>0</v>
      </c>
      <c r="N4376" s="2" t="b">
        <f t="shared" si="392"/>
        <v>1</v>
      </c>
      <c r="O4376" t="str">
        <f t="shared" ref="O4376:O4379" si="395">IF(AND(E4365="HR",K4365="EXPENSE"),I4365&lt;J4365,"")</f>
        <v/>
      </c>
      <c r="Q4376" t="str">
        <f t="shared" si="393"/>
        <v/>
      </c>
    </row>
    <row r="4377" spans="1:17" hidden="1">
      <c r="A4377" t="s">
        <v>4482</v>
      </c>
      <c r="B4377" s="1">
        <v>45504</v>
      </c>
      <c r="C4377">
        <v>2024</v>
      </c>
      <c r="D4377">
        <v>7</v>
      </c>
      <c r="E4377" t="s">
        <v>47</v>
      </c>
      <c r="F4377" t="s">
        <v>28</v>
      </c>
      <c r="G4377" t="s">
        <v>77</v>
      </c>
      <c r="H4377" t="s">
        <v>78</v>
      </c>
      <c r="I4377">
        <v>7039.71</v>
      </c>
      <c r="J4377">
        <v>5886.91</v>
      </c>
      <c r="K4377" t="s">
        <v>17</v>
      </c>
      <c r="L4377" t="b">
        <v>0</v>
      </c>
      <c r="N4377" s="2" t="b">
        <f t="shared" si="392"/>
        <v>1</v>
      </c>
      <c r="O4377" t="str">
        <f t="shared" si="395"/>
        <v/>
      </c>
      <c r="Q4377" t="str">
        <f t="shared" si="393"/>
        <v/>
      </c>
    </row>
    <row r="4378" spans="1:17" hidden="1">
      <c r="A4378" t="s">
        <v>4483</v>
      </c>
      <c r="B4378" s="1">
        <v>45504</v>
      </c>
      <c r="C4378">
        <v>2024</v>
      </c>
      <c r="D4378">
        <v>7</v>
      </c>
      <c r="E4378" t="s">
        <v>47</v>
      </c>
      <c r="F4378" t="s">
        <v>28</v>
      </c>
      <c r="G4378" t="s">
        <v>51</v>
      </c>
      <c r="H4378" t="s">
        <v>72</v>
      </c>
      <c r="I4378">
        <v>6106.14</v>
      </c>
      <c r="J4378">
        <v>5193.2700000000004</v>
      </c>
      <c r="K4378" t="s">
        <v>17</v>
      </c>
      <c r="L4378" t="b">
        <v>0</v>
      </c>
      <c r="N4378" s="2" t="b">
        <f t="shared" si="392"/>
        <v>1</v>
      </c>
      <c r="O4378" t="str">
        <f t="shared" si="395"/>
        <v/>
      </c>
      <c r="Q4378" t="str">
        <f t="shared" si="393"/>
        <v/>
      </c>
    </row>
    <row r="4379" spans="1:17" hidden="1">
      <c r="A4379" t="s">
        <v>4484</v>
      </c>
      <c r="B4379" s="1">
        <v>45504</v>
      </c>
      <c r="C4379">
        <v>2024</v>
      </c>
      <c r="D4379">
        <v>7</v>
      </c>
      <c r="E4379" t="s">
        <v>47</v>
      </c>
      <c r="F4379" t="s">
        <v>24</v>
      </c>
      <c r="G4379" t="s">
        <v>91</v>
      </c>
      <c r="H4379" t="s">
        <v>128</v>
      </c>
      <c r="I4379">
        <v>19103.11</v>
      </c>
      <c r="J4379">
        <v>15900.86</v>
      </c>
      <c r="K4379" t="s">
        <v>17</v>
      </c>
      <c r="L4379" t="b">
        <v>0</v>
      </c>
      <c r="N4379" s="2" t="b">
        <f t="shared" si="392"/>
        <v>1</v>
      </c>
      <c r="O4379" t="str">
        <f t="shared" si="395"/>
        <v/>
      </c>
      <c r="Q4379" t="str">
        <f t="shared" si="393"/>
        <v/>
      </c>
    </row>
    <row r="4380" spans="1:17" hidden="1">
      <c r="A4380" t="s">
        <v>4485</v>
      </c>
      <c r="B4380" s="1">
        <v>45504</v>
      </c>
      <c r="C4380">
        <v>2024</v>
      </c>
      <c r="D4380">
        <v>7</v>
      </c>
      <c r="E4380" t="s">
        <v>23</v>
      </c>
      <c r="F4380" t="s">
        <v>28</v>
      </c>
      <c r="G4380" t="s">
        <v>30</v>
      </c>
      <c r="H4380" t="s">
        <v>106</v>
      </c>
      <c r="I4380">
        <v>8341.15</v>
      </c>
      <c r="J4380">
        <v>7996.96</v>
      </c>
      <c r="K4380" t="s">
        <v>17</v>
      </c>
      <c r="L4380" t="b">
        <v>0</v>
      </c>
      <c r="N4380" s="2" t="str">
        <f t="shared" si="392"/>
        <v/>
      </c>
      <c r="Q4380" t="str">
        <f t="shared" si="393"/>
        <v/>
      </c>
    </row>
    <row r="4381" spans="1:17" hidden="1">
      <c r="A4381" t="s">
        <v>4486</v>
      </c>
      <c r="B4381" s="1">
        <v>45504</v>
      </c>
      <c r="C4381">
        <v>2024</v>
      </c>
      <c r="D4381">
        <v>7</v>
      </c>
      <c r="E4381" t="s">
        <v>37</v>
      </c>
      <c r="F4381" t="s">
        <v>28</v>
      </c>
      <c r="G4381" t="s">
        <v>41</v>
      </c>
      <c r="H4381" t="s">
        <v>42</v>
      </c>
      <c r="I4381">
        <v>5333.27</v>
      </c>
      <c r="J4381">
        <v>5091.22</v>
      </c>
      <c r="K4381" t="s">
        <v>17</v>
      </c>
      <c r="L4381" t="b">
        <v>0</v>
      </c>
      <c r="N4381" s="2" t="str">
        <f t="shared" si="392"/>
        <v/>
      </c>
      <c r="Q4381" t="str">
        <f t="shared" si="393"/>
        <v/>
      </c>
    </row>
    <row r="4382" spans="1:17" hidden="1">
      <c r="A4382" t="s">
        <v>4487</v>
      </c>
      <c r="B4382" s="1">
        <v>45504</v>
      </c>
      <c r="C4382">
        <v>2024</v>
      </c>
      <c r="D4382">
        <v>7</v>
      </c>
      <c r="E4382" t="s">
        <v>37</v>
      </c>
      <c r="F4382" t="s">
        <v>28</v>
      </c>
      <c r="G4382" t="s">
        <v>38</v>
      </c>
      <c r="H4382" t="s">
        <v>227</v>
      </c>
      <c r="I4382">
        <v>8719.69</v>
      </c>
      <c r="J4382">
        <v>9408.39</v>
      </c>
      <c r="K4382" t="s">
        <v>17</v>
      </c>
      <c r="L4382" t="b">
        <v>0</v>
      </c>
      <c r="N4382" s="2" t="str">
        <f t="shared" si="392"/>
        <v/>
      </c>
      <c r="Q4382" t="str">
        <f t="shared" si="393"/>
        <v/>
      </c>
    </row>
    <row r="4383" spans="1:17" hidden="1">
      <c r="A4383" t="s">
        <v>4488</v>
      </c>
      <c r="B4383" s="1">
        <v>45504</v>
      </c>
      <c r="C4383">
        <v>2024</v>
      </c>
      <c r="D4383">
        <v>7</v>
      </c>
      <c r="E4383" t="s">
        <v>37</v>
      </c>
      <c r="F4383" t="s">
        <v>28</v>
      </c>
      <c r="G4383" t="s">
        <v>83</v>
      </c>
      <c r="H4383" t="s">
        <v>84</v>
      </c>
      <c r="I4383">
        <v>170605.41</v>
      </c>
      <c r="J4383">
        <v>162075.14000000001</v>
      </c>
      <c r="K4383" t="s">
        <v>85</v>
      </c>
      <c r="L4383" t="b">
        <v>0</v>
      </c>
      <c r="N4383" s="2" t="str">
        <f t="shared" si="392"/>
        <v/>
      </c>
      <c r="Q4383" t="str">
        <f t="shared" si="393"/>
        <v/>
      </c>
    </row>
    <row r="4384" spans="1:17" hidden="1">
      <c r="A4384" t="s">
        <v>4489</v>
      </c>
      <c r="B4384" s="1">
        <v>45505</v>
      </c>
      <c r="C4384">
        <v>2024</v>
      </c>
      <c r="D4384">
        <v>8</v>
      </c>
      <c r="E4384" t="s">
        <v>13</v>
      </c>
      <c r="F4384" t="s">
        <v>28</v>
      </c>
      <c r="G4384" t="s">
        <v>108</v>
      </c>
      <c r="H4384" t="s">
        <v>109</v>
      </c>
      <c r="I4384">
        <v>2626.96</v>
      </c>
      <c r="J4384">
        <v>2570.08</v>
      </c>
      <c r="K4384" t="s">
        <v>17</v>
      </c>
      <c r="L4384" t="b">
        <v>0</v>
      </c>
      <c r="N4384" s="2" t="str">
        <f t="shared" si="392"/>
        <v/>
      </c>
      <c r="Q4384" t="str">
        <f t="shared" si="393"/>
        <v/>
      </c>
    </row>
    <row r="4385" spans="1:17" hidden="1">
      <c r="A4385" t="s">
        <v>4490</v>
      </c>
      <c r="B4385" s="1">
        <v>45505</v>
      </c>
      <c r="C4385">
        <v>2024</v>
      </c>
      <c r="D4385">
        <v>8</v>
      </c>
      <c r="E4385" t="s">
        <v>13</v>
      </c>
      <c r="F4385" t="s">
        <v>24</v>
      </c>
      <c r="G4385" t="s">
        <v>102</v>
      </c>
      <c r="H4385" t="s">
        <v>103</v>
      </c>
      <c r="I4385">
        <v>3608.57</v>
      </c>
      <c r="J4385">
        <v>3717.09</v>
      </c>
      <c r="K4385" t="s">
        <v>17</v>
      </c>
      <c r="L4385" t="b">
        <v>0</v>
      </c>
      <c r="N4385" s="2" t="str">
        <f t="shared" si="392"/>
        <v/>
      </c>
      <c r="Q4385" t="str">
        <f t="shared" si="393"/>
        <v/>
      </c>
    </row>
    <row r="4386" spans="1:17" hidden="1">
      <c r="A4386" t="s">
        <v>4491</v>
      </c>
      <c r="B4386" s="1">
        <v>45505</v>
      </c>
      <c r="C4386">
        <v>2024</v>
      </c>
      <c r="D4386">
        <v>8</v>
      </c>
      <c r="E4386" t="s">
        <v>47</v>
      </c>
      <c r="F4386" t="s">
        <v>28</v>
      </c>
      <c r="G4386" t="s">
        <v>91</v>
      </c>
      <c r="H4386" t="s">
        <v>92</v>
      </c>
      <c r="I4386">
        <v>12912.99</v>
      </c>
      <c r="J4386">
        <v>10949.84</v>
      </c>
      <c r="K4386" t="s">
        <v>17</v>
      </c>
      <c r="L4386" t="b">
        <v>0</v>
      </c>
      <c r="N4386" s="2" t="b">
        <f t="shared" si="392"/>
        <v>1</v>
      </c>
      <c r="O4386" t="b">
        <f t="shared" ref="O4386:O4387" si="396">IF(AND(E4375="HR",K4375="EXPENSE"),I4375&lt;J4375,"")</f>
        <v>1</v>
      </c>
      <c r="Q4386" t="str">
        <f t="shared" si="393"/>
        <v/>
      </c>
    </row>
    <row r="4387" spans="1:17" hidden="1">
      <c r="A4387" t="s">
        <v>4492</v>
      </c>
      <c r="B4387" s="1">
        <v>45505</v>
      </c>
      <c r="C4387">
        <v>2024</v>
      </c>
      <c r="D4387">
        <v>8</v>
      </c>
      <c r="E4387" t="s">
        <v>47</v>
      </c>
      <c r="F4387" t="s">
        <v>24</v>
      </c>
      <c r="G4387" t="s">
        <v>51</v>
      </c>
      <c r="H4387" t="s">
        <v>72</v>
      </c>
      <c r="I4387">
        <v>17530.79</v>
      </c>
      <c r="J4387">
        <v>15224.55</v>
      </c>
      <c r="K4387" t="s">
        <v>17</v>
      </c>
      <c r="L4387" t="b">
        <v>0</v>
      </c>
      <c r="N4387" s="2" t="b">
        <f t="shared" si="392"/>
        <v>1</v>
      </c>
      <c r="O4387" t="str">
        <f t="shared" si="396"/>
        <v/>
      </c>
      <c r="Q4387" t="str">
        <f t="shared" si="393"/>
        <v/>
      </c>
    </row>
    <row r="4388" spans="1:17" hidden="1">
      <c r="A4388" t="s">
        <v>4493</v>
      </c>
      <c r="B4388" s="1">
        <v>45505</v>
      </c>
      <c r="C4388">
        <v>2024</v>
      </c>
      <c r="D4388">
        <v>8</v>
      </c>
      <c r="E4388" t="s">
        <v>19</v>
      </c>
      <c r="F4388" t="s">
        <v>28</v>
      </c>
      <c r="G4388" t="s">
        <v>54</v>
      </c>
      <c r="H4388" t="s">
        <v>57</v>
      </c>
      <c r="I4388">
        <v>6641.01</v>
      </c>
      <c r="J4388">
        <v>6558.66</v>
      </c>
      <c r="K4388" t="s">
        <v>17</v>
      </c>
      <c r="L4388" t="b">
        <v>0</v>
      </c>
      <c r="N4388" s="2" t="str">
        <f t="shared" si="392"/>
        <v/>
      </c>
      <c r="Q4388" t="str">
        <f t="shared" si="393"/>
        <v/>
      </c>
    </row>
    <row r="4389" spans="1:17" hidden="1">
      <c r="A4389" t="s">
        <v>4494</v>
      </c>
      <c r="B4389" s="1">
        <v>45505</v>
      </c>
      <c r="C4389">
        <v>2024</v>
      </c>
      <c r="D4389">
        <v>8</v>
      </c>
      <c r="E4389" t="s">
        <v>23</v>
      </c>
      <c r="F4389" t="s">
        <v>14</v>
      </c>
      <c r="G4389" t="s">
        <v>141</v>
      </c>
      <c r="H4389" t="s">
        <v>142</v>
      </c>
      <c r="I4389">
        <v>7766.7</v>
      </c>
      <c r="J4389">
        <v>7070.37</v>
      </c>
      <c r="K4389" t="s">
        <v>17</v>
      </c>
      <c r="L4389" t="b">
        <v>0</v>
      </c>
      <c r="N4389" s="2" t="str">
        <f t="shared" si="392"/>
        <v/>
      </c>
      <c r="Q4389" t="str">
        <f t="shared" si="393"/>
        <v/>
      </c>
    </row>
    <row r="4390" spans="1:17" hidden="1">
      <c r="A4390" t="s">
        <v>4495</v>
      </c>
      <c r="B4390" s="1">
        <v>45505</v>
      </c>
      <c r="C4390">
        <v>2024</v>
      </c>
      <c r="D4390">
        <v>8</v>
      </c>
      <c r="E4390" t="s">
        <v>23</v>
      </c>
      <c r="F4390" t="s">
        <v>14</v>
      </c>
      <c r="G4390" t="s">
        <v>141</v>
      </c>
      <c r="H4390" t="s">
        <v>153</v>
      </c>
      <c r="I4390">
        <v>4775.01</v>
      </c>
      <c r="J4390">
        <v>4838.22</v>
      </c>
      <c r="K4390" t="s">
        <v>17</v>
      </c>
      <c r="L4390" t="b">
        <v>0</v>
      </c>
      <c r="N4390" s="2" t="str">
        <f t="shared" si="392"/>
        <v/>
      </c>
      <c r="Q4390" t="str">
        <f t="shared" si="393"/>
        <v/>
      </c>
    </row>
    <row r="4391" spans="1:17" hidden="1">
      <c r="A4391" t="s">
        <v>4496</v>
      </c>
      <c r="B4391" s="1">
        <v>45505</v>
      </c>
      <c r="C4391">
        <v>2024</v>
      </c>
      <c r="D4391">
        <v>8</v>
      </c>
      <c r="E4391" t="s">
        <v>23</v>
      </c>
      <c r="F4391" t="s">
        <v>24</v>
      </c>
      <c r="G4391" t="s">
        <v>30</v>
      </c>
      <c r="H4391" t="s">
        <v>31</v>
      </c>
      <c r="I4391">
        <v>5449.8</v>
      </c>
      <c r="J4391">
        <v>5095.76</v>
      </c>
      <c r="K4391" t="s">
        <v>17</v>
      </c>
      <c r="L4391" t="b">
        <v>0</v>
      </c>
      <c r="N4391" s="2" t="str">
        <f t="shared" si="392"/>
        <v/>
      </c>
      <c r="Q4391" t="str">
        <f t="shared" si="393"/>
        <v/>
      </c>
    </row>
    <row r="4392" spans="1:17" hidden="1">
      <c r="A4392" t="s">
        <v>4497</v>
      </c>
      <c r="B4392" s="1">
        <v>45505</v>
      </c>
      <c r="C4392">
        <v>2024</v>
      </c>
      <c r="D4392">
        <v>8</v>
      </c>
      <c r="E4392" t="s">
        <v>37</v>
      </c>
      <c r="F4392" t="s">
        <v>14</v>
      </c>
      <c r="G4392" t="s">
        <v>98</v>
      </c>
      <c r="H4392" t="s">
        <v>185</v>
      </c>
      <c r="I4392">
        <v>7026.49</v>
      </c>
      <c r="J4392">
        <v>7639.14</v>
      </c>
      <c r="K4392" t="s">
        <v>17</v>
      </c>
      <c r="L4392" t="b">
        <v>0</v>
      </c>
      <c r="N4392" s="2" t="str">
        <f t="shared" si="392"/>
        <v/>
      </c>
      <c r="Q4392" t="str">
        <f t="shared" si="393"/>
        <v/>
      </c>
    </row>
    <row r="4393" spans="1:17" hidden="1">
      <c r="A4393" t="s">
        <v>4498</v>
      </c>
      <c r="B4393" s="1">
        <v>45505</v>
      </c>
      <c r="C4393">
        <v>2024</v>
      </c>
      <c r="D4393">
        <v>8</v>
      </c>
      <c r="E4393" t="s">
        <v>37</v>
      </c>
      <c r="F4393" t="s">
        <v>14</v>
      </c>
      <c r="G4393" t="s">
        <v>62</v>
      </c>
      <c r="H4393" t="s">
        <v>63</v>
      </c>
      <c r="I4393">
        <v>7776.14</v>
      </c>
      <c r="J4393">
        <v>8198.65</v>
      </c>
      <c r="K4393" t="s">
        <v>17</v>
      </c>
      <c r="L4393" t="b">
        <v>0</v>
      </c>
      <c r="N4393" s="2" t="str">
        <f t="shared" si="392"/>
        <v/>
      </c>
      <c r="Q4393" t="str">
        <f t="shared" si="393"/>
        <v/>
      </c>
    </row>
    <row r="4394" spans="1:17" hidden="1">
      <c r="A4394" t="s">
        <v>4499</v>
      </c>
      <c r="B4394" s="1">
        <v>45505</v>
      </c>
      <c r="C4394">
        <v>2024</v>
      </c>
      <c r="D4394">
        <v>8</v>
      </c>
      <c r="E4394" t="s">
        <v>37</v>
      </c>
      <c r="F4394" t="s">
        <v>24</v>
      </c>
      <c r="G4394" t="s">
        <v>62</v>
      </c>
      <c r="H4394" t="s">
        <v>63</v>
      </c>
      <c r="I4394">
        <v>5697.24</v>
      </c>
      <c r="J4394">
        <v>5127.7</v>
      </c>
      <c r="K4394" t="s">
        <v>17</v>
      </c>
      <c r="L4394" t="b">
        <v>0</v>
      </c>
      <c r="N4394" s="2" t="str">
        <f t="shared" si="392"/>
        <v/>
      </c>
      <c r="Q4394" t="str">
        <f t="shared" si="393"/>
        <v/>
      </c>
    </row>
    <row r="4395" spans="1:17" hidden="1">
      <c r="A4395" t="s">
        <v>4500</v>
      </c>
      <c r="B4395" s="1">
        <v>45505</v>
      </c>
      <c r="C4395">
        <v>2024</v>
      </c>
      <c r="D4395">
        <v>8</v>
      </c>
      <c r="E4395" t="s">
        <v>37</v>
      </c>
      <c r="F4395" t="s">
        <v>24</v>
      </c>
      <c r="G4395" t="s">
        <v>83</v>
      </c>
      <c r="H4395" t="s">
        <v>84</v>
      </c>
      <c r="I4395">
        <v>103431.8</v>
      </c>
      <c r="J4395">
        <v>98260.21</v>
      </c>
      <c r="K4395" t="s">
        <v>85</v>
      </c>
      <c r="L4395" t="b">
        <v>0</v>
      </c>
      <c r="N4395" s="2" t="str">
        <f t="shared" si="392"/>
        <v/>
      </c>
      <c r="Q4395" t="str">
        <f t="shared" si="393"/>
        <v/>
      </c>
    </row>
    <row r="4396" spans="1:17" hidden="1">
      <c r="A4396" t="s">
        <v>4501</v>
      </c>
      <c r="B4396" s="1">
        <v>45506</v>
      </c>
      <c r="C4396">
        <v>2024</v>
      </c>
      <c r="D4396">
        <v>8</v>
      </c>
      <c r="E4396" t="s">
        <v>13</v>
      </c>
      <c r="F4396" t="s">
        <v>14</v>
      </c>
      <c r="G4396" t="s">
        <v>15</v>
      </c>
      <c r="H4396" t="s">
        <v>16</v>
      </c>
      <c r="I4396">
        <v>3626.27</v>
      </c>
      <c r="J4396">
        <v>3934.22</v>
      </c>
      <c r="K4396" t="s">
        <v>17</v>
      </c>
      <c r="L4396" t="b">
        <v>0</v>
      </c>
      <c r="N4396" s="2" t="str">
        <f t="shared" si="392"/>
        <v/>
      </c>
      <c r="Q4396" t="str">
        <f t="shared" si="393"/>
        <v/>
      </c>
    </row>
    <row r="4397" spans="1:17" hidden="1">
      <c r="A4397" t="s">
        <v>4502</v>
      </c>
      <c r="B4397" s="1">
        <v>45506</v>
      </c>
      <c r="C4397">
        <v>2024</v>
      </c>
      <c r="D4397">
        <v>8</v>
      </c>
      <c r="E4397" t="s">
        <v>13</v>
      </c>
      <c r="F4397" t="s">
        <v>28</v>
      </c>
      <c r="G4397" t="s">
        <v>108</v>
      </c>
      <c r="H4397" t="s">
        <v>109</v>
      </c>
      <c r="I4397">
        <v>3257.44</v>
      </c>
      <c r="J4397">
        <v>3357.97</v>
      </c>
      <c r="K4397" t="s">
        <v>17</v>
      </c>
      <c r="L4397" t="b">
        <v>0</v>
      </c>
      <c r="N4397" s="2" t="str">
        <f t="shared" si="392"/>
        <v/>
      </c>
      <c r="Q4397" t="str">
        <f t="shared" si="393"/>
        <v/>
      </c>
    </row>
    <row r="4398" spans="1:17" hidden="1">
      <c r="A4398" t="s">
        <v>4503</v>
      </c>
      <c r="B4398" s="1">
        <v>45506</v>
      </c>
      <c r="C4398">
        <v>2024</v>
      </c>
      <c r="D4398">
        <v>8</v>
      </c>
      <c r="E4398" t="s">
        <v>13</v>
      </c>
      <c r="F4398" t="s">
        <v>24</v>
      </c>
      <c r="G4398" t="s">
        <v>15</v>
      </c>
      <c r="H4398" t="s">
        <v>89</v>
      </c>
      <c r="I4398">
        <v>3712.18</v>
      </c>
      <c r="J4398">
        <v>3638.1</v>
      </c>
      <c r="K4398" t="s">
        <v>17</v>
      </c>
      <c r="L4398" t="b">
        <v>0</v>
      </c>
      <c r="N4398" s="2" t="str">
        <f t="shared" si="392"/>
        <v/>
      </c>
      <c r="Q4398" t="str">
        <f t="shared" si="393"/>
        <v/>
      </c>
    </row>
    <row r="4399" spans="1:17" hidden="1">
      <c r="A4399" t="s">
        <v>4504</v>
      </c>
      <c r="B4399" s="1">
        <v>45506</v>
      </c>
      <c r="C4399">
        <v>2024</v>
      </c>
      <c r="D4399">
        <v>8</v>
      </c>
      <c r="E4399" t="s">
        <v>13</v>
      </c>
      <c r="F4399" t="s">
        <v>24</v>
      </c>
      <c r="G4399" t="s">
        <v>102</v>
      </c>
      <c r="H4399" t="s">
        <v>145</v>
      </c>
      <c r="I4399">
        <v>4018.14</v>
      </c>
      <c r="J4399">
        <v>4218.33</v>
      </c>
      <c r="K4399" t="s">
        <v>17</v>
      </c>
      <c r="L4399" t="b">
        <v>0</v>
      </c>
      <c r="N4399" s="2" t="str">
        <f t="shared" si="392"/>
        <v/>
      </c>
      <c r="Q4399" t="str">
        <f t="shared" si="393"/>
        <v/>
      </c>
    </row>
    <row r="4400" spans="1:17" hidden="1">
      <c r="A4400" t="s">
        <v>4505</v>
      </c>
      <c r="B4400" s="1">
        <v>45506</v>
      </c>
      <c r="C4400">
        <v>2024</v>
      </c>
      <c r="D4400">
        <v>8</v>
      </c>
      <c r="E4400" t="s">
        <v>47</v>
      </c>
      <c r="F4400" t="s">
        <v>14</v>
      </c>
      <c r="G4400" t="s">
        <v>48</v>
      </c>
      <c r="H4400" t="s">
        <v>75</v>
      </c>
      <c r="I4400">
        <v>15307.5</v>
      </c>
      <c r="J4400">
        <v>13110.77</v>
      </c>
      <c r="K4400" t="s">
        <v>17</v>
      </c>
      <c r="L4400" t="b">
        <v>0</v>
      </c>
      <c r="N4400" s="2" t="b">
        <f t="shared" si="392"/>
        <v>1</v>
      </c>
      <c r="O4400" t="str">
        <f t="shared" ref="O4400:O4401" si="397">IF(AND(E4389="HR",K4389="EXPENSE"),I4389&lt;J4389,"")</f>
        <v/>
      </c>
      <c r="Q4400" t="str">
        <f t="shared" si="393"/>
        <v/>
      </c>
    </row>
    <row r="4401" spans="1:17" hidden="1">
      <c r="A4401" t="s">
        <v>4506</v>
      </c>
      <c r="B4401" s="1">
        <v>45506</v>
      </c>
      <c r="C4401">
        <v>2024</v>
      </c>
      <c r="D4401">
        <v>8</v>
      </c>
      <c r="E4401" t="s">
        <v>47</v>
      </c>
      <c r="F4401" t="s">
        <v>14</v>
      </c>
      <c r="G4401" t="s">
        <v>51</v>
      </c>
      <c r="H4401" t="s">
        <v>52</v>
      </c>
      <c r="I4401">
        <v>16845.95</v>
      </c>
      <c r="J4401">
        <v>14609.03</v>
      </c>
      <c r="K4401" t="s">
        <v>17</v>
      </c>
      <c r="L4401" t="b">
        <v>0</v>
      </c>
      <c r="N4401" s="2" t="b">
        <f t="shared" si="392"/>
        <v>1</v>
      </c>
      <c r="O4401" t="str">
        <f t="shared" si="397"/>
        <v/>
      </c>
      <c r="Q4401" t="str">
        <f t="shared" si="393"/>
        <v/>
      </c>
    </row>
    <row r="4402" spans="1:17" hidden="1">
      <c r="A4402" t="s">
        <v>4507</v>
      </c>
      <c r="B4402" s="1">
        <v>45506</v>
      </c>
      <c r="C4402">
        <v>2024</v>
      </c>
      <c r="D4402">
        <v>8</v>
      </c>
      <c r="E4402" t="s">
        <v>19</v>
      </c>
      <c r="F4402" t="s">
        <v>28</v>
      </c>
      <c r="G4402" t="s">
        <v>54</v>
      </c>
      <c r="H4402" t="s">
        <v>163</v>
      </c>
      <c r="I4402">
        <v>5842.97</v>
      </c>
      <c r="J4402">
        <v>6321.76</v>
      </c>
      <c r="K4402" t="s">
        <v>17</v>
      </c>
      <c r="L4402" t="b">
        <v>0</v>
      </c>
      <c r="N4402" s="2" t="str">
        <f t="shared" si="392"/>
        <v/>
      </c>
      <c r="Q4402" t="str">
        <f t="shared" si="393"/>
        <v/>
      </c>
    </row>
    <row r="4403" spans="1:17" hidden="1">
      <c r="A4403" t="s">
        <v>4508</v>
      </c>
      <c r="B4403" s="1">
        <v>45506</v>
      </c>
      <c r="C4403">
        <v>2024</v>
      </c>
      <c r="D4403">
        <v>8</v>
      </c>
      <c r="E4403" t="s">
        <v>23</v>
      </c>
      <c r="F4403" t="s">
        <v>24</v>
      </c>
      <c r="G4403" t="s">
        <v>30</v>
      </c>
      <c r="H4403" t="s">
        <v>33</v>
      </c>
      <c r="I4403">
        <v>6071.16</v>
      </c>
      <c r="J4403">
        <v>5588.6</v>
      </c>
      <c r="K4403" t="s">
        <v>17</v>
      </c>
      <c r="L4403" t="b">
        <v>0</v>
      </c>
      <c r="N4403" s="2" t="str">
        <f t="shared" si="392"/>
        <v/>
      </c>
      <c r="Q4403" t="str">
        <f t="shared" si="393"/>
        <v/>
      </c>
    </row>
    <row r="4404" spans="1:17" hidden="1">
      <c r="A4404" t="s">
        <v>4509</v>
      </c>
      <c r="B4404" s="1">
        <v>45506</v>
      </c>
      <c r="C4404">
        <v>2024</v>
      </c>
      <c r="D4404">
        <v>8</v>
      </c>
      <c r="E4404" t="s">
        <v>37</v>
      </c>
      <c r="F4404" t="s">
        <v>24</v>
      </c>
      <c r="G4404" t="s">
        <v>98</v>
      </c>
      <c r="H4404" t="s">
        <v>185</v>
      </c>
      <c r="I4404">
        <v>6246.69</v>
      </c>
      <c r="J4404">
        <v>5994.17</v>
      </c>
      <c r="K4404" t="s">
        <v>17</v>
      </c>
      <c r="L4404" t="b">
        <v>0</v>
      </c>
      <c r="N4404" s="2" t="str">
        <f t="shared" si="392"/>
        <v/>
      </c>
      <c r="Q4404" t="str">
        <f t="shared" si="393"/>
        <v/>
      </c>
    </row>
    <row r="4405" spans="1:17" hidden="1">
      <c r="A4405" t="s">
        <v>4510</v>
      </c>
      <c r="B4405" s="1">
        <v>45507</v>
      </c>
      <c r="C4405">
        <v>2024</v>
      </c>
      <c r="D4405">
        <v>8</v>
      </c>
      <c r="E4405" t="s">
        <v>13</v>
      </c>
      <c r="F4405" t="s">
        <v>24</v>
      </c>
      <c r="G4405" t="s">
        <v>68</v>
      </c>
      <c r="H4405" t="s">
        <v>69</v>
      </c>
      <c r="I4405">
        <v>5183.88</v>
      </c>
      <c r="J4405">
        <v>5418.65</v>
      </c>
      <c r="K4405" t="s">
        <v>17</v>
      </c>
      <c r="L4405" t="b">
        <v>0</v>
      </c>
      <c r="N4405" s="2" t="str">
        <f t="shared" si="392"/>
        <v/>
      </c>
      <c r="Q4405" t="str">
        <f t="shared" si="393"/>
        <v/>
      </c>
    </row>
    <row r="4406" spans="1:17" hidden="1">
      <c r="A4406" t="s">
        <v>4511</v>
      </c>
      <c r="B4406" s="1">
        <v>45507</v>
      </c>
      <c r="C4406">
        <v>2024</v>
      </c>
      <c r="D4406">
        <v>8</v>
      </c>
      <c r="E4406" t="s">
        <v>47</v>
      </c>
      <c r="F4406" t="s">
        <v>28</v>
      </c>
      <c r="G4406" t="s">
        <v>48</v>
      </c>
      <c r="H4406" t="s">
        <v>111</v>
      </c>
      <c r="I4406">
        <v>5185.8</v>
      </c>
      <c r="J4406">
        <v>4294.7299999999996</v>
      </c>
      <c r="K4406" t="s">
        <v>17</v>
      </c>
      <c r="L4406" t="b">
        <v>0</v>
      </c>
      <c r="N4406" s="2" t="b">
        <f t="shared" si="392"/>
        <v>1</v>
      </c>
      <c r="O4406" t="str">
        <f t="shared" ref="O4406:O4407" si="398">IF(AND(E4395="HR",K4395="EXPENSE"),I4395&lt;J4395,"")</f>
        <v/>
      </c>
      <c r="Q4406" t="str">
        <f t="shared" si="393"/>
        <v/>
      </c>
    </row>
    <row r="4407" spans="1:17" hidden="1">
      <c r="A4407" t="s">
        <v>4512</v>
      </c>
      <c r="B4407" s="1">
        <v>45507</v>
      </c>
      <c r="C4407">
        <v>2024</v>
      </c>
      <c r="D4407">
        <v>8</v>
      </c>
      <c r="E4407" t="s">
        <v>47</v>
      </c>
      <c r="F4407" t="s">
        <v>24</v>
      </c>
      <c r="G4407" t="s">
        <v>91</v>
      </c>
      <c r="H4407" t="s">
        <v>254</v>
      </c>
      <c r="I4407">
        <v>11594.17</v>
      </c>
      <c r="J4407">
        <v>9840.51</v>
      </c>
      <c r="K4407" t="s">
        <v>17</v>
      </c>
      <c r="L4407" t="b">
        <v>0</v>
      </c>
      <c r="N4407" s="2" t="b">
        <f t="shared" si="392"/>
        <v>1</v>
      </c>
      <c r="O4407" t="b">
        <f t="shared" si="398"/>
        <v>1</v>
      </c>
      <c r="Q4407" t="str">
        <f t="shared" si="393"/>
        <v/>
      </c>
    </row>
    <row r="4408" spans="1:17" hidden="1">
      <c r="A4408" t="s">
        <v>4513</v>
      </c>
      <c r="B4408" s="1">
        <v>45507</v>
      </c>
      <c r="C4408">
        <v>2024</v>
      </c>
      <c r="D4408">
        <v>8</v>
      </c>
      <c r="E4408" t="s">
        <v>19</v>
      </c>
      <c r="F4408" t="s">
        <v>28</v>
      </c>
      <c r="G4408" t="s">
        <v>132</v>
      </c>
      <c r="H4408" t="s">
        <v>138</v>
      </c>
      <c r="I4408">
        <v>6084.05</v>
      </c>
      <c r="J4408">
        <v>5630.25</v>
      </c>
      <c r="K4408" t="s">
        <v>17</v>
      </c>
      <c r="L4408" t="b">
        <v>0</v>
      </c>
      <c r="N4408" s="2" t="str">
        <f t="shared" si="392"/>
        <v/>
      </c>
      <c r="Q4408" t="str">
        <f t="shared" si="393"/>
        <v/>
      </c>
    </row>
    <row r="4409" spans="1:17" hidden="1">
      <c r="A4409" t="s">
        <v>4514</v>
      </c>
      <c r="B4409" s="1">
        <v>45507</v>
      </c>
      <c r="C4409">
        <v>2024</v>
      </c>
      <c r="D4409">
        <v>8</v>
      </c>
      <c r="E4409" t="s">
        <v>23</v>
      </c>
      <c r="F4409" t="s">
        <v>14</v>
      </c>
      <c r="G4409" t="s">
        <v>59</v>
      </c>
      <c r="H4409" t="s">
        <v>60</v>
      </c>
      <c r="I4409">
        <v>6413.71</v>
      </c>
      <c r="J4409">
        <v>6304.78</v>
      </c>
      <c r="K4409" t="s">
        <v>17</v>
      </c>
      <c r="L4409" t="b">
        <v>0</v>
      </c>
      <c r="N4409" s="2" t="str">
        <f t="shared" si="392"/>
        <v/>
      </c>
      <c r="Q4409" t="str">
        <f t="shared" si="393"/>
        <v/>
      </c>
    </row>
    <row r="4410" spans="1:17" hidden="1">
      <c r="A4410" t="s">
        <v>4515</v>
      </c>
      <c r="B4410" s="1">
        <v>45508</v>
      </c>
      <c r="C4410">
        <v>2024</v>
      </c>
      <c r="D4410">
        <v>8</v>
      </c>
      <c r="E4410" t="s">
        <v>13</v>
      </c>
      <c r="F4410" t="s">
        <v>24</v>
      </c>
      <c r="G4410" t="s">
        <v>108</v>
      </c>
      <c r="H4410" t="s">
        <v>109</v>
      </c>
      <c r="I4410">
        <v>4551.6099999999997</v>
      </c>
      <c r="J4410">
        <v>4874.7</v>
      </c>
      <c r="K4410" t="s">
        <v>17</v>
      </c>
      <c r="L4410" t="b">
        <v>0</v>
      </c>
      <c r="N4410" s="2" t="str">
        <f t="shared" si="392"/>
        <v/>
      </c>
      <c r="Q4410" t="str">
        <f t="shared" si="393"/>
        <v/>
      </c>
    </row>
    <row r="4411" spans="1:17" hidden="1">
      <c r="A4411" t="s">
        <v>4516</v>
      </c>
      <c r="B4411" s="1">
        <v>45508</v>
      </c>
      <c r="C4411">
        <v>2024</v>
      </c>
      <c r="D4411">
        <v>8</v>
      </c>
      <c r="E4411" t="s">
        <v>47</v>
      </c>
      <c r="F4411" t="s">
        <v>14</v>
      </c>
      <c r="G4411" t="s">
        <v>91</v>
      </c>
      <c r="H4411" t="s">
        <v>249</v>
      </c>
      <c r="I4411">
        <v>12245.79</v>
      </c>
      <c r="J4411">
        <v>10181.02</v>
      </c>
      <c r="K4411" t="s">
        <v>17</v>
      </c>
      <c r="L4411" t="b">
        <v>0</v>
      </c>
      <c r="N4411" s="2" t="b">
        <f t="shared" si="392"/>
        <v>1</v>
      </c>
      <c r="O4411" t="str">
        <f t="shared" ref="O4411:O4413" si="399">IF(AND(E4400="HR",K4400="EXPENSE"),I4400&lt;J4400,"")</f>
        <v/>
      </c>
      <c r="Q4411" t="str">
        <f t="shared" si="393"/>
        <v/>
      </c>
    </row>
    <row r="4412" spans="1:17" hidden="1">
      <c r="A4412" t="s">
        <v>4517</v>
      </c>
      <c r="B4412" s="1">
        <v>45508</v>
      </c>
      <c r="C4412">
        <v>2024</v>
      </c>
      <c r="D4412">
        <v>8</v>
      </c>
      <c r="E4412" t="s">
        <v>47</v>
      </c>
      <c r="F4412" t="s">
        <v>28</v>
      </c>
      <c r="G4412" t="s">
        <v>48</v>
      </c>
      <c r="H4412" t="s">
        <v>189</v>
      </c>
      <c r="I4412">
        <v>11234.9</v>
      </c>
      <c r="J4412">
        <v>9545.3700000000008</v>
      </c>
      <c r="K4412" t="s">
        <v>17</v>
      </c>
      <c r="L4412" t="b">
        <v>0</v>
      </c>
      <c r="N4412" s="2" t="b">
        <f t="shared" si="392"/>
        <v>1</v>
      </c>
      <c r="O4412" t="str">
        <f t="shared" si="399"/>
        <v/>
      </c>
      <c r="Q4412" t="str">
        <f t="shared" si="393"/>
        <v/>
      </c>
    </row>
    <row r="4413" spans="1:17" hidden="1">
      <c r="A4413" t="s">
        <v>4518</v>
      </c>
      <c r="B4413" s="1">
        <v>45508</v>
      </c>
      <c r="C4413">
        <v>2024</v>
      </c>
      <c r="D4413">
        <v>8</v>
      </c>
      <c r="E4413" t="s">
        <v>47</v>
      </c>
      <c r="F4413" t="s">
        <v>28</v>
      </c>
      <c r="G4413" t="s">
        <v>51</v>
      </c>
      <c r="H4413" t="s">
        <v>52</v>
      </c>
      <c r="I4413">
        <v>15227.18</v>
      </c>
      <c r="J4413">
        <v>12940.83</v>
      </c>
      <c r="K4413" t="s">
        <v>17</v>
      </c>
      <c r="L4413" t="b">
        <v>0</v>
      </c>
      <c r="N4413" s="2" t="b">
        <f t="shared" si="392"/>
        <v>1</v>
      </c>
      <c r="O4413" t="str">
        <f t="shared" si="399"/>
        <v/>
      </c>
      <c r="Q4413" t="str">
        <f t="shared" si="393"/>
        <v/>
      </c>
    </row>
    <row r="4414" spans="1:17" hidden="1">
      <c r="A4414" t="s">
        <v>4519</v>
      </c>
      <c r="B4414" s="1">
        <v>45508</v>
      </c>
      <c r="C4414">
        <v>2024</v>
      </c>
      <c r="D4414">
        <v>8</v>
      </c>
      <c r="E4414" t="s">
        <v>23</v>
      </c>
      <c r="F4414" t="s">
        <v>14</v>
      </c>
      <c r="G4414" t="s">
        <v>30</v>
      </c>
      <c r="H4414" t="s">
        <v>33</v>
      </c>
      <c r="I4414">
        <v>6628.29</v>
      </c>
      <c r="J4414">
        <v>6533.29</v>
      </c>
      <c r="K4414" t="s">
        <v>17</v>
      </c>
      <c r="L4414" t="b">
        <v>0</v>
      </c>
      <c r="N4414" s="2" t="str">
        <f t="shared" si="392"/>
        <v/>
      </c>
      <c r="Q4414" t="str">
        <f t="shared" si="393"/>
        <v/>
      </c>
    </row>
    <row r="4415" spans="1:17" hidden="1">
      <c r="A4415" t="s">
        <v>4520</v>
      </c>
      <c r="B4415" s="1">
        <v>45508</v>
      </c>
      <c r="C4415">
        <v>2024</v>
      </c>
      <c r="D4415">
        <v>8</v>
      </c>
      <c r="E4415" t="s">
        <v>37</v>
      </c>
      <c r="F4415" t="s">
        <v>14</v>
      </c>
      <c r="G4415" t="s">
        <v>38</v>
      </c>
      <c r="H4415" t="s">
        <v>39</v>
      </c>
      <c r="I4415">
        <v>5121.7700000000004</v>
      </c>
      <c r="J4415">
        <v>4855.9799999999996</v>
      </c>
      <c r="K4415" t="s">
        <v>17</v>
      </c>
      <c r="L4415" t="b">
        <v>0</v>
      </c>
      <c r="N4415" s="2" t="str">
        <f t="shared" si="392"/>
        <v/>
      </c>
      <c r="Q4415" t="str">
        <f t="shared" si="393"/>
        <v/>
      </c>
    </row>
    <row r="4416" spans="1:17" hidden="1">
      <c r="A4416" t="s">
        <v>4521</v>
      </c>
      <c r="B4416" s="1">
        <v>45508</v>
      </c>
      <c r="C4416">
        <v>2024</v>
      </c>
      <c r="D4416">
        <v>8</v>
      </c>
      <c r="E4416" t="s">
        <v>37</v>
      </c>
      <c r="F4416" t="s">
        <v>14</v>
      </c>
      <c r="G4416" t="s">
        <v>38</v>
      </c>
      <c r="H4416" t="s">
        <v>39</v>
      </c>
      <c r="I4416">
        <v>4940.6400000000003</v>
      </c>
      <c r="J4416">
        <v>4782.26</v>
      </c>
      <c r="K4416" t="s">
        <v>17</v>
      </c>
      <c r="L4416" t="b">
        <v>0</v>
      </c>
      <c r="N4416" s="2" t="str">
        <f t="shared" si="392"/>
        <v/>
      </c>
      <c r="Q4416" t="str">
        <f t="shared" si="393"/>
        <v/>
      </c>
    </row>
    <row r="4417" spans="1:17" hidden="1">
      <c r="A4417" t="s">
        <v>4522</v>
      </c>
      <c r="B4417" s="1">
        <v>45508</v>
      </c>
      <c r="C4417">
        <v>2024</v>
      </c>
      <c r="D4417">
        <v>8</v>
      </c>
      <c r="E4417" t="s">
        <v>37</v>
      </c>
      <c r="F4417" t="s">
        <v>28</v>
      </c>
      <c r="G4417" t="s">
        <v>62</v>
      </c>
      <c r="H4417" t="s">
        <v>360</v>
      </c>
      <c r="I4417">
        <v>5386.31</v>
      </c>
      <c r="J4417">
        <v>4870.13</v>
      </c>
      <c r="K4417" t="s">
        <v>17</v>
      </c>
      <c r="L4417" t="b">
        <v>0</v>
      </c>
      <c r="N4417" s="2" t="str">
        <f t="shared" si="392"/>
        <v/>
      </c>
      <c r="Q4417" t="str">
        <f t="shared" si="393"/>
        <v/>
      </c>
    </row>
    <row r="4418" spans="1:17" hidden="1">
      <c r="A4418" t="s">
        <v>4523</v>
      </c>
      <c r="B4418" s="1">
        <v>45509</v>
      </c>
      <c r="C4418">
        <v>2024</v>
      </c>
      <c r="D4418">
        <v>8</v>
      </c>
      <c r="E4418" t="s">
        <v>13</v>
      </c>
      <c r="F4418" t="s">
        <v>14</v>
      </c>
      <c r="G4418" t="s">
        <v>102</v>
      </c>
      <c r="H4418" t="s">
        <v>278</v>
      </c>
      <c r="I4418">
        <v>3248.44</v>
      </c>
      <c r="J4418">
        <v>2973.93</v>
      </c>
      <c r="K4418" t="s">
        <v>17</v>
      </c>
      <c r="L4418" t="b">
        <v>0</v>
      </c>
      <c r="N4418" s="2" t="str">
        <f t="shared" si="392"/>
        <v/>
      </c>
      <c r="Q4418" t="str">
        <f t="shared" si="393"/>
        <v/>
      </c>
    </row>
    <row r="4419" spans="1:17" hidden="1">
      <c r="A4419" t="s">
        <v>4524</v>
      </c>
      <c r="B4419" s="1">
        <v>45509</v>
      </c>
      <c r="C4419">
        <v>2024</v>
      </c>
      <c r="D4419">
        <v>8</v>
      </c>
      <c r="E4419" t="s">
        <v>47</v>
      </c>
      <c r="F4419" t="s">
        <v>24</v>
      </c>
      <c r="G4419" t="s">
        <v>77</v>
      </c>
      <c r="H4419" t="s">
        <v>130</v>
      </c>
      <c r="I4419">
        <v>12035.05</v>
      </c>
      <c r="J4419">
        <v>9970.75</v>
      </c>
      <c r="K4419" t="s">
        <v>17</v>
      </c>
      <c r="L4419" t="b">
        <v>0</v>
      </c>
      <c r="N4419" s="2" t="b">
        <f t="shared" ref="N4419:N4482" si="400">IF(AND(E4419="IT",K4419="EXPENSE"),I4419&gt;J4419,"")</f>
        <v>1</v>
      </c>
      <c r="O4419" t="str">
        <f>IF(AND(E4408="HR",K4408="EXPENSE"),I4408&lt;J4408,"")</f>
        <v/>
      </c>
      <c r="Q4419" t="str">
        <f t="shared" ref="Q4419:Q4482" si="401">IF(L4419=TRUE,OR(H4419="Apex Solutions Inc",H4419="Global Trade Partners",H4419="NovaTech Services"),"")</f>
        <v/>
      </c>
    </row>
    <row r="4420" spans="1:17" hidden="1">
      <c r="A4420" t="s">
        <v>4525</v>
      </c>
      <c r="B4420" s="1">
        <v>45509</v>
      </c>
      <c r="C4420">
        <v>2024</v>
      </c>
      <c r="D4420">
        <v>8</v>
      </c>
      <c r="E4420" t="s">
        <v>19</v>
      </c>
      <c r="F4420" t="s">
        <v>28</v>
      </c>
      <c r="G4420" t="s">
        <v>80</v>
      </c>
      <c r="H4420" t="s">
        <v>81</v>
      </c>
      <c r="I4420">
        <v>3957</v>
      </c>
      <c r="J4420">
        <v>3816.4</v>
      </c>
      <c r="K4420" t="s">
        <v>17</v>
      </c>
      <c r="L4420" t="b">
        <v>0</v>
      </c>
      <c r="N4420" s="2" t="str">
        <f t="shared" si="400"/>
        <v/>
      </c>
      <c r="Q4420" t="str">
        <f t="shared" si="401"/>
        <v/>
      </c>
    </row>
    <row r="4421" spans="1:17" hidden="1">
      <c r="A4421" t="s">
        <v>4526</v>
      </c>
      <c r="B4421" s="1">
        <v>45509</v>
      </c>
      <c r="C4421">
        <v>2024</v>
      </c>
      <c r="D4421">
        <v>8</v>
      </c>
      <c r="E4421" t="s">
        <v>19</v>
      </c>
      <c r="F4421" t="s">
        <v>28</v>
      </c>
      <c r="G4421" t="s">
        <v>20</v>
      </c>
      <c r="H4421" t="s">
        <v>174</v>
      </c>
      <c r="I4421">
        <v>4717.54</v>
      </c>
      <c r="J4421">
        <v>4251.07</v>
      </c>
      <c r="K4421" t="s">
        <v>17</v>
      </c>
      <c r="L4421" t="b">
        <v>0</v>
      </c>
      <c r="N4421" s="2" t="str">
        <f t="shared" si="400"/>
        <v/>
      </c>
      <c r="Q4421" t="str">
        <f t="shared" si="401"/>
        <v/>
      </c>
    </row>
    <row r="4422" spans="1:17" hidden="1">
      <c r="A4422" t="s">
        <v>4527</v>
      </c>
      <c r="B4422" s="1">
        <v>45509</v>
      </c>
      <c r="C4422">
        <v>2024</v>
      </c>
      <c r="D4422">
        <v>8</v>
      </c>
      <c r="E4422" t="s">
        <v>23</v>
      </c>
      <c r="F4422" t="s">
        <v>28</v>
      </c>
      <c r="G4422" t="s">
        <v>141</v>
      </c>
      <c r="H4422" t="s">
        <v>209</v>
      </c>
      <c r="I4422">
        <v>7879.08</v>
      </c>
      <c r="J4422">
        <v>8287.11</v>
      </c>
      <c r="K4422" t="s">
        <v>17</v>
      </c>
      <c r="L4422" t="b">
        <v>0</v>
      </c>
      <c r="N4422" s="2" t="str">
        <f t="shared" si="400"/>
        <v/>
      </c>
      <c r="Q4422" t="str">
        <f t="shared" si="401"/>
        <v/>
      </c>
    </row>
    <row r="4423" spans="1:17" hidden="1">
      <c r="A4423" t="s">
        <v>4528</v>
      </c>
      <c r="B4423" s="1">
        <v>45509</v>
      </c>
      <c r="C4423">
        <v>2024</v>
      </c>
      <c r="D4423">
        <v>8</v>
      </c>
      <c r="E4423" t="s">
        <v>23</v>
      </c>
      <c r="F4423" t="s">
        <v>24</v>
      </c>
      <c r="G4423" t="s">
        <v>25</v>
      </c>
      <c r="H4423" t="s">
        <v>26</v>
      </c>
      <c r="I4423">
        <v>7980</v>
      </c>
      <c r="J4423">
        <v>7616.96</v>
      </c>
      <c r="K4423" t="s">
        <v>17</v>
      </c>
      <c r="L4423" t="b">
        <v>0</v>
      </c>
      <c r="N4423" s="2" t="str">
        <f t="shared" si="400"/>
        <v/>
      </c>
      <c r="Q4423" t="str">
        <f t="shared" si="401"/>
        <v/>
      </c>
    </row>
    <row r="4424" spans="1:17" hidden="1">
      <c r="A4424" t="s">
        <v>4529</v>
      </c>
      <c r="B4424" s="1">
        <v>45510</v>
      </c>
      <c r="C4424">
        <v>2024</v>
      </c>
      <c r="D4424">
        <v>8</v>
      </c>
      <c r="E4424" t="s">
        <v>13</v>
      </c>
      <c r="F4424" t="s">
        <v>14</v>
      </c>
      <c r="G4424" t="s">
        <v>102</v>
      </c>
      <c r="H4424" t="s">
        <v>103</v>
      </c>
      <c r="I4424">
        <v>3857.36</v>
      </c>
      <c r="J4424">
        <v>3547.56</v>
      </c>
      <c r="K4424" t="s">
        <v>17</v>
      </c>
      <c r="L4424" t="b">
        <v>0</v>
      </c>
      <c r="N4424" s="2" t="str">
        <f t="shared" si="400"/>
        <v/>
      </c>
      <c r="Q4424" t="str">
        <f t="shared" si="401"/>
        <v/>
      </c>
    </row>
    <row r="4425" spans="1:17" hidden="1">
      <c r="A4425" t="s">
        <v>4530</v>
      </c>
      <c r="B4425" s="1">
        <v>45510</v>
      </c>
      <c r="C4425">
        <v>2024</v>
      </c>
      <c r="D4425">
        <v>8</v>
      </c>
      <c r="E4425" t="s">
        <v>47</v>
      </c>
      <c r="F4425" t="s">
        <v>24</v>
      </c>
      <c r="G4425" t="s">
        <v>91</v>
      </c>
      <c r="H4425" t="s">
        <v>249</v>
      </c>
      <c r="I4425">
        <v>10329.34</v>
      </c>
      <c r="J4425">
        <v>8567.3700000000008</v>
      </c>
      <c r="K4425" t="s">
        <v>17</v>
      </c>
      <c r="L4425" t="b">
        <v>0</v>
      </c>
      <c r="N4425" s="2" t="b">
        <f t="shared" si="400"/>
        <v>1</v>
      </c>
      <c r="O4425" t="str">
        <f>IF(AND(E4414="HR",K4414="EXPENSE"),I4414&lt;J4414,"")</f>
        <v/>
      </c>
      <c r="Q4425" t="str">
        <f t="shared" si="401"/>
        <v/>
      </c>
    </row>
    <row r="4426" spans="1:17" hidden="1">
      <c r="A4426" t="s">
        <v>4531</v>
      </c>
      <c r="B4426" s="1">
        <v>45510</v>
      </c>
      <c r="C4426">
        <v>2024</v>
      </c>
      <c r="D4426">
        <v>8</v>
      </c>
      <c r="E4426" t="s">
        <v>19</v>
      </c>
      <c r="F4426" t="s">
        <v>28</v>
      </c>
      <c r="G4426" t="s">
        <v>80</v>
      </c>
      <c r="H4426" t="s">
        <v>81</v>
      </c>
      <c r="I4426">
        <v>7635.94</v>
      </c>
      <c r="J4426">
        <v>7824.45</v>
      </c>
      <c r="K4426" t="s">
        <v>17</v>
      </c>
      <c r="L4426" t="b">
        <v>0</v>
      </c>
      <c r="N4426" s="2" t="str">
        <f t="shared" si="400"/>
        <v/>
      </c>
      <c r="Q4426" t="str">
        <f t="shared" si="401"/>
        <v/>
      </c>
    </row>
    <row r="4427" spans="1:17" hidden="1">
      <c r="A4427" t="s">
        <v>4532</v>
      </c>
      <c r="B4427" s="1">
        <v>45510</v>
      </c>
      <c r="C4427">
        <v>2024</v>
      </c>
      <c r="D4427">
        <v>8</v>
      </c>
      <c r="E4427" t="s">
        <v>23</v>
      </c>
      <c r="F4427" t="s">
        <v>24</v>
      </c>
      <c r="G4427" t="s">
        <v>30</v>
      </c>
      <c r="H4427" t="s">
        <v>31</v>
      </c>
      <c r="I4427">
        <v>7159.45</v>
      </c>
      <c r="J4427">
        <v>7663.81</v>
      </c>
      <c r="K4427" t="s">
        <v>17</v>
      </c>
      <c r="L4427" t="b">
        <v>0</v>
      </c>
      <c r="N4427" s="2" t="str">
        <f t="shared" si="400"/>
        <v/>
      </c>
      <c r="Q4427" t="str">
        <f t="shared" si="401"/>
        <v/>
      </c>
    </row>
    <row r="4428" spans="1:17" hidden="1">
      <c r="A4428" t="s">
        <v>4533</v>
      </c>
      <c r="B4428" s="1">
        <v>45510</v>
      </c>
      <c r="C4428">
        <v>2024</v>
      </c>
      <c r="D4428">
        <v>8</v>
      </c>
      <c r="E4428" t="s">
        <v>23</v>
      </c>
      <c r="F4428" t="s">
        <v>24</v>
      </c>
      <c r="G4428" t="s">
        <v>59</v>
      </c>
      <c r="H4428" t="s">
        <v>155</v>
      </c>
      <c r="I4428">
        <v>4862.71</v>
      </c>
      <c r="J4428">
        <v>4987.37</v>
      </c>
      <c r="K4428" t="s">
        <v>17</v>
      </c>
      <c r="L4428" t="b">
        <v>0</v>
      </c>
      <c r="N4428" s="2" t="str">
        <f t="shared" si="400"/>
        <v/>
      </c>
      <c r="Q4428" t="str">
        <f t="shared" si="401"/>
        <v/>
      </c>
    </row>
    <row r="4429" spans="1:17" hidden="1">
      <c r="A4429" t="s">
        <v>4534</v>
      </c>
      <c r="B4429" s="1">
        <v>45510</v>
      </c>
      <c r="C4429">
        <v>2024</v>
      </c>
      <c r="D4429">
        <v>8</v>
      </c>
      <c r="E4429" t="s">
        <v>37</v>
      </c>
      <c r="F4429" t="s">
        <v>28</v>
      </c>
      <c r="G4429" t="s">
        <v>62</v>
      </c>
      <c r="H4429" t="s">
        <v>121</v>
      </c>
      <c r="I4429">
        <v>5825.43</v>
      </c>
      <c r="J4429">
        <v>6303.83</v>
      </c>
      <c r="K4429" t="s">
        <v>17</v>
      </c>
      <c r="L4429" t="b">
        <v>0</v>
      </c>
      <c r="N4429" s="2" t="str">
        <f t="shared" si="400"/>
        <v/>
      </c>
      <c r="Q4429" t="str">
        <f t="shared" si="401"/>
        <v/>
      </c>
    </row>
    <row r="4430" spans="1:17" hidden="1">
      <c r="A4430" t="s">
        <v>4535</v>
      </c>
      <c r="B4430" s="1">
        <v>45511</v>
      </c>
      <c r="C4430">
        <v>2024</v>
      </c>
      <c r="D4430">
        <v>8</v>
      </c>
      <c r="E4430" t="s">
        <v>13</v>
      </c>
      <c r="F4430" t="s">
        <v>28</v>
      </c>
      <c r="G4430" t="s">
        <v>15</v>
      </c>
      <c r="H4430" t="s">
        <v>45</v>
      </c>
      <c r="I4430">
        <v>2236.94</v>
      </c>
      <c r="J4430">
        <v>2213.4699999999998</v>
      </c>
      <c r="K4430" t="s">
        <v>17</v>
      </c>
      <c r="L4430" t="b">
        <v>0</v>
      </c>
      <c r="N4430" s="2" t="str">
        <f t="shared" si="400"/>
        <v/>
      </c>
      <c r="Q4430" t="str">
        <f t="shared" si="401"/>
        <v/>
      </c>
    </row>
    <row r="4431" spans="1:17" hidden="1">
      <c r="A4431" t="s">
        <v>4536</v>
      </c>
      <c r="B4431" s="1">
        <v>45511</v>
      </c>
      <c r="C4431">
        <v>2024</v>
      </c>
      <c r="D4431">
        <v>8</v>
      </c>
      <c r="E4431" t="s">
        <v>47</v>
      </c>
      <c r="F4431" t="s">
        <v>24</v>
      </c>
      <c r="G4431" t="s">
        <v>48</v>
      </c>
      <c r="H4431" t="s">
        <v>111</v>
      </c>
      <c r="I4431">
        <v>10168.219999999999</v>
      </c>
      <c r="J4431">
        <v>8380.0499999999993</v>
      </c>
      <c r="K4431" t="s">
        <v>17</v>
      </c>
      <c r="L4431" t="b">
        <v>0</v>
      </c>
      <c r="N4431" s="2" t="b">
        <f t="shared" si="400"/>
        <v>1</v>
      </c>
      <c r="O4431" t="str">
        <f>IF(AND(E4420="HR",K4420="EXPENSE"),I4420&lt;J4420,"")</f>
        <v/>
      </c>
      <c r="Q4431" t="str">
        <f t="shared" si="401"/>
        <v/>
      </c>
    </row>
    <row r="4432" spans="1:17" hidden="1">
      <c r="A4432" t="s">
        <v>4537</v>
      </c>
      <c r="B4432" s="1">
        <v>45511</v>
      </c>
      <c r="C4432">
        <v>2024</v>
      </c>
      <c r="D4432">
        <v>8</v>
      </c>
      <c r="E4432" t="s">
        <v>23</v>
      </c>
      <c r="F4432" t="s">
        <v>24</v>
      </c>
      <c r="G4432" t="s">
        <v>25</v>
      </c>
      <c r="H4432" t="s">
        <v>95</v>
      </c>
      <c r="I4432">
        <v>4866.54</v>
      </c>
      <c r="J4432">
        <v>4718.28</v>
      </c>
      <c r="K4432" t="s">
        <v>17</v>
      </c>
      <c r="L4432" t="b">
        <v>0</v>
      </c>
      <c r="N4432" s="2" t="str">
        <f t="shared" si="400"/>
        <v/>
      </c>
      <c r="Q4432" t="str">
        <f t="shared" si="401"/>
        <v/>
      </c>
    </row>
    <row r="4433" spans="1:17" hidden="1">
      <c r="A4433" t="s">
        <v>4538</v>
      </c>
      <c r="B4433" s="1">
        <v>45511</v>
      </c>
      <c r="C4433">
        <v>2024</v>
      </c>
      <c r="D4433">
        <v>8</v>
      </c>
      <c r="E4433" t="s">
        <v>37</v>
      </c>
      <c r="F4433" t="s">
        <v>28</v>
      </c>
      <c r="G4433" t="s">
        <v>62</v>
      </c>
      <c r="H4433" t="s">
        <v>121</v>
      </c>
      <c r="I4433">
        <v>4734.6899999999996</v>
      </c>
      <c r="J4433">
        <v>5131.96</v>
      </c>
      <c r="K4433" t="s">
        <v>17</v>
      </c>
      <c r="L4433" t="b">
        <v>0</v>
      </c>
      <c r="N4433" s="2" t="str">
        <f t="shared" si="400"/>
        <v/>
      </c>
      <c r="Q4433" t="str">
        <f t="shared" si="401"/>
        <v/>
      </c>
    </row>
    <row r="4434" spans="1:17" hidden="1">
      <c r="A4434" t="s">
        <v>4539</v>
      </c>
      <c r="B4434" s="1">
        <v>45512</v>
      </c>
      <c r="C4434">
        <v>2024</v>
      </c>
      <c r="D4434">
        <v>8</v>
      </c>
      <c r="E4434" t="s">
        <v>13</v>
      </c>
      <c r="F4434" t="s">
        <v>14</v>
      </c>
      <c r="G4434" t="s">
        <v>68</v>
      </c>
      <c r="H4434" t="s">
        <v>69</v>
      </c>
      <c r="I4434">
        <v>2975.94</v>
      </c>
      <c r="J4434">
        <v>2934.21</v>
      </c>
      <c r="K4434" t="s">
        <v>17</v>
      </c>
      <c r="L4434" t="b">
        <v>0</v>
      </c>
      <c r="N4434" s="2" t="str">
        <f t="shared" si="400"/>
        <v/>
      </c>
      <c r="Q4434" t="str">
        <f t="shared" si="401"/>
        <v/>
      </c>
    </row>
    <row r="4435" spans="1:17" hidden="1">
      <c r="A4435" t="s">
        <v>4540</v>
      </c>
      <c r="B4435" s="1">
        <v>45512</v>
      </c>
      <c r="C4435">
        <v>2024</v>
      </c>
      <c r="D4435">
        <v>8</v>
      </c>
      <c r="E4435" t="s">
        <v>13</v>
      </c>
      <c r="F4435" t="s">
        <v>14</v>
      </c>
      <c r="G4435" t="s">
        <v>102</v>
      </c>
      <c r="H4435" t="s">
        <v>145</v>
      </c>
      <c r="I4435">
        <v>4090.14</v>
      </c>
      <c r="J4435">
        <v>4396.13</v>
      </c>
      <c r="K4435" t="s">
        <v>17</v>
      </c>
      <c r="L4435" t="b">
        <v>0</v>
      </c>
      <c r="N4435" s="2" t="str">
        <f t="shared" si="400"/>
        <v/>
      </c>
      <c r="Q4435" t="str">
        <f t="shared" si="401"/>
        <v/>
      </c>
    </row>
    <row r="4436" spans="1:17" hidden="1">
      <c r="A4436" t="s">
        <v>4541</v>
      </c>
      <c r="B4436" s="1">
        <v>45512</v>
      </c>
      <c r="C4436">
        <v>2024</v>
      </c>
      <c r="D4436">
        <v>8</v>
      </c>
      <c r="E4436" t="s">
        <v>13</v>
      </c>
      <c r="F4436" t="s">
        <v>14</v>
      </c>
      <c r="G4436" t="s">
        <v>102</v>
      </c>
      <c r="H4436" t="s">
        <v>278</v>
      </c>
      <c r="I4436">
        <v>2592.39</v>
      </c>
      <c r="J4436">
        <v>2381.59</v>
      </c>
      <c r="K4436" t="s">
        <v>17</v>
      </c>
      <c r="L4436" t="b">
        <v>0</v>
      </c>
      <c r="N4436" s="2" t="str">
        <f t="shared" si="400"/>
        <v/>
      </c>
      <c r="Q4436" t="str">
        <f t="shared" si="401"/>
        <v/>
      </c>
    </row>
    <row r="4437" spans="1:17" hidden="1">
      <c r="A4437" t="s">
        <v>4542</v>
      </c>
      <c r="B4437" s="1">
        <v>45512</v>
      </c>
      <c r="C4437">
        <v>2024</v>
      </c>
      <c r="D4437">
        <v>8</v>
      </c>
      <c r="E4437" t="s">
        <v>13</v>
      </c>
      <c r="F4437" t="s">
        <v>28</v>
      </c>
      <c r="G4437" t="s">
        <v>102</v>
      </c>
      <c r="H4437" t="s">
        <v>278</v>
      </c>
      <c r="I4437">
        <v>2615.84</v>
      </c>
      <c r="J4437">
        <v>2641.02</v>
      </c>
      <c r="K4437" t="s">
        <v>17</v>
      </c>
      <c r="L4437" t="b">
        <v>0</v>
      </c>
      <c r="N4437" s="2" t="str">
        <f t="shared" si="400"/>
        <v/>
      </c>
      <c r="Q4437" t="str">
        <f t="shared" si="401"/>
        <v/>
      </c>
    </row>
    <row r="4438" spans="1:17" hidden="1">
      <c r="A4438" t="s">
        <v>4543</v>
      </c>
      <c r="B4438" s="1">
        <v>45512</v>
      </c>
      <c r="C4438">
        <v>2024</v>
      </c>
      <c r="D4438">
        <v>8</v>
      </c>
      <c r="E4438" t="s">
        <v>13</v>
      </c>
      <c r="F4438" t="s">
        <v>28</v>
      </c>
      <c r="G4438" t="s">
        <v>102</v>
      </c>
      <c r="H4438" t="s">
        <v>278</v>
      </c>
      <c r="I4438">
        <v>4221.1099999999997</v>
      </c>
      <c r="J4438">
        <v>4178.0200000000004</v>
      </c>
      <c r="K4438" t="s">
        <v>17</v>
      </c>
      <c r="L4438" t="b">
        <v>0</v>
      </c>
      <c r="N4438" s="2" t="str">
        <f t="shared" si="400"/>
        <v/>
      </c>
      <c r="Q4438" t="str">
        <f t="shared" si="401"/>
        <v/>
      </c>
    </row>
    <row r="4439" spans="1:17" hidden="1">
      <c r="A4439" t="s">
        <v>4544</v>
      </c>
      <c r="B4439" s="1">
        <v>45512</v>
      </c>
      <c r="C4439">
        <v>2024</v>
      </c>
      <c r="D4439">
        <v>8</v>
      </c>
      <c r="E4439" t="s">
        <v>47</v>
      </c>
      <c r="F4439" t="s">
        <v>14</v>
      </c>
      <c r="G4439" t="s">
        <v>91</v>
      </c>
      <c r="H4439" t="s">
        <v>249</v>
      </c>
      <c r="I4439">
        <v>16724.78</v>
      </c>
      <c r="J4439">
        <v>13850.57</v>
      </c>
      <c r="K4439" t="s">
        <v>17</v>
      </c>
      <c r="L4439" t="b">
        <v>0</v>
      </c>
      <c r="N4439" s="2" t="b">
        <f t="shared" si="400"/>
        <v>1</v>
      </c>
      <c r="O4439" t="str">
        <f t="shared" ref="O4439:O4440" si="402">IF(AND(E4428="HR",K4428="EXPENSE"),I4428&lt;J4428,"")</f>
        <v/>
      </c>
      <c r="Q4439" t="str">
        <f t="shared" si="401"/>
        <v/>
      </c>
    </row>
    <row r="4440" spans="1:17" hidden="1">
      <c r="A4440" t="s">
        <v>4545</v>
      </c>
      <c r="B4440" s="1">
        <v>45512</v>
      </c>
      <c r="C4440">
        <v>2024</v>
      </c>
      <c r="D4440">
        <v>8</v>
      </c>
      <c r="E4440" t="s">
        <v>47</v>
      </c>
      <c r="F4440" t="s">
        <v>28</v>
      </c>
      <c r="G4440" t="s">
        <v>77</v>
      </c>
      <c r="H4440" t="s">
        <v>147</v>
      </c>
      <c r="I4440">
        <v>13388.25</v>
      </c>
      <c r="J4440">
        <v>11077.92</v>
      </c>
      <c r="K4440" t="s">
        <v>17</v>
      </c>
      <c r="L4440" t="b">
        <v>0</v>
      </c>
      <c r="N4440" s="2" t="b">
        <f t="shared" si="400"/>
        <v>1</v>
      </c>
      <c r="O4440" t="str">
        <f t="shared" si="402"/>
        <v/>
      </c>
      <c r="Q4440" t="str">
        <f t="shared" si="401"/>
        <v/>
      </c>
    </row>
    <row r="4441" spans="1:17" hidden="1">
      <c r="A4441" t="s">
        <v>4546</v>
      </c>
      <c r="B4441" s="1">
        <v>45512</v>
      </c>
      <c r="C4441">
        <v>2024</v>
      </c>
      <c r="D4441">
        <v>8</v>
      </c>
      <c r="E4441" t="s">
        <v>19</v>
      </c>
      <c r="F4441" t="s">
        <v>14</v>
      </c>
      <c r="G4441" t="s">
        <v>20</v>
      </c>
      <c r="H4441" t="s">
        <v>21</v>
      </c>
      <c r="I4441">
        <v>5726.26</v>
      </c>
      <c r="J4441">
        <v>5549.41</v>
      </c>
      <c r="K4441" t="s">
        <v>17</v>
      </c>
      <c r="L4441" t="b">
        <v>0</v>
      </c>
      <c r="N4441" s="2" t="str">
        <f t="shared" si="400"/>
        <v/>
      </c>
      <c r="Q4441" t="str">
        <f t="shared" si="401"/>
        <v/>
      </c>
    </row>
    <row r="4442" spans="1:17" hidden="1">
      <c r="A4442" t="s">
        <v>4547</v>
      </c>
      <c r="B4442" s="1">
        <v>45512</v>
      </c>
      <c r="C4442">
        <v>2024</v>
      </c>
      <c r="D4442">
        <v>8</v>
      </c>
      <c r="E4442" t="s">
        <v>19</v>
      </c>
      <c r="F4442" t="s">
        <v>14</v>
      </c>
      <c r="G4442" t="s">
        <v>54</v>
      </c>
      <c r="H4442" t="s">
        <v>163</v>
      </c>
      <c r="I4442">
        <v>5955.13</v>
      </c>
      <c r="J4442">
        <v>6546.76</v>
      </c>
      <c r="K4442" t="s">
        <v>17</v>
      </c>
      <c r="L4442" t="b">
        <v>0</v>
      </c>
      <c r="N4442" s="2" t="str">
        <f t="shared" si="400"/>
        <v/>
      </c>
      <c r="Q4442" t="str">
        <f t="shared" si="401"/>
        <v/>
      </c>
    </row>
    <row r="4443" spans="1:17" hidden="1">
      <c r="A4443" t="s">
        <v>4548</v>
      </c>
      <c r="B4443" s="1">
        <v>45512</v>
      </c>
      <c r="C4443">
        <v>2024</v>
      </c>
      <c r="D4443">
        <v>8</v>
      </c>
      <c r="E4443" t="s">
        <v>19</v>
      </c>
      <c r="F4443" t="s">
        <v>14</v>
      </c>
      <c r="G4443" t="s">
        <v>20</v>
      </c>
      <c r="H4443" t="s">
        <v>136</v>
      </c>
      <c r="I4443">
        <v>6975.79</v>
      </c>
      <c r="J4443">
        <v>6712.67</v>
      </c>
      <c r="K4443" t="s">
        <v>17</v>
      </c>
      <c r="L4443" t="b">
        <v>0</v>
      </c>
      <c r="N4443" s="2" t="str">
        <f t="shared" si="400"/>
        <v/>
      </c>
      <c r="Q4443" t="str">
        <f t="shared" si="401"/>
        <v/>
      </c>
    </row>
    <row r="4444" spans="1:17" hidden="1">
      <c r="A4444" t="s">
        <v>4549</v>
      </c>
      <c r="B4444" s="1">
        <v>45512</v>
      </c>
      <c r="C4444">
        <v>2024</v>
      </c>
      <c r="D4444">
        <v>8</v>
      </c>
      <c r="E4444" t="s">
        <v>19</v>
      </c>
      <c r="F4444" t="s">
        <v>24</v>
      </c>
      <c r="G4444" t="s">
        <v>132</v>
      </c>
      <c r="H4444" t="s">
        <v>138</v>
      </c>
      <c r="I4444">
        <v>3785.72</v>
      </c>
      <c r="J4444">
        <v>3958.43</v>
      </c>
      <c r="K4444" t="s">
        <v>17</v>
      </c>
      <c r="L4444" t="b">
        <v>0</v>
      </c>
      <c r="N4444" s="2" t="str">
        <f t="shared" si="400"/>
        <v/>
      </c>
      <c r="Q4444" t="str">
        <f t="shared" si="401"/>
        <v/>
      </c>
    </row>
    <row r="4445" spans="1:17" hidden="1">
      <c r="A4445" t="s">
        <v>4550</v>
      </c>
      <c r="B4445" s="1">
        <v>45512</v>
      </c>
      <c r="C4445">
        <v>2024</v>
      </c>
      <c r="D4445">
        <v>8</v>
      </c>
      <c r="E4445" t="s">
        <v>37</v>
      </c>
      <c r="F4445" t="s">
        <v>28</v>
      </c>
      <c r="G4445" t="s">
        <v>62</v>
      </c>
      <c r="H4445" t="s">
        <v>66</v>
      </c>
      <c r="I4445">
        <v>6767.21</v>
      </c>
      <c r="J4445">
        <v>6629.22</v>
      </c>
      <c r="K4445" t="s">
        <v>17</v>
      </c>
      <c r="L4445" t="b">
        <v>0</v>
      </c>
      <c r="N4445" s="2" t="str">
        <f t="shared" si="400"/>
        <v/>
      </c>
      <c r="Q4445" t="str">
        <f t="shared" si="401"/>
        <v/>
      </c>
    </row>
    <row r="4446" spans="1:17" hidden="1">
      <c r="A4446" t="s">
        <v>4551</v>
      </c>
      <c r="B4446" s="1">
        <v>45513</v>
      </c>
      <c r="C4446">
        <v>2024</v>
      </c>
      <c r="D4446">
        <v>8</v>
      </c>
      <c r="E4446" t="s">
        <v>13</v>
      </c>
      <c r="F4446" t="s">
        <v>14</v>
      </c>
      <c r="G4446" t="s">
        <v>108</v>
      </c>
      <c r="H4446" t="s">
        <v>123</v>
      </c>
      <c r="I4446">
        <v>2749.96</v>
      </c>
      <c r="J4446">
        <v>2606.75</v>
      </c>
      <c r="K4446" t="s">
        <v>17</v>
      </c>
      <c r="L4446" t="b">
        <v>0</v>
      </c>
      <c r="N4446" s="2" t="str">
        <f t="shared" si="400"/>
        <v/>
      </c>
      <c r="Q4446" t="str">
        <f t="shared" si="401"/>
        <v/>
      </c>
    </row>
    <row r="4447" spans="1:17" hidden="1">
      <c r="A4447" t="s">
        <v>4552</v>
      </c>
      <c r="B4447" s="1">
        <v>45513</v>
      </c>
      <c r="C4447">
        <v>2024</v>
      </c>
      <c r="D4447">
        <v>8</v>
      </c>
      <c r="E4447" t="s">
        <v>13</v>
      </c>
      <c r="F4447" t="s">
        <v>28</v>
      </c>
      <c r="G4447" t="s">
        <v>68</v>
      </c>
      <c r="H4447" t="s">
        <v>69</v>
      </c>
      <c r="I4447">
        <v>3455.77</v>
      </c>
      <c r="J4447">
        <v>3463.38</v>
      </c>
      <c r="K4447" t="s">
        <v>17</v>
      </c>
      <c r="L4447" t="b">
        <v>0</v>
      </c>
      <c r="N4447" s="2" t="str">
        <f t="shared" si="400"/>
        <v/>
      </c>
      <c r="Q4447" t="str">
        <f t="shared" si="401"/>
        <v/>
      </c>
    </row>
    <row r="4448" spans="1:17" hidden="1">
      <c r="A4448" t="s">
        <v>4553</v>
      </c>
      <c r="B4448" s="1">
        <v>45513</v>
      </c>
      <c r="C4448">
        <v>2024</v>
      </c>
      <c r="D4448">
        <v>8</v>
      </c>
      <c r="E4448" t="s">
        <v>13</v>
      </c>
      <c r="F4448" t="s">
        <v>24</v>
      </c>
      <c r="G4448" t="s">
        <v>15</v>
      </c>
      <c r="H4448" t="s">
        <v>89</v>
      </c>
      <c r="I4448">
        <v>2119.29</v>
      </c>
      <c r="J4448">
        <v>2279.02</v>
      </c>
      <c r="K4448" t="s">
        <v>17</v>
      </c>
      <c r="L4448" t="b">
        <v>0</v>
      </c>
      <c r="N4448" s="2" t="str">
        <f t="shared" si="400"/>
        <v/>
      </c>
      <c r="Q4448" t="str">
        <f t="shared" si="401"/>
        <v/>
      </c>
    </row>
    <row r="4449" spans="1:17" hidden="1">
      <c r="A4449" t="s">
        <v>4554</v>
      </c>
      <c r="B4449" s="1">
        <v>45513</v>
      </c>
      <c r="C4449">
        <v>2024</v>
      </c>
      <c r="D4449">
        <v>8</v>
      </c>
      <c r="E4449" t="s">
        <v>47</v>
      </c>
      <c r="F4449" t="s">
        <v>14</v>
      </c>
      <c r="G4449" t="s">
        <v>91</v>
      </c>
      <c r="H4449" t="s">
        <v>92</v>
      </c>
      <c r="I4449">
        <v>11078.34</v>
      </c>
      <c r="J4449">
        <v>9481.32</v>
      </c>
      <c r="K4449" t="s">
        <v>17</v>
      </c>
      <c r="L4449" t="b">
        <v>0</v>
      </c>
      <c r="N4449" s="2" t="b">
        <f t="shared" si="400"/>
        <v>1</v>
      </c>
      <c r="O4449" t="b">
        <f>IF(AND(E4438="HR",K4438="EXPENSE"),I4438&lt;J4438,"")</f>
        <v>0</v>
      </c>
      <c r="Q4449" t="str">
        <f t="shared" si="401"/>
        <v/>
      </c>
    </row>
    <row r="4450" spans="1:17" hidden="1">
      <c r="A4450" t="s">
        <v>4555</v>
      </c>
      <c r="B4450" s="1">
        <v>45513</v>
      </c>
      <c r="C4450">
        <v>2024</v>
      </c>
      <c r="D4450">
        <v>8</v>
      </c>
      <c r="E4450" t="s">
        <v>19</v>
      </c>
      <c r="F4450" t="s">
        <v>28</v>
      </c>
      <c r="G4450" t="s">
        <v>54</v>
      </c>
      <c r="H4450" t="s">
        <v>57</v>
      </c>
      <c r="I4450">
        <v>4705.1499999999996</v>
      </c>
      <c r="J4450">
        <v>4841.03</v>
      </c>
      <c r="K4450" t="s">
        <v>17</v>
      </c>
      <c r="L4450" t="b">
        <v>0</v>
      </c>
      <c r="N4450" s="2" t="str">
        <f t="shared" si="400"/>
        <v/>
      </c>
      <c r="Q4450" t="str">
        <f t="shared" si="401"/>
        <v/>
      </c>
    </row>
    <row r="4451" spans="1:17" hidden="1">
      <c r="A4451" t="s">
        <v>4556</v>
      </c>
      <c r="B4451" s="1">
        <v>45513</v>
      </c>
      <c r="C4451">
        <v>2024</v>
      </c>
      <c r="D4451">
        <v>8</v>
      </c>
      <c r="E4451" t="s">
        <v>23</v>
      </c>
      <c r="F4451" t="s">
        <v>14</v>
      </c>
      <c r="G4451" t="s">
        <v>25</v>
      </c>
      <c r="H4451" t="s">
        <v>26</v>
      </c>
      <c r="I4451">
        <v>7766.93</v>
      </c>
      <c r="J4451">
        <v>8435.76</v>
      </c>
      <c r="K4451" t="s">
        <v>17</v>
      </c>
      <c r="L4451" t="b">
        <v>0</v>
      </c>
      <c r="N4451" s="2" t="str">
        <f t="shared" si="400"/>
        <v/>
      </c>
      <c r="Q4451" t="str">
        <f t="shared" si="401"/>
        <v/>
      </c>
    </row>
    <row r="4452" spans="1:17" hidden="1">
      <c r="A4452" t="s">
        <v>4557</v>
      </c>
      <c r="B4452" s="1">
        <v>45513</v>
      </c>
      <c r="C4452">
        <v>2024</v>
      </c>
      <c r="D4452">
        <v>8</v>
      </c>
      <c r="E4452" t="s">
        <v>23</v>
      </c>
      <c r="F4452" t="s">
        <v>28</v>
      </c>
      <c r="G4452" t="s">
        <v>30</v>
      </c>
      <c r="H4452" t="s">
        <v>33</v>
      </c>
      <c r="I4452">
        <v>6332.91</v>
      </c>
      <c r="J4452">
        <v>6662.22</v>
      </c>
      <c r="K4452" t="s">
        <v>17</v>
      </c>
      <c r="L4452" t="b">
        <v>0</v>
      </c>
      <c r="N4452" s="2" t="str">
        <f t="shared" si="400"/>
        <v/>
      </c>
      <c r="Q4452" t="str">
        <f t="shared" si="401"/>
        <v/>
      </c>
    </row>
    <row r="4453" spans="1:17" hidden="1">
      <c r="A4453" t="s">
        <v>4558</v>
      </c>
      <c r="B4453" s="1">
        <v>45513</v>
      </c>
      <c r="C4453">
        <v>2024</v>
      </c>
      <c r="D4453">
        <v>8</v>
      </c>
      <c r="E4453" t="s">
        <v>37</v>
      </c>
      <c r="F4453" t="s">
        <v>28</v>
      </c>
      <c r="G4453" t="s">
        <v>41</v>
      </c>
      <c r="H4453" t="s">
        <v>42</v>
      </c>
      <c r="I4453">
        <v>5761.55</v>
      </c>
      <c r="J4453">
        <v>6200.29</v>
      </c>
      <c r="K4453" t="s">
        <v>17</v>
      </c>
      <c r="L4453" t="b">
        <v>0</v>
      </c>
      <c r="N4453" s="2" t="str">
        <f t="shared" si="400"/>
        <v/>
      </c>
      <c r="Q4453" t="str">
        <f t="shared" si="401"/>
        <v/>
      </c>
    </row>
    <row r="4454" spans="1:17" hidden="1">
      <c r="A4454" t="s">
        <v>4559</v>
      </c>
      <c r="B4454" s="1">
        <v>45513</v>
      </c>
      <c r="C4454">
        <v>2024</v>
      </c>
      <c r="D4454">
        <v>8</v>
      </c>
      <c r="E4454" t="s">
        <v>37</v>
      </c>
      <c r="F4454" t="s">
        <v>28</v>
      </c>
      <c r="G4454" t="s">
        <v>62</v>
      </c>
      <c r="H4454" t="s">
        <v>63</v>
      </c>
      <c r="I4454">
        <v>4585.17</v>
      </c>
      <c r="J4454">
        <v>4821.45</v>
      </c>
      <c r="K4454" t="s">
        <v>17</v>
      </c>
      <c r="L4454" t="b">
        <v>0</v>
      </c>
      <c r="N4454" s="2" t="str">
        <f t="shared" si="400"/>
        <v/>
      </c>
      <c r="Q4454" t="str">
        <f t="shared" si="401"/>
        <v/>
      </c>
    </row>
    <row r="4455" spans="1:17" hidden="1">
      <c r="A4455" t="s">
        <v>4560</v>
      </c>
      <c r="B4455" s="1">
        <v>45514</v>
      </c>
      <c r="C4455">
        <v>2024</v>
      </c>
      <c r="D4455">
        <v>8</v>
      </c>
      <c r="E4455" t="s">
        <v>13</v>
      </c>
      <c r="F4455" t="s">
        <v>24</v>
      </c>
      <c r="G4455" t="s">
        <v>15</v>
      </c>
      <c r="H4455" t="s">
        <v>16</v>
      </c>
      <c r="I4455">
        <v>4603.28</v>
      </c>
      <c r="J4455">
        <v>4555.3100000000004</v>
      </c>
      <c r="K4455" t="s">
        <v>17</v>
      </c>
      <c r="L4455" t="b">
        <v>0</v>
      </c>
      <c r="N4455" s="2" t="str">
        <f t="shared" si="400"/>
        <v/>
      </c>
      <c r="Q4455" t="str">
        <f t="shared" si="401"/>
        <v/>
      </c>
    </row>
    <row r="4456" spans="1:17" hidden="1">
      <c r="A4456" t="s">
        <v>4561</v>
      </c>
      <c r="B4456" s="1">
        <v>45514</v>
      </c>
      <c r="C4456">
        <v>2024</v>
      </c>
      <c r="D4456">
        <v>8</v>
      </c>
      <c r="E4456" t="s">
        <v>47</v>
      </c>
      <c r="F4456" t="s">
        <v>24</v>
      </c>
      <c r="G4456" t="s">
        <v>91</v>
      </c>
      <c r="H4456" t="s">
        <v>249</v>
      </c>
      <c r="I4456">
        <v>11323.41</v>
      </c>
      <c r="J4456">
        <v>9371.25</v>
      </c>
      <c r="K4456" t="s">
        <v>17</v>
      </c>
      <c r="L4456" t="b">
        <v>0</v>
      </c>
      <c r="N4456" s="2" t="b">
        <f t="shared" si="400"/>
        <v>1</v>
      </c>
      <c r="O4456" t="str">
        <f>IF(AND(E4445="HR",K4445="EXPENSE"),I4445&lt;J4445,"")</f>
        <v/>
      </c>
      <c r="Q4456" t="str">
        <f t="shared" si="401"/>
        <v/>
      </c>
    </row>
    <row r="4457" spans="1:17" hidden="1">
      <c r="A4457" t="s">
        <v>4562</v>
      </c>
      <c r="B4457" s="1">
        <v>45514</v>
      </c>
      <c r="C4457">
        <v>2024</v>
      </c>
      <c r="D4457">
        <v>8</v>
      </c>
      <c r="E4457" t="s">
        <v>19</v>
      </c>
      <c r="F4457" t="s">
        <v>28</v>
      </c>
      <c r="G4457" t="s">
        <v>20</v>
      </c>
      <c r="H4457" t="s">
        <v>136</v>
      </c>
      <c r="I4457">
        <v>4872.6400000000003</v>
      </c>
      <c r="J4457">
        <v>5221.5200000000004</v>
      </c>
      <c r="K4457" t="s">
        <v>17</v>
      </c>
      <c r="L4457" t="b">
        <v>0</v>
      </c>
      <c r="N4457" s="2" t="str">
        <f t="shared" si="400"/>
        <v/>
      </c>
      <c r="Q4457" t="str">
        <f t="shared" si="401"/>
        <v/>
      </c>
    </row>
    <row r="4458" spans="1:17" hidden="1">
      <c r="A4458" t="s">
        <v>4563</v>
      </c>
      <c r="B4458" s="1">
        <v>45514</v>
      </c>
      <c r="C4458">
        <v>2024</v>
      </c>
      <c r="D4458">
        <v>8</v>
      </c>
      <c r="E4458" t="s">
        <v>19</v>
      </c>
      <c r="F4458" t="s">
        <v>24</v>
      </c>
      <c r="G4458" t="s">
        <v>80</v>
      </c>
      <c r="H4458" t="s">
        <v>113</v>
      </c>
      <c r="I4458">
        <v>7356.56</v>
      </c>
      <c r="J4458">
        <v>6986.81</v>
      </c>
      <c r="K4458" t="s">
        <v>17</v>
      </c>
      <c r="L4458" t="b">
        <v>0</v>
      </c>
      <c r="N4458" s="2" t="str">
        <f t="shared" si="400"/>
        <v/>
      </c>
      <c r="Q4458" t="str">
        <f t="shared" si="401"/>
        <v/>
      </c>
    </row>
    <row r="4459" spans="1:17" hidden="1">
      <c r="A4459" t="s">
        <v>4564</v>
      </c>
      <c r="B4459" s="1">
        <v>45514</v>
      </c>
      <c r="C4459">
        <v>2024</v>
      </c>
      <c r="D4459">
        <v>8</v>
      </c>
      <c r="E4459" t="s">
        <v>23</v>
      </c>
      <c r="F4459" t="s">
        <v>14</v>
      </c>
      <c r="G4459" t="s">
        <v>59</v>
      </c>
      <c r="H4459" t="s">
        <v>60</v>
      </c>
      <c r="I4459">
        <v>4980.93</v>
      </c>
      <c r="J4459">
        <v>5028.6099999999997</v>
      </c>
      <c r="K4459" t="s">
        <v>17</v>
      </c>
      <c r="L4459" t="b">
        <v>0</v>
      </c>
      <c r="N4459" s="2" t="str">
        <f t="shared" si="400"/>
        <v/>
      </c>
      <c r="Q4459" t="str">
        <f t="shared" si="401"/>
        <v/>
      </c>
    </row>
    <row r="4460" spans="1:17" hidden="1">
      <c r="A4460" t="s">
        <v>4565</v>
      </c>
      <c r="B4460" s="1">
        <v>45514</v>
      </c>
      <c r="C4460">
        <v>2024</v>
      </c>
      <c r="D4460">
        <v>8</v>
      </c>
      <c r="E4460" t="s">
        <v>23</v>
      </c>
      <c r="F4460" t="s">
        <v>14</v>
      </c>
      <c r="G4460" t="s">
        <v>25</v>
      </c>
      <c r="H4460" t="s">
        <v>35</v>
      </c>
      <c r="I4460">
        <v>3733.44</v>
      </c>
      <c r="J4460">
        <v>3492.41</v>
      </c>
      <c r="K4460" t="s">
        <v>17</v>
      </c>
      <c r="L4460" t="b">
        <v>0</v>
      </c>
      <c r="N4460" s="2" t="str">
        <f t="shared" si="400"/>
        <v/>
      </c>
      <c r="Q4460" t="str">
        <f t="shared" si="401"/>
        <v/>
      </c>
    </row>
    <row r="4461" spans="1:17" hidden="1">
      <c r="A4461" t="s">
        <v>4566</v>
      </c>
      <c r="B4461" s="1">
        <v>45514</v>
      </c>
      <c r="C4461">
        <v>2024</v>
      </c>
      <c r="D4461">
        <v>8</v>
      </c>
      <c r="E4461" t="s">
        <v>23</v>
      </c>
      <c r="F4461" t="s">
        <v>24</v>
      </c>
      <c r="G4461" t="s">
        <v>141</v>
      </c>
      <c r="H4461" t="s">
        <v>209</v>
      </c>
      <c r="I4461">
        <v>4567.3</v>
      </c>
      <c r="J4461">
        <v>4555.83</v>
      </c>
      <c r="K4461" t="s">
        <v>17</v>
      </c>
      <c r="L4461" t="b">
        <v>0</v>
      </c>
      <c r="N4461" s="2" t="str">
        <f t="shared" si="400"/>
        <v/>
      </c>
      <c r="Q4461" t="str">
        <f t="shared" si="401"/>
        <v/>
      </c>
    </row>
    <row r="4462" spans="1:17" hidden="1">
      <c r="A4462" t="s">
        <v>4567</v>
      </c>
      <c r="B4462" s="1">
        <v>45514</v>
      </c>
      <c r="C4462">
        <v>2024</v>
      </c>
      <c r="D4462">
        <v>8</v>
      </c>
      <c r="E4462" t="s">
        <v>37</v>
      </c>
      <c r="F4462" t="s">
        <v>24</v>
      </c>
      <c r="G4462" t="s">
        <v>98</v>
      </c>
      <c r="H4462" t="s">
        <v>99</v>
      </c>
      <c r="I4462">
        <v>7695.53</v>
      </c>
      <c r="J4462">
        <v>8243.92</v>
      </c>
      <c r="K4462" t="s">
        <v>17</v>
      </c>
      <c r="L4462" t="b">
        <v>0</v>
      </c>
      <c r="N4462" s="2" t="str">
        <f t="shared" si="400"/>
        <v/>
      </c>
      <c r="Q4462" t="str">
        <f t="shared" si="401"/>
        <v/>
      </c>
    </row>
    <row r="4463" spans="1:17" hidden="1">
      <c r="A4463" t="s">
        <v>4568</v>
      </c>
      <c r="B4463" s="1">
        <v>45515</v>
      </c>
      <c r="C4463">
        <v>2024</v>
      </c>
      <c r="D4463">
        <v>8</v>
      </c>
      <c r="E4463" t="s">
        <v>47</v>
      </c>
      <c r="F4463" t="s">
        <v>28</v>
      </c>
      <c r="G4463" t="s">
        <v>77</v>
      </c>
      <c r="H4463" t="s">
        <v>78</v>
      </c>
      <c r="I4463">
        <v>14039</v>
      </c>
      <c r="J4463">
        <v>11650.58</v>
      </c>
      <c r="K4463" t="s">
        <v>17</v>
      </c>
      <c r="L4463" t="b">
        <v>0</v>
      </c>
      <c r="N4463" s="2" t="b">
        <f t="shared" si="400"/>
        <v>1</v>
      </c>
      <c r="O4463" t="str">
        <f t="shared" ref="O4463:O4464" si="403">IF(AND(E4452="HR",K4452="EXPENSE"),I4452&lt;J4452,"")</f>
        <v/>
      </c>
      <c r="Q4463" t="str">
        <f t="shared" si="401"/>
        <v/>
      </c>
    </row>
    <row r="4464" spans="1:17" hidden="1">
      <c r="A4464" t="s">
        <v>4569</v>
      </c>
      <c r="B4464" s="1">
        <v>45515</v>
      </c>
      <c r="C4464">
        <v>2024</v>
      </c>
      <c r="D4464">
        <v>8</v>
      </c>
      <c r="E4464" t="s">
        <v>47</v>
      </c>
      <c r="F4464" t="s">
        <v>28</v>
      </c>
      <c r="G4464" t="s">
        <v>51</v>
      </c>
      <c r="H4464" t="s">
        <v>189</v>
      </c>
      <c r="I4464">
        <v>11758.74</v>
      </c>
      <c r="J4464">
        <v>9791.52</v>
      </c>
      <c r="K4464" t="s">
        <v>17</v>
      </c>
      <c r="L4464" t="b">
        <v>0</v>
      </c>
      <c r="N4464" s="2" t="b">
        <f t="shared" si="400"/>
        <v>1</v>
      </c>
      <c r="O4464" t="str">
        <f t="shared" si="403"/>
        <v/>
      </c>
      <c r="Q4464" t="str">
        <f t="shared" si="401"/>
        <v/>
      </c>
    </row>
    <row r="4465" spans="1:17" hidden="1">
      <c r="A4465" t="s">
        <v>4570</v>
      </c>
      <c r="B4465" s="1">
        <v>45515</v>
      </c>
      <c r="C4465">
        <v>2024</v>
      </c>
      <c r="D4465">
        <v>8</v>
      </c>
      <c r="E4465" t="s">
        <v>19</v>
      </c>
      <c r="F4465" t="s">
        <v>14</v>
      </c>
      <c r="G4465" t="s">
        <v>80</v>
      </c>
      <c r="H4465" t="s">
        <v>113</v>
      </c>
      <c r="I4465">
        <v>6257.41</v>
      </c>
      <c r="J4465">
        <v>6212.69</v>
      </c>
      <c r="K4465" t="s">
        <v>17</v>
      </c>
      <c r="L4465" t="b">
        <v>0</v>
      </c>
      <c r="N4465" s="2" t="str">
        <f t="shared" si="400"/>
        <v/>
      </c>
      <c r="Q4465" t="str">
        <f t="shared" si="401"/>
        <v/>
      </c>
    </row>
    <row r="4466" spans="1:17" hidden="1">
      <c r="A4466" t="s">
        <v>4571</v>
      </c>
      <c r="B4466" s="1">
        <v>45515</v>
      </c>
      <c r="C4466">
        <v>2024</v>
      </c>
      <c r="D4466">
        <v>8</v>
      </c>
      <c r="E4466" t="s">
        <v>19</v>
      </c>
      <c r="F4466" t="s">
        <v>14</v>
      </c>
      <c r="G4466" t="s">
        <v>132</v>
      </c>
      <c r="H4466" t="s">
        <v>138</v>
      </c>
      <c r="I4466">
        <v>7889.94</v>
      </c>
      <c r="J4466">
        <v>7269.19</v>
      </c>
      <c r="K4466" t="s">
        <v>17</v>
      </c>
      <c r="L4466" t="b">
        <v>0</v>
      </c>
      <c r="N4466" s="2" t="str">
        <f t="shared" si="400"/>
        <v/>
      </c>
      <c r="Q4466" t="str">
        <f t="shared" si="401"/>
        <v/>
      </c>
    </row>
    <row r="4467" spans="1:17" hidden="1">
      <c r="A4467" t="s">
        <v>4572</v>
      </c>
      <c r="B4467" s="1">
        <v>45515</v>
      </c>
      <c r="C4467">
        <v>2024</v>
      </c>
      <c r="D4467">
        <v>8</v>
      </c>
      <c r="E4467" t="s">
        <v>19</v>
      </c>
      <c r="F4467" t="s">
        <v>28</v>
      </c>
      <c r="G4467" t="s">
        <v>132</v>
      </c>
      <c r="H4467" t="s">
        <v>133</v>
      </c>
      <c r="I4467">
        <v>4945.87</v>
      </c>
      <c r="J4467">
        <v>4857.33</v>
      </c>
      <c r="K4467" t="s">
        <v>17</v>
      </c>
      <c r="L4467" t="b">
        <v>0</v>
      </c>
      <c r="N4467" s="2" t="str">
        <f t="shared" si="400"/>
        <v/>
      </c>
      <c r="Q4467" t="str">
        <f t="shared" si="401"/>
        <v/>
      </c>
    </row>
    <row r="4468" spans="1:17" hidden="1">
      <c r="A4468" t="s">
        <v>4573</v>
      </c>
      <c r="B4468" s="1">
        <v>45515</v>
      </c>
      <c r="C4468">
        <v>2024</v>
      </c>
      <c r="D4468">
        <v>8</v>
      </c>
      <c r="E4468" t="s">
        <v>19</v>
      </c>
      <c r="F4468" t="s">
        <v>24</v>
      </c>
      <c r="G4468" t="s">
        <v>80</v>
      </c>
      <c r="H4468" t="s">
        <v>113</v>
      </c>
      <c r="I4468">
        <v>4982.3500000000004</v>
      </c>
      <c r="J4468">
        <v>5159.78</v>
      </c>
      <c r="K4468" t="s">
        <v>17</v>
      </c>
      <c r="L4468" t="b">
        <v>0</v>
      </c>
      <c r="N4468" s="2" t="str">
        <f t="shared" si="400"/>
        <v/>
      </c>
      <c r="Q4468" t="str">
        <f t="shared" si="401"/>
        <v/>
      </c>
    </row>
    <row r="4469" spans="1:17" hidden="1">
      <c r="A4469" t="s">
        <v>4574</v>
      </c>
      <c r="B4469" s="1">
        <v>45515</v>
      </c>
      <c r="C4469">
        <v>2024</v>
      </c>
      <c r="D4469">
        <v>8</v>
      </c>
      <c r="E4469" t="s">
        <v>19</v>
      </c>
      <c r="F4469" t="s">
        <v>24</v>
      </c>
      <c r="G4469" t="s">
        <v>132</v>
      </c>
      <c r="H4469" t="s">
        <v>133</v>
      </c>
      <c r="I4469">
        <v>8194.02</v>
      </c>
      <c r="J4469">
        <v>8800.5499999999993</v>
      </c>
      <c r="K4469" t="s">
        <v>17</v>
      </c>
      <c r="L4469" t="b">
        <v>0</v>
      </c>
      <c r="N4469" s="2" t="str">
        <f t="shared" si="400"/>
        <v/>
      </c>
      <c r="Q4469" t="str">
        <f t="shared" si="401"/>
        <v/>
      </c>
    </row>
    <row r="4470" spans="1:17" hidden="1">
      <c r="A4470" t="s">
        <v>4575</v>
      </c>
      <c r="B4470" s="1">
        <v>45515</v>
      </c>
      <c r="C4470">
        <v>2024</v>
      </c>
      <c r="D4470">
        <v>8</v>
      </c>
      <c r="E4470" t="s">
        <v>19</v>
      </c>
      <c r="F4470" t="s">
        <v>24</v>
      </c>
      <c r="G4470" t="s">
        <v>80</v>
      </c>
      <c r="H4470" t="s">
        <v>217</v>
      </c>
      <c r="I4470">
        <v>10048.82</v>
      </c>
      <c r="J4470">
        <v>10688.35</v>
      </c>
      <c r="K4470" t="s">
        <v>17</v>
      </c>
      <c r="L4470" t="b">
        <v>0</v>
      </c>
      <c r="N4470" s="2" t="str">
        <f t="shared" si="400"/>
        <v/>
      </c>
      <c r="Q4470" t="str">
        <f t="shared" si="401"/>
        <v/>
      </c>
    </row>
    <row r="4471" spans="1:17" hidden="1">
      <c r="A4471" t="s">
        <v>4576</v>
      </c>
      <c r="B4471" s="1">
        <v>45515</v>
      </c>
      <c r="C4471">
        <v>2024</v>
      </c>
      <c r="D4471">
        <v>8</v>
      </c>
      <c r="E4471" t="s">
        <v>23</v>
      </c>
      <c r="F4471" t="s">
        <v>28</v>
      </c>
      <c r="G4471" t="s">
        <v>141</v>
      </c>
      <c r="H4471" t="s">
        <v>209</v>
      </c>
      <c r="I4471">
        <v>8841.01</v>
      </c>
      <c r="J4471">
        <v>9351.94</v>
      </c>
      <c r="K4471" t="s">
        <v>17</v>
      </c>
      <c r="L4471" t="b">
        <v>0</v>
      </c>
      <c r="N4471" s="2" t="str">
        <f t="shared" si="400"/>
        <v/>
      </c>
      <c r="Q4471" t="str">
        <f t="shared" si="401"/>
        <v/>
      </c>
    </row>
    <row r="4472" spans="1:17" hidden="1">
      <c r="A4472" t="s">
        <v>4577</v>
      </c>
      <c r="B4472" s="1">
        <v>45515</v>
      </c>
      <c r="C4472">
        <v>2024</v>
      </c>
      <c r="D4472">
        <v>8</v>
      </c>
      <c r="E4472" t="s">
        <v>23</v>
      </c>
      <c r="F4472" t="s">
        <v>28</v>
      </c>
      <c r="G4472" t="s">
        <v>59</v>
      </c>
      <c r="H4472" t="s">
        <v>155</v>
      </c>
      <c r="I4472">
        <v>7447.02</v>
      </c>
      <c r="J4472">
        <v>7103.5</v>
      </c>
      <c r="K4472" t="s">
        <v>17</v>
      </c>
      <c r="L4472" t="b">
        <v>0</v>
      </c>
      <c r="N4472" s="2" t="str">
        <f t="shared" si="400"/>
        <v/>
      </c>
      <c r="Q4472" t="str">
        <f t="shared" si="401"/>
        <v/>
      </c>
    </row>
    <row r="4473" spans="1:17" hidden="1">
      <c r="A4473" t="s">
        <v>4578</v>
      </c>
      <c r="B4473" s="1">
        <v>45516</v>
      </c>
      <c r="C4473">
        <v>2024</v>
      </c>
      <c r="D4473">
        <v>8</v>
      </c>
      <c r="E4473" t="s">
        <v>19</v>
      </c>
      <c r="F4473" t="s">
        <v>14</v>
      </c>
      <c r="G4473" t="s">
        <v>80</v>
      </c>
      <c r="H4473" t="s">
        <v>113</v>
      </c>
      <c r="I4473">
        <v>10548.55</v>
      </c>
      <c r="J4473">
        <v>11300.17</v>
      </c>
      <c r="K4473" t="s">
        <v>17</v>
      </c>
      <c r="L4473" t="b">
        <v>0</v>
      </c>
      <c r="N4473" s="2" t="str">
        <f t="shared" si="400"/>
        <v/>
      </c>
      <c r="Q4473" t="str">
        <f t="shared" si="401"/>
        <v/>
      </c>
    </row>
    <row r="4474" spans="1:17" hidden="1">
      <c r="A4474" t="s">
        <v>4579</v>
      </c>
      <c r="B4474" s="1">
        <v>45516</v>
      </c>
      <c r="C4474">
        <v>2024</v>
      </c>
      <c r="D4474">
        <v>8</v>
      </c>
      <c r="E4474" t="s">
        <v>19</v>
      </c>
      <c r="F4474" t="s">
        <v>28</v>
      </c>
      <c r="G4474" t="s">
        <v>80</v>
      </c>
      <c r="H4474" t="s">
        <v>113</v>
      </c>
      <c r="I4474">
        <v>5802.44</v>
      </c>
      <c r="J4474">
        <v>5271.84</v>
      </c>
      <c r="K4474" t="s">
        <v>17</v>
      </c>
      <c r="L4474" t="b">
        <v>0</v>
      </c>
      <c r="N4474" s="2" t="str">
        <f t="shared" si="400"/>
        <v/>
      </c>
      <c r="Q4474" t="str">
        <f t="shared" si="401"/>
        <v/>
      </c>
    </row>
    <row r="4475" spans="1:17" hidden="1">
      <c r="A4475" t="s">
        <v>4580</v>
      </c>
      <c r="B4475" s="1">
        <v>45516</v>
      </c>
      <c r="C4475">
        <v>2024</v>
      </c>
      <c r="D4475">
        <v>8</v>
      </c>
      <c r="E4475" t="s">
        <v>37</v>
      </c>
      <c r="F4475" t="s">
        <v>14</v>
      </c>
      <c r="G4475" t="s">
        <v>38</v>
      </c>
      <c r="H4475" t="s">
        <v>39</v>
      </c>
      <c r="I4475">
        <v>4330.87</v>
      </c>
      <c r="J4475">
        <v>4212.75</v>
      </c>
      <c r="K4475" t="s">
        <v>17</v>
      </c>
      <c r="L4475" t="b">
        <v>0</v>
      </c>
      <c r="N4475" s="2" t="str">
        <f t="shared" si="400"/>
        <v/>
      </c>
      <c r="Q4475" t="str">
        <f t="shared" si="401"/>
        <v/>
      </c>
    </row>
    <row r="4476" spans="1:17" hidden="1">
      <c r="A4476" t="s">
        <v>4581</v>
      </c>
      <c r="B4476" s="1">
        <v>45517</v>
      </c>
      <c r="C4476">
        <v>2024</v>
      </c>
      <c r="D4476">
        <v>8</v>
      </c>
      <c r="E4476" t="s">
        <v>13</v>
      </c>
      <c r="F4476" t="s">
        <v>14</v>
      </c>
      <c r="G4476" t="s">
        <v>102</v>
      </c>
      <c r="H4476" t="s">
        <v>278</v>
      </c>
      <c r="I4476">
        <v>4012.89</v>
      </c>
      <c r="J4476">
        <v>4158.29</v>
      </c>
      <c r="K4476" t="s">
        <v>17</v>
      </c>
      <c r="L4476" t="b">
        <v>0</v>
      </c>
      <c r="N4476" s="2" t="str">
        <f t="shared" si="400"/>
        <v/>
      </c>
      <c r="Q4476" t="str">
        <f t="shared" si="401"/>
        <v/>
      </c>
    </row>
    <row r="4477" spans="1:17" hidden="1">
      <c r="A4477" t="s">
        <v>4582</v>
      </c>
      <c r="B4477" s="1">
        <v>45517</v>
      </c>
      <c r="C4477">
        <v>2024</v>
      </c>
      <c r="D4477">
        <v>8</v>
      </c>
      <c r="E4477" t="s">
        <v>13</v>
      </c>
      <c r="F4477" t="s">
        <v>14</v>
      </c>
      <c r="G4477" t="s">
        <v>68</v>
      </c>
      <c r="H4477" t="s">
        <v>213</v>
      </c>
      <c r="I4477">
        <v>4540.3900000000003</v>
      </c>
      <c r="J4477">
        <v>4988.41</v>
      </c>
      <c r="K4477" t="s">
        <v>17</v>
      </c>
      <c r="L4477" t="b">
        <v>0</v>
      </c>
      <c r="N4477" s="2" t="str">
        <f t="shared" si="400"/>
        <v/>
      </c>
      <c r="Q4477" t="str">
        <f t="shared" si="401"/>
        <v/>
      </c>
    </row>
    <row r="4478" spans="1:17" hidden="1">
      <c r="A4478" t="s">
        <v>4583</v>
      </c>
      <c r="B4478" s="1">
        <v>45517</v>
      </c>
      <c r="C4478">
        <v>2024</v>
      </c>
      <c r="D4478">
        <v>8</v>
      </c>
      <c r="E4478" t="s">
        <v>13</v>
      </c>
      <c r="F4478" t="s">
        <v>28</v>
      </c>
      <c r="G4478" t="s">
        <v>102</v>
      </c>
      <c r="H4478" t="s">
        <v>145</v>
      </c>
      <c r="I4478">
        <v>3718.61</v>
      </c>
      <c r="J4478">
        <v>3851.34</v>
      </c>
      <c r="K4478" t="s">
        <v>17</v>
      </c>
      <c r="L4478" t="b">
        <v>0</v>
      </c>
      <c r="N4478" s="2" t="str">
        <f t="shared" si="400"/>
        <v/>
      </c>
      <c r="Q4478" t="str">
        <f t="shared" si="401"/>
        <v/>
      </c>
    </row>
    <row r="4479" spans="1:17" hidden="1">
      <c r="A4479" t="s">
        <v>4584</v>
      </c>
      <c r="B4479" s="1">
        <v>45517</v>
      </c>
      <c r="C4479">
        <v>2024</v>
      </c>
      <c r="D4479">
        <v>8</v>
      </c>
      <c r="E4479" t="s">
        <v>47</v>
      </c>
      <c r="F4479" t="s">
        <v>24</v>
      </c>
      <c r="G4479" t="s">
        <v>48</v>
      </c>
      <c r="H4479" t="s">
        <v>189</v>
      </c>
      <c r="I4479">
        <v>8069.51</v>
      </c>
      <c r="J4479">
        <v>6917.26</v>
      </c>
      <c r="K4479" t="s">
        <v>17</v>
      </c>
      <c r="L4479" t="b">
        <v>0</v>
      </c>
      <c r="N4479" s="2" t="b">
        <f t="shared" si="400"/>
        <v>1</v>
      </c>
      <c r="O4479" t="str">
        <f>IF(AND(E4468="HR",K4468="EXPENSE"),I4468&lt;J4468,"")</f>
        <v/>
      </c>
      <c r="Q4479" t="str">
        <f t="shared" si="401"/>
        <v/>
      </c>
    </row>
    <row r="4480" spans="1:17" hidden="1">
      <c r="A4480" t="s">
        <v>4585</v>
      </c>
      <c r="B4480" s="1">
        <v>45517</v>
      </c>
      <c r="C4480">
        <v>2024</v>
      </c>
      <c r="D4480">
        <v>8</v>
      </c>
      <c r="E4480" t="s">
        <v>23</v>
      </c>
      <c r="F4480" t="s">
        <v>14</v>
      </c>
      <c r="G4480" t="s">
        <v>59</v>
      </c>
      <c r="H4480" t="s">
        <v>60</v>
      </c>
      <c r="I4480">
        <v>4776.33</v>
      </c>
      <c r="J4480">
        <v>4741.7299999999996</v>
      </c>
      <c r="K4480" t="s">
        <v>17</v>
      </c>
      <c r="L4480" t="b">
        <v>0</v>
      </c>
      <c r="N4480" s="2" t="str">
        <f t="shared" si="400"/>
        <v/>
      </c>
      <c r="Q4480" t="str">
        <f t="shared" si="401"/>
        <v/>
      </c>
    </row>
    <row r="4481" spans="1:17" hidden="1">
      <c r="A4481" t="s">
        <v>4586</v>
      </c>
      <c r="B4481" s="1">
        <v>45517</v>
      </c>
      <c r="C4481">
        <v>2024</v>
      </c>
      <c r="D4481">
        <v>8</v>
      </c>
      <c r="E4481" t="s">
        <v>23</v>
      </c>
      <c r="F4481" t="s">
        <v>14</v>
      </c>
      <c r="G4481" t="s">
        <v>30</v>
      </c>
      <c r="H4481" t="s">
        <v>106</v>
      </c>
      <c r="I4481">
        <v>6893.67</v>
      </c>
      <c r="J4481">
        <v>6495.27</v>
      </c>
      <c r="K4481" t="s">
        <v>17</v>
      </c>
      <c r="L4481" t="b">
        <v>0</v>
      </c>
      <c r="N4481" s="2" t="str">
        <f t="shared" si="400"/>
        <v/>
      </c>
      <c r="Q4481" t="str">
        <f t="shared" si="401"/>
        <v/>
      </c>
    </row>
    <row r="4482" spans="1:17" hidden="1">
      <c r="A4482" t="s">
        <v>4587</v>
      </c>
      <c r="B4482" s="1">
        <v>45518</v>
      </c>
      <c r="C4482">
        <v>2024</v>
      </c>
      <c r="D4482">
        <v>8</v>
      </c>
      <c r="E4482" t="s">
        <v>13</v>
      </c>
      <c r="F4482" t="s">
        <v>14</v>
      </c>
      <c r="G4482" t="s">
        <v>108</v>
      </c>
      <c r="H4482" t="s">
        <v>123</v>
      </c>
      <c r="I4482">
        <v>2487.25</v>
      </c>
      <c r="J4482">
        <v>2693.66</v>
      </c>
      <c r="K4482" t="s">
        <v>17</v>
      </c>
      <c r="L4482" t="b">
        <v>0</v>
      </c>
      <c r="N4482" s="2" t="str">
        <f t="shared" si="400"/>
        <v/>
      </c>
      <c r="Q4482" t="str">
        <f t="shared" si="401"/>
        <v/>
      </c>
    </row>
    <row r="4483" spans="1:17" hidden="1">
      <c r="A4483" t="s">
        <v>4588</v>
      </c>
      <c r="B4483" s="1">
        <v>45518</v>
      </c>
      <c r="C4483">
        <v>2024</v>
      </c>
      <c r="D4483">
        <v>8</v>
      </c>
      <c r="E4483" t="s">
        <v>13</v>
      </c>
      <c r="F4483" t="s">
        <v>28</v>
      </c>
      <c r="G4483" t="s">
        <v>68</v>
      </c>
      <c r="H4483" t="s">
        <v>213</v>
      </c>
      <c r="I4483">
        <v>2765.2</v>
      </c>
      <c r="J4483">
        <v>2528.88</v>
      </c>
      <c r="K4483" t="s">
        <v>17</v>
      </c>
      <c r="L4483" t="b">
        <v>0</v>
      </c>
      <c r="N4483" s="2" t="str">
        <f t="shared" ref="N4483:N4546" si="404">IF(AND(E4483="IT",K4483="EXPENSE"),I4483&gt;J4483,"")</f>
        <v/>
      </c>
      <c r="Q4483" t="str">
        <f t="shared" ref="Q4483:Q4546" si="405">IF(L4483=TRUE,OR(H4483="Apex Solutions Inc",H4483="Global Trade Partners",H4483="NovaTech Services"),"")</f>
        <v/>
      </c>
    </row>
    <row r="4484" spans="1:17" hidden="1">
      <c r="A4484" t="s">
        <v>4589</v>
      </c>
      <c r="B4484" s="1">
        <v>45518</v>
      </c>
      <c r="C4484">
        <v>2024</v>
      </c>
      <c r="D4484">
        <v>8</v>
      </c>
      <c r="E4484" t="s">
        <v>47</v>
      </c>
      <c r="F4484" t="s">
        <v>14</v>
      </c>
      <c r="G4484" t="s">
        <v>91</v>
      </c>
      <c r="H4484" t="s">
        <v>254</v>
      </c>
      <c r="I4484">
        <v>13351.78</v>
      </c>
      <c r="J4484">
        <v>11525</v>
      </c>
      <c r="K4484" t="s">
        <v>17</v>
      </c>
      <c r="L4484" t="b">
        <v>0</v>
      </c>
      <c r="N4484" s="2" t="b">
        <f t="shared" si="404"/>
        <v>1</v>
      </c>
      <c r="O4484" t="str">
        <f t="shared" ref="O4484:O4485" si="406">IF(AND(E4473="HR",K4473="EXPENSE"),I4473&lt;J4473,"")</f>
        <v/>
      </c>
      <c r="Q4484" t="str">
        <f t="shared" si="405"/>
        <v/>
      </c>
    </row>
    <row r="4485" spans="1:17" hidden="1">
      <c r="A4485" t="s">
        <v>4590</v>
      </c>
      <c r="B4485" s="1">
        <v>45518</v>
      </c>
      <c r="C4485">
        <v>2024</v>
      </c>
      <c r="D4485">
        <v>8</v>
      </c>
      <c r="E4485" t="s">
        <v>47</v>
      </c>
      <c r="F4485" t="s">
        <v>24</v>
      </c>
      <c r="G4485" t="s">
        <v>91</v>
      </c>
      <c r="H4485" t="s">
        <v>92</v>
      </c>
      <c r="I4485">
        <v>7354.58</v>
      </c>
      <c r="J4485">
        <v>6166.8</v>
      </c>
      <c r="K4485" t="s">
        <v>17</v>
      </c>
      <c r="L4485" t="b">
        <v>0</v>
      </c>
      <c r="N4485" s="2" t="b">
        <f t="shared" si="404"/>
        <v>1</v>
      </c>
      <c r="O4485" t="str">
        <f t="shared" si="406"/>
        <v/>
      </c>
      <c r="Q4485" t="str">
        <f t="shared" si="405"/>
        <v/>
      </c>
    </row>
    <row r="4486" spans="1:17" hidden="1">
      <c r="A4486" t="s">
        <v>4591</v>
      </c>
      <c r="B4486" s="1">
        <v>45518</v>
      </c>
      <c r="C4486">
        <v>2024</v>
      </c>
      <c r="D4486">
        <v>8</v>
      </c>
      <c r="E4486" t="s">
        <v>23</v>
      </c>
      <c r="F4486" t="s">
        <v>14</v>
      </c>
      <c r="G4486" t="s">
        <v>59</v>
      </c>
      <c r="H4486" t="s">
        <v>60</v>
      </c>
      <c r="I4486">
        <v>5370.62</v>
      </c>
      <c r="J4486">
        <v>5439.84</v>
      </c>
      <c r="K4486" t="s">
        <v>17</v>
      </c>
      <c r="L4486" t="b">
        <v>0</v>
      </c>
      <c r="N4486" s="2" t="str">
        <f t="shared" si="404"/>
        <v/>
      </c>
      <c r="Q4486" t="str">
        <f t="shared" si="405"/>
        <v/>
      </c>
    </row>
    <row r="4487" spans="1:17" hidden="1">
      <c r="A4487" t="s">
        <v>4592</v>
      </c>
      <c r="B4487" s="1">
        <v>45518</v>
      </c>
      <c r="C4487">
        <v>2024</v>
      </c>
      <c r="D4487">
        <v>8</v>
      </c>
      <c r="E4487" t="s">
        <v>23</v>
      </c>
      <c r="F4487" t="s">
        <v>28</v>
      </c>
      <c r="G4487" t="s">
        <v>30</v>
      </c>
      <c r="H4487" t="s">
        <v>31</v>
      </c>
      <c r="I4487">
        <v>7818.62</v>
      </c>
      <c r="J4487">
        <v>8593.6200000000008</v>
      </c>
      <c r="K4487" t="s">
        <v>17</v>
      </c>
      <c r="L4487" t="b">
        <v>0</v>
      </c>
      <c r="N4487" s="2" t="str">
        <f t="shared" si="404"/>
        <v/>
      </c>
      <c r="Q4487" t="str">
        <f t="shared" si="405"/>
        <v/>
      </c>
    </row>
    <row r="4488" spans="1:17" hidden="1">
      <c r="A4488" t="s">
        <v>4593</v>
      </c>
      <c r="B4488" s="1">
        <v>45518</v>
      </c>
      <c r="C4488">
        <v>2024</v>
      </c>
      <c r="D4488">
        <v>8</v>
      </c>
      <c r="E4488" t="s">
        <v>23</v>
      </c>
      <c r="F4488" t="s">
        <v>24</v>
      </c>
      <c r="G4488" t="s">
        <v>25</v>
      </c>
      <c r="H4488" t="s">
        <v>95</v>
      </c>
      <c r="I4488">
        <v>4740.84</v>
      </c>
      <c r="J4488">
        <v>4848.3500000000004</v>
      </c>
      <c r="K4488" t="s">
        <v>17</v>
      </c>
      <c r="L4488" t="b">
        <v>0</v>
      </c>
      <c r="N4488" s="2" t="str">
        <f t="shared" si="404"/>
        <v/>
      </c>
      <c r="Q4488" t="str">
        <f t="shared" si="405"/>
        <v/>
      </c>
    </row>
    <row r="4489" spans="1:17" hidden="1">
      <c r="A4489" t="s">
        <v>4594</v>
      </c>
      <c r="B4489" s="1">
        <v>45518</v>
      </c>
      <c r="C4489">
        <v>2024</v>
      </c>
      <c r="D4489">
        <v>8</v>
      </c>
      <c r="E4489" t="s">
        <v>23</v>
      </c>
      <c r="F4489" t="s">
        <v>24</v>
      </c>
      <c r="G4489" t="s">
        <v>59</v>
      </c>
      <c r="H4489" t="s">
        <v>155</v>
      </c>
      <c r="I4489">
        <v>8176.4</v>
      </c>
      <c r="J4489">
        <v>7404.98</v>
      </c>
      <c r="K4489" t="s">
        <v>17</v>
      </c>
      <c r="L4489" t="b">
        <v>0</v>
      </c>
      <c r="N4489" s="2" t="str">
        <f t="shared" si="404"/>
        <v/>
      </c>
      <c r="Q4489" t="str">
        <f t="shared" si="405"/>
        <v/>
      </c>
    </row>
    <row r="4490" spans="1:17" hidden="1">
      <c r="A4490" t="s">
        <v>4595</v>
      </c>
      <c r="B4490" s="1">
        <v>45518</v>
      </c>
      <c r="C4490">
        <v>2024</v>
      </c>
      <c r="D4490">
        <v>8</v>
      </c>
      <c r="E4490" t="s">
        <v>37</v>
      </c>
      <c r="F4490" t="s">
        <v>28</v>
      </c>
      <c r="G4490" t="s">
        <v>38</v>
      </c>
      <c r="H4490" t="s">
        <v>227</v>
      </c>
      <c r="I4490">
        <v>3831.76</v>
      </c>
      <c r="J4490">
        <v>3899.72</v>
      </c>
      <c r="K4490" t="s">
        <v>17</v>
      </c>
      <c r="L4490" t="b">
        <v>0</v>
      </c>
      <c r="N4490" s="2" t="str">
        <f t="shared" si="404"/>
        <v/>
      </c>
      <c r="Q4490" t="str">
        <f t="shared" si="405"/>
        <v/>
      </c>
    </row>
    <row r="4491" spans="1:17" hidden="1">
      <c r="A4491" t="s">
        <v>4596</v>
      </c>
      <c r="B4491" s="1">
        <v>45519</v>
      </c>
      <c r="C4491">
        <v>2024</v>
      </c>
      <c r="D4491">
        <v>8</v>
      </c>
      <c r="E4491" t="s">
        <v>13</v>
      </c>
      <c r="F4491" t="s">
        <v>28</v>
      </c>
      <c r="G4491" t="s">
        <v>108</v>
      </c>
      <c r="H4491" t="s">
        <v>123</v>
      </c>
      <c r="I4491">
        <v>2830.23</v>
      </c>
      <c r="J4491">
        <v>2600.9699999999998</v>
      </c>
      <c r="K4491" t="s">
        <v>17</v>
      </c>
      <c r="L4491" t="b">
        <v>0</v>
      </c>
      <c r="N4491" s="2" t="str">
        <f t="shared" si="404"/>
        <v/>
      </c>
      <c r="Q4491" t="str">
        <f t="shared" si="405"/>
        <v/>
      </c>
    </row>
    <row r="4492" spans="1:17" hidden="1">
      <c r="A4492" t="s">
        <v>4597</v>
      </c>
      <c r="B4492" s="1">
        <v>45519</v>
      </c>
      <c r="C4492">
        <v>2024</v>
      </c>
      <c r="D4492">
        <v>8</v>
      </c>
      <c r="E4492" t="s">
        <v>47</v>
      </c>
      <c r="F4492" t="s">
        <v>14</v>
      </c>
      <c r="G4492" t="s">
        <v>91</v>
      </c>
      <c r="H4492" t="s">
        <v>128</v>
      </c>
      <c r="I4492">
        <v>11964.99</v>
      </c>
      <c r="J4492">
        <v>10309.209999999999</v>
      </c>
      <c r="K4492" t="s">
        <v>17</v>
      </c>
      <c r="L4492" t="b">
        <v>0</v>
      </c>
      <c r="N4492" s="2" t="b">
        <f t="shared" si="404"/>
        <v>1</v>
      </c>
      <c r="O4492" t="str">
        <f t="shared" ref="O4492:O4495" si="407">IF(AND(E4481="HR",K4481="EXPENSE"),I4481&lt;J4481,"")</f>
        <v/>
      </c>
      <c r="Q4492" t="str">
        <f t="shared" si="405"/>
        <v/>
      </c>
    </row>
    <row r="4493" spans="1:17" hidden="1">
      <c r="A4493" t="s">
        <v>4598</v>
      </c>
      <c r="B4493" s="1">
        <v>45519</v>
      </c>
      <c r="C4493">
        <v>2024</v>
      </c>
      <c r="D4493">
        <v>8</v>
      </c>
      <c r="E4493" t="s">
        <v>47</v>
      </c>
      <c r="F4493" t="s">
        <v>14</v>
      </c>
      <c r="G4493" t="s">
        <v>77</v>
      </c>
      <c r="H4493" t="s">
        <v>147</v>
      </c>
      <c r="I4493">
        <v>11137.5</v>
      </c>
      <c r="J4493">
        <v>9172.5499999999993</v>
      </c>
      <c r="K4493" t="s">
        <v>17</v>
      </c>
      <c r="L4493" t="b">
        <v>0</v>
      </c>
      <c r="N4493" s="2" t="b">
        <f t="shared" si="404"/>
        <v>1</v>
      </c>
      <c r="O4493" t="b">
        <f t="shared" si="407"/>
        <v>1</v>
      </c>
      <c r="Q4493" t="str">
        <f t="shared" si="405"/>
        <v/>
      </c>
    </row>
    <row r="4494" spans="1:17" hidden="1">
      <c r="A4494" t="s">
        <v>4599</v>
      </c>
      <c r="B4494" s="1">
        <v>45519</v>
      </c>
      <c r="C4494">
        <v>2024</v>
      </c>
      <c r="D4494">
        <v>8</v>
      </c>
      <c r="E4494" t="s">
        <v>47</v>
      </c>
      <c r="F4494" t="s">
        <v>28</v>
      </c>
      <c r="G4494" t="s">
        <v>91</v>
      </c>
      <c r="H4494" t="s">
        <v>249</v>
      </c>
      <c r="I4494">
        <v>16301.35</v>
      </c>
      <c r="J4494">
        <v>13925.6</v>
      </c>
      <c r="K4494" t="s">
        <v>17</v>
      </c>
      <c r="L4494" t="b">
        <v>0</v>
      </c>
      <c r="N4494" s="2" t="b">
        <f t="shared" si="404"/>
        <v>1</v>
      </c>
      <c r="O4494" t="b">
        <f t="shared" si="407"/>
        <v>0</v>
      </c>
      <c r="Q4494" t="str">
        <f t="shared" si="405"/>
        <v/>
      </c>
    </row>
    <row r="4495" spans="1:17" hidden="1">
      <c r="A4495" t="s">
        <v>4600</v>
      </c>
      <c r="B4495" s="1">
        <v>45519</v>
      </c>
      <c r="C4495">
        <v>2024</v>
      </c>
      <c r="D4495">
        <v>8</v>
      </c>
      <c r="E4495" t="s">
        <v>47</v>
      </c>
      <c r="F4495" t="s">
        <v>28</v>
      </c>
      <c r="G4495" t="s">
        <v>48</v>
      </c>
      <c r="H4495" t="s">
        <v>111</v>
      </c>
      <c r="I4495">
        <v>14583.47</v>
      </c>
      <c r="J4495">
        <v>12217.5</v>
      </c>
      <c r="K4495" t="s">
        <v>17</v>
      </c>
      <c r="L4495" t="b">
        <v>0</v>
      </c>
      <c r="N4495" s="2" t="b">
        <f t="shared" si="404"/>
        <v>1</v>
      </c>
      <c r="O4495" t="str">
        <f t="shared" si="407"/>
        <v/>
      </c>
      <c r="Q4495" t="str">
        <f t="shared" si="405"/>
        <v/>
      </c>
    </row>
    <row r="4496" spans="1:17" hidden="1">
      <c r="A4496" t="s">
        <v>4601</v>
      </c>
      <c r="B4496" s="1">
        <v>45519</v>
      </c>
      <c r="C4496">
        <v>2024</v>
      </c>
      <c r="D4496">
        <v>8</v>
      </c>
      <c r="E4496" t="s">
        <v>19</v>
      </c>
      <c r="F4496" t="s">
        <v>14</v>
      </c>
      <c r="G4496" t="s">
        <v>80</v>
      </c>
      <c r="H4496" t="s">
        <v>150</v>
      </c>
      <c r="I4496">
        <v>11236.13</v>
      </c>
      <c r="J4496">
        <v>11017.59</v>
      </c>
      <c r="K4496" t="s">
        <v>17</v>
      </c>
      <c r="L4496" t="b">
        <v>0</v>
      </c>
      <c r="N4496" s="2" t="str">
        <f t="shared" si="404"/>
        <v/>
      </c>
      <c r="Q4496" t="str">
        <f t="shared" si="405"/>
        <v/>
      </c>
    </row>
    <row r="4497" spans="1:17" hidden="1">
      <c r="A4497" t="s">
        <v>4602</v>
      </c>
      <c r="B4497" s="1">
        <v>45519</v>
      </c>
      <c r="C4497">
        <v>2024</v>
      </c>
      <c r="D4497">
        <v>8</v>
      </c>
      <c r="E4497" t="s">
        <v>23</v>
      </c>
      <c r="F4497" t="s">
        <v>14</v>
      </c>
      <c r="G4497" t="s">
        <v>59</v>
      </c>
      <c r="H4497" t="s">
        <v>155</v>
      </c>
      <c r="I4497">
        <v>5045.96</v>
      </c>
      <c r="J4497">
        <v>5174.58</v>
      </c>
      <c r="K4497" t="s">
        <v>17</v>
      </c>
      <c r="L4497" t="b">
        <v>0</v>
      </c>
      <c r="N4497" s="2" t="str">
        <f t="shared" si="404"/>
        <v/>
      </c>
      <c r="Q4497" t="str">
        <f t="shared" si="405"/>
        <v/>
      </c>
    </row>
    <row r="4498" spans="1:17" hidden="1">
      <c r="A4498" t="s">
        <v>4603</v>
      </c>
      <c r="B4498" s="1">
        <v>45519</v>
      </c>
      <c r="C4498">
        <v>2024</v>
      </c>
      <c r="D4498">
        <v>8</v>
      </c>
      <c r="E4498" t="s">
        <v>23</v>
      </c>
      <c r="F4498" t="s">
        <v>14</v>
      </c>
      <c r="G4498" t="s">
        <v>30</v>
      </c>
      <c r="H4498" t="s">
        <v>33</v>
      </c>
      <c r="I4498">
        <v>6579.21</v>
      </c>
      <c r="J4498">
        <v>6280.55</v>
      </c>
      <c r="K4498" t="s">
        <v>17</v>
      </c>
      <c r="L4498" t="b">
        <v>0</v>
      </c>
      <c r="N4498" s="2" t="str">
        <f t="shared" si="404"/>
        <v/>
      </c>
      <c r="Q4498" t="str">
        <f t="shared" si="405"/>
        <v/>
      </c>
    </row>
    <row r="4499" spans="1:17" hidden="1">
      <c r="A4499" t="s">
        <v>4604</v>
      </c>
      <c r="B4499" s="1">
        <v>45519</v>
      </c>
      <c r="C4499">
        <v>2024</v>
      </c>
      <c r="D4499">
        <v>8</v>
      </c>
      <c r="E4499" t="s">
        <v>37</v>
      </c>
      <c r="F4499" t="s">
        <v>28</v>
      </c>
      <c r="G4499" t="s">
        <v>62</v>
      </c>
      <c r="H4499" t="s">
        <v>66</v>
      </c>
      <c r="I4499">
        <v>4797.79</v>
      </c>
      <c r="J4499">
        <v>4961.55</v>
      </c>
      <c r="K4499" t="s">
        <v>17</v>
      </c>
      <c r="L4499" t="b">
        <v>0</v>
      </c>
      <c r="N4499" s="2" t="str">
        <f t="shared" si="404"/>
        <v/>
      </c>
      <c r="Q4499" t="str">
        <f t="shared" si="405"/>
        <v/>
      </c>
    </row>
    <row r="4500" spans="1:17" hidden="1">
      <c r="A4500" t="s">
        <v>4605</v>
      </c>
      <c r="B4500" s="1">
        <v>45519</v>
      </c>
      <c r="C4500">
        <v>2024</v>
      </c>
      <c r="D4500">
        <v>8</v>
      </c>
      <c r="E4500" t="s">
        <v>37</v>
      </c>
      <c r="F4500" t="s">
        <v>28</v>
      </c>
      <c r="G4500" t="s">
        <v>38</v>
      </c>
      <c r="H4500" t="s">
        <v>118</v>
      </c>
      <c r="I4500">
        <v>5934.43</v>
      </c>
      <c r="J4500">
        <v>5358.59</v>
      </c>
      <c r="K4500" t="s">
        <v>17</v>
      </c>
      <c r="L4500" t="b">
        <v>0</v>
      </c>
      <c r="N4500" s="2" t="str">
        <f t="shared" si="404"/>
        <v/>
      </c>
      <c r="Q4500" t="str">
        <f t="shared" si="405"/>
        <v/>
      </c>
    </row>
    <row r="4501" spans="1:17" hidden="1">
      <c r="A4501" t="s">
        <v>4606</v>
      </c>
      <c r="B4501" s="1">
        <v>45520</v>
      </c>
      <c r="C4501">
        <v>2024</v>
      </c>
      <c r="D4501">
        <v>8</v>
      </c>
      <c r="E4501" t="s">
        <v>13</v>
      </c>
      <c r="F4501" t="s">
        <v>14</v>
      </c>
      <c r="G4501" t="s">
        <v>68</v>
      </c>
      <c r="H4501" t="s">
        <v>87</v>
      </c>
      <c r="I4501">
        <v>5176.29</v>
      </c>
      <c r="J4501">
        <v>5466.13</v>
      </c>
      <c r="K4501" t="s">
        <v>17</v>
      </c>
      <c r="L4501" t="b">
        <v>0</v>
      </c>
      <c r="N4501" s="2" t="str">
        <f t="shared" si="404"/>
        <v/>
      </c>
      <c r="Q4501" t="str">
        <f t="shared" si="405"/>
        <v/>
      </c>
    </row>
    <row r="4502" spans="1:17" hidden="1">
      <c r="A4502" t="s">
        <v>4607</v>
      </c>
      <c r="B4502" s="1">
        <v>45520</v>
      </c>
      <c r="C4502">
        <v>2024</v>
      </c>
      <c r="D4502">
        <v>8</v>
      </c>
      <c r="E4502" t="s">
        <v>19</v>
      </c>
      <c r="F4502" t="s">
        <v>28</v>
      </c>
      <c r="G4502" t="s">
        <v>20</v>
      </c>
      <c r="H4502" t="s">
        <v>136</v>
      </c>
      <c r="I4502">
        <v>4046.58</v>
      </c>
      <c r="J4502">
        <v>3890.2</v>
      </c>
      <c r="K4502" t="s">
        <v>17</v>
      </c>
      <c r="L4502" t="b">
        <v>0</v>
      </c>
      <c r="N4502" s="2" t="str">
        <f t="shared" si="404"/>
        <v/>
      </c>
      <c r="Q4502" t="str">
        <f t="shared" si="405"/>
        <v/>
      </c>
    </row>
    <row r="4503" spans="1:17" hidden="1">
      <c r="A4503" t="s">
        <v>4608</v>
      </c>
      <c r="B4503" s="1">
        <v>45520</v>
      </c>
      <c r="C4503">
        <v>2024</v>
      </c>
      <c r="D4503">
        <v>8</v>
      </c>
      <c r="E4503" t="s">
        <v>23</v>
      </c>
      <c r="F4503" t="s">
        <v>28</v>
      </c>
      <c r="G4503" t="s">
        <v>30</v>
      </c>
      <c r="H4503" t="s">
        <v>106</v>
      </c>
      <c r="I4503">
        <v>3181.8</v>
      </c>
      <c r="J4503">
        <v>3483.4</v>
      </c>
      <c r="K4503" t="s">
        <v>17</v>
      </c>
      <c r="L4503" t="b">
        <v>0</v>
      </c>
      <c r="N4503" s="2" t="str">
        <f t="shared" si="404"/>
        <v/>
      </c>
      <c r="Q4503" t="str">
        <f t="shared" si="405"/>
        <v/>
      </c>
    </row>
    <row r="4504" spans="1:17" hidden="1">
      <c r="A4504" t="s">
        <v>4609</v>
      </c>
      <c r="B4504" s="1">
        <v>45520</v>
      </c>
      <c r="C4504">
        <v>2024</v>
      </c>
      <c r="D4504">
        <v>8</v>
      </c>
      <c r="E4504" t="s">
        <v>23</v>
      </c>
      <c r="F4504" t="s">
        <v>28</v>
      </c>
      <c r="G4504" t="s">
        <v>30</v>
      </c>
      <c r="H4504" t="s">
        <v>106</v>
      </c>
      <c r="I4504">
        <v>6168.18</v>
      </c>
      <c r="J4504">
        <v>6771.52</v>
      </c>
      <c r="K4504" t="s">
        <v>17</v>
      </c>
      <c r="L4504" t="b">
        <v>0</v>
      </c>
      <c r="N4504" s="2" t="str">
        <f t="shared" si="404"/>
        <v/>
      </c>
      <c r="Q4504" t="str">
        <f t="shared" si="405"/>
        <v/>
      </c>
    </row>
    <row r="4505" spans="1:17" hidden="1">
      <c r="A4505" t="s">
        <v>4610</v>
      </c>
      <c r="B4505" s="1">
        <v>45520</v>
      </c>
      <c r="C4505">
        <v>2024</v>
      </c>
      <c r="D4505">
        <v>8</v>
      </c>
      <c r="E4505" t="s">
        <v>23</v>
      </c>
      <c r="F4505" t="s">
        <v>24</v>
      </c>
      <c r="G4505" t="s">
        <v>59</v>
      </c>
      <c r="H4505" t="s">
        <v>60</v>
      </c>
      <c r="I4505">
        <v>4189.5</v>
      </c>
      <c r="J4505">
        <v>4017.28</v>
      </c>
      <c r="K4505" t="s">
        <v>17</v>
      </c>
      <c r="L4505" t="b">
        <v>0</v>
      </c>
      <c r="N4505" s="2" t="str">
        <f t="shared" si="404"/>
        <v/>
      </c>
      <c r="Q4505" t="str">
        <f t="shared" si="405"/>
        <v/>
      </c>
    </row>
    <row r="4506" spans="1:17" hidden="1">
      <c r="A4506" t="s">
        <v>4611</v>
      </c>
      <c r="B4506" s="1">
        <v>45520</v>
      </c>
      <c r="C4506">
        <v>2024</v>
      </c>
      <c r="D4506">
        <v>8</v>
      </c>
      <c r="E4506" t="s">
        <v>37</v>
      </c>
      <c r="F4506" t="s">
        <v>14</v>
      </c>
      <c r="G4506" t="s">
        <v>38</v>
      </c>
      <c r="H4506" t="s">
        <v>118</v>
      </c>
      <c r="I4506">
        <v>5183.49</v>
      </c>
      <c r="J4506">
        <v>5199.6099999999997</v>
      </c>
      <c r="K4506" t="s">
        <v>17</v>
      </c>
      <c r="L4506" t="b">
        <v>0</v>
      </c>
      <c r="N4506" s="2" t="str">
        <f t="shared" si="404"/>
        <v/>
      </c>
      <c r="Q4506" t="str">
        <f t="shared" si="405"/>
        <v/>
      </c>
    </row>
    <row r="4507" spans="1:17" hidden="1">
      <c r="A4507" t="s">
        <v>4612</v>
      </c>
      <c r="B4507" s="1">
        <v>45520</v>
      </c>
      <c r="C4507">
        <v>2024</v>
      </c>
      <c r="D4507">
        <v>8</v>
      </c>
      <c r="E4507" t="s">
        <v>37</v>
      </c>
      <c r="F4507" t="s">
        <v>24</v>
      </c>
      <c r="G4507" t="s">
        <v>98</v>
      </c>
      <c r="H4507" t="s">
        <v>99</v>
      </c>
      <c r="I4507">
        <v>3604.61</v>
      </c>
      <c r="J4507">
        <v>3919.49</v>
      </c>
      <c r="K4507" t="s">
        <v>17</v>
      </c>
      <c r="L4507" t="b">
        <v>0</v>
      </c>
      <c r="N4507" s="2" t="str">
        <f t="shared" si="404"/>
        <v/>
      </c>
      <c r="Q4507" t="str">
        <f t="shared" si="405"/>
        <v/>
      </c>
    </row>
    <row r="4508" spans="1:17" hidden="1">
      <c r="A4508" t="s">
        <v>4613</v>
      </c>
      <c r="B4508" s="1">
        <v>45520</v>
      </c>
      <c r="C4508">
        <v>2024</v>
      </c>
      <c r="D4508">
        <v>8</v>
      </c>
      <c r="E4508" t="s">
        <v>37</v>
      </c>
      <c r="F4508" t="s">
        <v>24</v>
      </c>
      <c r="G4508" t="s">
        <v>41</v>
      </c>
      <c r="H4508" t="s">
        <v>42</v>
      </c>
      <c r="I4508">
        <v>4918.3900000000003</v>
      </c>
      <c r="J4508">
        <v>4666.41</v>
      </c>
      <c r="K4508" t="s">
        <v>17</v>
      </c>
      <c r="L4508" t="b">
        <v>0</v>
      </c>
      <c r="N4508" s="2" t="str">
        <f t="shared" si="404"/>
        <v/>
      </c>
      <c r="Q4508" t="str">
        <f t="shared" si="405"/>
        <v/>
      </c>
    </row>
    <row r="4509" spans="1:17" hidden="1">
      <c r="A4509" t="s">
        <v>4614</v>
      </c>
      <c r="B4509" s="1">
        <v>45521</v>
      </c>
      <c r="C4509">
        <v>2024</v>
      </c>
      <c r="D4509">
        <v>8</v>
      </c>
      <c r="E4509" t="s">
        <v>47</v>
      </c>
      <c r="F4509" t="s">
        <v>24</v>
      </c>
      <c r="G4509" t="s">
        <v>51</v>
      </c>
      <c r="H4509" t="s">
        <v>72</v>
      </c>
      <c r="I4509">
        <v>13047.25</v>
      </c>
      <c r="J4509">
        <v>10863.21</v>
      </c>
      <c r="K4509" t="s">
        <v>17</v>
      </c>
      <c r="L4509" t="b">
        <v>0</v>
      </c>
      <c r="N4509" s="2" t="b">
        <f t="shared" si="404"/>
        <v>1</v>
      </c>
      <c r="O4509" t="str">
        <f>IF(AND(E4498="HR",K4498="EXPENSE"),I4498&lt;J4498,"")</f>
        <v/>
      </c>
      <c r="Q4509" t="str">
        <f t="shared" si="405"/>
        <v/>
      </c>
    </row>
    <row r="4510" spans="1:17" hidden="1">
      <c r="A4510" t="s">
        <v>4615</v>
      </c>
      <c r="B4510" s="1">
        <v>45521</v>
      </c>
      <c r="C4510">
        <v>2024</v>
      </c>
      <c r="D4510">
        <v>8</v>
      </c>
      <c r="E4510" t="s">
        <v>19</v>
      </c>
      <c r="F4510" t="s">
        <v>28</v>
      </c>
      <c r="G4510" t="s">
        <v>80</v>
      </c>
      <c r="H4510" t="s">
        <v>113</v>
      </c>
      <c r="I4510">
        <v>4266.47</v>
      </c>
      <c r="J4510">
        <v>3928.46</v>
      </c>
      <c r="K4510" t="s">
        <v>17</v>
      </c>
      <c r="L4510" t="b">
        <v>0</v>
      </c>
      <c r="N4510" s="2" t="str">
        <f t="shared" si="404"/>
        <v/>
      </c>
      <c r="Q4510" t="str">
        <f t="shared" si="405"/>
        <v/>
      </c>
    </row>
    <row r="4511" spans="1:17" hidden="1">
      <c r="A4511" t="s">
        <v>4616</v>
      </c>
      <c r="B4511" s="1">
        <v>45521</v>
      </c>
      <c r="C4511">
        <v>2024</v>
      </c>
      <c r="D4511">
        <v>8</v>
      </c>
      <c r="E4511" t="s">
        <v>19</v>
      </c>
      <c r="F4511" t="s">
        <v>24</v>
      </c>
      <c r="G4511" t="s">
        <v>80</v>
      </c>
      <c r="H4511" t="s">
        <v>150</v>
      </c>
      <c r="I4511">
        <v>7692.2</v>
      </c>
      <c r="J4511">
        <v>8022.74</v>
      </c>
      <c r="K4511" t="s">
        <v>17</v>
      </c>
      <c r="L4511" t="b">
        <v>0</v>
      </c>
      <c r="N4511" s="2" t="str">
        <f t="shared" si="404"/>
        <v/>
      </c>
      <c r="Q4511" t="str">
        <f t="shared" si="405"/>
        <v/>
      </c>
    </row>
    <row r="4512" spans="1:17" hidden="1">
      <c r="A4512" t="s">
        <v>4617</v>
      </c>
      <c r="B4512" s="1">
        <v>45521</v>
      </c>
      <c r="C4512">
        <v>2024</v>
      </c>
      <c r="D4512">
        <v>8</v>
      </c>
      <c r="E4512" t="s">
        <v>19</v>
      </c>
      <c r="F4512" t="s">
        <v>24</v>
      </c>
      <c r="G4512" t="s">
        <v>54</v>
      </c>
      <c r="H4512" t="s">
        <v>163</v>
      </c>
      <c r="I4512">
        <v>7418.21</v>
      </c>
      <c r="J4512">
        <v>7535.33</v>
      </c>
      <c r="K4512" t="s">
        <v>17</v>
      </c>
      <c r="L4512" t="b">
        <v>0</v>
      </c>
      <c r="N4512" s="2" t="str">
        <f t="shared" si="404"/>
        <v/>
      </c>
      <c r="Q4512" t="str">
        <f t="shared" si="405"/>
        <v/>
      </c>
    </row>
    <row r="4513" spans="1:17" hidden="1">
      <c r="A4513" t="s">
        <v>4618</v>
      </c>
      <c r="B4513" s="1">
        <v>45521</v>
      </c>
      <c r="C4513">
        <v>2024</v>
      </c>
      <c r="D4513">
        <v>8</v>
      </c>
      <c r="E4513" t="s">
        <v>23</v>
      </c>
      <c r="F4513" t="s">
        <v>24</v>
      </c>
      <c r="G4513" t="s">
        <v>25</v>
      </c>
      <c r="H4513" t="s">
        <v>95</v>
      </c>
      <c r="I4513">
        <v>4549.3599999999997</v>
      </c>
      <c r="J4513">
        <v>4198.1899999999996</v>
      </c>
      <c r="K4513" t="s">
        <v>17</v>
      </c>
      <c r="L4513" t="b">
        <v>0</v>
      </c>
      <c r="N4513" s="2" t="str">
        <f t="shared" si="404"/>
        <v/>
      </c>
      <c r="Q4513" t="str">
        <f t="shared" si="405"/>
        <v/>
      </c>
    </row>
    <row r="4514" spans="1:17" hidden="1">
      <c r="A4514" t="s">
        <v>4619</v>
      </c>
      <c r="B4514" s="1">
        <v>45521</v>
      </c>
      <c r="C4514">
        <v>2024</v>
      </c>
      <c r="D4514">
        <v>8</v>
      </c>
      <c r="E4514" t="s">
        <v>23</v>
      </c>
      <c r="F4514" t="s">
        <v>24</v>
      </c>
      <c r="G4514" t="s">
        <v>59</v>
      </c>
      <c r="H4514" t="s">
        <v>60</v>
      </c>
      <c r="I4514">
        <v>4806.8900000000003</v>
      </c>
      <c r="J4514">
        <v>4340.54</v>
      </c>
      <c r="K4514" t="s">
        <v>17</v>
      </c>
      <c r="L4514" t="b">
        <v>0</v>
      </c>
      <c r="N4514" s="2" t="str">
        <f t="shared" si="404"/>
        <v/>
      </c>
      <c r="Q4514" t="str">
        <f t="shared" si="405"/>
        <v/>
      </c>
    </row>
    <row r="4515" spans="1:17" hidden="1">
      <c r="A4515" t="s">
        <v>4620</v>
      </c>
      <c r="B4515" s="1">
        <v>45521</v>
      </c>
      <c r="C4515">
        <v>2024</v>
      </c>
      <c r="D4515">
        <v>8</v>
      </c>
      <c r="E4515" t="s">
        <v>37</v>
      </c>
      <c r="F4515" t="s">
        <v>14</v>
      </c>
      <c r="G4515" t="s">
        <v>98</v>
      </c>
      <c r="H4515" t="s">
        <v>99</v>
      </c>
      <c r="I4515">
        <v>5644.88</v>
      </c>
      <c r="J4515">
        <v>5618.68</v>
      </c>
      <c r="K4515" t="s">
        <v>17</v>
      </c>
      <c r="L4515" t="b">
        <v>0</v>
      </c>
      <c r="N4515" s="2" t="str">
        <f t="shared" si="404"/>
        <v/>
      </c>
      <c r="Q4515" t="str">
        <f t="shared" si="405"/>
        <v/>
      </c>
    </row>
    <row r="4516" spans="1:17" hidden="1">
      <c r="A4516" t="s">
        <v>4621</v>
      </c>
      <c r="B4516" s="1">
        <v>45521</v>
      </c>
      <c r="C4516">
        <v>2024</v>
      </c>
      <c r="D4516">
        <v>8</v>
      </c>
      <c r="E4516" t="s">
        <v>37</v>
      </c>
      <c r="F4516" t="s">
        <v>24</v>
      </c>
      <c r="G4516" t="s">
        <v>38</v>
      </c>
      <c r="H4516" t="s">
        <v>118</v>
      </c>
      <c r="I4516">
        <v>5766</v>
      </c>
      <c r="J4516">
        <v>5577.99</v>
      </c>
      <c r="K4516" t="s">
        <v>17</v>
      </c>
      <c r="L4516" t="b">
        <v>0</v>
      </c>
      <c r="N4516" s="2" t="str">
        <f t="shared" si="404"/>
        <v/>
      </c>
      <c r="Q4516" t="str">
        <f t="shared" si="405"/>
        <v/>
      </c>
    </row>
    <row r="4517" spans="1:17" hidden="1">
      <c r="A4517" t="s">
        <v>4622</v>
      </c>
      <c r="B4517" s="1">
        <v>45522</v>
      </c>
      <c r="C4517">
        <v>2024</v>
      </c>
      <c r="D4517">
        <v>8</v>
      </c>
      <c r="E4517" t="s">
        <v>13</v>
      </c>
      <c r="F4517" t="s">
        <v>28</v>
      </c>
      <c r="G4517" t="s">
        <v>15</v>
      </c>
      <c r="H4517" t="s">
        <v>16</v>
      </c>
      <c r="I4517">
        <v>2821.5</v>
      </c>
      <c r="J4517">
        <v>2676.1</v>
      </c>
      <c r="K4517" t="s">
        <v>17</v>
      </c>
      <c r="L4517" t="b">
        <v>0</v>
      </c>
      <c r="N4517" s="2" t="str">
        <f t="shared" si="404"/>
        <v/>
      </c>
      <c r="Q4517" t="str">
        <f t="shared" si="405"/>
        <v/>
      </c>
    </row>
    <row r="4518" spans="1:17" hidden="1">
      <c r="A4518" t="s">
        <v>4623</v>
      </c>
      <c r="B4518" s="1">
        <v>45522</v>
      </c>
      <c r="C4518">
        <v>2024</v>
      </c>
      <c r="D4518">
        <v>8</v>
      </c>
      <c r="E4518" t="s">
        <v>19</v>
      </c>
      <c r="F4518" t="s">
        <v>14</v>
      </c>
      <c r="G4518" t="s">
        <v>54</v>
      </c>
      <c r="H4518" t="s">
        <v>57</v>
      </c>
      <c r="I4518">
        <v>4600.41</v>
      </c>
      <c r="J4518">
        <v>4248.45</v>
      </c>
      <c r="K4518" t="s">
        <v>17</v>
      </c>
      <c r="L4518" t="b">
        <v>0</v>
      </c>
      <c r="N4518" s="2" t="str">
        <f t="shared" si="404"/>
        <v/>
      </c>
      <c r="Q4518" t="str">
        <f t="shared" si="405"/>
        <v/>
      </c>
    </row>
    <row r="4519" spans="1:17" hidden="1">
      <c r="A4519" t="s">
        <v>4624</v>
      </c>
      <c r="B4519" s="1">
        <v>45522</v>
      </c>
      <c r="C4519">
        <v>2024</v>
      </c>
      <c r="D4519">
        <v>8</v>
      </c>
      <c r="E4519" t="s">
        <v>23</v>
      </c>
      <c r="F4519" t="s">
        <v>14</v>
      </c>
      <c r="G4519" t="s">
        <v>141</v>
      </c>
      <c r="H4519" t="s">
        <v>142</v>
      </c>
      <c r="I4519">
        <v>6613.08</v>
      </c>
      <c r="J4519">
        <v>6202.22</v>
      </c>
      <c r="K4519" t="s">
        <v>17</v>
      </c>
      <c r="L4519" t="b">
        <v>0</v>
      </c>
      <c r="N4519" s="2" t="str">
        <f t="shared" si="404"/>
        <v/>
      </c>
      <c r="Q4519" t="str">
        <f t="shared" si="405"/>
        <v/>
      </c>
    </row>
    <row r="4520" spans="1:17" hidden="1">
      <c r="A4520" t="s">
        <v>4625</v>
      </c>
      <c r="B4520" s="1">
        <v>45522</v>
      </c>
      <c r="C4520">
        <v>2024</v>
      </c>
      <c r="D4520">
        <v>8</v>
      </c>
      <c r="E4520" t="s">
        <v>23</v>
      </c>
      <c r="F4520" t="s">
        <v>14</v>
      </c>
      <c r="G4520" t="s">
        <v>25</v>
      </c>
      <c r="H4520" t="s">
        <v>95</v>
      </c>
      <c r="I4520">
        <v>6387.3</v>
      </c>
      <c r="J4520">
        <v>6268.32</v>
      </c>
      <c r="K4520" t="s">
        <v>17</v>
      </c>
      <c r="L4520" t="b">
        <v>0</v>
      </c>
      <c r="N4520" s="2" t="str">
        <f t="shared" si="404"/>
        <v/>
      </c>
      <c r="Q4520" t="str">
        <f t="shared" si="405"/>
        <v/>
      </c>
    </row>
    <row r="4521" spans="1:17" hidden="1">
      <c r="A4521" t="s">
        <v>4626</v>
      </c>
      <c r="B4521" s="1">
        <v>45523</v>
      </c>
      <c r="C4521">
        <v>2024</v>
      </c>
      <c r="D4521">
        <v>8</v>
      </c>
      <c r="E4521" t="s">
        <v>13</v>
      </c>
      <c r="F4521" t="s">
        <v>28</v>
      </c>
      <c r="G4521" t="s">
        <v>102</v>
      </c>
      <c r="H4521" t="s">
        <v>103</v>
      </c>
      <c r="I4521">
        <v>2646.75</v>
      </c>
      <c r="J4521">
        <v>2587.0100000000002</v>
      </c>
      <c r="K4521" t="s">
        <v>17</v>
      </c>
      <c r="L4521" t="b">
        <v>0</v>
      </c>
      <c r="N4521" s="2" t="str">
        <f t="shared" si="404"/>
        <v/>
      </c>
      <c r="Q4521" t="str">
        <f t="shared" si="405"/>
        <v/>
      </c>
    </row>
    <row r="4522" spans="1:17" hidden="1">
      <c r="A4522" t="s">
        <v>4627</v>
      </c>
      <c r="B4522" s="1">
        <v>45523</v>
      </c>
      <c r="C4522">
        <v>2024</v>
      </c>
      <c r="D4522">
        <v>8</v>
      </c>
      <c r="E4522" t="s">
        <v>47</v>
      </c>
      <c r="F4522" t="s">
        <v>14</v>
      </c>
      <c r="G4522" t="s">
        <v>91</v>
      </c>
      <c r="H4522" t="s">
        <v>92</v>
      </c>
      <c r="I4522">
        <v>18442.23</v>
      </c>
      <c r="J4522">
        <v>15249.06</v>
      </c>
      <c r="K4522" t="s">
        <v>17</v>
      </c>
      <c r="L4522" t="b">
        <v>0</v>
      </c>
      <c r="N4522" s="2" t="b">
        <f t="shared" si="404"/>
        <v>1</v>
      </c>
      <c r="O4522" t="str">
        <f>IF(AND(E4511="HR",K4511="EXPENSE"),I4511&lt;J4511,"")</f>
        <v/>
      </c>
      <c r="Q4522" t="str">
        <f t="shared" si="405"/>
        <v/>
      </c>
    </row>
    <row r="4523" spans="1:17" hidden="1">
      <c r="A4523" t="s">
        <v>4628</v>
      </c>
      <c r="B4523" s="1">
        <v>45523</v>
      </c>
      <c r="C4523">
        <v>2024</v>
      </c>
      <c r="D4523">
        <v>8</v>
      </c>
      <c r="E4523" t="s">
        <v>19</v>
      </c>
      <c r="F4523" t="s">
        <v>14</v>
      </c>
      <c r="G4523" t="s">
        <v>80</v>
      </c>
      <c r="H4523" t="s">
        <v>150</v>
      </c>
      <c r="I4523">
        <v>8350.25</v>
      </c>
      <c r="J4523">
        <v>7937.31</v>
      </c>
      <c r="K4523" t="s">
        <v>17</v>
      </c>
      <c r="L4523" t="b">
        <v>0</v>
      </c>
      <c r="N4523" s="2" t="str">
        <f t="shared" si="404"/>
        <v/>
      </c>
      <c r="Q4523" t="str">
        <f t="shared" si="405"/>
        <v/>
      </c>
    </row>
    <row r="4524" spans="1:17">
      <c r="A4524" t="s">
        <v>4629</v>
      </c>
      <c r="B4524" s="1">
        <v>45523</v>
      </c>
      <c r="C4524">
        <v>2024</v>
      </c>
      <c r="D4524">
        <v>8</v>
      </c>
      <c r="E4524" t="s">
        <v>19</v>
      </c>
      <c r="F4524" t="s">
        <v>24</v>
      </c>
      <c r="G4524" t="s">
        <v>54</v>
      </c>
      <c r="H4524" t="s">
        <v>207</v>
      </c>
      <c r="I4524">
        <v>26771.13</v>
      </c>
      <c r="J4524">
        <v>5364.68</v>
      </c>
      <c r="K4524" t="s">
        <v>17</v>
      </c>
      <c r="L4524" t="b">
        <v>1</v>
      </c>
      <c r="N4524" s="2" t="str">
        <f t="shared" si="404"/>
        <v/>
      </c>
      <c r="Q4524" t="b">
        <f t="shared" si="405"/>
        <v>1</v>
      </c>
    </row>
    <row r="4525" spans="1:17" hidden="1">
      <c r="A4525" t="s">
        <v>4630</v>
      </c>
      <c r="B4525" s="1">
        <v>45523</v>
      </c>
      <c r="C4525">
        <v>2024</v>
      </c>
      <c r="D4525">
        <v>8</v>
      </c>
      <c r="E4525" t="s">
        <v>23</v>
      </c>
      <c r="F4525" t="s">
        <v>14</v>
      </c>
      <c r="G4525" t="s">
        <v>59</v>
      </c>
      <c r="H4525" t="s">
        <v>60</v>
      </c>
      <c r="I4525">
        <v>8196.93</v>
      </c>
      <c r="J4525">
        <v>7778.07</v>
      </c>
      <c r="K4525" t="s">
        <v>17</v>
      </c>
      <c r="L4525" t="b">
        <v>0</v>
      </c>
      <c r="N4525" s="2" t="str">
        <f t="shared" si="404"/>
        <v/>
      </c>
      <c r="Q4525" t="str">
        <f t="shared" si="405"/>
        <v/>
      </c>
    </row>
    <row r="4526" spans="1:17" hidden="1">
      <c r="A4526" t="s">
        <v>4631</v>
      </c>
      <c r="B4526" s="1">
        <v>45523</v>
      </c>
      <c r="C4526">
        <v>2024</v>
      </c>
      <c r="D4526">
        <v>8</v>
      </c>
      <c r="E4526" t="s">
        <v>23</v>
      </c>
      <c r="F4526" t="s">
        <v>28</v>
      </c>
      <c r="G4526" t="s">
        <v>141</v>
      </c>
      <c r="H4526" t="s">
        <v>142</v>
      </c>
      <c r="I4526">
        <v>8552.84</v>
      </c>
      <c r="J4526">
        <v>8145.69</v>
      </c>
      <c r="K4526" t="s">
        <v>17</v>
      </c>
      <c r="L4526" t="b">
        <v>0</v>
      </c>
      <c r="N4526" s="2" t="str">
        <f t="shared" si="404"/>
        <v/>
      </c>
      <c r="Q4526" t="str">
        <f t="shared" si="405"/>
        <v/>
      </c>
    </row>
    <row r="4527" spans="1:17" hidden="1">
      <c r="A4527" t="s">
        <v>4632</v>
      </c>
      <c r="B4527" s="1">
        <v>45523</v>
      </c>
      <c r="C4527">
        <v>2024</v>
      </c>
      <c r="D4527">
        <v>8</v>
      </c>
      <c r="E4527" t="s">
        <v>23</v>
      </c>
      <c r="F4527" t="s">
        <v>24</v>
      </c>
      <c r="G4527" t="s">
        <v>59</v>
      </c>
      <c r="H4527" t="s">
        <v>60</v>
      </c>
      <c r="I4527">
        <v>4813.1499999999996</v>
      </c>
      <c r="J4527">
        <v>4745.33</v>
      </c>
      <c r="K4527" t="s">
        <v>17</v>
      </c>
      <c r="L4527" t="b">
        <v>0</v>
      </c>
      <c r="N4527" s="2" t="str">
        <f t="shared" si="404"/>
        <v/>
      </c>
      <c r="Q4527" t="str">
        <f t="shared" si="405"/>
        <v/>
      </c>
    </row>
    <row r="4528" spans="1:17" hidden="1">
      <c r="A4528" t="s">
        <v>4633</v>
      </c>
      <c r="B4528" s="1">
        <v>45523</v>
      </c>
      <c r="C4528">
        <v>2024</v>
      </c>
      <c r="D4528">
        <v>8</v>
      </c>
      <c r="E4528" t="s">
        <v>37</v>
      </c>
      <c r="F4528" t="s">
        <v>14</v>
      </c>
      <c r="G4528" t="s">
        <v>83</v>
      </c>
      <c r="H4528" t="s">
        <v>84</v>
      </c>
      <c r="I4528">
        <v>285562.46000000002</v>
      </c>
      <c r="J4528">
        <v>271284.34000000003</v>
      </c>
      <c r="K4528" t="s">
        <v>85</v>
      </c>
      <c r="L4528" t="b">
        <v>0</v>
      </c>
      <c r="N4528" s="2" t="str">
        <f t="shared" si="404"/>
        <v/>
      </c>
      <c r="Q4528" t="str">
        <f t="shared" si="405"/>
        <v/>
      </c>
    </row>
    <row r="4529" spans="1:17" hidden="1">
      <c r="A4529" t="s">
        <v>4634</v>
      </c>
      <c r="B4529" s="1">
        <v>45524</v>
      </c>
      <c r="C4529">
        <v>2024</v>
      </c>
      <c r="D4529">
        <v>8</v>
      </c>
      <c r="E4529" t="s">
        <v>13</v>
      </c>
      <c r="F4529" t="s">
        <v>14</v>
      </c>
      <c r="G4529" t="s">
        <v>102</v>
      </c>
      <c r="H4529" t="s">
        <v>145</v>
      </c>
      <c r="I4529">
        <v>3223.19</v>
      </c>
      <c r="J4529">
        <v>3411.56</v>
      </c>
      <c r="K4529" t="s">
        <v>17</v>
      </c>
      <c r="L4529" t="b">
        <v>0</v>
      </c>
      <c r="N4529" s="2" t="str">
        <f t="shared" si="404"/>
        <v/>
      </c>
      <c r="Q4529" t="str">
        <f t="shared" si="405"/>
        <v/>
      </c>
    </row>
    <row r="4530" spans="1:17" hidden="1">
      <c r="A4530" t="s">
        <v>4635</v>
      </c>
      <c r="B4530" s="1">
        <v>45524</v>
      </c>
      <c r="C4530">
        <v>2024</v>
      </c>
      <c r="D4530">
        <v>8</v>
      </c>
      <c r="E4530" t="s">
        <v>13</v>
      </c>
      <c r="F4530" t="s">
        <v>28</v>
      </c>
      <c r="G4530" t="s">
        <v>108</v>
      </c>
      <c r="H4530" t="s">
        <v>109</v>
      </c>
      <c r="I4530">
        <v>3347.2</v>
      </c>
      <c r="J4530">
        <v>3325.69</v>
      </c>
      <c r="K4530" t="s">
        <v>17</v>
      </c>
      <c r="L4530" t="b">
        <v>0</v>
      </c>
      <c r="N4530" s="2" t="str">
        <f t="shared" si="404"/>
        <v/>
      </c>
      <c r="Q4530" t="str">
        <f t="shared" si="405"/>
        <v/>
      </c>
    </row>
    <row r="4531" spans="1:17" hidden="1">
      <c r="A4531" t="s">
        <v>4636</v>
      </c>
      <c r="B4531" s="1">
        <v>45524</v>
      </c>
      <c r="C4531">
        <v>2024</v>
      </c>
      <c r="D4531">
        <v>8</v>
      </c>
      <c r="E4531" t="s">
        <v>13</v>
      </c>
      <c r="F4531" t="s">
        <v>28</v>
      </c>
      <c r="G4531" t="s">
        <v>68</v>
      </c>
      <c r="H4531" t="s">
        <v>69</v>
      </c>
      <c r="I4531">
        <v>2425.6799999999998</v>
      </c>
      <c r="J4531">
        <v>2441.2800000000002</v>
      </c>
      <c r="K4531" t="s">
        <v>17</v>
      </c>
      <c r="L4531" t="b">
        <v>0</v>
      </c>
      <c r="N4531" s="2" t="str">
        <f t="shared" si="404"/>
        <v/>
      </c>
      <c r="Q4531" t="str">
        <f t="shared" si="405"/>
        <v/>
      </c>
    </row>
    <row r="4532" spans="1:17" hidden="1">
      <c r="A4532" t="s">
        <v>4637</v>
      </c>
      <c r="B4532" s="1">
        <v>45524</v>
      </c>
      <c r="C4532">
        <v>2024</v>
      </c>
      <c r="D4532">
        <v>8</v>
      </c>
      <c r="E4532" t="s">
        <v>47</v>
      </c>
      <c r="F4532" t="s">
        <v>14</v>
      </c>
      <c r="G4532" t="s">
        <v>77</v>
      </c>
      <c r="H4532" t="s">
        <v>147</v>
      </c>
      <c r="I4532">
        <v>7938.93</v>
      </c>
      <c r="J4532">
        <v>6726.53</v>
      </c>
      <c r="K4532" t="s">
        <v>17</v>
      </c>
      <c r="L4532" t="b">
        <v>0</v>
      </c>
      <c r="N4532" s="2" t="b">
        <f t="shared" si="404"/>
        <v>1</v>
      </c>
      <c r="O4532" t="b">
        <f t="shared" ref="O4532:O4534" si="408">IF(AND(E4521="HR",K4521="EXPENSE"),I4521&lt;J4521,"")</f>
        <v>0</v>
      </c>
      <c r="Q4532" t="str">
        <f t="shared" si="405"/>
        <v/>
      </c>
    </row>
    <row r="4533" spans="1:17" hidden="1">
      <c r="A4533" t="s">
        <v>4638</v>
      </c>
      <c r="B4533" s="1">
        <v>45524</v>
      </c>
      <c r="C4533">
        <v>2024</v>
      </c>
      <c r="D4533">
        <v>8</v>
      </c>
      <c r="E4533" t="s">
        <v>47</v>
      </c>
      <c r="F4533" t="s">
        <v>28</v>
      </c>
      <c r="G4533" t="s">
        <v>91</v>
      </c>
      <c r="H4533" t="s">
        <v>249</v>
      </c>
      <c r="I4533">
        <v>19171.84</v>
      </c>
      <c r="J4533">
        <v>15795.51</v>
      </c>
      <c r="K4533" t="s">
        <v>17</v>
      </c>
      <c r="L4533" t="b">
        <v>0</v>
      </c>
      <c r="N4533" s="2" t="b">
        <f t="shared" si="404"/>
        <v>1</v>
      </c>
      <c r="O4533" t="str">
        <f t="shared" si="408"/>
        <v/>
      </c>
      <c r="Q4533" t="str">
        <f t="shared" si="405"/>
        <v/>
      </c>
    </row>
    <row r="4534" spans="1:17" hidden="1">
      <c r="A4534" t="s">
        <v>4639</v>
      </c>
      <c r="B4534" s="1">
        <v>45524</v>
      </c>
      <c r="C4534">
        <v>2024</v>
      </c>
      <c r="D4534">
        <v>8</v>
      </c>
      <c r="E4534" t="s">
        <v>47</v>
      </c>
      <c r="F4534" t="s">
        <v>24</v>
      </c>
      <c r="G4534" t="s">
        <v>48</v>
      </c>
      <c r="H4534" t="s">
        <v>191</v>
      </c>
      <c r="I4534">
        <v>16415.41</v>
      </c>
      <c r="J4534">
        <v>14123.82</v>
      </c>
      <c r="K4534" t="s">
        <v>17</v>
      </c>
      <c r="L4534" t="b">
        <v>0</v>
      </c>
      <c r="N4534" s="2" t="b">
        <f t="shared" si="404"/>
        <v>1</v>
      </c>
      <c r="O4534" t="str">
        <f t="shared" si="408"/>
        <v/>
      </c>
      <c r="Q4534" t="str">
        <f t="shared" si="405"/>
        <v/>
      </c>
    </row>
    <row r="4535" spans="1:17" hidden="1">
      <c r="A4535" t="s">
        <v>4640</v>
      </c>
      <c r="B4535" s="1">
        <v>45524</v>
      </c>
      <c r="C4535">
        <v>2024</v>
      </c>
      <c r="D4535">
        <v>8</v>
      </c>
      <c r="E4535" t="s">
        <v>19</v>
      </c>
      <c r="F4535" t="s">
        <v>28</v>
      </c>
      <c r="G4535" t="s">
        <v>80</v>
      </c>
      <c r="H4535" t="s">
        <v>150</v>
      </c>
      <c r="I4535">
        <v>8930.49</v>
      </c>
      <c r="J4535">
        <v>9054.51</v>
      </c>
      <c r="K4535" t="s">
        <v>17</v>
      </c>
      <c r="L4535" t="b">
        <v>0</v>
      </c>
      <c r="N4535" s="2" t="str">
        <f t="shared" si="404"/>
        <v/>
      </c>
      <c r="Q4535" t="str">
        <f t="shared" si="405"/>
        <v/>
      </c>
    </row>
    <row r="4536" spans="1:17" hidden="1">
      <c r="A4536" t="s">
        <v>4641</v>
      </c>
      <c r="B4536" s="1">
        <v>45524</v>
      </c>
      <c r="C4536">
        <v>2024</v>
      </c>
      <c r="D4536">
        <v>8</v>
      </c>
      <c r="E4536" t="s">
        <v>19</v>
      </c>
      <c r="F4536" t="s">
        <v>28</v>
      </c>
      <c r="G4536" t="s">
        <v>132</v>
      </c>
      <c r="H4536" t="s">
        <v>171</v>
      </c>
      <c r="I4536">
        <v>6204.07</v>
      </c>
      <c r="J4536">
        <v>6213.86</v>
      </c>
      <c r="K4536" t="s">
        <v>17</v>
      </c>
      <c r="L4536" t="b">
        <v>0</v>
      </c>
      <c r="N4536" s="2" t="str">
        <f t="shared" si="404"/>
        <v/>
      </c>
      <c r="Q4536" t="str">
        <f t="shared" si="405"/>
        <v/>
      </c>
    </row>
    <row r="4537" spans="1:17" hidden="1">
      <c r="A4537" t="s">
        <v>4642</v>
      </c>
      <c r="B4537" s="1">
        <v>45524</v>
      </c>
      <c r="C4537">
        <v>2024</v>
      </c>
      <c r="D4537">
        <v>8</v>
      </c>
      <c r="E4537" t="s">
        <v>37</v>
      </c>
      <c r="F4537" t="s">
        <v>24</v>
      </c>
      <c r="G4537" t="s">
        <v>41</v>
      </c>
      <c r="H4537" t="s">
        <v>42</v>
      </c>
      <c r="I4537">
        <v>2791.06</v>
      </c>
      <c r="J4537">
        <v>2888.56</v>
      </c>
      <c r="K4537" t="s">
        <v>17</v>
      </c>
      <c r="L4537" t="b">
        <v>0</v>
      </c>
      <c r="N4537" s="2" t="str">
        <f t="shared" si="404"/>
        <v/>
      </c>
      <c r="Q4537" t="str">
        <f t="shared" si="405"/>
        <v/>
      </c>
    </row>
    <row r="4538" spans="1:17" hidden="1">
      <c r="A4538" t="s">
        <v>4643</v>
      </c>
      <c r="B4538" s="1">
        <v>45525</v>
      </c>
      <c r="C4538">
        <v>2024</v>
      </c>
      <c r="D4538">
        <v>8</v>
      </c>
      <c r="E4538" t="s">
        <v>13</v>
      </c>
      <c r="F4538" t="s">
        <v>24</v>
      </c>
      <c r="G4538" t="s">
        <v>108</v>
      </c>
      <c r="H4538" t="s">
        <v>126</v>
      </c>
      <c r="I4538">
        <v>4149.5200000000004</v>
      </c>
      <c r="J4538">
        <v>4362.8100000000004</v>
      </c>
      <c r="K4538" t="s">
        <v>17</v>
      </c>
      <c r="L4538" t="b">
        <v>0</v>
      </c>
      <c r="N4538" s="2" t="str">
        <f t="shared" si="404"/>
        <v/>
      </c>
      <c r="Q4538" t="str">
        <f t="shared" si="405"/>
        <v/>
      </c>
    </row>
    <row r="4539" spans="1:17" hidden="1">
      <c r="A4539" t="s">
        <v>4644</v>
      </c>
      <c r="B4539" s="1">
        <v>45525</v>
      </c>
      <c r="C4539">
        <v>2024</v>
      </c>
      <c r="D4539">
        <v>8</v>
      </c>
      <c r="E4539" t="s">
        <v>13</v>
      </c>
      <c r="F4539" t="s">
        <v>24</v>
      </c>
      <c r="G4539" t="s">
        <v>108</v>
      </c>
      <c r="H4539" t="s">
        <v>123</v>
      </c>
      <c r="I4539">
        <v>2562.4</v>
      </c>
      <c r="J4539">
        <v>2591.7199999999998</v>
      </c>
      <c r="K4539" t="s">
        <v>17</v>
      </c>
      <c r="L4539" t="b">
        <v>0</v>
      </c>
      <c r="N4539" s="2" t="str">
        <f t="shared" si="404"/>
        <v/>
      </c>
      <c r="Q4539" t="str">
        <f t="shared" si="405"/>
        <v/>
      </c>
    </row>
    <row r="4540" spans="1:17" hidden="1">
      <c r="A4540" t="s">
        <v>4645</v>
      </c>
      <c r="B4540" s="1">
        <v>45525</v>
      </c>
      <c r="C4540">
        <v>2024</v>
      </c>
      <c r="D4540">
        <v>8</v>
      </c>
      <c r="E4540" t="s">
        <v>47</v>
      </c>
      <c r="F4540" t="s">
        <v>14</v>
      </c>
      <c r="G4540" t="s">
        <v>91</v>
      </c>
      <c r="H4540" t="s">
        <v>254</v>
      </c>
      <c r="I4540">
        <v>14686.96</v>
      </c>
      <c r="J4540">
        <v>12238.55</v>
      </c>
      <c r="K4540" t="s">
        <v>17</v>
      </c>
      <c r="L4540" t="b">
        <v>0</v>
      </c>
      <c r="N4540" s="2" t="b">
        <f t="shared" si="404"/>
        <v>1</v>
      </c>
      <c r="O4540" t="b">
        <f>IF(AND(E4529="HR",K4529="EXPENSE"),I4529&lt;J4529,"")</f>
        <v>1</v>
      </c>
      <c r="Q4540" t="str">
        <f t="shared" si="405"/>
        <v/>
      </c>
    </row>
    <row r="4541" spans="1:17" hidden="1">
      <c r="A4541" t="s">
        <v>4646</v>
      </c>
      <c r="B4541" s="1">
        <v>45525</v>
      </c>
      <c r="C4541">
        <v>2024</v>
      </c>
      <c r="D4541">
        <v>8</v>
      </c>
      <c r="E4541" t="s">
        <v>19</v>
      </c>
      <c r="F4541" t="s">
        <v>14</v>
      </c>
      <c r="G4541" t="s">
        <v>54</v>
      </c>
      <c r="H4541" t="s">
        <v>57</v>
      </c>
      <c r="I4541">
        <v>6320.43</v>
      </c>
      <c r="J4541">
        <v>5948.97</v>
      </c>
      <c r="K4541" t="s">
        <v>17</v>
      </c>
      <c r="L4541" t="b">
        <v>0</v>
      </c>
      <c r="N4541" s="2" t="str">
        <f t="shared" si="404"/>
        <v/>
      </c>
      <c r="Q4541" t="str">
        <f t="shared" si="405"/>
        <v/>
      </c>
    </row>
    <row r="4542" spans="1:17" hidden="1">
      <c r="A4542" t="s">
        <v>4647</v>
      </c>
      <c r="B4542" s="1">
        <v>45525</v>
      </c>
      <c r="C4542">
        <v>2024</v>
      </c>
      <c r="D4542">
        <v>8</v>
      </c>
      <c r="E4542" t="s">
        <v>19</v>
      </c>
      <c r="F4542" t="s">
        <v>24</v>
      </c>
      <c r="G4542" t="s">
        <v>80</v>
      </c>
      <c r="H4542" t="s">
        <v>113</v>
      </c>
      <c r="I4542">
        <v>5645.05</v>
      </c>
      <c r="J4542">
        <v>5718.76</v>
      </c>
      <c r="K4542" t="s">
        <v>17</v>
      </c>
      <c r="L4542" t="b">
        <v>0</v>
      </c>
      <c r="N4542" s="2" t="str">
        <f t="shared" si="404"/>
        <v/>
      </c>
      <c r="Q4542" t="str">
        <f t="shared" si="405"/>
        <v/>
      </c>
    </row>
    <row r="4543" spans="1:17" hidden="1">
      <c r="A4543" t="s">
        <v>4648</v>
      </c>
      <c r="B4543" s="1">
        <v>45525</v>
      </c>
      <c r="C4543">
        <v>2024</v>
      </c>
      <c r="D4543">
        <v>8</v>
      </c>
      <c r="E4543" t="s">
        <v>19</v>
      </c>
      <c r="F4543" t="s">
        <v>24</v>
      </c>
      <c r="G4543" t="s">
        <v>132</v>
      </c>
      <c r="H4543" t="s">
        <v>171</v>
      </c>
      <c r="I4543">
        <v>7006.25</v>
      </c>
      <c r="J4543">
        <v>7507.83</v>
      </c>
      <c r="K4543" t="s">
        <v>17</v>
      </c>
      <c r="L4543" t="b">
        <v>0</v>
      </c>
      <c r="N4543" s="2" t="str">
        <f t="shared" si="404"/>
        <v/>
      </c>
      <c r="Q4543" t="str">
        <f t="shared" si="405"/>
        <v/>
      </c>
    </row>
    <row r="4544" spans="1:17" hidden="1">
      <c r="A4544" t="s">
        <v>4649</v>
      </c>
      <c r="B4544" s="1">
        <v>45525</v>
      </c>
      <c r="C4544">
        <v>2024</v>
      </c>
      <c r="D4544">
        <v>8</v>
      </c>
      <c r="E4544" t="s">
        <v>37</v>
      </c>
      <c r="F4544" t="s">
        <v>24</v>
      </c>
      <c r="G4544" t="s">
        <v>98</v>
      </c>
      <c r="H4544" t="s">
        <v>185</v>
      </c>
      <c r="I4544">
        <v>3597.36</v>
      </c>
      <c r="J4544">
        <v>3359.73</v>
      </c>
      <c r="K4544" t="s">
        <v>17</v>
      </c>
      <c r="L4544" t="b">
        <v>0</v>
      </c>
      <c r="N4544" s="2" t="str">
        <f t="shared" si="404"/>
        <v/>
      </c>
      <c r="Q4544" t="str">
        <f t="shared" si="405"/>
        <v/>
      </c>
    </row>
    <row r="4545" spans="1:17" hidden="1">
      <c r="A4545" t="s">
        <v>4650</v>
      </c>
      <c r="B4545" s="1">
        <v>45525</v>
      </c>
      <c r="C4545">
        <v>2024</v>
      </c>
      <c r="D4545">
        <v>8</v>
      </c>
      <c r="E4545" t="s">
        <v>37</v>
      </c>
      <c r="F4545" t="s">
        <v>24</v>
      </c>
      <c r="G4545" t="s">
        <v>41</v>
      </c>
      <c r="H4545" t="s">
        <v>42</v>
      </c>
      <c r="I4545">
        <v>7531.45</v>
      </c>
      <c r="J4545">
        <v>6862.11</v>
      </c>
      <c r="K4545" t="s">
        <v>17</v>
      </c>
      <c r="L4545" t="b">
        <v>0</v>
      </c>
      <c r="N4545" s="2" t="str">
        <f t="shared" si="404"/>
        <v/>
      </c>
      <c r="Q4545" t="str">
        <f t="shared" si="405"/>
        <v/>
      </c>
    </row>
    <row r="4546" spans="1:17" hidden="1">
      <c r="A4546" t="s">
        <v>4651</v>
      </c>
      <c r="B4546" s="1">
        <v>45526</v>
      </c>
      <c r="C4546">
        <v>2024</v>
      </c>
      <c r="D4546">
        <v>8</v>
      </c>
      <c r="E4546" t="s">
        <v>13</v>
      </c>
      <c r="F4546" t="s">
        <v>14</v>
      </c>
      <c r="G4546" t="s">
        <v>102</v>
      </c>
      <c r="H4546" t="s">
        <v>145</v>
      </c>
      <c r="I4546">
        <v>4005.71</v>
      </c>
      <c r="J4546">
        <v>3842.29</v>
      </c>
      <c r="K4546" t="s">
        <v>17</v>
      </c>
      <c r="L4546" t="b">
        <v>0</v>
      </c>
      <c r="N4546" s="2" t="str">
        <f t="shared" si="404"/>
        <v/>
      </c>
      <c r="Q4546" t="str">
        <f t="shared" si="405"/>
        <v/>
      </c>
    </row>
    <row r="4547" spans="1:17" hidden="1">
      <c r="A4547" t="s">
        <v>4652</v>
      </c>
      <c r="B4547" s="1">
        <v>45526</v>
      </c>
      <c r="C4547">
        <v>2024</v>
      </c>
      <c r="D4547">
        <v>8</v>
      </c>
      <c r="E4547" t="s">
        <v>13</v>
      </c>
      <c r="F4547" t="s">
        <v>14</v>
      </c>
      <c r="G4547" t="s">
        <v>68</v>
      </c>
      <c r="H4547" t="s">
        <v>213</v>
      </c>
      <c r="I4547">
        <v>3112.5</v>
      </c>
      <c r="J4547">
        <v>3143.1</v>
      </c>
      <c r="K4547" t="s">
        <v>17</v>
      </c>
      <c r="L4547" t="b">
        <v>0</v>
      </c>
      <c r="N4547" s="2" t="str">
        <f t="shared" ref="N4547:N4610" si="409">IF(AND(E4547="IT",K4547="EXPENSE"),I4547&gt;J4547,"")</f>
        <v/>
      </c>
      <c r="Q4547" t="str">
        <f t="shared" ref="Q4547:Q4610" si="410">IF(L4547=TRUE,OR(H4547="Apex Solutions Inc",H4547="Global Trade Partners",H4547="NovaTech Services"),"")</f>
        <v/>
      </c>
    </row>
    <row r="4548" spans="1:17" hidden="1">
      <c r="A4548" t="s">
        <v>4653</v>
      </c>
      <c r="B4548" s="1">
        <v>45526</v>
      </c>
      <c r="C4548">
        <v>2024</v>
      </c>
      <c r="D4548">
        <v>8</v>
      </c>
      <c r="E4548" t="s">
        <v>47</v>
      </c>
      <c r="F4548" t="s">
        <v>28</v>
      </c>
      <c r="G4548" t="s">
        <v>48</v>
      </c>
      <c r="H4548" t="s">
        <v>189</v>
      </c>
      <c r="I4548">
        <v>12392.72</v>
      </c>
      <c r="J4548">
        <v>10175.59</v>
      </c>
      <c r="K4548" t="s">
        <v>17</v>
      </c>
      <c r="L4548" t="b">
        <v>0</v>
      </c>
      <c r="N4548" s="2" t="b">
        <f t="shared" si="409"/>
        <v>1</v>
      </c>
      <c r="O4548" t="str">
        <f>IF(AND(E4537="HR",K4537="EXPENSE"),I4537&lt;J4537,"")</f>
        <v/>
      </c>
      <c r="Q4548" t="str">
        <f t="shared" si="410"/>
        <v/>
      </c>
    </row>
    <row r="4549" spans="1:17" hidden="1">
      <c r="A4549" t="s">
        <v>4654</v>
      </c>
      <c r="B4549" s="1">
        <v>45526</v>
      </c>
      <c r="C4549">
        <v>2024</v>
      </c>
      <c r="D4549">
        <v>8</v>
      </c>
      <c r="E4549" t="s">
        <v>37</v>
      </c>
      <c r="F4549" t="s">
        <v>14</v>
      </c>
      <c r="G4549" t="s">
        <v>62</v>
      </c>
      <c r="H4549" t="s">
        <v>63</v>
      </c>
      <c r="I4549">
        <v>6644.37</v>
      </c>
      <c r="J4549">
        <v>7029.62</v>
      </c>
      <c r="K4549" t="s">
        <v>17</v>
      </c>
      <c r="L4549" t="b">
        <v>0</v>
      </c>
      <c r="N4549" s="2" t="str">
        <f t="shared" si="409"/>
        <v/>
      </c>
      <c r="Q4549" t="str">
        <f t="shared" si="410"/>
        <v/>
      </c>
    </row>
    <row r="4550" spans="1:17" hidden="1">
      <c r="A4550" t="s">
        <v>4655</v>
      </c>
      <c r="B4550" s="1">
        <v>45526</v>
      </c>
      <c r="C4550">
        <v>2024</v>
      </c>
      <c r="D4550">
        <v>8</v>
      </c>
      <c r="E4550" t="s">
        <v>37</v>
      </c>
      <c r="F4550" t="s">
        <v>24</v>
      </c>
      <c r="G4550" t="s">
        <v>41</v>
      </c>
      <c r="H4550" t="s">
        <v>42</v>
      </c>
      <c r="I4550">
        <v>7371.51</v>
      </c>
      <c r="J4550">
        <v>7851.55</v>
      </c>
      <c r="K4550" t="s">
        <v>17</v>
      </c>
      <c r="L4550" t="b">
        <v>0</v>
      </c>
      <c r="N4550" s="2" t="str">
        <f t="shared" si="409"/>
        <v/>
      </c>
      <c r="Q4550" t="str">
        <f t="shared" si="410"/>
        <v/>
      </c>
    </row>
    <row r="4551" spans="1:17" hidden="1">
      <c r="A4551" t="s">
        <v>4656</v>
      </c>
      <c r="B4551" s="1">
        <v>45526</v>
      </c>
      <c r="C4551">
        <v>2024</v>
      </c>
      <c r="D4551">
        <v>8</v>
      </c>
      <c r="E4551" t="s">
        <v>37</v>
      </c>
      <c r="F4551" t="s">
        <v>24</v>
      </c>
      <c r="G4551" t="s">
        <v>98</v>
      </c>
      <c r="H4551" t="s">
        <v>99</v>
      </c>
      <c r="I4551">
        <v>4726.2</v>
      </c>
      <c r="J4551">
        <v>4315.0600000000004</v>
      </c>
      <c r="K4551" t="s">
        <v>17</v>
      </c>
      <c r="L4551" t="b">
        <v>0</v>
      </c>
      <c r="N4551" s="2" t="str">
        <f t="shared" si="409"/>
        <v/>
      </c>
      <c r="Q4551" t="str">
        <f t="shared" si="410"/>
        <v/>
      </c>
    </row>
    <row r="4552" spans="1:17" hidden="1">
      <c r="A4552" t="s">
        <v>4657</v>
      </c>
      <c r="B4552" s="1">
        <v>45527</v>
      </c>
      <c r="C4552">
        <v>2024</v>
      </c>
      <c r="D4552">
        <v>8</v>
      </c>
      <c r="E4552" t="s">
        <v>13</v>
      </c>
      <c r="F4552" t="s">
        <v>14</v>
      </c>
      <c r="G4552" t="s">
        <v>108</v>
      </c>
      <c r="H4552" t="s">
        <v>123</v>
      </c>
      <c r="I4552">
        <v>3532.77</v>
      </c>
      <c r="J4552">
        <v>3666.9</v>
      </c>
      <c r="K4552" t="s">
        <v>17</v>
      </c>
      <c r="L4552" t="b">
        <v>0</v>
      </c>
      <c r="N4552" s="2" t="str">
        <f t="shared" si="409"/>
        <v/>
      </c>
      <c r="Q4552" t="str">
        <f t="shared" si="410"/>
        <v/>
      </c>
    </row>
    <row r="4553" spans="1:17" hidden="1">
      <c r="A4553" t="s">
        <v>4658</v>
      </c>
      <c r="B4553" s="1">
        <v>45527</v>
      </c>
      <c r="C4553">
        <v>2024</v>
      </c>
      <c r="D4553">
        <v>8</v>
      </c>
      <c r="E4553" t="s">
        <v>47</v>
      </c>
      <c r="F4553" t="s">
        <v>28</v>
      </c>
      <c r="G4553" t="s">
        <v>48</v>
      </c>
      <c r="H4553" t="s">
        <v>111</v>
      </c>
      <c r="I4553">
        <v>13075.68</v>
      </c>
      <c r="J4553">
        <v>11274.33</v>
      </c>
      <c r="K4553" t="s">
        <v>17</v>
      </c>
      <c r="L4553" t="b">
        <v>0</v>
      </c>
      <c r="N4553" s="2" t="b">
        <f t="shared" si="409"/>
        <v>1</v>
      </c>
      <c r="O4553" t="str">
        <f>IF(AND(E4542="HR",K4542="EXPENSE"),I4542&lt;J4542,"")</f>
        <v/>
      </c>
      <c r="Q4553" t="str">
        <f t="shared" si="410"/>
        <v/>
      </c>
    </row>
    <row r="4554" spans="1:17" hidden="1">
      <c r="A4554" t="s">
        <v>4659</v>
      </c>
      <c r="B4554" s="1">
        <v>45527</v>
      </c>
      <c r="C4554">
        <v>2024</v>
      </c>
      <c r="D4554">
        <v>8</v>
      </c>
      <c r="E4554" t="s">
        <v>19</v>
      </c>
      <c r="F4554" t="s">
        <v>28</v>
      </c>
      <c r="G4554" t="s">
        <v>20</v>
      </c>
      <c r="H4554" t="s">
        <v>21</v>
      </c>
      <c r="I4554">
        <v>4667.22</v>
      </c>
      <c r="J4554">
        <v>4698.34</v>
      </c>
      <c r="K4554" t="s">
        <v>17</v>
      </c>
      <c r="L4554" t="b">
        <v>0</v>
      </c>
      <c r="N4554" s="2" t="str">
        <f t="shared" si="409"/>
        <v/>
      </c>
      <c r="Q4554" t="str">
        <f t="shared" si="410"/>
        <v/>
      </c>
    </row>
    <row r="4555" spans="1:17" hidden="1">
      <c r="A4555" t="s">
        <v>4660</v>
      </c>
      <c r="B4555" s="1">
        <v>45528</v>
      </c>
      <c r="C4555">
        <v>2024</v>
      </c>
      <c r="D4555">
        <v>8</v>
      </c>
      <c r="E4555" t="s">
        <v>13</v>
      </c>
      <c r="F4555" t="s">
        <v>24</v>
      </c>
      <c r="G4555" t="s">
        <v>108</v>
      </c>
      <c r="H4555" t="s">
        <v>109</v>
      </c>
      <c r="I4555">
        <v>3656.92</v>
      </c>
      <c r="J4555">
        <v>3580.87</v>
      </c>
      <c r="K4555" t="s">
        <v>17</v>
      </c>
      <c r="L4555" t="b">
        <v>0</v>
      </c>
      <c r="N4555" s="2" t="str">
        <f t="shared" si="409"/>
        <v/>
      </c>
      <c r="Q4555" t="str">
        <f t="shared" si="410"/>
        <v/>
      </c>
    </row>
    <row r="4556" spans="1:17" hidden="1">
      <c r="A4556" t="s">
        <v>4661</v>
      </c>
      <c r="B4556" s="1">
        <v>45528</v>
      </c>
      <c r="C4556">
        <v>2024</v>
      </c>
      <c r="D4556">
        <v>8</v>
      </c>
      <c r="E4556" t="s">
        <v>13</v>
      </c>
      <c r="F4556" t="s">
        <v>24</v>
      </c>
      <c r="G4556" t="s">
        <v>15</v>
      </c>
      <c r="H4556" t="s">
        <v>89</v>
      </c>
      <c r="I4556">
        <v>3399.96</v>
      </c>
      <c r="J4556">
        <v>3569.63</v>
      </c>
      <c r="K4556" t="s">
        <v>17</v>
      </c>
      <c r="L4556" t="b">
        <v>0</v>
      </c>
      <c r="N4556" s="2" t="str">
        <f t="shared" si="409"/>
        <v/>
      </c>
      <c r="Q4556" t="str">
        <f t="shared" si="410"/>
        <v/>
      </c>
    </row>
    <row r="4557" spans="1:17" hidden="1">
      <c r="A4557" t="s">
        <v>4662</v>
      </c>
      <c r="B4557" s="1">
        <v>45528</v>
      </c>
      <c r="C4557">
        <v>2024</v>
      </c>
      <c r="D4557">
        <v>8</v>
      </c>
      <c r="E4557" t="s">
        <v>47</v>
      </c>
      <c r="F4557" t="s">
        <v>14</v>
      </c>
      <c r="G4557" t="s">
        <v>77</v>
      </c>
      <c r="H4557" t="s">
        <v>130</v>
      </c>
      <c r="I4557">
        <v>16876.61</v>
      </c>
      <c r="J4557">
        <v>13877.04</v>
      </c>
      <c r="K4557" t="s">
        <v>17</v>
      </c>
      <c r="L4557" t="b">
        <v>0</v>
      </c>
      <c r="N4557" s="2" t="b">
        <f t="shared" si="409"/>
        <v>1</v>
      </c>
      <c r="O4557" t="b">
        <f t="shared" ref="O4557:O4558" si="411">IF(AND(E4546="HR",K4546="EXPENSE"),I4546&lt;J4546,"")</f>
        <v>0</v>
      </c>
      <c r="Q4557" t="str">
        <f t="shared" si="410"/>
        <v/>
      </c>
    </row>
    <row r="4558" spans="1:17" hidden="1">
      <c r="A4558" t="s">
        <v>4663</v>
      </c>
      <c r="B4558" s="1">
        <v>45528</v>
      </c>
      <c r="C4558">
        <v>2024</v>
      </c>
      <c r="D4558">
        <v>8</v>
      </c>
      <c r="E4558" t="s">
        <v>47</v>
      </c>
      <c r="F4558" t="s">
        <v>24</v>
      </c>
      <c r="G4558" t="s">
        <v>77</v>
      </c>
      <c r="H4558" t="s">
        <v>78</v>
      </c>
      <c r="I4558">
        <v>17029.330000000002</v>
      </c>
      <c r="J4558">
        <v>14310.94</v>
      </c>
      <c r="K4558" t="s">
        <v>17</v>
      </c>
      <c r="L4558" t="b">
        <v>0</v>
      </c>
      <c r="N4558" s="2" t="b">
        <f t="shared" si="409"/>
        <v>1</v>
      </c>
      <c r="O4558" t="b">
        <f t="shared" si="411"/>
        <v>1</v>
      </c>
      <c r="Q4558" t="str">
        <f t="shared" si="410"/>
        <v/>
      </c>
    </row>
    <row r="4559" spans="1:17" hidden="1">
      <c r="A4559" t="s">
        <v>4664</v>
      </c>
      <c r="B4559" s="1">
        <v>45528</v>
      </c>
      <c r="C4559">
        <v>2024</v>
      </c>
      <c r="D4559">
        <v>8</v>
      </c>
      <c r="E4559" t="s">
        <v>19</v>
      </c>
      <c r="F4559" t="s">
        <v>14</v>
      </c>
      <c r="G4559" t="s">
        <v>80</v>
      </c>
      <c r="H4559" t="s">
        <v>217</v>
      </c>
      <c r="I4559">
        <v>8675.59</v>
      </c>
      <c r="J4559">
        <v>9455.52</v>
      </c>
      <c r="K4559" t="s">
        <v>17</v>
      </c>
      <c r="L4559" t="b">
        <v>0</v>
      </c>
      <c r="N4559" s="2" t="str">
        <f t="shared" si="409"/>
        <v/>
      </c>
      <c r="Q4559" t="str">
        <f t="shared" si="410"/>
        <v/>
      </c>
    </row>
    <row r="4560" spans="1:17" hidden="1">
      <c r="A4560" t="s">
        <v>4665</v>
      </c>
      <c r="B4560" s="1">
        <v>45528</v>
      </c>
      <c r="C4560">
        <v>2024</v>
      </c>
      <c r="D4560">
        <v>8</v>
      </c>
      <c r="E4560" t="s">
        <v>19</v>
      </c>
      <c r="F4560" t="s">
        <v>24</v>
      </c>
      <c r="G4560" t="s">
        <v>80</v>
      </c>
      <c r="H4560" t="s">
        <v>150</v>
      </c>
      <c r="I4560">
        <v>10098.94</v>
      </c>
      <c r="J4560">
        <v>9608.1</v>
      </c>
      <c r="K4560" t="s">
        <v>17</v>
      </c>
      <c r="L4560" t="b">
        <v>0</v>
      </c>
      <c r="N4560" s="2" t="str">
        <f t="shared" si="409"/>
        <v/>
      </c>
      <c r="Q4560" t="str">
        <f t="shared" si="410"/>
        <v/>
      </c>
    </row>
    <row r="4561" spans="1:17" hidden="1">
      <c r="A4561" t="s">
        <v>4666</v>
      </c>
      <c r="B4561" s="1">
        <v>45528</v>
      </c>
      <c r="C4561">
        <v>2024</v>
      </c>
      <c r="D4561">
        <v>8</v>
      </c>
      <c r="E4561" t="s">
        <v>23</v>
      </c>
      <c r="F4561" t="s">
        <v>28</v>
      </c>
      <c r="G4561" t="s">
        <v>30</v>
      </c>
      <c r="H4561" t="s">
        <v>106</v>
      </c>
      <c r="I4561">
        <v>4430.62</v>
      </c>
      <c r="J4561">
        <v>4085.97</v>
      </c>
      <c r="K4561" t="s">
        <v>17</v>
      </c>
      <c r="L4561" t="b">
        <v>0</v>
      </c>
      <c r="N4561" s="2" t="str">
        <f t="shared" si="409"/>
        <v/>
      </c>
      <c r="Q4561" t="str">
        <f t="shared" si="410"/>
        <v/>
      </c>
    </row>
    <row r="4562" spans="1:17" hidden="1">
      <c r="A4562" t="s">
        <v>4667</v>
      </c>
      <c r="B4562" s="1">
        <v>45528</v>
      </c>
      <c r="C4562">
        <v>2024</v>
      </c>
      <c r="D4562">
        <v>8</v>
      </c>
      <c r="E4562" t="s">
        <v>23</v>
      </c>
      <c r="F4562" t="s">
        <v>24</v>
      </c>
      <c r="G4562" t="s">
        <v>30</v>
      </c>
      <c r="H4562" t="s">
        <v>33</v>
      </c>
      <c r="I4562">
        <v>5936.74</v>
      </c>
      <c r="J4562">
        <v>6138.81</v>
      </c>
      <c r="K4562" t="s">
        <v>17</v>
      </c>
      <c r="L4562" t="b">
        <v>0</v>
      </c>
      <c r="N4562" s="2" t="str">
        <f t="shared" si="409"/>
        <v/>
      </c>
      <c r="Q4562" t="str">
        <f t="shared" si="410"/>
        <v/>
      </c>
    </row>
    <row r="4563" spans="1:17" hidden="1">
      <c r="A4563" t="s">
        <v>4668</v>
      </c>
      <c r="B4563" s="1">
        <v>45528</v>
      </c>
      <c r="C4563">
        <v>2024</v>
      </c>
      <c r="D4563">
        <v>8</v>
      </c>
      <c r="E4563" t="s">
        <v>37</v>
      </c>
      <c r="F4563" t="s">
        <v>28</v>
      </c>
      <c r="G4563" t="s">
        <v>62</v>
      </c>
      <c r="H4563" t="s">
        <v>63</v>
      </c>
      <c r="I4563">
        <v>5210.29</v>
      </c>
      <c r="J4563">
        <v>5061.0600000000004</v>
      </c>
      <c r="K4563" t="s">
        <v>17</v>
      </c>
      <c r="L4563" t="b">
        <v>0</v>
      </c>
      <c r="N4563" s="2" t="str">
        <f t="shared" si="409"/>
        <v/>
      </c>
      <c r="Q4563" t="str">
        <f t="shared" si="410"/>
        <v/>
      </c>
    </row>
    <row r="4564" spans="1:17" hidden="1">
      <c r="A4564" t="s">
        <v>4669</v>
      </c>
      <c r="B4564" s="1">
        <v>45529</v>
      </c>
      <c r="C4564">
        <v>2024</v>
      </c>
      <c r="D4564">
        <v>8</v>
      </c>
      <c r="E4564" t="s">
        <v>13</v>
      </c>
      <c r="F4564" t="s">
        <v>28</v>
      </c>
      <c r="G4564" t="s">
        <v>102</v>
      </c>
      <c r="H4564" t="s">
        <v>103</v>
      </c>
      <c r="I4564">
        <v>1784.69</v>
      </c>
      <c r="J4564">
        <v>1882.75</v>
      </c>
      <c r="K4564" t="s">
        <v>17</v>
      </c>
      <c r="L4564" t="b">
        <v>0</v>
      </c>
      <c r="N4564" s="2" t="str">
        <f t="shared" si="409"/>
        <v/>
      </c>
      <c r="Q4564" t="str">
        <f t="shared" si="410"/>
        <v/>
      </c>
    </row>
    <row r="4565" spans="1:17" hidden="1">
      <c r="A4565" t="s">
        <v>4670</v>
      </c>
      <c r="B4565" s="1">
        <v>45529</v>
      </c>
      <c r="C4565">
        <v>2024</v>
      </c>
      <c r="D4565">
        <v>8</v>
      </c>
      <c r="E4565" t="s">
        <v>13</v>
      </c>
      <c r="F4565" t="s">
        <v>28</v>
      </c>
      <c r="G4565" t="s">
        <v>68</v>
      </c>
      <c r="H4565" t="s">
        <v>213</v>
      </c>
      <c r="I4565">
        <v>3542.23</v>
      </c>
      <c r="J4565">
        <v>3259.17</v>
      </c>
      <c r="K4565" t="s">
        <v>17</v>
      </c>
      <c r="L4565" t="b">
        <v>0</v>
      </c>
      <c r="N4565" s="2" t="str">
        <f t="shared" si="409"/>
        <v/>
      </c>
      <c r="Q4565" t="str">
        <f t="shared" si="410"/>
        <v/>
      </c>
    </row>
    <row r="4566" spans="1:17" hidden="1">
      <c r="A4566" t="s">
        <v>4671</v>
      </c>
      <c r="B4566" s="1">
        <v>45529</v>
      </c>
      <c r="C4566">
        <v>2024</v>
      </c>
      <c r="D4566">
        <v>8</v>
      </c>
      <c r="E4566" t="s">
        <v>47</v>
      </c>
      <c r="F4566" t="s">
        <v>28</v>
      </c>
      <c r="G4566" t="s">
        <v>51</v>
      </c>
      <c r="H4566" t="s">
        <v>52</v>
      </c>
      <c r="I4566">
        <v>13407.25</v>
      </c>
      <c r="J4566">
        <v>11119.06</v>
      </c>
      <c r="K4566" t="s">
        <v>17</v>
      </c>
      <c r="L4566" t="b">
        <v>0</v>
      </c>
      <c r="N4566" s="2" t="b">
        <f t="shared" si="409"/>
        <v>1</v>
      </c>
      <c r="O4566" t="b">
        <f>IF(AND(E4555="HR",K4555="EXPENSE"),I4555&lt;J4555,"")</f>
        <v>0</v>
      </c>
      <c r="Q4566" t="str">
        <f t="shared" si="410"/>
        <v/>
      </c>
    </row>
    <row r="4567" spans="1:17" hidden="1">
      <c r="A4567" t="s">
        <v>4672</v>
      </c>
      <c r="B4567" s="1">
        <v>45529</v>
      </c>
      <c r="C4567">
        <v>2024</v>
      </c>
      <c r="D4567">
        <v>8</v>
      </c>
      <c r="E4567" t="s">
        <v>19</v>
      </c>
      <c r="F4567" t="s">
        <v>24</v>
      </c>
      <c r="G4567" t="s">
        <v>20</v>
      </c>
      <c r="H4567" t="s">
        <v>136</v>
      </c>
      <c r="I4567">
        <v>5098.01</v>
      </c>
      <c r="J4567">
        <v>4641.42</v>
      </c>
      <c r="K4567" t="s">
        <v>17</v>
      </c>
      <c r="L4567" t="b">
        <v>0</v>
      </c>
      <c r="N4567" s="2" t="str">
        <f t="shared" si="409"/>
        <v/>
      </c>
      <c r="Q4567" t="str">
        <f t="shared" si="410"/>
        <v/>
      </c>
    </row>
    <row r="4568" spans="1:17" hidden="1">
      <c r="A4568" t="s">
        <v>4673</v>
      </c>
      <c r="B4568" s="1">
        <v>45529</v>
      </c>
      <c r="C4568">
        <v>2024</v>
      </c>
      <c r="D4568">
        <v>8</v>
      </c>
      <c r="E4568" t="s">
        <v>19</v>
      </c>
      <c r="F4568" t="s">
        <v>24</v>
      </c>
      <c r="G4568" t="s">
        <v>80</v>
      </c>
      <c r="H4568" t="s">
        <v>217</v>
      </c>
      <c r="I4568">
        <v>5168.95</v>
      </c>
      <c r="J4568">
        <v>4657.8999999999996</v>
      </c>
      <c r="K4568" t="s">
        <v>17</v>
      </c>
      <c r="L4568" t="b">
        <v>0</v>
      </c>
      <c r="N4568" s="2" t="str">
        <f t="shared" si="409"/>
        <v/>
      </c>
      <c r="Q4568" t="str">
        <f t="shared" si="410"/>
        <v/>
      </c>
    </row>
    <row r="4569" spans="1:17" hidden="1">
      <c r="A4569" t="s">
        <v>4674</v>
      </c>
      <c r="B4569" s="1">
        <v>45529</v>
      </c>
      <c r="C4569">
        <v>2024</v>
      </c>
      <c r="D4569">
        <v>8</v>
      </c>
      <c r="E4569" t="s">
        <v>23</v>
      </c>
      <c r="F4569" t="s">
        <v>28</v>
      </c>
      <c r="G4569" t="s">
        <v>141</v>
      </c>
      <c r="H4569" t="s">
        <v>209</v>
      </c>
      <c r="I4569">
        <v>6045.49</v>
      </c>
      <c r="J4569">
        <v>6314.84</v>
      </c>
      <c r="K4569" t="s">
        <v>17</v>
      </c>
      <c r="L4569" t="b">
        <v>0</v>
      </c>
      <c r="N4569" s="2" t="str">
        <f t="shared" si="409"/>
        <v/>
      </c>
      <c r="Q4569" t="str">
        <f t="shared" si="410"/>
        <v/>
      </c>
    </row>
    <row r="4570" spans="1:17" hidden="1">
      <c r="A4570" t="s">
        <v>4675</v>
      </c>
      <c r="B4570" s="1">
        <v>45529</v>
      </c>
      <c r="C4570">
        <v>2024</v>
      </c>
      <c r="D4570">
        <v>8</v>
      </c>
      <c r="E4570" t="s">
        <v>37</v>
      </c>
      <c r="F4570" t="s">
        <v>14</v>
      </c>
      <c r="G4570" t="s">
        <v>38</v>
      </c>
      <c r="H4570" t="s">
        <v>227</v>
      </c>
      <c r="I4570">
        <v>6094.14</v>
      </c>
      <c r="J4570">
        <v>6016.56</v>
      </c>
      <c r="K4570" t="s">
        <v>17</v>
      </c>
      <c r="L4570" t="b">
        <v>0</v>
      </c>
      <c r="N4570" s="2" t="str">
        <f t="shared" si="409"/>
        <v/>
      </c>
      <c r="Q4570" t="str">
        <f t="shared" si="410"/>
        <v/>
      </c>
    </row>
    <row r="4571" spans="1:17" hidden="1">
      <c r="A4571" t="s">
        <v>4676</v>
      </c>
      <c r="B4571" s="1">
        <v>45530</v>
      </c>
      <c r="C4571">
        <v>2024</v>
      </c>
      <c r="D4571">
        <v>8</v>
      </c>
      <c r="E4571" t="s">
        <v>47</v>
      </c>
      <c r="F4571" t="s">
        <v>14</v>
      </c>
      <c r="G4571" t="s">
        <v>48</v>
      </c>
      <c r="H4571" t="s">
        <v>191</v>
      </c>
      <c r="I4571">
        <v>12984.24</v>
      </c>
      <c r="J4571">
        <v>10842.44</v>
      </c>
      <c r="K4571" t="s">
        <v>17</v>
      </c>
      <c r="L4571" t="b">
        <v>0</v>
      </c>
      <c r="N4571" s="2" t="b">
        <f t="shared" si="409"/>
        <v>1</v>
      </c>
      <c r="O4571" t="str">
        <f t="shared" ref="O4571:O4572" si="412">IF(AND(E4560="HR",K4560="EXPENSE"),I4560&lt;J4560,"")</f>
        <v/>
      </c>
      <c r="Q4571" t="str">
        <f t="shared" si="410"/>
        <v/>
      </c>
    </row>
    <row r="4572" spans="1:17" hidden="1">
      <c r="A4572" t="s">
        <v>4677</v>
      </c>
      <c r="B4572" s="1">
        <v>45530</v>
      </c>
      <c r="C4572">
        <v>2024</v>
      </c>
      <c r="D4572">
        <v>8</v>
      </c>
      <c r="E4572" t="s">
        <v>47</v>
      </c>
      <c r="F4572" t="s">
        <v>24</v>
      </c>
      <c r="G4572" t="s">
        <v>48</v>
      </c>
      <c r="H4572" t="s">
        <v>111</v>
      </c>
      <c r="I4572">
        <v>9101.0400000000009</v>
      </c>
      <c r="J4572">
        <v>7490.81</v>
      </c>
      <c r="K4572" t="s">
        <v>17</v>
      </c>
      <c r="L4572" t="b">
        <v>0</v>
      </c>
      <c r="N4572" s="2" t="b">
        <f t="shared" si="409"/>
        <v>1</v>
      </c>
      <c r="O4572" t="str">
        <f t="shared" si="412"/>
        <v/>
      </c>
      <c r="Q4572" t="str">
        <f t="shared" si="410"/>
        <v/>
      </c>
    </row>
    <row r="4573" spans="1:17" hidden="1">
      <c r="A4573" t="s">
        <v>4678</v>
      </c>
      <c r="B4573" s="1">
        <v>45530</v>
      </c>
      <c r="C4573">
        <v>2024</v>
      </c>
      <c r="D4573">
        <v>8</v>
      </c>
      <c r="E4573" t="s">
        <v>23</v>
      </c>
      <c r="F4573" t="s">
        <v>14</v>
      </c>
      <c r="G4573" t="s">
        <v>59</v>
      </c>
      <c r="H4573" t="s">
        <v>155</v>
      </c>
      <c r="I4573">
        <v>5899.21</v>
      </c>
      <c r="J4573">
        <v>6339.34</v>
      </c>
      <c r="K4573" t="s">
        <v>17</v>
      </c>
      <c r="L4573" t="b">
        <v>0</v>
      </c>
      <c r="N4573" s="2" t="str">
        <f t="shared" si="409"/>
        <v/>
      </c>
      <c r="Q4573" t="str">
        <f t="shared" si="410"/>
        <v/>
      </c>
    </row>
    <row r="4574" spans="1:17" hidden="1">
      <c r="A4574" t="s">
        <v>4679</v>
      </c>
      <c r="B4574" s="1">
        <v>45530</v>
      </c>
      <c r="C4574">
        <v>2024</v>
      </c>
      <c r="D4574">
        <v>8</v>
      </c>
      <c r="E4574" t="s">
        <v>23</v>
      </c>
      <c r="F4574" t="s">
        <v>28</v>
      </c>
      <c r="G4574" t="s">
        <v>141</v>
      </c>
      <c r="H4574" t="s">
        <v>153</v>
      </c>
      <c r="I4574">
        <v>5512.67</v>
      </c>
      <c r="J4574">
        <v>5617.38</v>
      </c>
      <c r="K4574" t="s">
        <v>17</v>
      </c>
      <c r="L4574" t="b">
        <v>0</v>
      </c>
      <c r="N4574" s="2" t="str">
        <f t="shared" si="409"/>
        <v/>
      </c>
      <c r="Q4574" t="str">
        <f t="shared" si="410"/>
        <v/>
      </c>
    </row>
    <row r="4575" spans="1:17" hidden="1">
      <c r="A4575" t="s">
        <v>4680</v>
      </c>
      <c r="B4575" s="1">
        <v>45530</v>
      </c>
      <c r="C4575">
        <v>2024</v>
      </c>
      <c r="D4575">
        <v>8</v>
      </c>
      <c r="E4575" t="s">
        <v>37</v>
      </c>
      <c r="F4575" t="s">
        <v>28</v>
      </c>
      <c r="G4575" t="s">
        <v>62</v>
      </c>
      <c r="H4575" t="s">
        <v>121</v>
      </c>
      <c r="I4575">
        <v>3741.01</v>
      </c>
      <c r="J4575">
        <v>3764.93</v>
      </c>
      <c r="K4575" t="s">
        <v>17</v>
      </c>
      <c r="L4575" t="b">
        <v>0</v>
      </c>
      <c r="N4575" s="2" t="str">
        <f t="shared" si="409"/>
        <v/>
      </c>
      <c r="Q4575" t="str">
        <f t="shared" si="410"/>
        <v/>
      </c>
    </row>
    <row r="4576" spans="1:17" hidden="1">
      <c r="A4576" t="s">
        <v>4681</v>
      </c>
      <c r="B4576" s="1">
        <v>45531</v>
      </c>
      <c r="C4576">
        <v>2024</v>
      </c>
      <c r="D4576">
        <v>8</v>
      </c>
      <c r="E4576" t="s">
        <v>13</v>
      </c>
      <c r="F4576" t="s">
        <v>28</v>
      </c>
      <c r="G4576" t="s">
        <v>68</v>
      </c>
      <c r="H4576" t="s">
        <v>87</v>
      </c>
      <c r="I4576">
        <v>3628.09</v>
      </c>
      <c r="J4576">
        <v>3902.2</v>
      </c>
      <c r="K4576" t="s">
        <v>17</v>
      </c>
      <c r="L4576" t="b">
        <v>0</v>
      </c>
      <c r="N4576" s="2" t="str">
        <f t="shared" si="409"/>
        <v/>
      </c>
      <c r="Q4576" t="str">
        <f t="shared" si="410"/>
        <v/>
      </c>
    </row>
    <row r="4577" spans="1:17" hidden="1">
      <c r="A4577" t="s">
        <v>4682</v>
      </c>
      <c r="B4577" s="1">
        <v>45531</v>
      </c>
      <c r="C4577">
        <v>2024</v>
      </c>
      <c r="D4577">
        <v>8</v>
      </c>
      <c r="E4577" t="s">
        <v>13</v>
      </c>
      <c r="F4577" t="s">
        <v>28</v>
      </c>
      <c r="G4577" t="s">
        <v>15</v>
      </c>
      <c r="H4577" t="s">
        <v>89</v>
      </c>
      <c r="I4577">
        <v>3180.2</v>
      </c>
      <c r="J4577">
        <v>3134.88</v>
      </c>
      <c r="K4577" t="s">
        <v>17</v>
      </c>
      <c r="L4577" t="b">
        <v>0</v>
      </c>
      <c r="N4577" s="2" t="str">
        <f t="shared" si="409"/>
        <v/>
      </c>
      <c r="Q4577" t="str">
        <f t="shared" si="410"/>
        <v/>
      </c>
    </row>
    <row r="4578" spans="1:17" hidden="1">
      <c r="A4578" t="s">
        <v>4683</v>
      </c>
      <c r="B4578" s="1">
        <v>45531</v>
      </c>
      <c r="C4578">
        <v>2024</v>
      </c>
      <c r="D4578">
        <v>8</v>
      </c>
      <c r="E4578" t="s">
        <v>13</v>
      </c>
      <c r="F4578" t="s">
        <v>24</v>
      </c>
      <c r="G4578" t="s">
        <v>102</v>
      </c>
      <c r="H4578" t="s">
        <v>103</v>
      </c>
      <c r="I4578">
        <v>4367.5</v>
      </c>
      <c r="J4578">
        <v>4475.38</v>
      </c>
      <c r="K4578" t="s">
        <v>17</v>
      </c>
      <c r="L4578" t="b">
        <v>0</v>
      </c>
      <c r="N4578" s="2" t="str">
        <f t="shared" si="409"/>
        <v/>
      </c>
      <c r="Q4578" t="str">
        <f t="shared" si="410"/>
        <v/>
      </c>
    </row>
    <row r="4579" spans="1:17" hidden="1">
      <c r="A4579" t="s">
        <v>4684</v>
      </c>
      <c r="B4579" s="1">
        <v>45531</v>
      </c>
      <c r="C4579">
        <v>2024</v>
      </c>
      <c r="D4579">
        <v>8</v>
      </c>
      <c r="E4579" t="s">
        <v>13</v>
      </c>
      <c r="F4579" t="s">
        <v>24</v>
      </c>
      <c r="G4579" t="s">
        <v>102</v>
      </c>
      <c r="H4579" t="s">
        <v>103</v>
      </c>
      <c r="I4579">
        <v>5568.76</v>
      </c>
      <c r="J4579">
        <v>5149.8599999999997</v>
      </c>
      <c r="K4579" t="s">
        <v>17</v>
      </c>
      <c r="L4579" t="b">
        <v>0</v>
      </c>
      <c r="N4579" s="2" t="str">
        <f t="shared" si="409"/>
        <v/>
      </c>
      <c r="Q4579" t="str">
        <f t="shared" si="410"/>
        <v/>
      </c>
    </row>
    <row r="4580" spans="1:17" hidden="1">
      <c r="A4580" t="s">
        <v>4685</v>
      </c>
      <c r="B4580" s="1">
        <v>45531</v>
      </c>
      <c r="C4580">
        <v>2024</v>
      </c>
      <c r="D4580">
        <v>8</v>
      </c>
      <c r="E4580" t="s">
        <v>47</v>
      </c>
      <c r="F4580" t="s">
        <v>14</v>
      </c>
      <c r="G4580" t="s">
        <v>91</v>
      </c>
      <c r="H4580" t="s">
        <v>92</v>
      </c>
      <c r="I4580">
        <v>11832.71</v>
      </c>
      <c r="J4580">
        <v>10018.76</v>
      </c>
      <c r="K4580" t="s">
        <v>17</v>
      </c>
      <c r="L4580" t="b">
        <v>0</v>
      </c>
      <c r="N4580" s="2" t="b">
        <f t="shared" si="409"/>
        <v>1</v>
      </c>
      <c r="O4580" t="str">
        <f t="shared" ref="O4580:O4581" si="413">IF(AND(E4569="HR",K4569="EXPENSE"),I4569&lt;J4569,"")</f>
        <v/>
      </c>
      <c r="Q4580" t="str">
        <f t="shared" si="410"/>
        <v/>
      </c>
    </row>
    <row r="4581" spans="1:17" hidden="1">
      <c r="A4581" t="s">
        <v>4686</v>
      </c>
      <c r="B4581" s="1">
        <v>45531</v>
      </c>
      <c r="C4581">
        <v>2024</v>
      </c>
      <c r="D4581">
        <v>8</v>
      </c>
      <c r="E4581" t="s">
        <v>47</v>
      </c>
      <c r="F4581" t="s">
        <v>24</v>
      </c>
      <c r="G4581" t="s">
        <v>51</v>
      </c>
      <c r="H4581" t="s">
        <v>52</v>
      </c>
      <c r="I4581">
        <v>16493.78</v>
      </c>
      <c r="J4581">
        <v>14154.36</v>
      </c>
      <c r="K4581" t="s">
        <v>17</v>
      </c>
      <c r="L4581" t="b">
        <v>0</v>
      </c>
      <c r="N4581" s="2" t="b">
        <f t="shared" si="409"/>
        <v>1</v>
      </c>
      <c r="O4581" t="str">
        <f t="shared" si="413"/>
        <v/>
      </c>
      <c r="Q4581" t="str">
        <f t="shared" si="410"/>
        <v/>
      </c>
    </row>
    <row r="4582" spans="1:17" hidden="1">
      <c r="A4582" t="s">
        <v>4687</v>
      </c>
      <c r="B4582" s="1">
        <v>45531</v>
      </c>
      <c r="C4582">
        <v>2024</v>
      </c>
      <c r="D4582">
        <v>8</v>
      </c>
      <c r="E4582" t="s">
        <v>19</v>
      </c>
      <c r="F4582" t="s">
        <v>14</v>
      </c>
      <c r="G4582" t="s">
        <v>132</v>
      </c>
      <c r="H4582" t="s">
        <v>138</v>
      </c>
      <c r="I4582">
        <v>5516.62</v>
      </c>
      <c r="J4582">
        <v>5987.93</v>
      </c>
      <c r="K4582" t="s">
        <v>17</v>
      </c>
      <c r="L4582" t="b">
        <v>0</v>
      </c>
      <c r="N4582" s="2" t="str">
        <f t="shared" si="409"/>
        <v/>
      </c>
      <c r="Q4582" t="str">
        <f t="shared" si="410"/>
        <v/>
      </c>
    </row>
    <row r="4583" spans="1:17" hidden="1">
      <c r="A4583" t="s">
        <v>4688</v>
      </c>
      <c r="B4583" s="1">
        <v>45531</v>
      </c>
      <c r="C4583">
        <v>2024</v>
      </c>
      <c r="D4583">
        <v>8</v>
      </c>
      <c r="E4583" t="s">
        <v>23</v>
      </c>
      <c r="F4583" t="s">
        <v>28</v>
      </c>
      <c r="G4583" t="s">
        <v>30</v>
      </c>
      <c r="H4583" t="s">
        <v>106</v>
      </c>
      <c r="I4583">
        <v>5773.89</v>
      </c>
      <c r="J4583">
        <v>5539.56</v>
      </c>
      <c r="K4583" t="s">
        <v>17</v>
      </c>
      <c r="L4583" t="b">
        <v>0</v>
      </c>
      <c r="N4583" s="2" t="str">
        <f t="shared" si="409"/>
        <v/>
      </c>
      <c r="Q4583" t="str">
        <f t="shared" si="410"/>
        <v/>
      </c>
    </row>
    <row r="4584" spans="1:17" hidden="1">
      <c r="A4584" t="s">
        <v>4689</v>
      </c>
      <c r="B4584" s="1">
        <v>45531</v>
      </c>
      <c r="C4584">
        <v>2024</v>
      </c>
      <c r="D4584">
        <v>8</v>
      </c>
      <c r="E4584" t="s">
        <v>23</v>
      </c>
      <c r="F4584" t="s">
        <v>28</v>
      </c>
      <c r="G4584" t="s">
        <v>59</v>
      </c>
      <c r="H4584" t="s">
        <v>60</v>
      </c>
      <c r="I4584">
        <v>5608.57</v>
      </c>
      <c r="J4584">
        <v>5133.66</v>
      </c>
      <c r="K4584" t="s">
        <v>17</v>
      </c>
      <c r="L4584" t="b">
        <v>0</v>
      </c>
      <c r="N4584" s="2" t="str">
        <f t="shared" si="409"/>
        <v/>
      </c>
      <c r="Q4584" t="str">
        <f t="shared" si="410"/>
        <v/>
      </c>
    </row>
    <row r="4585" spans="1:17" hidden="1">
      <c r="A4585" t="s">
        <v>4690</v>
      </c>
      <c r="B4585" s="1">
        <v>45531</v>
      </c>
      <c r="C4585">
        <v>2024</v>
      </c>
      <c r="D4585">
        <v>8</v>
      </c>
      <c r="E4585" t="s">
        <v>37</v>
      </c>
      <c r="F4585" t="s">
        <v>14</v>
      </c>
      <c r="G4585" t="s">
        <v>98</v>
      </c>
      <c r="H4585" t="s">
        <v>185</v>
      </c>
      <c r="I4585">
        <v>7324.22</v>
      </c>
      <c r="J4585">
        <v>6921.45</v>
      </c>
      <c r="K4585" t="s">
        <v>17</v>
      </c>
      <c r="L4585" t="b">
        <v>0</v>
      </c>
      <c r="N4585" s="2" t="str">
        <f t="shared" si="409"/>
        <v/>
      </c>
      <c r="Q4585" t="str">
        <f t="shared" si="410"/>
        <v/>
      </c>
    </row>
    <row r="4586" spans="1:17" hidden="1">
      <c r="A4586" t="s">
        <v>4691</v>
      </c>
      <c r="B4586" s="1">
        <v>45531</v>
      </c>
      <c r="C4586">
        <v>2024</v>
      </c>
      <c r="D4586">
        <v>8</v>
      </c>
      <c r="E4586" t="s">
        <v>37</v>
      </c>
      <c r="F4586" t="s">
        <v>28</v>
      </c>
      <c r="G4586" t="s">
        <v>41</v>
      </c>
      <c r="H4586" t="s">
        <v>42</v>
      </c>
      <c r="I4586">
        <v>5096.9799999999996</v>
      </c>
      <c r="J4586">
        <v>5380.78</v>
      </c>
      <c r="K4586" t="s">
        <v>17</v>
      </c>
      <c r="L4586" t="b">
        <v>0</v>
      </c>
      <c r="N4586" s="2" t="str">
        <f t="shared" si="409"/>
        <v/>
      </c>
      <c r="Q4586" t="str">
        <f t="shared" si="410"/>
        <v/>
      </c>
    </row>
    <row r="4587" spans="1:17" hidden="1">
      <c r="A4587" t="s">
        <v>4692</v>
      </c>
      <c r="B4587" s="1">
        <v>45531</v>
      </c>
      <c r="C4587">
        <v>2024</v>
      </c>
      <c r="D4587">
        <v>8</v>
      </c>
      <c r="E4587" t="s">
        <v>37</v>
      </c>
      <c r="F4587" t="s">
        <v>28</v>
      </c>
      <c r="G4587" t="s">
        <v>38</v>
      </c>
      <c r="H4587" t="s">
        <v>39</v>
      </c>
      <c r="I4587">
        <v>6779.94</v>
      </c>
      <c r="J4587">
        <v>7440.19</v>
      </c>
      <c r="K4587" t="s">
        <v>17</v>
      </c>
      <c r="L4587" t="b">
        <v>0</v>
      </c>
      <c r="N4587" s="2" t="str">
        <f t="shared" si="409"/>
        <v/>
      </c>
      <c r="Q4587" t="str">
        <f t="shared" si="410"/>
        <v/>
      </c>
    </row>
    <row r="4588" spans="1:17" hidden="1">
      <c r="A4588" t="s">
        <v>4693</v>
      </c>
      <c r="B4588" s="1">
        <v>45531</v>
      </c>
      <c r="C4588">
        <v>2024</v>
      </c>
      <c r="D4588">
        <v>8</v>
      </c>
      <c r="E4588" t="s">
        <v>37</v>
      </c>
      <c r="F4588" t="s">
        <v>24</v>
      </c>
      <c r="G4588" t="s">
        <v>98</v>
      </c>
      <c r="H4588" t="s">
        <v>99</v>
      </c>
      <c r="I4588">
        <v>5303.26</v>
      </c>
      <c r="J4588">
        <v>5446.35</v>
      </c>
      <c r="K4588" t="s">
        <v>17</v>
      </c>
      <c r="L4588" t="b">
        <v>0</v>
      </c>
      <c r="N4588" s="2" t="str">
        <f t="shared" si="409"/>
        <v/>
      </c>
      <c r="Q4588" t="str">
        <f t="shared" si="410"/>
        <v/>
      </c>
    </row>
    <row r="4589" spans="1:17" hidden="1">
      <c r="A4589" t="s">
        <v>4694</v>
      </c>
      <c r="B4589" s="1">
        <v>45531</v>
      </c>
      <c r="C4589">
        <v>2024</v>
      </c>
      <c r="D4589">
        <v>8</v>
      </c>
      <c r="E4589" t="s">
        <v>37</v>
      </c>
      <c r="F4589" t="s">
        <v>24</v>
      </c>
      <c r="G4589" t="s">
        <v>98</v>
      </c>
      <c r="H4589" t="s">
        <v>99</v>
      </c>
      <c r="I4589">
        <v>4229.66</v>
      </c>
      <c r="J4589">
        <v>4056.93</v>
      </c>
      <c r="K4589" t="s">
        <v>17</v>
      </c>
      <c r="L4589" t="b">
        <v>0</v>
      </c>
      <c r="N4589" s="2" t="str">
        <f t="shared" si="409"/>
        <v/>
      </c>
      <c r="Q4589" t="str">
        <f t="shared" si="410"/>
        <v/>
      </c>
    </row>
    <row r="4590" spans="1:17" hidden="1">
      <c r="A4590" t="s">
        <v>4695</v>
      </c>
      <c r="B4590" s="1">
        <v>45532</v>
      </c>
      <c r="C4590">
        <v>2024</v>
      </c>
      <c r="D4590">
        <v>8</v>
      </c>
      <c r="E4590" t="s">
        <v>47</v>
      </c>
      <c r="F4590" t="s">
        <v>28</v>
      </c>
      <c r="G4590" t="s">
        <v>91</v>
      </c>
      <c r="H4590" t="s">
        <v>92</v>
      </c>
      <c r="I4590">
        <v>9506.81</v>
      </c>
      <c r="J4590">
        <v>7949.26</v>
      </c>
      <c r="K4590" t="s">
        <v>17</v>
      </c>
      <c r="L4590" t="b">
        <v>0</v>
      </c>
      <c r="N4590" s="2" t="b">
        <f t="shared" si="409"/>
        <v>1</v>
      </c>
      <c r="O4590" t="b">
        <f t="shared" ref="O4590:O4592" si="414">IF(AND(E4579="HR",K4579="EXPENSE"),I4579&lt;J4579,"")</f>
        <v>0</v>
      </c>
      <c r="Q4590" t="str">
        <f t="shared" si="410"/>
        <v/>
      </c>
    </row>
    <row r="4591" spans="1:17" hidden="1">
      <c r="A4591" t="s">
        <v>4696</v>
      </c>
      <c r="B4591" s="1">
        <v>45532</v>
      </c>
      <c r="C4591">
        <v>2024</v>
      </c>
      <c r="D4591">
        <v>8</v>
      </c>
      <c r="E4591" t="s">
        <v>47</v>
      </c>
      <c r="F4591" t="s">
        <v>28</v>
      </c>
      <c r="G4591" t="s">
        <v>51</v>
      </c>
      <c r="H4591" t="s">
        <v>189</v>
      </c>
      <c r="I4591">
        <v>17368.87</v>
      </c>
      <c r="J4591">
        <v>14951.29</v>
      </c>
      <c r="K4591" t="s">
        <v>17</v>
      </c>
      <c r="L4591" t="b">
        <v>0</v>
      </c>
      <c r="N4591" s="2" t="b">
        <f t="shared" si="409"/>
        <v>1</v>
      </c>
      <c r="O4591" t="str">
        <f t="shared" si="414"/>
        <v/>
      </c>
      <c r="Q4591" t="str">
        <f t="shared" si="410"/>
        <v/>
      </c>
    </row>
    <row r="4592" spans="1:17" hidden="1">
      <c r="A4592" t="s">
        <v>4697</v>
      </c>
      <c r="B4592" s="1">
        <v>45533</v>
      </c>
      <c r="C4592">
        <v>2024</v>
      </c>
      <c r="D4592">
        <v>8</v>
      </c>
      <c r="E4592" t="s">
        <v>47</v>
      </c>
      <c r="F4592" t="s">
        <v>14</v>
      </c>
      <c r="G4592" t="s">
        <v>48</v>
      </c>
      <c r="H4592" t="s">
        <v>191</v>
      </c>
      <c r="I4592">
        <v>16557.09</v>
      </c>
      <c r="J4592">
        <v>13826.27</v>
      </c>
      <c r="K4592" t="s">
        <v>17</v>
      </c>
      <c r="L4592" t="b">
        <v>0</v>
      </c>
      <c r="N4592" s="2" t="b">
        <f t="shared" si="409"/>
        <v>1</v>
      </c>
      <c r="O4592" t="str">
        <f t="shared" si="414"/>
        <v/>
      </c>
      <c r="Q4592" t="str">
        <f t="shared" si="410"/>
        <v/>
      </c>
    </row>
    <row r="4593" spans="1:17" hidden="1">
      <c r="A4593" t="s">
        <v>4698</v>
      </c>
      <c r="B4593" s="1">
        <v>45533</v>
      </c>
      <c r="C4593">
        <v>2024</v>
      </c>
      <c r="D4593">
        <v>8</v>
      </c>
      <c r="E4593" t="s">
        <v>19</v>
      </c>
      <c r="F4593" t="s">
        <v>28</v>
      </c>
      <c r="G4593" t="s">
        <v>20</v>
      </c>
      <c r="H4593" t="s">
        <v>174</v>
      </c>
      <c r="I4593">
        <v>6166.39</v>
      </c>
      <c r="J4593">
        <v>6135.84</v>
      </c>
      <c r="K4593" t="s">
        <v>17</v>
      </c>
      <c r="L4593" t="b">
        <v>0</v>
      </c>
      <c r="N4593" s="2" t="str">
        <f t="shared" si="409"/>
        <v/>
      </c>
      <c r="Q4593" t="str">
        <f t="shared" si="410"/>
        <v/>
      </c>
    </row>
    <row r="4594" spans="1:17">
      <c r="A4594" t="s">
        <v>4699</v>
      </c>
      <c r="B4594" s="1">
        <v>45533</v>
      </c>
      <c r="C4594">
        <v>2024</v>
      </c>
      <c r="D4594">
        <v>8</v>
      </c>
      <c r="E4594" t="s">
        <v>19</v>
      </c>
      <c r="F4594" t="s">
        <v>28</v>
      </c>
      <c r="G4594" t="s">
        <v>54</v>
      </c>
      <c r="H4594" t="s">
        <v>207</v>
      </c>
      <c r="I4594">
        <v>20611.75</v>
      </c>
      <c r="J4594">
        <v>4081.21</v>
      </c>
      <c r="K4594" t="s">
        <v>17</v>
      </c>
      <c r="L4594" t="b">
        <v>1</v>
      </c>
      <c r="N4594" s="2" t="str">
        <f t="shared" si="409"/>
        <v/>
      </c>
      <c r="Q4594" t="b">
        <f t="shared" si="410"/>
        <v>1</v>
      </c>
    </row>
    <row r="4595" spans="1:17" hidden="1">
      <c r="A4595" t="s">
        <v>4700</v>
      </c>
      <c r="B4595" s="1">
        <v>45533</v>
      </c>
      <c r="C4595">
        <v>2024</v>
      </c>
      <c r="D4595">
        <v>8</v>
      </c>
      <c r="E4595" t="s">
        <v>19</v>
      </c>
      <c r="F4595" t="s">
        <v>24</v>
      </c>
      <c r="G4595" t="s">
        <v>54</v>
      </c>
      <c r="H4595" t="s">
        <v>55</v>
      </c>
      <c r="I4595">
        <v>5496.76</v>
      </c>
      <c r="J4595">
        <v>6031.93</v>
      </c>
      <c r="K4595" t="s">
        <v>17</v>
      </c>
      <c r="L4595" t="b">
        <v>0</v>
      </c>
      <c r="N4595" s="2" t="str">
        <f t="shared" si="409"/>
        <v/>
      </c>
      <c r="Q4595" t="str">
        <f t="shared" si="410"/>
        <v/>
      </c>
    </row>
    <row r="4596" spans="1:17" hidden="1">
      <c r="A4596" t="s">
        <v>4701</v>
      </c>
      <c r="B4596" s="1">
        <v>45533</v>
      </c>
      <c r="C4596">
        <v>2024</v>
      </c>
      <c r="D4596">
        <v>8</v>
      </c>
      <c r="E4596" t="s">
        <v>37</v>
      </c>
      <c r="F4596" t="s">
        <v>14</v>
      </c>
      <c r="G4596" t="s">
        <v>38</v>
      </c>
      <c r="H4596" t="s">
        <v>227</v>
      </c>
      <c r="I4596">
        <v>5358.48</v>
      </c>
      <c r="J4596">
        <v>5012.46</v>
      </c>
      <c r="K4596" t="s">
        <v>17</v>
      </c>
      <c r="L4596" t="b">
        <v>0</v>
      </c>
      <c r="N4596" s="2" t="str">
        <f t="shared" si="409"/>
        <v/>
      </c>
      <c r="Q4596" t="str">
        <f t="shared" si="410"/>
        <v/>
      </c>
    </row>
    <row r="4597" spans="1:17" hidden="1">
      <c r="A4597" t="s">
        <v>4702</v>
      </c>
      <c r="B4597" s="1">
        <v>45533</v>
      </c>
      <c r="C4597">
        <v>2024</v>
      </c>
      <c r="D4597">
        <v>8</v>
      </c>
      <c r="E4597" t="s">
        <v>37</v>
      </c>
      <c r="F4597" t="s">
        <v>14</v>
      </c>
      <c r="G4597" t="s">
        <v>41</v>
      </c>
      <c r="H4597" t="s">
        <v>42</v>
      </c>
      <c r="I4597">
        <v>3684.35</v>
      </c>
      <c r="J4597">
        <v>3873.45</v>
      </c>
      <c r="K4597" t="s">
        <v>17</v>
      </c>
      <c r="L4597" t="b">
        <v>0</v>
      </c>
      <c r="N4597" s="2" t="str">
        <f t="shared" si="409"/>
        <v/>
      </c>
      <c r="Q4597" t="str">
        <f t="shared" si="410"/>
        <v/>
      </c>
    </row>
    <row r="4598" spans="1:17" hidden="1">
      <c r="A4598" t="s">
        <v>4703</v>
      </c>
      <c r="B4598" s="1">
        <v>45533</v>
      </c>
      <c r="C4598">
        <v>2024</v>
      </c>
      <c r="D4598">
        <v>8</v>
      </c>
      <c r="E4598" t="s">
        <v>37</v>
      </c>
      <c r="F4598" t="s">
        <v>28</v>
      </c>
      <c r="G4598" t="s">
        <v>62</v>
      </c>
      <c r="H4598" t="s">
        <v>121</v>
      </c>
      <c r="I4598">
        <v>4506.1899999999996</v>
      </c>
      <c r="J4598">
        <v>4128.82</v>
      </c>
      <c r="K4598" t="s">
        <v>17</v>
      </c>
      <c r="L4598" t="b">
        <v>0</v>
      </c>
      <c r="N4598" s="2" t="str">
        <f t="shared" si="409"/>
        <v/>
      </c>
      <c r="Q4598" t="str">
        <f t="shared" si="410"/>
        <v/>
      </c>
    </row>
    <row r="4599" spans="1:17" hidden="1">
      <c r="A4599" t="s">
        <v>4704</v>
      </c>
      <c r="B4599" s="1">
        <v>45534</v>
      </c>
      <c r="C4599">
        <v>2024</v>
      </c>
      <c r="D4599">
        <v>8</v>
      </c>
      <c r="E4599" t="s">
        <v>13</v>
      </c>
      <c r="F4599" t="s">
        <v>28</v>
      </c>
      <c r="G4599" t="s">
        <v>68</v>
      </c>
      <c r="H4599" t="s">
        <v>69</v>
      </c>
      <c r="I4599">
        <v>3619.71</v>
      </c>
      <c r="J4599">
        <v>3410.26</v>
      </c>
      <c r="K4599" t="s">
        <v>17</v>
      </c>
      <c r="L4599" t="b">
        <v>0</v>
      </c>
      <c r="N4599" s="2" t="str">
        <f t="shared" si="409"/>
        <v/>
      </c>
      <c r="Q4599" t="str">
        <f t="shared" si="410"/>
        <v/>
      </c>
    </row>
    <row r="4600" spans="1:17" hidden="1">
      <c r="A4600" t="s">
        <v>4705</v>
      </c>
      <c r="B4600" s="1">
        <v>45534</v>
      </c>
      <c r="C4600">
        <v>2024</v>
      </c>
      <c r="D4600">
        <v>8</v>
      </c>
      <c r="E4600" t="s">
        <v>47</v>
      </c>
      <c r="F4600" t="s">
        <v>14</v>
      </c>
      <c r="G4600" t="s">
        <v>51</v>
      </c>
      <c r="H4600" t="s">
        <v>189</v>
      </c>
      <c r="I4600">
        <v>14173.58</v>
      </c>
      <c r="J4600">
        <v>11804.53</v>
      </c>
      <c r="K4600" t="s">
        <v>17</v>
      </c>
      <c r="L4600" t="b">
        <v>0</v>
      </c>
      <c r="N4600" s="2" t="b">
        <f t="shared" si="409"/>
        <v>1</v>
      </c>
      <c r="O4600" t="str">
        <f>IF(AND(E4589="HR",K4589="EXPENSE"),I4589&lt;J4589,"")</f>
        <v/>
      </c>
      <c r="Q4600" t="str">
        <f t="shared" si="410"/>
        <v/>
      </c>
    </row>
    <row r="4601" spans="1:17" hidden="1">
      <c r="A4601" t="s">
        <v>4706</v>
      </c>
      <c r="B4601" s="1">
        <v>45534</v>
      </c>
      <c r="C4601">
        <v>2024</v>
      </c>
      <c r="D4601">
        <v>8</v>
      </c>
      <c r="E4601" t="s">
        <v>19</v>
      </c>
      <c r="F4601" t="s">
        <v>28</v>
      </c>
      <c r="G4601" t="s">
        <v>54</v>
      </c>
      <c r="H4601" t="s">
        <v>163</v>
      </c>
      <c r="I4601">
        <v>5794.77</v>
      </c>
      <c r="J4601">
        <v>5805.49</v>
      </c>
      <c r="K4601" t="s">
        <v>17</v>
      </c>
      <c r="L4601" t="b">
        <v>0</v>
      </c>
      <c r="N4601" s="2" t="str">
        <f t="shared" si="409"/>
        <v/>
      </c>
      <c r="Q4601" t="str">
        <f t="shared" si="410"/>
        <v/>
      </c>
    </row>
    <row r="4602" spans="1:17" hidden="1">
      <c r="A4602" t="s">
        <v>4707</v>
      </c>
      <c r="B4602" s="1">
        <v>45534</v>
      </c>
      <c r="C4602">
        <v>2024</v>
      </c>
      <c r="D4602">
        <v>8</v>
      </c>
      <c r="E4602" t="s">
        <v>23</v>
      </c>
      <c r="F4602" t="s">
        <v>24</v>
      </c>
      <c r="G4602" t="s">
        <v>30</v>
      </c>
      <c r="H4602" t="s">
        <v>33</v>
      </c>
      <c r="I4602">
        <v>3875.45</v>
      </c>
      <c r="J4602">
        <v>3779.97</v>
      </c>
      <c r="K4602" t="s">
        <v>17</v>
      </c>
      <c r="L4602" t="b">
        <v>0</v>
      </c>
      <c r="N4602" s="2" t="str">
        <f t="shared" si="409"/>
        <v/>
      </c>
      <c r="Q4602" t="str">
        <f t="shared" si="410"/>
        <v/>
      </c>
    </row>
    <row r="4603" spans="1:17" hidden="1">
      <c r="A4603" t="s">
        <v>4708</v>
      </c>
      <c r="B4603" s="1">
        <v>45534</v>
      </c>
      <c r="C4603">
        <v>2024</v>
      </c>
      <c r="D4603">
        <v>8</v>
      </c>
      <c r="E4603" t="s">
        <v>37</v>
      </c>
      <c r="F4603" t="s">
        <v>28</v>
      </c>
      <c r="G4603" t="s">
        <v>41</v>
      </c>
      <c r="H4603" t="s">
        <v>42</v>
      </c>
      <c r="I4603">
        <v>5038.83</v>
      </c>
      <c r="J4603">
        <v>5428.57</v>
      </c>
      <c r="K4603" t="s">
        <v>17</v>
      </c>
      <c r="L4603" t="b">
        <v>0</v>
      </c>
      <c r="N4603" s="2" t="str">
        <f t="shared" si="409"/>
        <v/>
      </c>
      <c r="Q4603" t="str">
        <f t="shared" si="410"/>
        <v/>
      </c>
    </row>
    <row r="4604" spans="1:17" hidden="1">
      <c r="A4604" t="s">
        <v>4709</v>
      </c>
      <c r="B4604" s="1">
        <v>45535</v>
      </c>
      <c r="C4604">
        <v>2024</v>
      </c>
      <c r="D4604">
        <v>8</v>
      </c>
      <c r="E4604" t="s">
        <v>47</v>
      </c>
      <c r="F4604" t="s">
        <v>14</v>
      </c>
      <c r="G4604" t="s">
        <v>91</v>
      </c>
      <c r="H4604" t="s">
        <v>128</v>
      </c>
      <c r="I4604">
        <v>12250.33</v>
      </c>
      <c r="J4604">
        <v>10384.52</v>
      </c>
      <c r="K4604" t="s">
        <v>17</v>
      </c>
      <c r="L4604" t="b">
        <v>0</v>
      </c>
      <c r="N4604" s="2" t="b">
        <f t="shared" si="409"/>
        <v>1</v>
      </c>
      <c r="O4604" t="str">
        <f t="shared" ref="O4604:O4608" si="415">IF(AND(E4593="HR",K4593="EXPENSE"),I4593&lt;J4593,"")</f>
        <v/>
      </c>
      <c r="Q4604" t="str">
        <f t="shared" si="410"/>
        <v/>
      </c>
    </row>
    <row r="4605" spans="1:17" hidden="1">
      <c r="A4605" t="s">
        <v>4710</v>
      </c>
      <c r="B4605" s="1">
        <v>45535</v>
      </c>
      <c r="C4605">
        <v>2024</v>
      </c>
      <c r="D4605">
        <v>8</v>
      </c>
      <c r="E4605" t="s">
        <v>47</v>
      </c>
      <c r="F4605" t="s">
        <v>28</v>
      </c>
      <c r="G4605" t="s">
        <v>51</v>
      </c>
      <c r="H4605" t="s">
        <v>189</v>
      </c>
      <c r="I4605">
        <v>13151.01</v>
      </c>
      <c r="J4605">
        <v>11248.03</v>
      </c>
      <c r="K4605" t="s">
        <v>17</v>
      </c>
      <c r="L4605" t="b">
        <v>0</v>
      </c>
      <c r="N4605" s="2" t="b">
        <f t="shared" si="409"/>
        <v>1</v>
      </c>
      <c r="O4605" t="str">
        <f t="shared" si="415"/>
        <v/>
      </c>
      <c r="Q4605" t="str">
        <f t="shared" si="410"/>
        <v/>
      </c>
    </row>
    <row r="4606" spans="1:17" hidden="1">
      <c r="A4606" t="s">
        <v>4711</v>
      </c>
      <c r="B4606" s="1">
        <v>45535</v>
      </c>
      <c r="C4606">
        <v>2024</v>
      </c>
      <c r="D4606">
        <v>8</v>
      </c>
      <c r="E4606" t="s">
        <v>47</v>
      </c>
      <c r="F4606" t="s">
        <v>24</v>
      </c>
      <c r="G4606" t="s">
        <v>91</v>
      </c>
      <c r="H4606" t="s">
        <v>254</v>
      </c>
      <c r="I4606">
        <v>8674.4</v>
      </c>
      <c r="J4606">
        <v>7110.73</v>
      </c>
      <c r="K4606" t="s">
        <v>17</v>
      </c>
      <c r="L4606" t="b">
        <v>0</v>
      </c>
      <c r="N4606" s="2" t="b">
        <f t="shared" si="409"/>
        <v>1</v>
      </c>
      <c r="O4606" t="str">
        <f t="shared" si="415"/>
        <v/>
      </c>
      <c r="Q4606" t="str">
        <f t="shared" si="410"/>
        <v/>
      </c>
    </row>
    <row r="4607" spans="1:17" hidden="1">
      <c r="A4607" t="s">
        <v>4712</v>
      </c>
      <c r="B4607" s="1">
        <v>45535</v>
      </c>
      <c r="C4607">
        <v>2024</v>
      </c>
      <c r="D4607">
        <v>8</v>
      </c>
      <c r="E4607" t="s">
        <v>47</v>
      </c>
      <c r="F4607" t="s">
        <v>24</v>
      </c>
      <c r="G4607" t="s">
        <v>91</v>
      </c>
      <c r="H4607" t="s">
        <v>92</v>
      </c>
      <c r="I4607">
        <v>11626.3</v>
      </c>
      <c r="J4607">
        <v>9976.35</v>
      </c>
      <c r="K4607" t="s">
        <v>17</v>
      </c>
      <c r="L4607" t="b">
        <v>0</v>
      </c>
      <c r="N4607" s="2" t="b">
        <f t="shared" si="409"/>
        <v>1</v>
      </c>
      <c r="O4607" t="str">
        <f t="shared" si="415"/>
        <v/>
      </c>
      <c r="Q4607" t="str">
        <f t="shared" si="410"/>
        <v/>
      </c>
    </row>
    <row r="4608" spans="1:17" hidden="1">
      <c r="A4608" t="s">
        <v>4713</v>
      </c>
      <c r="B4608" s="1">
        <v>45535</v>
      </c>
      <c r="C4608">
        <v>2024</v>
      </c>
      <c r="D4608">
        <v>8</v>
      </c>
      <c r="E4608" t="s">
        <v>47</v>
      </c>
      <c r="F4608" t="s">
        <v>24</v>
      </c>
      <c r="G4608" t="s">
        <v>48</v>
      </c>
      <c r="H4608" t="s">
        <v>49</v>
      </c>
      <c r="I4608">
        <v>7635.33</v>
      </c>
      <c r="J4608">
        <v>6457.1</v>
      </c>
      <c r="K4608" t="s">
        <v>17</v>
      </c>
      <c r="L4608" t="b">
        <v>0</v>
      </c>
      <c r="N4608" s="2" t="b">
        <f t="shared" si="409"/>
        <v>1</v>
      </c>
      <c r="O4608" t="str">
        <f t="shared" si="415"/>
        <v/>
      </c>
      <c r="Q4608" t="str">
        <f t="shared" si="410"/>
        <v/>
      </c>
    </row>
    <row r="4609" spans="1:17" hidden="1">
      <c r="A4609" t="s">
        <v>4714</v>
      </c>
      <c r="B4609" s="1">
        <v>45535</v>
      </c>
      <c r="C4609">
        <v>2024</v>
      </c>
      <c r="D4609">
        <v>8</v>
      </c>
      <c r="E4609" t="s">
        <v>23</v>
      </c>
      <c r="F4609" t="s">
        <v>24</v>
      </c>
      <c r="G4609" t="s">
        <v>141</v>
      </c>
      <c r="H4609" t="s">
        <v>153</v>
      </c>
      <c r="I4609">
        <v>5850.44</v>
      </c>
      <c r="J4609">
        <v>5962.93</v>
      </c>
      <c r="K4609" t="s">
        <v>17</v>
      </c>
      <c r="L4609" t="b">
        <v>0</v>
      </c>
      <c r="N4609" s="2" t="str">
        <f t="shared" si="409"/>
        <v/>
      </c>
      <c r="Q4609" t="str">
        <f t="shared" si="410"/>
        <v/>
      </c>
    </row>
    <row r="4610" spans="1:17" hidden="1">
      <c r="A4610" t="s">
        <v>4715</v>
      </c>
      <c r="B4610" s="1">
        <v>45535</v>
      </c>
      <c r="C4610">
        <v>2024</v>
      </c>
      <c r="D4610">
        <v>8</v>
      </c>
      <c r="E4610" t="s">
        <v>37</v>
      </c>
      <c r="F4610" t="s">
        <v>14</v>
      </c>
      <c r="G4610" t="s">
        <v>98</v>
      </c>
      <c r="H4610" t="s">
        <v>99</v>
      </c>
      <c r="I4610">
        <v>6291.22</v>
      </c>
      <c r="J4610">
        <v>6051.59</v>
      </c>
      <c r="K4610" t="s">
        <v>17</v>
      </c>
      <c r="L4610" t="b">
        <v>0</v>
      </c>
      <c r="N4610" s="2" t="str">
        <f t="shared" si="409"/>
        <v/>
      </c>
      <c r="Q4610" t="str">
        <f t="shared" si="410"/>
        <v/>
      </c>
    </row>
    <row r="4611" spans="1:17" hidden="1">
      <c r="A4611" t="s">
        <v>4716</v>
      </c>
      <c r="B4611" s="1">
        <v>45535</v>
      </c>
      <c r="C4611">
        <v>2024</v>
      </c>
      <c r="D4611">
        <v>8</v>
      </c>
      <c r="E4611" t="s">
        <v>37</v>
      </c>
      <c r="F4611" t="s">
        <v>28</v>
      </c>
      <c r="G4611" t="s">
        <v>83</v>
      </c>
      <c r="H4611" t="s">
        <v>84</v>
      </c>
      <c r="I4611">
        <v>167444.01</v>
      </c>
      <c r="J4611">
        <v>159071.81</v>
      </c>
      <c r="K4611" t="s">
        <v>85</v>
      </c>
      <c r="L4611" t="b">
        <v>0</v>
      </c>
      <c r="N4611" s="2" t="str">
        <f t="shared" ref="N4611:N4674" si="416">IF(AND(E4611="IT",K4611="EXPENSE"),I4611&gt;J4611,"")</f>
        <v/>
      </c>
      <c r="Q4611" t="str">
        <f t="shared" ref="Q4611:Q4674" si="417">IF(L4611=TRUE,OR(H4611="Apex Solutions Inc",H4611="Global Trade Partners",H4611="NovaTech Services"),"")</f>
        <v/>
      </c>
    </row>
    <row r="4612" spans="1:17" hidden="1">
      <c r="A4612" t="s">
        <v>4717</v>
      </c>
      <c r="B4612" s="1">
        <v>45536</v>
      </c>
      <c r="C4612">
        <v>2024</v>
      </c>
      <c r="D4612">
        <v>9</v>
      </c>
      <c r="E4612" t="s">
        <v>47</v>
      </c>
      <c r="F4612" t="s">
        <v>14</v>
      </c>
      <c r="G4612" t="s">
        <v>77</v>
      </c>
      <c r="H4612" t="s">
        <v>147</v>
      </c>
      <c r="I4612">
        <v>6416.89</v>
      </c>
      <c r="J4612">
        <v>5296.39</v>
      </c>
      <c r="K4612" t="s">
        <v>17</v>
      </c>
      <c r="L4612" t="b">
        <v>0</v>
      </c>
      <c r="N4612" s="2" t="b">
        <f t="shared" si="416"/>
        <v>1</v>
      </c>
      <c r="O4612" t="str">
        <f t="shared" ref="O4612:O4613" si="418">IF(AND(E4601="HR",K4601="EXPENSE"),I4601&lt;J4601,"")</f>
        <v/>
      </c>
      <c r="Q4612" t="str">
        <f t="shared" si="417"/>
        <v/>
      </c>
    </row>
    <row r="4613" spans="1:17" hidden="1">
      <c r="A4613" t="s">
        <v>4718</v>
      </c>
      <c r="B4613" s="1">
        <v>45536</v>
      </c>
      <c r="C4613">
        <v>2024</v>
      </c>
      <c r="D4613">
        <v>9</v>
      </c>
      <c r="E4613" t="s">
        <v>47</v>
      </c>
      <c r="F4613" t="s">
        <v>24</v>
      </c>
      <c r="G4613" t="s">
        <v>51</v>
      </c>
      <c r="H4613" t="s">
        <v>72</v>
      </c>
      <c r="I4613">
        <v>10576.99</v>
      </c>
      <c r="J4613">
        <v>8859.9599999999991</v>
      </c>
      <c r="K4613" t="s">
        <v>17</v>
      </c>
      <c r="L4613" t="b">
        <v>0</v>
      </c>
      <c r="N4613" s="2" t="b">
        <f t="shared" si="416"/>
        <v>1</v>
      </c>
      <c r="O4613" t="str">
        <f t="shared" si="418"/>
        <v/>
      </c>
      <c r="Q4613" t="str">
        <f t="shared" si="417"/>
        <v/>
      </c>
    </row>
    <row r="4614" spans="1:17" hidden="1">
      <c r="A4614" t="s">
        <v>4719</v>
      </c>
      <c r="B4614" s="1">
        <v>45536</v>
      </c>
      <c r="C4614">
        <v>2024</v>
      </c>
      <c r="D4614">
        <v>9</v>
      </c>
      <c r="E4614" t="s">
        <v>19</v>
      </c>
      <c r="F4614" t="s">
        <v>28</v>
      </c>
      <c r="G4614" t="s">
        <v>132</v>
      </c>
      <c r="H4614" t="s">
        <v>171</v>
      </c>
      <c r="I4614">
        <v>6976.32</v>
      </c>
      <c r="J4614">
        <v>6735.2</v>
      </c>
      <c r="K4614" t="s">
        <v>17</v>
      </c>
      <c r="L4614" t="b">
        <v>0</v>
      </c>
      <c r="N4614" s="2" t="str">
        <f t="shared" si="416"/>
        <v/>
      </c>
      <c r="Q4614" t="str">
        <f t="shared" si="417"/>
        <v/>
      </c>
    </row>
    <row r="4615" spans="1:17" hidden="1">
      <c r="A4615" t="s">
        <v>4720</v>
      </c>
      <c r="B4615" s="1">
        <v>45536</v>
      </c>
      <c r="C4615">
        <v>2024</v>
      </c>
      <c r="D4615">
        <v>9</v>
      </c>
      <c r="E4615" t="s">
        <v>23</v>
      </c>
      <c r="F4615" t="s">
        <v>24</v>
      </c>
      <c r="G4615" t="s">
        <v>59</v>
      </c>
      <c r="H4615" t="s">
        <v>60</v>
      </c>
      <c r="I4615">
        <v>3752.06</v>
      </c>
      <c r="J4615">
        <v>3943.06</v>
      </c>
      <c r="K4615" t="s">
        <v>17</v>
      </c>
      <c r="L4615" t="b">
        <v>0</v>
      </c>
      <c r="N4615" s="2" t="str">
        <f t="shared" si="416"/>
        <v/>
      </c>
      <c r="Q4615" t="str">
        <f t="shared" si="417"/>
        <v/>
      </c>
    </row>
    <row r="4616" spans="1:17" hidden="1">
      <c r="A4616" t="s">
        <v>4721</v>
      </c>
      <c r="B4616" s="1">
        <v>45536</v>
      </c>
      <c r="C4616">
        <v>2024</v>
      </c>
      <c r="D4616">
        <v>9</v>
      </c>
      <c r="E4616" t="s">
        <v>23</v>
      </c>
      <c r="F4616" t="s">
        <v>24</v>
      </c>
      <c r="G4616" t="s">
        <v>30</v>
      </c>
      <c r="H4616" t="s">
        <v>33</v>
      </c>
      <c r="I4616">
        <v>6402.57</v>
      </c>
      <c r="J4616">
        <v>6686.37</v>
      </c>
      <c r="K4616" t="s">
        <v>17</v>
      </c>
      <c r="L4616" t="b">
        <v>0</v>
      </c>
      <c r="N4616" s="2" t="str">
        <f t="shared" si="416"/>
        <v/>
      </c>
      <c r="Q4616" t="str">
        <f t="shared" si="417"/>
        <v/>
      </c>
    </row>
    <row r="4617" spans="1:17" hidden="1">
      <c r="A4617" t="s">
        <v>4722</v>
      </c>
      <c r="B4617" s="1">
        <v>45536</v>
      </c>
      <c r="C4617">
        <v>2024</v>
      </c>
      <c r="D4617">
        <v>9</v>
      </c>
      <c r="E4617" t="s">
        <v>37</v>
      </c>
      <c r="F4617" t="s">
        <v>24</v>
      </c>
      <c r="G4617" t="s">
        <v>98</v>
      </c>
      <c r="H4617" t="s">
        <v>99</v>
      </c>
      <c r="I4617">
        <v>4981.58</v>
      </c>
      <c r="J4617">
        <v>4547.96</v>
      </c>
      <c r="K4617" t="s">
        <v>17</v>
      </c>
      <c r="L4617" t="b">
        <v>0</v>
      </c>
      <c r="N4617" s="2" t="str">
        <f t="shared" si="416"/>
        <v/>
      </c>
      <c r="Q4617" t="str">
        <f t="shared" si="417"/>
        <v/>
      </c>
    </row>
    <row r="4618" spans="1:17" hidden="1">
      <c r="A4618" t="s">
        <v>4723</v>
      </c>
      <c r="B4618" s="1">
        <v>45536</v>
      </c>
      <c r="C4618">
        <v>2024</v>
      </c>
      <c r="D4618">
        <v>9</v>
      </c>
      <c r="E4618" t="s">
        <v>37</v>
      </c>
      <c r="F4618" t="s">
        <v>14</v>
      </c>
      <c r="G4618" t="s">
        <v>83</v>
      </c>
      <c r="H4618" t="s">
        <v>84</v>
      </c>
      <c r="I4618">
        <v>258469.11</v>
      </c>
      <c r="J4618">
        <v>245545.66</v>
      </c>
      <c r="K4618" t="s">
        <v>85</v>
      </c>
      <c r="L4618" t="b">
        <v>0</v>
      </c>
      <c r="N4618" s="2" t="str">
        <f t="shared" si="416"/>
        <v/>
      </c>
      <c r="Q4618" t="str">
        <f t="shared" si="417"/>
        <v/>
      </c>
    </row>
    <row r="4619" spans="1:17" hidden="1">
      <c r="A4619" t="s">
        <v>4724</v>
      </c>
      <c r="B4619" s="1">
        <v>45537</v>
      </c>
      <c r="C4619">
        <v>2024</v>
      </c>
      <c r="D4619">
        <v>9</v>
      </c>
      <c r="E4619" t="s">
        <v>13</v>
      </c>
      <c r="F4619" t="s">
        <v>24</v>
      </c>
      <c r="G4619" t="s">
        <v>102</v>
      </c>
      <c r="H4619" t="s">
        <v>145</v>
      </c>
      <c r="I4619">
        <v>3744.75</v>
      </c>
      <c r="J4619">
        <v>3638.97</v>
      </c>
      <c r="K4619" t="s">
        <v>17</v>
      </c>
      <c r="L4619" t="b">
        <v>0</v>
      </c>
      <c r="N4619" s="2" t="str">
        <f t="shared" si="416"/>
        <v/>
      </c>
      <c r="Q4619" t="str">
        <f t="shared" si="417"/>
        <v/>
      </c>
    </row>
    <row r="4620" spans="1:17" hidden="1">
      <c r="A4620" t="s">
        <v>4725</v>
      </c>
      <c r="B4620" s="1">
        <v>45537</v>
      </c>
      <c r="C4620">
        <v>2024</v>
      </c>
      <c r="D4620">
        <v>9</v>
      </c>
      <c r="E4620" t="s">
        <v>13</v>
      </c>
      <c r="F4620" t="s">
        <v>24</v>
      </c>
      <c r="G4620" t="s">
        <v>102</v>
      </c>
      <c r="H4620" t="s">
        <v>145</v>
      </c>
      <c r="I4620">
        <v>3446.63</v>
      </c>
      <c r="J4620">
        <v>3498.4</v>
      </c>
      <c r="K4620" t="s">
        <v>17</v>
      </c>
      <c r="L4620" t="b">
        <v>0</v>
      </c>
      <c r="N4620" s="2" t="str">
        <f t="shared" si="416"/>
        <v/>
      </c>
      <c r="Q4620" t="str">
        <f t="shared" si="417"/>
        <v/>
      </c>
    </row>
    <row r="4621" spans="1:17" hidden="1">
      <c r="A4621" t="s">
        <v>4726</v>
      </c>
      <c r="B4621" s="1">
        <v>45537</v>
      </c>
      <c r="C4621">
        <v>2024</v>
      </c>
      <c r="D4621">
        <v>9</v>
      </c>
      <c r="E4621" t="s">
        <v>47</v>
      </c>
      <c r="F4621" t="s">
        <v>14</v>
      </c>
      <c r="G4621" t="s">
        <v>91</v>
      </c>
      <c r="H4621" t="s">
        <v>249</v>
      </c>
      <c r="I4621">
        <v>17103.45</v>
      </c>
      <c r="J4621">
        <v>14777.42</v>
      </c>
      <c r="K4621" t="s">
        <v>17</v>
      </c>
      <c r="L4621" t="b">
        <v>0</v>
      </c>
      <c r="N4621" s="2" t="b">
        <f t="shared" si="416"/>
        <v>1</v>
      </c>
      <c r="O4621" t="str">
        <f>IF(AND(E4610="HR",K4610="EXPENSE"),I4610&lt;J4610,"")</f>
        <v/>
      </c>
      <c r="Q4621" t="str">
        <f t="shared" si="417"/>
        <v/>
      </c>
    </row>
    <row r="4622" spans="1:17" hidden="1">
      <c r="A4622" t="s">
        <v>4727</v>
      </c>
      <c r="B4622" s="1">
        <v>45537</v>
      </c>
      <c r="C4622">
        <v>2024</v>
      </c>
      <c r="D4622">
        <v>9</v>
      </c>
      <c r="E4622" t="s">
        <v>19</v>
      </c>
      <c r="F4622" t="s">
        <v>24</v>
      </c>
      <c r="G4622" t="s">
        <v>20</v>
      </c>
      <c r="H4622" t="s">
        <v>21</v>
      </c>
      <c r="I4622">
        <v>6966.66</v>
      </c>
      <c r="J4622">
        <v>7194.41</v>
      </c>
      <c r="K4622" t="s">
        <v>17</v>
      </c>
      <c r="L4622" t="b">
        <v>0</v>
      </c>
      <c r="N4622" s="2" t="str">
        <f t="shared" si="416"/>
        <v/>
      </c>
      <c r="Q4622" t="str">
        <f t="shared" si="417"/>
        <v/>
      </c>
    </row>
    <row r="4623" spans="1:17" hidden="1">
      <c r="A4623" t="s">
        <v>4728</v>
      </c>
      <c r="B4623" s="1">
        <v>45537</v>
      </c>
      <c r="C4623">
        <v>2024</v>
      </c>
      <c r="D4623">
        <v>9</v>
      </c>
      <c r="E4623" t="s">
        <v>23</v>
      </c>
      <c r="F4623" t="s">
        <v>28</v>
      </c>
      <c r="G4623" t="s">
        <v>59</v>
      </c>
      <c r="H4623" t="s">
        <v>60</v>
      </c>
      <c r="I4623">
        <v>5805.49</v>
      </c>
      <c r="J4623">
        <v>5344.55</v>
      </c>
      <c r="K4623" t="s">
        <v>17</v>
      </c>
      <c r="L4623" t="b">
        <v>0</v>
      </c>
      <c r="N4623" s="2" t="str">
        <f t="shared" si="416"/>
        <v/>
      </c>
      <c r="Q4623" t="str">
        <f t="shared" si="417"/>
        <v/>
      </c>
    </row>
    <row r="4624" spans="1:17" hidden="1">
      <c r="A4624" t="s">
        <v>4729</v>
      </c>
      <c r="B4624" s="1">
        <v>45537</v>
      </c>
      <c r="C4624">
        <v>2024</v>
      </c>
      <c r="D4624">
        <v>9</v>
      </c>
      <c r="E4624" t="s">
        <v>37</v>
      </c>
      <c r="F4624" t="s">
        <v>14</v>
      </c>
      <c r="G4624" t="s">
        <v>41</v>
      </c>
      <c r="H4624" t="s">
        <v>42</v>
      </c>
      <c r="I4624">
        <v>5806.23</v>
      </c>
      <c r="J4624">
        <v>6354.39</v>
      </c>
      <c r="K4624" t="s">
        <v>17</v>
      </c>
      <c r="L4624" t="b">
        <v>0</v>
      </c>
      <c r="N4624" s="2" t="str">
        <f t="shared" si="416"/>
        <v/>
      </c>
      <c r="Q4624" t="str">
        <f t="shared" si="417"/>
        <v/>
      </c>
    </row>
    <row r="4625" spans="1:17" hidden="1">
      <c r="A4625" t="s">
        <v>4730</v>
      </c>
      <c r="B4625" s="1">
        <v>45537</v>
      </c>
      <c r="C4625">
        <v>2024</v>
      </c>
      <c r="D4625">
        <v>9</v>
      </c>
      <c r="E4625" t="s">
        <v>37</v>
      </c>
      <c r="F4625" t="s">
        <v>14</v>
      </c>
      <c r="G4625" t="s">
        <v>41</v>
      </c>
      <c r="H4625" t="s">
        <v>42</v>
      </c>
      <c r="I4625">
        <v>6031.11</v>
      </c>
      <c r="J4625">
        <v>6144.03</v>
      </c>
      <c r="K4625" t="s">
        <v>17</v>
      </c>
      <c r="L4625" t="b">
        <v>0</v>
      </c>
      <c r="N4625" s="2" t="str">
        <f t="shared" si="416"/>
        <v/>
      </c>
      <c r="Q4625" t="str">
        <f t="shared" si="417"/>
        <v/>
      </c>
    </row>
    <row r="4626" spans="1:17" hidden="1">
      <c r="A4626" t="s">
        <v>4731</v>
      </c>
      <c r="B4626" s="1">
        <v>45538</v>
      </c>
      <c r="C4626">
        <v>2024</v>
      </c>
      <c r="D4626">
        <v>9</v>
      </c>
      <c r="E4626" t="s">
        <v>13</v>
      </c>
      <c r="F4626" t="s">
        <v>14</v>
      </c>
      <c r="G4626" t="s">
        <v>68</v>
      </c>
      <c r="H4626" t="s">
        <v>213</v>
      </c>
      <c r="I4626">
        <v>3358</v>
      </c>
      <c r="J4626">
        <v>3428.9</v>
      </c>
      <c r="K4626" t="s">
        <v>17</v>
      </c>
      <c r="L4626" t="b">
        <v>0</v>
      </c>
      <c r="N4626" s="2" t="str">
        <f t="shared" si="416"/>
        <v/>
      </c>
      <c r="Q4626" t="str">
        <f t="shared" si="417"/>
        <v/>
      </c>
    </row>
    <row r="4627" spans="1:17" hidden="1">
      <c r="A4627" t="s">
        <v>4732</v>
      </c>
      <c r="B4627" s="1">
        <v>45538</v>
      </c>
      <c r="C4627">
        <v>2024</v>
      </c>
      <c r="D4627">
        <v>9</v>
      </c>
      <c r="E4627" t="s">
        <v>13</v>
      </c>
      <c r="F4627" t="s">
        <v>24</v>
      </c>
      <c r="G4627" t="s">
        <v>102</v>
      </c>
      <c r="H4627" t="s">
        <v>278</v>
      </c>
      <c r="I4627">
        <v>5057.97</v>
      </c>
      <c r="J4627">
        <v>5472.08</v>
      </c>
      <c r="K4627" t="s">
        <v>17</v>
      </c>
      <c r="L4627" t="b">
        <v>0</v>
      </c>
      <c r="N4627" s="2" t="str">
        <f t="shared" si="416"/>
        <v/>
      </c>
      <c r="Q4627" t="str">
        <f t="shared" si="417"/>
        <v/>
      </c>
    </row>
    <row r="4628" spans="1:17" hidden="1">
      <c r="A4628" t="s">
        <v>4733</v>
      </c>
      <c r="B4628" s="1">
        <v>45538</v>
      </c>
      <c r="C4628">
        <v>2024</v>
      </c>
      <c r="D4628">
        <v>9</v>
      </c>
      <c r="E4628" t="s">
        <v>47</v>
      </c>
      <c r="F4628" t="s">
        <v>28</v>
      </c>
      <c r="G4628" t="s">
        <v>51</v>
      </c>
      <c r="H4628" t="s">
        <v>189</v>
      </c>
      <c r="I4628">
        <v>8815.64</v>
      </c>
      <c r="J4628">
        <v>7235.41</v>
      </c>
      <c r="K4628" t="s">
        <v>17</v>
      </c>
      <c r="L4628" t="b">
        <v>0</v>
      </c>
      <c r="N4628" s="2" t="b">
        <f t="shared" si="416"/>
        <v>1</v>
      </c>
      <c r="O4628" t="str">
        <f>IF(AND(E4617="HR",K4617="EXPENSE"),I4617&lt;J4617,"")</f>
        <v/>
      </c>
      <c r="Q4628" t="str">
        <f t="shared" si="417"/>
        <v/>
      </c>
    </row>
    <row r="4629" spans="1:17" hidden="1">
      <c r="A4629" t="s">
        <v>4734</v>
      </c>
      <c r="B4629" s="1">
        <v>45538</v>
      </c>
      <c r="C4629">
        <v>2024</v>
      </c>
      <c r="D4629">
        <v>9</v>
      </c>
      <c r="E4629" t="s">
        <v>19</v>
      </c>
      <c r="F4629" t="s">
        <v>14</v>
      </c>
      <c r="G4629" t="s">
        <v>20</v>
      </c>
      <c r="H4629" t="s">
        <v>174</v>
      </c>
      <c r="I4629">
        <v>8683.9500000000007</v>
      </c>
      <c r="J4629">
        <v>8377.5400000000009</v>
      </c>
      <c r="K4629" t="s">
        <v>17</v>
      </c>
      <c r="L4629" t="b">
        <v>0</v>
      </c>
      <c r="N4629" s="2" t="str">
        <f t="shared" si="416"/>
        <v/>
      </c>
      <c r="Q4629" t="str">
        <f t="shared" si="417"/>
        <v/>
      </c>
    </row>
    <row r="4630" spans="1:17" hidden="1">
      <c r="A4630" t="s">
        <v>4735</v>
      </c>
      <c r="B4630" s="1">
        <v>45538</v>
      </c>
      <c r="C4630">
        <v>2024</v>
      </c>
      <c r="D4630">
        <v>9</v>
      </c>
      <c r="E4630" t="s">
        <v>19</v>
      </c>
      <c r="F4630" t="s">
        <v>24</v>
      </c>
      <c r="G4630" t="s">
        <v>132</v>
      </c>
      <c r="H4630" t="s">
        <v>133</v>
      </c>
      <c r="I4630">
        <v>6782.66</v>
      </c>
      <c r="J4630">
        <v>6383.34</v>
      </c>
      <c r="K4630" t="s">
        <v>17</v>
      </c>
      <c r="L4630" t="b">
        <v>0</v>
      </c>
      <c r="N4630" s="2" t="str">
        <f t="shared" si="416"/>
        <v/>
      </c>
      <c r="Q4630" t="str">
        <f t="shared" si="417"/>
        <v/>
      </c>
    </row>
    <row r="4631" spans="1:17" hidden="1">
      <c r="A4631" t="s">
        <v>4736</v>
      </c>
      <c r="B4631" s="1">
        <v>45538</v>
      </c>
      <c r="C4631">
        <v>2024</v>
      </c>
      <c r="D4631">
        <v>9</v>
      </c>
      <c r="E4631" t="s">
        <v>23</v>
      </c>
      <c r="F4631" t="s">
        <v>28</v>
      </c>
      <c r="G4631" t="s">
        <v>30</v>
      </c>
      <c r="H4631" t="s">
        <v>33</v>
      </c>
      <c r="I4631">
        <v>5619.71</v>
      </c>
      <c r="J4631">
        <v>5418.81</v>
      </c>
      <c r="K4631" t="s">
        <v>17</v>
      </c>
      <c r="L4631" t="b">
        <v>0</v>
      </c>
      <c r="N4631" s="2" t="str">
        <f t="shared" si="416"/>
        <v/>
      </c>
      <c r="Q4631" t="str">
        <f t="shared" si="417"/>
        <v/>
      </c>
    </row>
    <row r="4632" spans="1:17" hidden="1">
      <c r="A4632" t="s">
        <v>4737</v>
      </c>
      <c r="B4632" s="1">
        <v>45538</v>
      </c>
      <c r="C4632">
        <v>2024</v>
      </c>
      <c r="D4632">
        <v>9</v>
      </c>
      <c r="E4632" t="s">
        <v>23</v>
      </c>
      <c r="F4632" t="s">
        <v>24</v>
      </c>
      <c r="G4632" t="s">
        <v>59</v>
      </c>
      <c r="H4632" t="s">
        <v>155</v>
      </c>
      <c r="I4632">
        <v>6740.38</v>
      </c>
      <c r="J4632">
        <v>7026.02</v>
      </c>
      <c r="K4632" t="s">
        <v>17</v>
      </c>
      <c r="L4632" t="b">
        <v>0</v>
      </c>
      <c r="N4632" s="2" t="str">
        <f t="shared" si="416"/>
        <v/>
      </c>
      <c r="Q4632" t="str">
        <f t="shared" si="417"/>
        <v/>
      </c>
    </row>
    <row r="4633" spans="1:17" hidden="1">
      <c r="A4633" t="s">
        <v>4738</v>
      </c>
      <c r="B4633" s="1">
        <v>45538</v>
      </c>
      <c r="C4633">
        <v>2024</v>
      </c>
      <c r="D4633">
        <v>9</v>
      </c>
      <c r="E4633" t="s">
        <v>37</v>
      </c>
      <c r="F4633" t="s">
        <v>14</v>
      </c>
      <c r="G4633" t="s">
        <v>41</v>
      </c>
      <c r="H4633" t="s">
        <v>42</v>
      </c>
      <c r="I4633">
        <v>3261.2</v>
      </c>
      <c r="J4633">
        <v>3586.47</v>
      </c>
      <c r="K4633" t="s">
        <v>17</v>
      </c>
      <c r="L4633" t="b">
        <v>0</v>
      </c>
      <c r="N4633" s="2" t="str">
        <f t="shared" si="416"/>
        <v/>
      </c>
      <c r="Q4633" t="str">
        <f t="shared" si="417"/>
        <v/>
      </c>
    </row>
    <row r="4634" spans="1:17" hidden="1">
      <c r="A4634" t="s">
        <v>4739</v>
      </c>
      <c r="B4634" s="1">
        <v>45538</v>
      </c>
      <c r="C4634">
        <v>2024</v>
      </c>
      <c r="D4634">
        <v>9</v>
      </c>
      <c r="E4634" t="s">
        <v>37</v>
      </c>
      <c r="F4634" t="s">
        <v>24</v>
      </c>
      <c r="G4634" t="s">
        <v>38</v>
      </c>
      <c r="H4634" t="s">
        <v>39</v>
      </c>
      <c r="I4634">
        <v>4046.26</v>
      </c>
      <c r="J4634">
        <v>3861.82</v>
      </c>
      <c r="K4634" t="s">
        <v>17</v>
      </c>
      <c r="L4634" t="b">
        <v>0</v>
      </c>
      <c r="N4634" s="2" t="str">
        <f t="shared" si="416"/>
        <v/>
      </c>
      <c r="Q4634" t="str">
        <f t="shared" si="417"/>
        <v/>
      </c>
    </row>
    <row r="4635" spans="1:17" hidden="1">
      <c r="A4635" t="s">
        <v>4740</v>
      </c>
      <c r="B4635" s="1">
        <v>45538</v>
      </c>
      <c r="C4635">
        <v>2024</v>
      </c>
      <c r="D4635">
        <v>9</v>
      </c>
      <c r="E4635" t="s">
        <v>37</v>
      </c>
      <c r="F4635" t="s">
        <v>24</v>
      </c>
      <c r="G4635" t="s">
        <v>98</v>
      </c>
      <c r="H4635" t="s">
        <v>99</v>
      </c>
      <c r="I4635">
        <v>3935.37</v>
      </c>
      <c r="J4635">
        <v>3704.82</v>
      </c>
      <c r="K4635" t="s">
        <v>17</v>
      </c>
      <c r="L4635" t="b">
        <v>0</v>
      </c>
      <c r="N4635" s="2" t="str">
        <f t="shared" si="416"/>
        <v/>
      </c>
      <c r="Q4635" t="str">
        <f t="shared" si="417"/>
        <v/>
      </c>
    </row>
    <row r="4636" spans="1:17" hidden="1">
      <c r="A4636" t="s">
        <v>4741</v>
      </c>
      <c r="B4636" s="1">
        <v>45539</v>
      </c>
      <c r="C4636">
        <v>2024</v>
      </c>
      <c r="D4636">
        <v>9</v>
      </c>
      <c r="E4636" t="s">
        <v>47</v>
      </c>
      <c r="F4636" t="s">
        <v>24</v>
      </c>
      <c r="G4636" t="s">
        <v>91</v>
      </c>
      <c r="H4636" t="s">
        <v>92</v>
      </c>
      <c r="I4636">
        <v>18360.66</v>
      </c>
      <c r="J4636">
        <v>15666.47</v>
      </c>
      <c r="K4636" t="s">
        <v>17</v>
      </c>
      <c r="L4636" t="b">
        <v>0</v>
      </c>
      <c r="N4636" s="2" t="b">
        <f t="shared" si="416"/>
        <v>1</v>
      </c>
      <c r="O4636" t="str">
        <f>IF(AND(E4625="HR",K4625="EXPENSE"),I4625&lt;J4625,"")</f>
        <v/>
      </c>
      <c r="Q4636" t="str">
        <f t="shared" si="417"/>
        <v/>
      </c>
    </row>
    <row r="4637" spans="1:17" hidden="1">
      <c r="A4637" t="s">
        <v>4742</v>
      </c>
      <c r="B4637" s="1">
        <v>45539</v>
      </c>
      <c r="C4637">
        <v>2024</v>
      </c>
      <c r="D4637">
        <v>9</v>
      </c>
      <c r="E4637" t="s">
        <v>19</v>
      </c>
      <c r="F4637" t="s">
        <v>28</v>
      </c>
      <c r="G4637" t="s">
        <v>54</v>
      </c>
      <c r="H4637" t="s">
        <v>57</v>
      </c>
      <c r="I4637">
        <v>4361.84</v>
      </c>
      <c r="J4637">
        <v>4634.05</v>
      </c>
      <c r="K4637" t="s">
        <v>17</v>
      </c>
      <c r="L4637" t="b">
        <v>0</v>
      </c>
      <c r="N4637" s="2" t="str">
        <f t="shared" si="416"/>
        <v/>
      </c>
      <c r="Q4637" t="str">
        <f t="shared" si="417"/>
        <v/>
      </c>
    </row>
    <row r="4638" spans="1:17" hidden="1">
      <c r="A4638" t="s">
        <v>4743</v>
      </c>
      <c r="B4638" s="1">
        <v>45539</v>
      </c>
      <c r="C4638">
        <v>2024</v>
      </c>
      <c r="D4638">
        <v>9</v>
      </c>
      <c r="E4638" t="s">
        <v>19</v>
      </c>
      <c r="F4638" t="s">
        <v>24</v>
      </c>
      <c r="G4638" t="s">
        <v>80</v>
      </c>
      <c r="H4638" t="s">
        <v>81</v>
      </c>
      <c r="I4638">
        <v>6647.18</v>
      </c>
      <c r="J4638">
        <v>6067.44</v>
      </c>
      <c r="K4638" t="s">
        <v>17</v>
      </c>
      <c r="L4638" t="b">
        <v>0</v>
      </c>
      <c r="N4638" s="2" t="str">
        <f t="shared" si="416"/>
        <v/>
      </c>
      <c r="Q4638" t="str">
        <f t="shared" si="417"/>
        <v/>
      </c>
    </row>
    <row r="4639" spans="1:17" hidden="1">
      <c r="A4639" t="s">
        <v>4744</v>
      </c>
      <c r="B4639" s="1">
        <v>45539</v>
      </c>
      <c r="C4639">
        <v>2024</v>
      </c>
      <c r="D4639">
        <v>9</v>
      </c>
      <c r="E4639" t="s">
        <v>23</v>
      </c>
      <c r="F4639" t="s">
        <v>14</v>
      </c>
      <c r="G4639" t="s">
        <v>25</v>
      </c>
      <c r="H4639" t="s">
        <v>35</v>
      </c>
      <c r="I4639">
        <v>6869.73</v>
      </c>
      <c r="J4639">
        <v>6724.92</v>
      </c>
      <c r="K4639" t="s">
        <v>17</v>
      </c>
      <c r="L4639" t="b">
        <v>0</v>
      </c>
      <c r="N4639" s="2" t="str">
        <f t="shared" si="416"/>
        <v/>
      </c>
      <c r="Q4639" t="str">
        <f t="shared" si="417"/>
        <v/>
      </c>
    </row>
    <row r="4640" spans="1:17" hidden="1">
      <c r="A4640" t="s">
        <v>4745</v>
      </c>
      <c r="B4640" s="1">
        <v>45539</v>
      </c>
      <c r="C4640">
        <v>2024</v>
      </c>
      <c r="D4640">
        <v>9</v>
      </c>
      <c r="E4640" t="s">
        <v>23</v>
      </c>
      <c r="F4640" t="s">
        <v>14</v>
      </c>
      <c r="G4640" t="s">
        <v>25</v>
      </c>
      <c r="H4640" t="s">
        <v>35</v>
      </c>
      <c r="I4640">
        <v>3375.74</v>
      </c>
      <c r="J4640">
        <v>3195.87</v>
      </c>
      <c r="K4640" t="s">
        <v>17</v>
      </c>
      <c r="L4640" t="b">
        <v>0</v>
      </c>
      <c r="N4640" s="2" t="str">
        <f t="shared" si="416"/>
        <v/>
      </c>
      <c r="Q4640" t="str">
        <f t="shared" si="417"/>
        <v/>
      </c>
    </row>
    <row r="4641" spans="1:17" hidden="1">
      <c r="A4641" t="s">
        <v>4746</v>
      </c>
      <c r="B4641" s="1">
        <v>45539</v>
      </c>
      <c r="C4641">
        <v>2024</v>
      </c>
      <c r="D4641">
        <v>9</v>
      </c>
      <c r="E4641" t="s">
        <v>37</v>
      </c>
      <c r="F4641" t="s">
        <v>24</v>
      </c>
      <c r="G4641" t="s">
        <v>98</v>
      </c>
      <c r="H4641" t="s">
        <v>99</v>
      </c>
      <c r="I4641">
        <v>5338.76</v>
      </c>
      <c r="J4641">
        <v>5622.25</v>
      </c>
      <c r="K4641" t="s">
        <v>17</v>
      </c>
      <c r="L4641" t="b">
        <v>0</v>
      </c>
      <c r="N4641" s="2" t="str">
        <f t="shared" si="416"/>
        <v/>
      </c>
      <c r="Q4641" t="str">
        <f t="shared" si="417"/>
        <v/>
      </c>
    </row>
    <row r="4642" spans="1:17" hidden="1">
      <c r="A4642" t="s">
        <v>4747</v>
      </c>
      <c r="B4642" s="1">
        <v>45540</v>
      </c>
      <c r="C4642">
        <v>2024</v>
      </c>
      <c r="D4642">
        <v>9</v>
      </c>
      <c r="E4642" t="s">
        <v>47</v>
      </c>
      <c r="F4642" t="s">
        <v>14</v>
      </c>
      <c r="G4642" t="s">
        <v>77</v>
      </c>
      <c r="H4642" t="s">
        <v>147</v>
      </c>
      <c r="I4642">
        <v>14532.1</v>
      </c>
      <c r="J4642">
        <v>12082.65</v>
      </c>
      <c r="K4642" t="s">
        <v>17</v>
      </c>
      <c r="L4642" t="b">
        <v>0</v>
      </c>
      <c r="N4642" s="2" t="b">
        <f t="shared" si="416"/>
        <v>1</v>
      </c>
      <c r="O4642" t="str">
        <f t="shared" ref="O4642:O4643" si="419">IF(AND(E4631="HR",K4631="EXPENSE"),I4631&lt;J4631,"")</f>
        <v/>
      </c>
      <c r="Q4642" t="str">
        <f t="shared" si="417"/>
        <v/>
      </c>
    </row>
    <row r="4643" spans="1:17" hidden="1">
      <c r="A4643" t="s">
        <v>4748</v>
      </c>
      <c r="B4643" s="1">
        <v>45540</v>
      </c>
      <c r="C4643">
        <v>2024</v>
      </c>
      <c r="D4643">
        <v>9</v>
      </c>
      <c r="E4643" t="s">
        <v>47</v>
      </c>
      <c r="F4643" t="s">
        <v>28</v>
      </c>
      <c r="G4643" t="s">
        <v>48</v>
      </c>
      <c r="H4643" t="s">
        <v>49</v>
      </c>
      <c r="I4643">
        <v>14977.38</v>
      </c>
      <c r="J4643">
        <v>12282.15</v>
      </c>
      <c r="K4643" t="s">
        <v>17</v>
      </c>
      <c r="L4643" t="b">
        <v>0</v>
      </c>
      <c r="N4643" s="2" t="b">
        <f t="shared" si="416"/>
        <v>1</v>
      </c>
      <c r="O4643" t="str">
        <f t="shared" si="419"/>
        <v/>
      </c>
      <c r="Q4643" t="str">
        <f t="shared" si="417"/>
        <v/>
      </c>
    </row>
    <row r="4644" spans="1:17" hidden="1">
      <c r="A4644" t="s">
        <v>4749</v>
      </c>
      <c r="B4644" s="1">
        <v>45540</v>
      </c>
      <c r="C4644">
        <v>2024</v>
      </c>
      <c r="D4644">
        <v>9</v>
      </c>
      <c r="E4644" t="s">
        <v>23</v>
      </c>
      <c r="F4644" t="s">
        <v>14</v>
      </c>
      <c r="G4644" t="s">
        <v>141</v>
      </c>
      <c r="H4644" t="s">
        <v>153</v>
      </c>
      <c r="I4644">
        <v>8247.4699999999993</v>
      </c>
      <c r="J4644">
        <v>7861.86</v>
      </c>
      <c r="K4644" t="s">
        <v>17</v>
      </c>
      <c r="L4644" t="b">
        <v>0</v>
      </c>
      <c r="N4644" s="2" t="str">
        <f t="shared" si="416"/>
        <v/>
      </c>
      <c r="Q4644" t="str">
        <f t="shared" si="417"/>
        <v/>
      </c>
    </row>
    <row r="4645" spans="1:17" hidden="1">
      <c r="A4645" t="s">
        <v>4750</v>
      </c>
      <c r="B4645" s="1">
        <v>45540</v>
      </c>
      <c r="C4645">
        <v>2024</v>
      </c>
      <c r="D4645">
        <v>9</v>
      </c>
      <c r="E4645" t="s">
        <v>23</v>
      </c>
      <c r="F4645" t="s">
        <v>24</v>
      </c>
      <c r="G4645" t="s">
        <v>30</v>
      </c>
      <c r="H4645" t="s">
        <v>106</v>
      </c>
      <c r="I4645">
        <v>7362.9</v>
      </c>
      <c r="J4645">
        <v>7299.55</v>
      </c>
      <c r="K4645" t="s">
        <v>17</v>
      </c>
      <c r="L4645" t="b">
        <v>0</v>
      </c>
      <c r="N4645" s="2" t="str">
        <f t="shared" si="416"/>
        <v/>
      </c>
      <c r="Q4645" t="str">
        <f t="shared" si="417"/>
        <v/>
      </c>
    </row>
    <row r="4646" spans="1:17" hidden="1">
      <c r="A4646" t="s">
        <v>4751</v>
      </c>
      <c r="B4646" s="1">
        <v>45540</v>
      </c>
      <c r="C4646">
        <v>2024</v>
      </c>
      <c r="D4646">
        <v>9</v>
      </c>
      <c r="E4646" t="s">
        <v>37</v>
      </c>
      <c r="F4646" t="s">
        <v>24</v>
      </c>
      <c r="G4646" t="s">
        <v>98</v>
      </c>
      <c r="H4646" t="s">
        <v>185</v>
      </c>
      <c r="I4646">
        <v>3255.04</v>
      </c>
      <c r="J4646">
        <v>3157.03</v>
      </c>
      <c r="K4646" t="s">
        <v>17</v>
      </c>
      <c r="L4646" t="b">
        <v>0</v>
      </c>
      <c r="N4646" s="2" t="str">
        <f t="shared" si="416"/>
        <v/>
      </c>
      <c r="Q4646" t="str">
        <f t="shared" si="417"/>
        <v/>
      </c>
    </row>
    <row r="4647" spans="1:17" hidden="1">
      <c r="A4647" t="s">
        <v>4752</v>
      </c>
      <c r="B4647" s="1">
        <v>45541</v>
      </c>
      <c r="C4647">
        <v>2024</v>
      </c>
      <c r="D4647">
        <v>9</v>
      </c>
      <c r="E4647" t="s">
        <v>13</v>
      </c>
      <c r="F4647" t="s">
        <v>28</v>
      </c>
      <c r="G4647" t="s">
        <v>102</v>
      </c>
      <c r="H4647" t="s">
        <v>103</v>
      </c>
      <c r="I4647">
        <v>4516.5</v>
      </c>
      <c r="J4647">
        <v>4768.16</v>
      </c>
      <c r="K4647" t="s">
        <v>17</v>
      </c>
      <c r="L4647" t="b">
        <v>0</v>
      </c>
      <c r="N4647" s="2" t="str">
        <f t="shared" si="416"/>
        <v/>
      </c>
      <c r="Q4647" t="str">
        <f t="shared" si="417"/>
        <v/>
      </c>
    </row>
    <row r="4648" spans="1:17" hidden="1">
      <c r="A4648" t="s">
        <v>4753</v>
      </c>
      <c r="B4648" s="1">
        <v>45541</v>
      </c>
      <c r="C4648">
        <v>2024</v>
      </c>
      <c r="D4648">
        <v>9</v>
      </c>
      <c r="E4648" t="s">
        <v>13</v>
      </c>
      <c r="F4648" t="s">
        <v>28</v>
      </c>
      <c r="G4648" t="s">
        <v>102</v>
      </c>
      <c r="H4648" t="s">
        <v>103</v>
      </c>
      <c r="I4648">
        <v>4374.5200000000004</v>
      </c>
      <c r="J4648">
        <v>3967.61</v>
      </c>
      <c r="K4648" t="s">
        <v>17</v>
      </c>
      <c r="L4648" t="b">
        <v>0</v>
      </c>
      <c r="N4648" s="2" t="str">
        <f t="shared" si="416"/>
        <v/>
      </c>
      <c r="Q4648" t="str">
        <f t="shared" si="417"/>
        <v/>
      </c>
    </row>
    <row r="4649" spans="1:17" hidden="1">
      <c r="A4649" t="s">
        <v>4754</v>
      </c>
      <c r="B4649" s="1">
        <v>45541</v>
      </c>
      <c r="C4649">
        <v>2024</v>
      </c>
      <c r="D4649">
        <v>9</v>
      </c>
      <c r="E4649" t="s">
        <v>47</v>
      </c>
      <c r="F4649" t="s">
        <v>14</v>
      </c>
      <c r="G4649" t="s">
        <v>77</v>
      </c>
      <c r="H4649" t="s">
        <v>78</v>
      </c>
      <c r="I4649">
        <v>15275.12</v>
      </c>
      <c r="J4649">
        <v>12956.67</v>
      </c>
      <c r="K4649" t="s">
        <v>17</v>
      </c>
      <c r="L4649" t="b">
        <v>0</v>
      </c>
      <c r="N4649" s="2" t="b">
        <f t="shared" si="416"/>
        <v>1</v>
      </c>
      <c r="O4649" t="str">
        <f t="shared" ref="O4649:O4651" si="420">IF(AND(E4638="HR",K4638="EXPENSE"),I4638&lt;J4638,"")</f>
        <v/>
      </c>
      <c r="Q4649" t="str">
        <f t="shared" si="417"/>
        <v/>
      </c>
    </row>
    <row r="4650" spans="1:17" hidden="1">
      <c r="A4650" t="s">
        <v>4755</v>
      </c>
      <c r="B4650" s="1">
        <v>45541</v>
      </c>
      <c r="C4650">
        <v>2024</v>
      </c>
      <c r="D4650">
        <v>9</v>
      </c>
      <c r="E4650" t="s">
        <v>47</v>
      </c>
      <c r="F4650" t="s">
        <v>14</v>
      </c>
      <c r="G4650" t="s">
        <v>51</v>
      </c>
      <c r="H4650" t="s">
        <v>52</v>
      </c>
      <c r="I4650">
        <v>16416.28</v>
      </c>
      <c r="J4650">
        <v>13846.04</v>
      </c>
      <c r="K4650" t="s">
        <v>17</v>
      </c>
      <c r="L4650" t="b">
        <v>0</v>
      </c>
      <c r="N4650" s="2" t="b">
        <f t="shared" si="416"/>
        <v>1</v>
      </c>
      <c r="O4650" t="str">
        <f t="shared" si="420"/>
        <v/>
      </c>
      <c r="Q4650" t="str">
        <f t="shared" si="417"/>
        <v/>
      </c>
    </row>
    <row r="4651" spans="1:17" hidden="1">
      <c r="A4651" t="s">
        <v>4756</v>
      </c>
      <c r="B4651" s="1">
        <v>45541</v>
      </c>
      <c r="C4651">
        <v>2024</v>
      </c>
      <c r="D4651">
        <v>9</v>
      </c>
      <c r="E4651" t="s">
        <v>47</v>
      </c>
      <c r="F4651" t="s">
        <v>28</v>
      </c>
      <c r="G4651" t="s">
        <v>51</v>
      </c>
      <c r="H4651" t="s">
        <v>189</v>
      </c>
      <c r="I4651">
        <v>16277.96</v>
      </c>
      <c r="J4651">
        <v>13974.31</v>
      </c>
      <c r="K4651" t="s">
        <v>17</v>
      </c>
      <c r="L4651" t="b">
        <v>0</v>
      </c>
      <c r="N4651" s="2" t="b">
        <f t="shared" si="416"/>
        <v>1</v>
      </c>
      <c r="O4651" t="str">
        <f t="shared" si="420"/>
        <v/>
      </c>
      <c r="Q4651" t="str">
        <f t="shared" si="417"/>
        <v/>
      </c>
    </row>
    <row r="4652" spans="1:17" hidden="1">
      <c r="A4652" t="s">
        <v>4757</v>
      </c>
      <c r="B4652" s="1">
        <v>45541</v>
      </c>
      <c r="C4652">
        <v>2024</v>
      </c>
      <c r="D4652">
        <v>9</v>
      </c>
      <c r="E4652" t="s">
        <v>19</v>
      </c>
      <c r="F4652" t="s">
        <v>28</v>
      </c>
      <c r="G4652" t="s">
        <v>132</v>
      </c>
      <c r="H4652" t="s">
        <v>171</v>
      </c>
      <c r="I4652">
        <v>7794.82</v>
      </c>
      <c r="J4652">
        <v>7409.26</v>
      </c>
      <c r="K4652" t="s">
        <v>17</v>
      </c>
      <c r="L4652" t="b">
        <v>0</v>
      </c>
      <c r="N4652" s="2" t="str">
        <f t="shared" si="416"/>
        <v/>
      </c>
      <c r="Q4652" t="str">
        <f t="shared" si="417"/>
        <v/>
      </c>
    </row>
    <row r="4653" spans="1:17" hidden="1">
      <c r="A4653" t="s">
        <v>4758</v>
      </c>
      <c r="B4653" s="1">
        <v>45541</v>
      </c>
      <c r="C4653">
        <v>2024</v>
      </c>
      <c r="D4653">
        <v>9</v>
      </c>
      <c r="E4653" t="s">
        <v>19</v>
      </c>
      <c r="F4653" t="s">
        <v>24</v>
      </c>
      <c r="G4653" t="s">
        <v>80</v>
      </c>
      <c r="H4653" t="s">
        <v>217</v>
      </c>
      <c r="I4653">
        <v>6595.94</v>
      </c>
      <c r="J4653">
        <v>7085.72</v>
      </c>
      <c r="K4653" t="s">
        <v>17</v>
      </c>
      <c r="L4653" t="b">
        <v>0</v>
      </c>
      <c r="N4653" s="2" t="str">
        <f t="shared" si="416"/>
        <v/>
      </c>
      <c r="Q4653" t="str">
        <f t="shared" si="417"/>
        <v/>
      </c>
    </row>
    <row r="4654" spans="1:17" hidden="1">
      <c r="A4654" t="s">
        <v>4759</v>
      </c>
      <c r="B4654" s="1">
        <v>45541</v>
      </c>
      <c r="C4654">
        <v>2024</v>
      </c>
      <c r="D4654">
        <v>9</v>
      </c>
      <c r="E4654" t="s">
        <v>23</v>
      </c>
      <c r="F4654" t="s">
        <v>14</v>
      </c>
      <c r="G4654" t="s">
        <v>30</v>
      </c>
      <c r="H4654" t="s">
        <v>33</v>
      </c>
      <c r="I4654">
        <v>5507.6</v>
      </c>
      <c r="J4654">
        <v>5277</v>
      </c>
      <c r="K4654" t="s">
        <v>17</v>
      </c>
      <c r="L4654" t="b">
        <v>0</v>
      </c>
      <c r="N4654" s="2" t="str">
        <f t="shared" si="416"/>
        <v/>
      </c>
      <c r="Q4654" t="str">
        <f t="shared" si="417"/>
        <v/>
      </c>
    </row>
    <row r="4655" spans="1:17" hidden="1">
      <c r="A4655" t="s">
        <v>4760</v>
      </c>
      <c r="B4655" s="1">
        <v>45541</v>
      </c>
      <c r="C4655">
        <v>2024</v>
      </c>
      <c r="D4655">
        <v>9</v>
      </c>
      <c r="E4655" t="s">
        <v>37</v>
      </c>
      <c r="F4655" t="s">
        <v>28</v>
      </c>
      <c r="G4655" t="s">
        <v>38</v>
      </c>
      <c r="H4655" t="s">
        <v>118</v>
      </c>
      <c r="I4655">
        <v>4537.84</v>
      </c>
      <c r="J4655">
        <v>4714.78</v>
      </c>
      <c r="K4655" t="s">
        <v>17</v>
      </c>
      <c r="L4655" t="b">
        <v>0</v>
      </c>
      <c r="N4655" s="2" t="str">
        <f t="shared" si="416"/>
        <v/>
      </c>
      <c r="Q4655" t="str">
        <f t="shared" si="417"/>
        <v/>
      </c>
    </row>
    <row r="4656" spans="1:17" hidden="1">
      <c r="A4656" t="s">
        <v>4761</v>
      </c>
      <c r="B4656" s="1">
        <v>45542</v>
      </c>
      <c r="C4656">
        <v>2024</v>
      </c>
      <c r="D4656">
        <v>9</v>
      </c>
      <c r="E4656" t="s">
        <v>13</v>
      </c>
      <c r="F4656" t="s">
        <v>14</v>
      </c>
      <c r="G4656" t="s">
        <v>15</v>
      </c>
      <c r="H4656" t="s">
        <v>89</v>
      </c>
      <c r="I4656">
        <v>5035.2</v>
      </c>
      <c r="J4656">
        <v>5484.18</v>
      </c>
      <c r="K4656" t="s">
        <v>17</v>
      </c>
      <c r="L4656" t="b">
        <v>0</v>
      </c>
      <c r="N4656" s="2" t="str">
        <f t="shared" si="416"/>
        <v/>
      </c>
      <c r="Q4656" t="str">
        <f t="shared" si="417"/>
        <v/>
      </c>
    </row>
    <row r="4657" spans="1:17" hidden="1">
      <c r="A4657" t="s">
        <v>4762</v>
      </c>
      <c r="B4657" s="1">
        <v>45542</v>
      </c>
      <c r="C4657">
        <v>2024</v>
      </c>
      <c r="D4657">
        <v>9</v>
      </c>
      <c r="E4657" t="s">
        <v>47</v>
      </c>
      <c r="F4657" t="s">
        <v>14</v>
      </c>
      <c r="G4657" t="s">
        <v>91</v>
      </c>
      <c r="H4657" t="s">
        <v>128</v>
      </c>
      <c r="I4657">
        <v>15557.23</v>
      </c>
      <c r="J4657">
        <v>12760.62</v>
      </c>
      <c r="K4657" t="s">
        <v>17</v>
      </c>
      <c r="L4657" t="b">
        <v>0</v>
      </c>
      <c r="N4657" s="2" t="b">
        <f t="shared" si="416"/>
        <v>1</v>
      </c>
      <c r="O4657" t="str">
        <f t="shared" ref="O4657:O4659" si="421">IF(AND(E4646="HR",K4646="EXPENSE"),I4646&lt;J4646,"")</f>
        <v/>
      </c>
      <c r="Q4657" t="str">
        <f t="shared" si="417"/>
        <v/>
      </c>
    </row>
    <row r="4658" spans="1:17" hidden="1">
      <c r="A4658" t="s">
        <v>4763</v>
      </c>
      <c r="B4658" s="1">
        <v>45542</v>
      </c>
      <c r="C4658">
        <v>2024</v>
      </c>
      <c r="D4658">
        <v>9</v>
      </c>
      <c r="E4658" t="s">
        <v>47</v>
      </c>
      <c r="F4658" t="s">
        <v>28</v>
      </c>
      <c r="G4658" t="s">
        <v>91</v>
      </c>
      <c r="H4658" t="s">
        <v>254</v>
      </c>
      <c r="I4658">
        <v>15227.86</v>
      </c>
      <c r="J4658">
        <v>12861.54</v>
      </c>
      <c r="K4658" t="s">
        <v>17</v>
      </c>
      <c r="L4658" t="b">
        <v>0</v>
      </c>
      <c r="N4658" s="2" t="b">
        <f t="shared" si="416"/>
        <v>1</v>
      </c>
      <c r="O4658" t="b">
        <f t="shared" si="421"/>
        <v>1</v>
      </c>
      <c r="Q4658" t="str">
        <f t="shared" si="417"/>
        <v/>
      </c>
    </row>
    <row r="4659" spans="1:17" hidden="1">
      <c r="A4659" t="s">
        <v>4764</v>
      </c>
      <c r="B4659" s="1">
        <v>45542</v>
      </c>
      <c r="C4659">
        <v>2024</v>
      </c>
      <c r="D4659">
        <v>9</v>
      </c>
      <c r="E4659" t="s">
        <v>47</v>
      </c>
      <c r="F4659" t="s">
        <v>24</v>
      </c>
      <c r="G4659" t="s">
        <v>91</v>
      </c>
      <c r="H4659" t="s">
        <v>254</v>
      </c>
      <c r="I4659">
        <v>14301.16</v>
      </c>
      <c r="J4659">
        <v>11998.2</v>
      </c>
      <c r="K4659" t="s">
        <v>17</v>
      </c>
      <c r="L4659" t="b">
        <v>0</v>
      </c>
      <c r="N4659" s="2" t="b">
        <f t="shared" si="416"/>
        <v>1</v>
      </c>
      <c r="O4659" t="b">
        <f t="shared" si="421"/>
        <v>0</v>
      </c>
      <c r="Q4659" t="str">
        <f t="shared" si="417"/>
        <v/>
      </c>
    </row>
    <row r="4660" spans="1:17" hidden="1">
      <c r="A4660" t="s">
        <v>4765</v>
      </c>
      <c r="B4660" s="1">
        <v>45542</v>
      </c>
      <c r="C4660">
        <v>2024</v>
      </c>
      <c r="D4660">
        <v>9</v>
      </c>
      <c r="E4660" t="s">
        <v>19</v>
      </c>
      <c r="F4660" t="s">
        <v>28</v>
      </c>
      <c r="G4660" t="s">
        <v>54</v>
      </c>
      <c r="H4660" t="s">
        <v>55</v>
      </c>
      <c r="I4660">
        <v>6630.91</v>
      </c>
      <c r="J4660">
        <v>6993.8</v>
      </c>
      <c r="K4660" t="s">
        <v>17</v>
      </c>
      <c r="L4660" t="b">
        <v>0</v>
      </c>
      <c r="N4660" s="2" t="str">
        <f t="shared" si="416"/>
        <v/>
      </c>
      <c r="Q4660" t="str">
        <f t="shared" si="417"/>
        <v/>
      </c>
    </row>
    <row r="4661" spans="1:17" hidden="1">
      <c r="A4661" t="s">
        <v>4766</v>
      </c>
      <c r="B4661" s="1">
        <v>45542</v>
      </c>
      <c r="C4661">
        <v>2024</v>
      </c>
      <c r="D4661">
        <v>9</v>
      </c>
      <c r="E4661" t="s">
        <v>37</v>
      </c>
      <c r="F4661" t="s">
        <v>14</v>
      </c>
      <c r="G4661" t="s">
        <v>98</v>
      </c>
      <c r="H4661" t="s">
        <v>99</v>
      </c>
      <c r="I4661">
        <v>6607.78</v>
      </c>
      <c r="J4661">
        <v>6553.29</v>
      </c>
      <c r="K4661" t="s">
        <v>17</v>
      </c>
      <c r="L4661" t="b">
        <v>0</v>
      </c>
      <c r="N4661" s="2" t="str">
        <f t="shared" si="416"/>
        <v/>
      </c>
      <c r="Q4661" t="str">
        <f t="shared" si="417"/>
        <v/>
      </c>
    </row>
    <row r="4662" spans="1:17" hidden="1">
      <c r="A4662" t="s">
        <v>4767</v>
      </c>
      <c r="B4662" s="1">
        <v>45543</v>
      </c>
      <c r="C4662">
        <v>2024</v>
      </c>
      <c r="D4662">
        <v>9</v>
      </c>
      <c r="E4662" t="s">
        <v>19</v>
      </c>
      <c r="F4662" t="s">
        <v>24</v>
      </c>
      <c r="G4662" t="s">
        <v>132</v>
      </c>
      <c r="H4662" t="s">
        <v>133</v>
      </c>
      <c r="I4662">
        <v>8029.84</v>
      </c>
      <c r="J4662">
        <v>7477.8</v>
      </c>
      <c r="K4662" t="s">
        <v>17</v>
      </c>
      <c r="L4662" t="b">
        <v>0</v>
      </c>
      <c r="N4662" s="2" t="str">
        <f t="shared" si="416"/>
        <v/>
      </c>
      <c r="Q4662" t="str">
        <f t="shared" si="417"/>
        <v/>
      </c>
    </row>
    <row r="4663" spans="1:17" hidden="1">
      <c r="A4663" t="s">
        <v>4768</v>
      </c>
      <c r="B4663" s="1">
        <v>45543</v>
      </c>
      <c r="C4663">
        <v>2024</v>
      </c>
      <c r="D4663">
        <v>9</v>
      </c>
      <c r="E4663" t="s">
        <v>23</v>
      </c>
      <c r="F4663" t="s">
        <v>24</v>
      </c>
      <c r="G4663" t="s">
        <v>59</v>
      </c>
      <c r="H4663" t="s">
        <v>155</v>
      </c>
      <c r="I4663">
        <v>6040.97</v>
      </c>
      <c r="J4663">
        <v>6236.57</v>
      </c>
      <c r="K4663" t="s">
        <v>17</v>
      </c>
      <c r="L4663" t="b">
        <v>0</v>
      </c>
      <c r="N4663" s="2" t="str">
        <f t="shared" si="416"/>
        <v/>
      </c>
      <c r="Q4663" t="str">
        <f t="shared" si="417"/>
        <v/>
      </c>
    </row>
    <row r="4664" spans="1:17" hidden="1">
      <c r="A4664" t="s">
        <v>4769</v>
      </c>
      <c r="B4664" s="1">
        <v>45543</v>
      </c>
      <c r="C4664">
        <v>2024</v>
      </c>
      <c r="D4664">
        <v>9</v>
      </c>
      <c r="E4664" t="s">
        <v>37</v>
      </c>
      <c r="F4664" t="s">
        <v>24</v>
      </c>
      <c r="G4664" t="s">
        <v>62</v>
      </c>
      <c r="H4664" t="s">
        <v>63</v>
      </c>
      <c r="I4664">
        <v>5492.31</v>
      </c>
      <c r="J4664">
        <v>5826.68</v>
      </c>
      <c r="K4664" t="s">
        <v>17</v>
      </c>
      <c r="L4664" t="b">
        <v>0</v>
      </c>
      <c r="N4664" s="2" t="str">
        <f t="shared" si="416"/>
        <v/>
      </c>
      <c r="Q4664" t="str">
        <f t="shared" si="417"/>
        <v/>
      </c>
    </row>
    <row r="4665" spans="1:17" hidden="1">
      <c r="A4665" t="s">
        <v>4770</v>
      </c>
      <c r="B4665" s="1">
        <v>45544</v>
      </c>
      <c r="C4665">
        <v>2024</v>
      </c>
      <c r="D4665">
        <v>9</v>
      </c>
      <c r="E4665" t="s">
        <v>13</v>
      </c>
      <c r="F4665" t="s">
        <v>28</v>
      </c>
      <c r="G4665" t="s">
        <v>102</v>
      </c>
      <c r="H4665" t="s">
        <v>103</v>
      </c>
      <c r="I4665">
        <v>6230.32</v>
      </c>
      <c r="J4665">
        <v>6705.48</v>
      </c>
      <c r="K4665" t="s">
        <v>17</v>
      </c>
      <c r="L4665" t="b">
        <v>0</v>
      </c>
      <c r="N4665" s="2" t="str">
        <f t="shared" si="416"/>
        <v/>
      </c>
      <c r="Q4665" t="str">
        <f t="shared" si="417"/>
        <v/>
      </c>
    </row>
    <row r="4666" spans="1:17" hidden="1">
      <c r="A4666" t="s">
        <v>4771</v>
      </c>
      <c r="B4666" s="1">
        <v>45544</v>
      </c>
      <c r="C4666">
        <v>2024</v>
      </c>
      <c r="D4666">
        <v>9</v>
      </c>
      <c r="E4666" t="s">
        <v>13</v>
      </c>
      <c r="F4666" t="s">
        <v>24</v>
      </c>
      <c r="G4666" t="s">
        <v>68</v>
      </c>
      <c r="H4666" t="s">
        <v>213</v>
      </c>
      <c r="I4666">
        <v>4885.63</v>
      </c>
      <c r="J4666">
        <v>4470.67</v>
      </c>
      <c r="K4666" t="s">
        <v>17</v>
      </c>
      <c r="L4666" t="b">
        <v>0</v>
      </c>
      <c r="N4666" s="2" t="str">
        <f t="shared" si="416"/>
        <v/>
      </c>
      <c r="Q4666" t="str">
        <f t="shared" si="417"/>
        <v/>
      </c>
    </row>
    <row r="4667" spans="1:17" hidden="1">
      <c r="A4667" t="s">
        <v>4772</v>
      </c>
      <c r="B4667" s="1">
        <v>45544</v>
      </c>
      <c r="C4667">
        <v>2024</v>
      </c>
      <c r="D4667">
        <v>9</v>
      </c>
      <c r="E4667" t="s">
        <v>47</v>
      </c>
      <c r="F4667" t="s">
        <v>14</v>
      </c>
      <c r="G4667" t="s">
        <v>48</v>
      </c>
      <c r="H4667" t="s">
        <v>189</v>
      </c>
      <c r="I4667">
        <v>18514.03</v>
      </c>
      <c r="J4667">
        <v>15873.65</v>
      </c>
      <c r="K4667" t="s">
        <v>17</v>
      </c>
      <c r="L4667" t="b">
        <v>0</v>
      </c>
      <c r="N4667" s="2" t="b">
        <f t="shared" si="416"/>
        <v>1</v>
      </c>
      <c r="O4667" t="b">
        <f>IF(AND(E4656="HR",K4656="EXPENSE"),I4656&lt;J4656,"")</f>
        <v>1</v>
      </c>
      <c r="Q4667" t="str">
        <f t="shared" si="417"/>
        <v/>
      </c>
    </row>
    <row r="4668" spans="1:17" hidden="1">
      <c r="A4668" t="s">
        <v>4773</v>
      </c>
      <c r="B4668" s="1">
        <v>45544</v>
      </c>
      <c r="C4668">
        <v>2024</v>
      </c>
      <c r="D4668">
        <v>9</v>
      </c>
      <c r="E4668" t="s">
        <v>19</v>
      </c>
      <c r="F4668" t="s">
        <v>28</v>
      </c>
      <c r="G4668" t="s">
        <v>20</v>
      </c>
      <c r="H4668" t="s">
        <v>136</v>
      </c>
      <c r="I4668">
        <v>6146.53</v>
      </c>
      <c r="J4668">
        <v>6484.38</v>
      </c>
      <c r="K4668" t="s">
        <v>17</v>
      </c>
      <c r="L4668" t="b">
        <v>0</v>
      </c>
      <c r="N4668" s="2" t="str">
        <f t="shared" si="416"/>
        <v/>
      </c>
      <c r="Q4668" t="str">
        <f t="shared" si="417"/>
        <v/>
      </c>
    </row>
    <row r="4669" spans="1:17" hidden="1">
      <c r="A4669" t="s">
        <v>4774</v>
      </c>
      <c r="B4669" s="1">
        <v>45544</v>
      </c>
      <c r="C4669">
        <v>2024</v>
      </c>
      <c r="D4669">
        <v>9</v>
      </c>
      <c r="E4669" t="s">
        <v>19</v>
      </c>
      <c r="F4669" t="s">
        <v>28</v>
      </c>
      <c r="G4669" t="s">
        <v>54</v>
      </c>
      <c r="H4669" t="s">
        <v>57</v>
      </c>
      <c r="I4669">
        <v>7990.63</v>
      </c>
      <c r="J4669">
        <v>8535.41</v>
      </c>
      <c r="K4669" t="s">
        <v>17</v>
      </c>
      <c r="L4669" t="b">
        <v>0</v>
      </c>
      <c r="N4669" s="2" t="str">
        <f t="shared" si="416"/>
        <v/>
      </c>
      <c r="Q4669" t="str">
        <f t="shared" si="417"/>
        <v/>
      </c>
    </row>
    <row r="4670" spans="1:17" hidden="1">
      <c r="A4670" t="s">
        <v>4775</v>
      </c>
      <c r="B4670" s="1">
        <v>45544</v>
      </c>
      <c r="C4670">
        <v>2024</v>
      </c>
      <c r="D4670">
        <v>9</v>
      </c>
      <c r="E4670" t="s">
        <v>23</v>
      </c>
      <c r="F4670" t="s">
        <v>14</v>
      </c>
      <c r="G4670" t="s">
        <v>25</v>
      </c>
      <c r="H4670" t="s">
        <v>35</v>
      </c>
      <c r="I4670">
        <v>8371.4599999999991</v>
      </c>
      <c r="J4670">
        <v>8210.7800000000007</v>
      </c>
      <c r="K4670" t="s">
        <v>17</v>
      </c>
      <c r="L4670" t="b">
        <v>0</v>
      </c>
      <c r="N4670" s="2" t="str">
        <f t="shared" si="416"/>
        <v/>
      </c>
      <c r="Q4670" t="str">
        <f t="shared" si="417"/>
        <v/>
      </c>
    </row>
    <row r="4671" spans="1:17" hidden="1">
      <c r="A4671" t="s">
        <v>4776</v>
      </c>
      <c r="B4671" s="1">
        <v>45544</v>
      </c>
      <c r="C4671">
        <v>2024</v>
      </c>
      <c r="D4671">
        <v>9</v>
      </c>
      <c r="E4671" t="s">
        <v>23</v>
      </c>
      <c r="F4671" t="s">
        <v>28</v>
      </c>
      <c r="G4671" t="s">
        <v>141</v>
      </c>
      <c r="H4671" t="s">
        <v>153</v>
      </c>
      <c r="I4671">
        <v>5051.93</v>
      </c>
      <c r="J4671">
        <v>4721.45</v>
      </c>
      <c r="K4671" t="s">
        <v>17</v>
      </c>
      <c r="L4671" t="b">
        <v>0</v>
      </c>
      <c r="N4671" s="2" t="str">
        <f t="shared" si="416"/>
        <v/>
      </c>
      <c r="Q4671" t="str">
        <f t="shared" si="417"/>
        <v/>
      </c>
    </row>
    <row r="4672" spans="1:17" hidden="1">
      <c r="A4672" t="s">
        <v>4777</v>
      </c>
      <c r="B4672" s="1">
        <v>45545</v>
      </c>
      <c r="C4672">
        <v>2024</v>
      </c>
      <c r="D4672">
        <v>9</v>
      </c>
      <c r="E4672" t="s">
        <v>13</v>
      </c>
      <c r="F4672" t="s">
        <v>28</v>
      </c>
      <c r="G4672" t="s">
        <v>102</v>
      </c>
      <c r="H4672" t="s">
        <v>103</v>
      </c>
      <c r="I4672">
        <v>4042.63</v>
      </c>
      <c r="J4672">
        <v>3872.36</v>
      </c>
      <c r="K4672" t="s">
        <v>17</v>
      </c>
      <c r="L4672" t="b">
        <v>0</v>
      </c>
      <c r="N4672" s="2" t="str">
        <f t="shared" si="416"/>
        <v/>
      </c>
      <c r="Q4672" t="str">
        <f t="shared" si="417"/>
        <v/>
      </c>
    </row>
    <row r="4673" spans="1:17" hidden="1">
      <c r="A4673" t="s">
        <v>4778</v>
      </c>
      <c r="B4673" s="1">
        <v>45545</v>
      </c>
      <c r="C4673">
        <v>2024</v>
      </c>
      <c r="D4673">
        <v>9</v>
      </c>
      <c r="E4673" t="s">
        <v>47</v>
      </c>
      <c r="F4673" t="s">
        <v>28</v>
      </c>
      <c r="G4673" t="s">
        <v>77</v>
      </c>
      <c r="H4673" t="s">
        <v>130</v>
      </c>
      <c r="I4673">
        <v>18127.39</v>
      </c>
      <c r="J4673">
        <v>15211.29</v>
      </c>
      <c r="K4673" t="s">
        <v>17</v>
      </c>
      <c r="L4673" t="b">
        <v>0</v>
      </c>
      <c r="N4673" s="2" t="b">
        <f t="shared" si="416"/>
        <v>1</v>
      </c>
      <c r="O4673" t="str">
        <f>IF(AND(E4662="HR",K4662="EXPENSE"),I4662&lt;J4662,"")</f>
        <v/>
      </c>
      <c r="Q4673" t="str">
        <f t="shared" si="417"/>
        <v/>
      </c>
    </row>
    <row r="4674" spans="1:17" hidden="1">
      <c r="A4674" t="s">
        <v>4779</v>
      </c>
      <c r="B4674" s="1">
        <v>45545</v>
      </c>
      <c r="C4674">
        <v>2024</v>
      </c>
      <c r="D4674">
        <v>9</v>
      </c>
      <c r="E4674" t="s">
        <v>19</v>
      </c>
      <c r="F4674" t="s">
        <v>24</v>
      </c>
      <c r="G4674" t="s">
        <v>20</v>
      </c>
      <c r="H4674" t="s">
        <v>174</v>
      </c>
      <c r="I4674">
        <v>6656.24</v>
      </c>
      <c r="J4674">
        <v>6693.6</v>
      </c>
      <c r="K4674" t="s">
        <v>17</v>
      </c>
      <c r="L4674" t="b">
        <v>0</v>
      </c>
      <c r="N4674" s="2" t="str">
        <f t="shared" si="416"/>
        <v/>
      </c>
      <c r="Q4674" t="str">
        <f t="shared" si="417"/>
        <v/>
      </c>
    </row>
    <row r="4675" spans="1:17" hidden="1">
      <c r="A4675" t="s">
        <v>4780</v>
      </c>
      <c r="B4675" s="1">
        <v>45545</v>
      </c>
      <c r="C4675">
        <v>2024</v>
      </c>
      <c r="D4675">
        <v>9</v>
      </c>
      <c r="E4675" t="s">
        <v>37</v>
      </c>
      <c r="F4675" t="s">
        <v>28</v>
      </c>
      <c r="G4675" t="s">
        <v>41</v>
      </c>
      <c r="H4675" t="s">
        <v>42</v>
      </c>
      <c r="I4675">
        <v>3749.18</v>
      </c>
      <c r="J4675">
        <v>3945.8</v>
      </c>
      <c r="K4675" t="s">
        <v>17</v>
      </c>
      <c r="L4675" t="b">
        <v>0</v>
      </c>
      <c r="N4675" s="2" t="str">
        <f t="shared" ref="N4675:N4738" si="422">IF(AND(E4675="IT",K4675="EXPENSE"),I4675&gt;J4675,"")</f>
        <v/>
      </c>
      <c r="Q4675" t="str">
        <f t="shared" ref="Q4675:Q4738" si="423">IF(L4675=TRUE,OR(H4675="Apex Solutions Inc",H4675="Global Trade Partners",H4675="NovaTech Services"),"")</f>
        <v/>
      </c>
    </row>
    <row r="4676" spans="1:17" hidden="1">
      <c r="A4676" t="s">
        <v>4781</v>
      </c>
      <c r="B4676" s="1">
        <v>45545</v>
      </c>
      <c r="C4676">
        <v>2024</v>
      </c>
      <c r="D4676">
        <v>9</v>
      </c>
      <c r="E4676" t="s">
        <v>37</v>
      </c>
      <c r="F4676" t="s">
        <v>24</v>
      </c>
      <c r="G4676" t="s">
        <v>98</v>
      </c>
      <c r="H4676" t="s">
        <v>99</v>
      </c>
      <c r="I4676">
        <v>5491</v>
      </c>
      <c r="J4676">
        <v>5012.34</v>
      </c>
      <c r="K4676" t="s">
        <v>17</v>
      </c>
      <c r="L4676" t="b">
        <v>0</v>
      </c>
      <c r="N4676" s="2" t="str">
        <f t="shared" si="422"/>
        <v/>
      </c>
      <c r="Q4676" t="str">
        <f t="shared" si="423"/>
        <v/>
      </c>
    </row>
    <row r="4677" spans="1:17" hidden="1">
      <c r="A4677" t="s">
        <v>4782</v>
      </c>
      <c r="B4677" s="1">
        <v>45546</v>
      </c>
      <c r="C4677">
        <v>2024</v>
      </c>
      <c r="D4677">
        <v>9</v>
      </c>
      <c r="E4677" t="s">
        <v>13</v>
      </c>
      <c r="F4677" t="s">
        <v>24</v>
      </c>
      <c r="G4677" t="s">
        <v>102</v>
      </c>
      <c r="H4677" t="s">
        <v>278</v>
      </c>
      <c r="I4677">
        <v>5809.42</v>
      </c>
      <c r="J4677">
        <v>5929.84</v>
      </c>
      <c r="K4677" t="s">
        <v>17</v>
      </c>
      <c r="L4677" t="b">
        <v>0</v>
      </c>
      <c r="N4677" s="2" t="str">
        <f t="shared" si="422"/>
        <v/>
      </c>
      <c r="Q4677" t="str">
        <f t="shared" si="423"/>
        <v/>
      </c>
    </row>
    <row r="4678" spans="1:17" hidden="1">
      <c r="A4678" t="s">
        <v>4783</v>
      </c>
      <c r="B4678" s="1">
        <v>45546</v>
      </c>
      <c r="C4678">
        <v>2024</v>
      </c>
      <c r="D4678">
        <v>9</v>
      </c>
      <c r="E4678" t="s">
        <v>13</v>
      </c>
      <c r="F4678" t="s">
        <v>24</v>
      </c>
      <c r="G4678" t="s">
        <v>15</v>
      </c>
      <c r="H4678" t="s">
        <v>89</v>
      </c>
      <c r="I4678">
        <v>3709.38</v>
      </c>
      <c r="J4678">
        <v>3453.93</v>
      </c>
      <c r="K4678" t="s">
        <v>17</v>
      </c>
      <c r="L4678" t="b">
        <v>0</v>
      </c>
      <c r="N4678" s="2" t="str">
        <f t="shared" si="422"/>
        <v/>
      </c>
      <c r="Q4678" t="str">
        <f t="shared" si="423"/>
        <v/>
      </c>
    </row>
    <row r="4679" spans="1:17" hidden="1">
      <c r="A4679" t="s">
        <v>4784</v>
      </c>
      <c r="B4679" s="1">
        <v>45546</v>
      </c>
      <c r="C4679">
        <v>2024</v>
      </c>
      <c r="D4679">
        <v>9</v>
      </c>
      <c r="E4679" t="s">
        <v>47</v>
      </c>
      <c r="F4679" t="s">
        <v>14</v>
      </c>
      <c r="G4679" t="s">
        <v>77</v>
      </c>
      <c r="H4679" t="s">
        <v>147</v>
      </c>
      <c r="I4679">
        <v>8147.52</v>
      </c>
      <c r="J4679">
        <v>6829.54</v>
      </c>
      <c r="K4679" t="s">
        <v>17</v>
      </c>
      <c r="L4679" t="b">
        <v>0</v>
      </c>
      <c r="N4679" s="2" t="b">
        <f t="shared" si="422"/>
        <v>1</v>
      </c>
      <c r="O4679" t="str">
        <f t="shared" ref="O4679:O4680" si="424">IF(AND(E4668="HR",K4668="EXPENSE"),I4668&lt;J4668,"")</f>
        <v/>
      </c>
      <c r="Q4679" t="str">
        <f t="shared" si="423"/>
        <v/>
      </c>
    </row>
    <row r="4680" spans="1:17" hidden="1">
      <c r="A4680" t="s">
        <v>4785</v>
      </c>
      <c r="B4680" s="1">
        <v>45546</v>
      </c>
      <c r="C4680">
        <v>2024</v>
      </c>
      <c r="D4680">
        <v>9</v>
      </c>
      <c r="E4680" t="s">
        <v>47</v>
      </c>
      <c r="F4680" t="s">
        <v>28</v>
      </c>
      <c r="G4680" t="s">
        <v>77</v>
      </c>
      <c r="H4680" t="s">
        <v>147</v>
      </c>
      <c r="I4680">
        <v>17422.740000000002</v>
      </c>
      <c r="J4680">
        <v>14364.82</v>
      </c>
      <c r="K4680" t="s">
        <v>17</v>
      </c>
      <c r="L4680" t="b">
        <v>0</v>
      </c>
      <c r="N4680" s="2" t="b">
        <f t="shared" si="422"/>
        <v>1</v>
      </c>
      <c r="O4680" t="str">
        <f t="shared" si="424"/>
        <v/>
      </c>
      <c r="Q4680" t="str">
        <f t="shared" si="423"/>
        <v/>
      </c>
    </row>
    <row r="4681" spans="1:17" hidden="1">
      <c r="A4681" t="s">
        <v>4786</v>
      </c>
      <c r="B4681" s="1">
        <v>45546</v>
      </c>
      <c r="C4681">
        <v>2024</v>
      </c>
      <c r="D4681">
        <v>9</v>
      </c>
      <c r="E4681" t="s">
        <v>19</v>
      </c>
      <c r="F4681" t="s">
        <v>28</v>
      </c>
      <c r="G4681" t="s">
        <v>132</v>
      </c>
      <c r="H4681" t="s">
        <v>138</v>
      </c>
      <c r="I4681">
        <v>6132.78</v>
      </c>
      <c r="J4681">
        <v>5973.33</v>
      </c>
      <c r="K4681" t="s">
        <v>17</v>
      </c>
      <c r="L4681" t="b">
        <v>0</v>
      </c>
      <c r="N4681" s="2" t="str">
        <f t="shared" si="422"/>
        <v/>
      </c>
      <c r="Q4681" t="str">
        <f t="shared" si="423"/>
        <v/>
      </c>
    </row>
    <row r="4682" spans="1:17" hidden="1">
      <c r="A4682" t="s">
        <v>4787</v>
      </c>
      <c r="B4682" s="1">
        <v>45546</v>
      </c>
      <c r="C4682">
        <v>2024</v>
      </c>
      <c r="D4682">
        <v>9</v>
      </c>
      <c r="E4682" t="s">
        <v>19</v>
      </c>
      <c r="F4682" t="s">
        <v>24</v>
      </c>
      <c r="G4682" t="s">
        <v>54</v>
      </c>
      <c r="H4682" t="s">
        <v>55</v>
      </c>
      <c r="I4682">
        <v>7810.69</v>
      </c>
      <c r="J4682">
        <v>7518.48</v>
      </c>
      <c r="K4682" t="s">
        <v>17</v>
      </c>
      <c r="L4682" t="b">
        <v>0</v>
      </c>
      <c r="N4682" s="2" t="str">
        <f t="shared" si="422"/>
        <v/>
      </c>
      <c r="Q4682" t="str">
        <f t="shared" si="423"/>
        <v/>
      </c>
    </row>
    <row r="4683" spans="1:17" hidden="1">
      <c r="A4683" t="s">
        <v>4788</v>
      </c>
      <c r="B4683" s="1">
        <v>45546</v>
      </c>
      <c r="C4683">
        <v>2024</v>
      </c>
      <c r="D4683">
        <v>9</v>
      </c>
      <c r="E4683" t="s">
        <v>23</v>
      </c>
      <c r="F4683" t="s">
        <v>24</v>
      </c>
      <c r="G4683" t="s">
        <v>25</v>
      </c>
      <c r="H4683" t="s">
        <v>26</v>
      </c>
      <c r="I4683">
        <v>7275.37</v>
      </c>
      <c r="J4683">
        <v>7728.55</v>
      </c>
      <c r="K4683" t="s">
        <v>17</v>
      </c>
      <c r="L4683" t="b">
        <v>0</v>
      </c>
      <c r="N4683" s="2" t="str">
        <f t="shared" si="422"/>
        <v/>
      </c>
      <c r="Q4683" t="str">
        <f t="shared" si="423"/>
        <v/>
      </c>
    </row>
    <row r="4684" spans="1:17" hidden="1">
      <c r="A4684" t="s">
        <v>4789</v>
      </c>
      <c r="B4684" s="1">
        <v>45546</v>
      </c>
      <c r="C4684">
        <v>2024</v>
      </c>
      <c r="D4684">
        <v>9</v>
      </c>
      <c r="E4684" t="s">
        <v>37</v>
      </c>
      <c r="F4684" t="s">
        <v>14</v>
      </c>
      <c r="G4684" t="s">
        <v>38</v>
      </c>
      <c r="H4684" t="s">
        <v>39</v>
      </c>
      <c r="I4684">
        <v>5288.16</v>
      </c>
      <c r="J4684">
        <v>4918.46</v>
      </c>
      <c r="K4684" t="s">
        <v>17</v>
      </c>
      <c r="L4684" t="b">
        <v>0</v>
      </c>
      <c r="N4684" s="2" t="str">
        <f t="shared" si="422"/>
        <v/>
      </c>
      <c r="Q4684" t="str">
        <f t="shared" si="423"/>
        <v/>
      </c>
    </row>
    <row r="4685" spans="1:17" hidden="1">
      <c r="A4685" t="s">
        <v>4790</v>
      </c>
      <c r="B4685" s="1">
        <v>45546</v>
      </c>
      <c r="C4685">
        <v>2024</v>
      </c>
      <c r="D4685">
        <v>9</v>
      </c>
      <c r="E4685" t="s">
        <v>37</v>
      </c>
      <c r="F4685" t="s">
        <v>14</v>
      </c>
      <c r="G4685" t="s">
        <v>41</v>
      </c>
      <c r="H4685" t="s">
        <v>42</v>
      </c>
      <c r="I4685">
        <v>6664.96</v>
      </c>
      <c r="J4685">
        <v>7271.33</v>
      </c>
      <c r="K4685" t="s">
        <v>17</v>
      </c>
      <c r="L4685" t="b">
        <v>0</v>
      </c>
      <c r="N4685" s="2" t="str">
        <f t="shared" si="422"/>
        <v/>
      </c>
      <c r="Q4685" t="str">
        <f t="shared" si="423"/>
        <v/>
      </c>
    </row>
    <row r="4686" spans="1:17" hidden="1">
      <c r="A4686" t="s">
        <v>4791</v>
      </c>
      <c r="B4686" s="1">
        <v>45546</v>
      </c>
      <c r="C4686">
        <v>2024</v>
      </c>
      <c r="D4686">
        <v>9</v>
      </c>
      <c r="E4686" t="s">
        <v>37</v>
      </c>
      <c r="F4686" t="s">
        <v>28</v>
      </c>
      <c r="G4686" t="s">
        <v>41</v>
      </c>
      <c r="H4686" t="s">
        <v>42</v>
      </c>
      <c r="I4686">
        <v>4836.63</v>
      </c>
      <c r="J4686">
        <v>5236.37</v>
      </c>
      <c r="K4686" t="s">
        <v>17</v>
      </c>
      <c r="L4686" t="b">
        <v>0</v>
      </c>
      <c r="N4686" s="2" t="str">
        <f t="shared" si="422"/>
        <v/>
      </c>
      <c r="Q4686" t="str">
        <f t="shared" si="423"/>
        <v/>
      </c>
    </row>
    <row r="4687" spans="1:17" hidden="1">
      <c r="A4687" t="s">
        <v>4792</v>
      </c>
      <c r="B4687" s="1">
        <v>45546</v>
      </c>
      <c r="C4687">
        <v>2024</v>
      </c>
      <c r="D4687">
        <v>9</v>
      </c>
      <c r="E4687" t="s">
        <v>37</v>
      </c>
      <c r="F4687" t="s">
        <v>28</v>
      </c>
      <c r="G4687" t="s">
        <v>38</v>
      </c>
      <c r="H4687" t="s">
        <v>227</v>
      </c>
      <c r="I4687">
        <v>2549.96</v>
      </c>
      <c r="J4687">
        <v>2382.8000000000002</v>
      </c>
      <c r="K4687" t="s">
        <v>17</v>
      </c>
      <c r="L4687" t="b">
        <v>0</v>
      </c>
      <c r="N4687" s="2" t="str">
        <f t="shared" si="422"/>
        <v/>
      </c>
      <c r="Q4687" t="str">
        <f t="shared" si="423"/>
        <v/>
      </c>
    </row>
    <row r="4688" spans="1:17" hidden="1">
      <c r="A4688" t="s">
        <v>4793</v>
      </c>
      <c r="B4688" s="1">
        <v>45547</v>
      </c>
      <c r="C4688">
        <v>2024</v>
      </c>
      <c r="D4688">
        <v>9</v>
      </c>
      <c r="E4688" t="s">
        <v>13</v>
      </c>
      <c r="F4688" t="s">
        <v>14</v>
      </c>
      <c r="G4688" t="s">
        <v>15</v>
      </c>
      <c r="H4688" t="s">
        <v>89</v>
      </c>
      <c r="I4688">
        <v>3880.4</v>
      </c>
      <c r="J4688">
        <v>3970.5</v>
      </c>
      <c r="K4688" t="s">
        <v>17</v>
      </c>
      <c r="L4688" t="b">
        <v>0</v>
      </c>
      <c r="N4688" s="2" t="str">
        <f t="shared" si="422"/>
        <v/>
      </c>
      <c r="Q4688" t="str">
        <f t="shared" si="423"/>
        <v/>
      </c>
    </row>
    <row r="4689" spans="1:17" hidden="1">
      <c r="A4689" t="s">
        <v>4794</v>
      </c>
      <c r="B4689" s="1">
        <v>45547</v>
      </c>
      <c r="C4689">
        <v>2024</v>
      </c>
      <c r="D4689">
        <v>9</v>
      </c>
      <c r="E4689" t="s">
        <v>13</v>
      </c>
      <c r="F4689" t="s">
        <v>24</v>
      </c>
      <c r="G4689" t="s">
        <v>102</v>
      </c>
      <c r="H4689" t="s">
        <v>278</v>
      </c>
      <c r="I4689">
        <v>2180.41</v>
      </c>
      <c r="J4689">
        <v>2167.66</v>
      </c>
      <c r="K4689" t="s">
        <v>17</v>
      </c>
      <c r="L4689" t="b">
        <v>0</v>
      </c>
      <c r="N4689" s="2" t="str">
        <f t="shared" si="422"/>
        <v/>
      </c>
      <c r="Q4689" t="str">
        <f t="shared" si="423"/>
        <v/>
      </c>
    </row>
    <row r="4690" spans="1:17" hidden="1">
      <c r="A4690" t="s">
        <v>4795</v>
      </c>
      <c r="B4690" s="1">
        <v>45547</v>
      </c>
      <c r="C4690">
        <v>2024</v>
      </c>
      <c r="D4690">
        <v>9</v>
      </c>
      <c r="E4690" t="s">
        <v>47</v>
      </c>
      <c r="F4690" t="s">
        <v>24</v>
      </c>
      <c r="G4690" t="s">
        <v>77</v>
      </c>
      <c r="H4690" t="s">
        <v>78</v>
      </c>
      <c r="I4690">
        <v>10466.91</v>
      </c>
      <c r="J4690">
        <v>9095.33</v>
      </c>
      <c r="K4690" t="s">
        <v>17</v>
      </c>
      <c r="L4690" t="b">
        <v>0</v>
      </c>
      <c r="N4690" s="2" t="b">
        <f t="shared" si="422"/>
        <v>1</v>
      </c>
      <c r="O4690" t="str">
        <f t="shared" ref="O4690:O4692" si="425">IF(AND(E4679="HR",K4679="EXPENSE"),I4679&lt;J4679,"")</f>
        <v/>
      </c>
      <c r="Q4690" t="str">
        <f t="shared" si="423"/>
        <v/>
      </c>
    </row>
    <row r="4691" spans="1:17" hidden="1">
      <c r="A4691" t="s">
        <v>4796</v>
      </c>
      <c r="B4691" s="1">
        <v>45547</v>
      </c>
      <c r="C4691">
        <v>2024</v>
      </c>
      <c r="D4691">
        <v>9</v>
      </c>
      <c r="E4691" t="s">
        <v>47</v>
      </c>
      <c r="F4691" t="s">
        <v>24</v>
      </c>
      <c r="G4691" t="s">
        <v>51</v>
      </c>
      <c r="H4691" t="s">
        <v>52</v>
      </c>
      <c r="I4691">
        <v>12891.73</v>
      </c>
      <c r="J4691">
        <v>10821.88</v>
      </c>
      <c r="K4691" t="s">
        <v>17</v>
      </c>
      <c r="L4691" t="b">
        <v>0</v>
      </c>
      <c r="N4691" s="2" t="b">
        <f t="shared" si="422"/>
        <v>1</v>
      </c>
      <c r="O4691" t="str">
        <f t="shared" si="425"/>
        <v/>
      </c>
      <c r="Q4691" t="str">
        <f t="shared" si="423"/>
        <v/>
      </c>
    </row>
    <row r="4692" spans="1:17" hidden="1">
      <c r="A4692" t="s">
        <v>4797</v>
      </c>
      <c r="B4692" s="1">
        <v>45547</v>
      </c>
      <c r="C4692">
        <v>2024</v>
      </c>
      <c r="D4692">
        <v>9</v>
      </c>
      <c r="E4692" t="s">
        <v>47</v>
      </c>
      <c r="F4692" t="s">
        <v>24</v>
      </c>
      <c r="G4692" t="s">
        <v>51</v>
      </c>
      <c r="H4692" t="s">
        <v>52</v>
      </c>
      <c r="I4692">
        <v>12515.18</v>
      </c>
      <c r="J4692">
        <v>10282.709999999999</v>
      </c>
      <c r="K4692" t="s">
        <v>17</v>
      </c>
      <c r="L4692" t="b">
        <v>0</v>
      </c>
      <c r="N4692" s="2" t="b">
        <f t="shared" si="422"/>
        <v>1</v>
      </c>
      <c r="O4692" t="str">
        <f t="shared" si="425"/>
        <v/>
      </c>
      <c r="Q4692" t="str">
        <f t="shared" si="423"/>
        <v/>
      </c>
    </row>
    <row r="4693" spans="1:17" hidden="1">
      <c r="A4693" t="s">
        <v>4798</v>
      </c>
      <c r="B4693" s="1">
        <v>45547</v>
      </c>
      <c r="C4693">
        <v>2024</v>
      </c>
      <c r="D4693">
        <v>9</v>
      </c>
      <c r="E4693" t="s">
        <v>19</v>
      </c>
      <c r="F4693" t="s">
        <v>14</v>
      </c>
      <c r="G4693" t="s">
        <v>54</v>
      </c>
      <c r="H4693" t="s">
        <v>55</v>
      </c>
      <c r="I4693">
        <v>6431.05</v>
      </c>
      <c r="J4693">
        <v>6030.2</v>
      </c>
      <c r="K4693" t="s">
        <v>17</v>
      </c>
      <c r="L4693" t="b">
        <v>0</v>
      </c>
      <c r="N4693" s="2" t="str">
        <f t="shared" si="422"/>
        <v/>
      </c>
      <c r="Q4693" t="str">
        <f t="shared" si="423"/>
        <v/>
      </c>
    </row>
    <row r="4694" spans="1:17" hidden="1">
      <c r="A4694" t="s">
        <v>4799</v>
      </c>
      <c r="B4694" s="1">
        <v>45547</v>
      </c>
      <c r="C4694">
        <v>2024</v>
      </c>
      <c r="D4694">
        <v>9</v>
      </c>
      <c r="E4694" t="s">
        <v>23</v>
      </c>
      <c r="F4694" t="s">
        <v>14</v>
      </c>
      <c r="G4694" t="s">
        <v>141</v>
      </c>
      <c r="H4694" t="s">
        <v>142</v>
      </c>
      <c r="I4694">
        <v>5249.09</v>
      </c>
      <c r="J4694">
        <v>5436.33</v>
      </c>
      <c r="K4694" t="s">
        <v>17</v>
      </c>
      <c r="L4694" t="b">
        <v>0</v>
      </c>
      <c r="N4694" s="2" t="str">
        <f t="shared" si="422"/>
        <v/>
      </c>
      <c r="Q4694" t="str">
        <f t="shared" si="423"/>
        <v/>
      </c>
    </row>
    <row r="4695" spans="1:17" hidden="1">
      <c r="A4695" t="s">
        <v>4800</v>
      </c>
      <c r="B4695" s="1">
        <v>45547</v>
      </c>
      <c r="C4695">
        <v>2024</v>
      </c>
      <c r="D4695">
        <v>9</v>
      </c>
      <c r="E4695" t="s">
        <v>37</v>
      </c>
      <c r="F4695" t="s">
        <v>14</v>
      </c>
      <c r="G4695" t="s">
        <v>98</v>
      </c>
      <c r="H4695" t="s">
        <v>99</v>
      </c>
      <c r="I4695">
        <v>4076.6</v>
      </c>
      <c r="J4695">
        <v>3967.89</v>
      </c>
      <c r="K4695" t="s">
        <v>17</v>
      </c>
      <c r="L4695" t="b">
        <v>0</v>
      </c>
      <c r="N4695" s="2" t="str">
        <f t="shared" si="422"/>
        <v/>
      </c>
      <c r="Q4695" t="str">
        <f t="shared" si="423"/>
        <v/>
      </c>
    </row>
    <row r="4696" spans="1:17" hidden="1">
      <c r="A4696" t="s">
        <v>4801</v>
      </c>
      <c r="B4696" s="1">
        <v>45548</v>
      </c>
      <c r="C4696">
        <v>2024</v>
      </c>
      <c r="D4696">
        <v>9</v>
      </c>
      <c r="E4696" t="s">
        <v>13</v>
      </c>
      <c r="F4696" t="s">
        <v>14</v>
      </c>
      <c r="G4696" t="s">
        <v>68</v>
      </c>
      <c r="H4696" t="s">
        <v>69</v>
      </c>
      <c r="I4696">
        <v>4343.9799999999996</v>
      </c>
      <c r="J4696">
        <v>4188.78</v>
      </c>
      <c r="K4696" t="s">
        <v>17</v>
      </c>
      <c r="L4696" t="b">
        <v>0</v>
      </c>
      <c r="N4696" s="2" t="str">
        <f t="shared" si="422"/>
        <v/>
      </c>
      <c r="Q4696" t="str">
        <f t="shared" si="423"/>
        <v/>
      </c>
    </row>
    <row r="4697" spans="1:17" hidden="1">
      <c r="A4697" t="s">
        <v>4802</v>
      </c>
      <c r="B4697" s="1">
        <v>45548</v>
      </c>
      <c r="C4697">
        <v>2024</v>
      </c>
      <c r="D4697">
        <v>9</v>
      </c>
      <c r="E4697" t="s">
        <v>13</v>
      </c>
      <c r="F4697" t="s">
        <v>14</v>
      </c>
      <c r="G4697" t="s">
        <v>102</v>
      </c>
      <c r="H4697" t="s">
        <v>278</v>
      </c>
      <c r="I4697">
        <v>4329.97</v>
      </c>
      <c r="J4697">
        <v>4265.28</v>
      </c>
      <c r="K4697" t="s">
        <v>17</v>
      </c>
      <c r="L4697" t="b">
        <v>0</v>
      </c>
      <c r="N4697" s="2" t="str">
        <f t="shared" si="422"/>
        <v/>
      </c>
      <c r="Q4697" t="str">
        <f t="shared" si="423"/>
        <v/>
      </c>
    </row>
    <row r="4698" spans="1:17" hidden="1">
      <c r="A4698" t="s">
        <v>4803</v>
      </c>
      <c r="B4698" s="1">
        <v>45548</v>
      </c>
      <c r="C4698">
        <v>2024</v>
      </c>
      <c r="D4698">
        <v>9</v>
      </c>
      <c r="E4698" t="s">
        <v>23</v>
      </c>
      <c r="F4698" t="s">
        <v>28</v>
      </c>
      <c r="G4698" t="s">
        <v>59</v>
      </c>
      <c r="H4698" t="s">
        <v>60</v>
      </c>
      <c r="I4698">
        <v>4022.91</v>
      </c>
      <c r="J4698">
        <v>3818.41</v>
      </c>
      <c r="K4698" t="s">
        <v>17</v>
      </c>
      <c r="L4698" t="b">
        <v>0</v>
      </c>
      <c r="N4698" s="2" t="str">
        <f t="shared" si="422"/>
        <v/>
      </c>
      <c r="Q4698" t="str">
        <f t="shared" si="423"/>
        <v/>
      </c>
    </row>
    <row r="4699" spans="1:17" hidden="1">
      <c r="A4699" t="s">
        <v>4804</v>
      </c>
      <c r="B4699" s="1">
        <v>45548</v>
      </c>
      <c r="C4699">
        <v>2024</v>
      </c>
      <c r="D4699">
        <v>9</v>
      </c>
      <c r="E4699" t="s">
        <v>23</v>
      </c>
      <c r="F4699" t="s">
        <v>28</v>
      </c>
      <c r="G4699" t="s">
        <v>25</v>
      </c>
      <c r="H4699" t="s">
        <v>35</v>
      </c>
      <c r="I4699">
        <v>4681.0200000000004</v>
      </c>
      <c r="J4699">
        <v>4341.1400000000003</v>
      </c>
      <c r="K4699" t="s">
        <v>17</v>
      </c>
      <c r="L4699" t="b">
        <v>0</v>
      </c>
      <c r="N4699" s="2" t="str">
        <f t="shared" si="422"/>
        <v/>
      </c>
      <c r="Q4699" t="str">
        <f t="shared" si="423"/>
        <v/>
      </c>
    </row>
    <row r="4700" spans="1:17" hidden="1">
      <c r="A4700" t="s">
        <v>4805</v>
      </c>
      <c r="B4700" s="1">
        <v>45548</v>
      </c>
      <c r="C4700">
        <v>2024</v>
      </c>
      <c r="D4700">
        <v>9</v>
      </c>
      <c r="E4700" t="s">
        <v>37</v>
      </c>
      <c r="F4700" t="s">
        <v>28</v>
      </c>
      <c r="G4700" t="s">
        <v>38</v>
      </c>
      <c r="H4700" t="s">
        <v>227</v>
      </c>
      <c r="I4700">
        <v>6800.21</v>
      </c>
      <c r="J4700">
        <v>7079.7</v>
      </c>
      <c r="K4700" t="s">
        <v>17</v>
      </c>
      <c r="L4700" t="b">
        <v>0</v>
      </c>
      <c r="N4700" s="2" t="str">
        <f t="shared" si="422"/>
        <v/>
      </c>
      <c r="Q4700" t="str">
        <f t="shared" si="423"/>
        <v/>
      </c>
    </row>
    <row r="4701" spans="1:17" hidden="1">
      <c r="A4701" t="s">
        <v>4806</v>
      </c>
      <c r="B4701" s="1">
        <v>45548</v>
      </c>
      <c r="C4701">
        <v>2024</v>
      </c>
      <c r="D4701">
        <v>9</v>
      </c>
      <c r="E4701" t="s">
        <v>37</v>
      </c>
      <c r="F4701" t="s">
        <v>24</v>
      </c>
      <c r="G4701" t="s">
        <v>38</v>
      </c>
      <c r="H4701" t="s">
        <v>118</v>
      </c>
      <c r="I4701">
        <v>5002.05</v>
      </c>
      <c r="J4701">
        <v>4721.68</v>
      </c>
      <c r="K4701" t="s">
        <v>17</v>
      </c>
      <c r="L4701" t="b">
        <v>0</v>
      </c>
      <c r="N4701" s="2" t="str">
        <f t="shared" si="422"/>
        <v/>
      </c>
      <c r="Q4701" t="str">
        <f t="shared" si="423"/>
        <v/>
      </c>
    </row>
    <row r="4702" spans="1:17" hidden="1">
      <c r="A4702" t="s">
        <v>4807</v>
      </c>
      <c r="B4702" s="1">
        <v>45548</v>
      </c>
      <c r="C4702">
        <v>2024</v>
      </c>
      <c r="D4702">
        <v>9</v>
      </c>
      <c r="E4702" t="s">
        <v>37</v>
      </c>
      <c r="F4702" t="s">
        <v>24</v>
      </c>
      <c r="G4702" t="s">
        <v>98</v>
      </c>
      <c r="H4702" t="s">
        <v>185</v>
      </c>
      <c r="I4702">
        <v>5064.3599999999997</v>
      </c>
      <c r="J4702">
        <v>4761.96</v>
      </c>
      <c r="K4702" t="s">
        <v>17</v>
      </c>
      <c r="L4702" t="b">
        <v>0</v>
      </c>
      <c r="N4702" s="2" t="str">
        <f t="shared" si="422"/>
        <v/>
      </c>
      <c r="Q4702" t="str">
        <f t="shared" si="423"/>
        <v/>
      </c>
    </row>
    <row r="4703" spans="1:17" hidden="1">
      <c r="A4703" t="s">
        <v>4808</v>
      </c>
      <c r="B4703" s="1">
        <v>45549</v>
      </c>
      <c r="C4703">
        <v>2024</v>
      </c>
      <c r="D4703">
        <v>9</v>
      </c>
      <c r="E4703" t="s">
        <v>23</v>
      </c>
      <c r="F4703" t="s">
        <v>14</v>
      </c>
      <c r="G4703" t="s">
        <v>59</v>
      </c>
      <c r="H4703" t="s">
        <v>60</v>
      </c>
      <c r="I4703">
        <v>4686.25</v>
      </c>
      <c r="J4703">
        <v>4894.2299999999996</v>
      </c>
      <c r="K4703" t="s">
        <v>17</v>
      </c>
      <c r="L4703" t="b">
        <v>0</v>
      </c>
      <c r="N4703" s="2" t="str">
        <f t="shared" si="422"/>
        <v/>
      </c>
      <c r="Q4703" t="str">
        <f t="shared" si="423"/>
        <v/>
      </c>
    </row>
    <row r="4704" spans="1:17" hidden="1">
      <c r="A4704" t="s">
        <v>4809</v>
      </c>
      <c r="B4704" s="1">
        <v>45549</v>
      </c>
      <c r="C4704">
        <v>2024</v>
      </c>
      <c r="D4704">
        <v>9</v>
      </c>
      <c r="E4704" t="s">
        <v>37</v>
      </c>
      <c r="F4704" t="s">
        <v>28</v>
      </c>
      <c r="G4704" t="s">
        <v>62</v>
      </c>
      <c r="H4704" t="s">
        <v>63</v>
      </c>
      <c r="I4704">
        <v>4185.74</v>
      </c>
      <c r="J4704">
        <v>3971.81</v>
      </c>
      <c r="K4704" t="s">
        <v>17</v>
      </c>
      <c r="L4704" t="b">
        <v>0</v>
      </c>
      <c r="N4704" s="2" t="str">
        <f t="shared" si="422"/>
        <v/>
      </c>
      <c r="Q4704" t="str">
        <f t="shared" si="423"/>
        <v/>
      </c>
    </row>
    <row r="4705" spans="1:17" hidden="1">
      <c r="A4705" t="s">
        <v>4810</v>
      </c>
      <c r="B4705" s="1">
        <v>45549</v>
      </c>
      <c r="C4705">
        <v>2024</v>
      </c>
      <c r="D4705">
        <v>9</v>
      </c>
      <c r="E4705" t="s">
        <v>37</v>
      </c>
      <c r="F4705" t="s">
        <v>28</v>
      </c>
      <c r="G4705" t="s">
        <v>62</v>
      </c>
      <c r="H4705" t="s">
        <v>360</v>
      </c>
      <c r="I4705">
        <v>3513.21</v>
      </c>
      <c r="J4705">
        <v>3257.94</v>
      </c>
      <c r="K4705" t="s">
        <v>17</v>
      </c>
      <c r="L4705" t="b">
        <v>0</v>
      </c>
      <c r="N4705" s="2" t="str">
        <f t="shared" si="422"/>
        <v/>
      </c>
      <c r="Q4705" t="str">
        <f t="shared" si="423"/>
        <v/>
      </c>
    </row>
    <row r="4706" spans="1:17" hidden="1">
      <c r="A4706" t="s">
        <v>4811</v>
      </c>
      <c r="B4706" s="1">
        <v>45550</v>
      </c>
      <c r="C4706">
        <v>2024</v>
      </c>
      <c r="D4706">
        <v>9</v>
      </c>
      <c r="E4706" t="s">
        <v>13</v>
      </c>
      <c r="F4706" t="s">
        <v>28</v>
      </c>
      <c r="G4706" t="s">
        <v>102</v>
      </c>
      <c r="H4706" t="s">
        <v>278</v>
      </c>
      <c r="I4706">
        <v>4386.1400000000003</v>
      </c>
      <c r="J4706">
        <v>4137.43</v>
      </c>
      <c r="K4706" t="s">
        <v>17</v>
      </c>
      <c r="L4706" t="b">
        <v>0</v>
      </c>
      <c r="N4706" s="2" t="str">
        <f t="shared" si="422"/>
        <v/>
      </c>
      <c r="Q4706" t="str">
        <f t="shared" si="423"/>
        <v/>
      </c>
    </row>
    <row r="4707" spans="1:17" hidden="1">
      <c r="A4707" t="s">
        <v>4812</v>
      </c>
      <c r="B4707" s="1">
        <v>45550</v>
      </c>
      <c r="C4707">
        <v>2024</v>
      </c>
      <c r="D4707">
        <v>9</v>
      </c>
      <c r="E4707" t="s">
        <v>13</v>
      </c>
      <c r="F4707" t="s">
        <v>24</v>
      </c>
      <c r="G4707" t="s">
        <v>108</v>
      </c>
      <c r="H4707" t="s">
        <v>123</v>
      </c>
      <c r="I4707">
        <v>4327.1899999999996</v>
      </c>
      <c r="J4707">
        <v>3950.03</v>
      </c>
      <c r="K4707" t="s">
        <v>17</v>
      </c>
      <c r="L4707" t="b">
        <v>0</v>
      </c>
      <c r="N4707" s="2" t="str">
        <f t="shared" si="422"/>
        <v/>
      </c>
      <c r="Q4707" t="str">
        <f t="shared" si="423"/>
        <v/>
      </c>
    </row>
    <row r="4708" spans="1:17" hidden="1">
      <c r="A4708" t="s">
        <v>4813</v>
      </c>
      <c r="B4708" s="1">
        <v>45550</v>
      </c>
      <c r="C4708">
        <v>2024</v>
      </c>
      <c r="D4708">
        <v>9</v>
      </c>
      <c r="E4708" t="s">
        <v>47</v>
      </c>
      <c r="F4708" t="s">
        <v>14</v>
      </c>
      <c r="G4708" t="s">
        <v>48</v>
      </c>
      <c r="H4708" t="s">
        <v>111</v>
      </c>
      <c r="I4708">
        <v>17027.349999999999</v>
      </c>
      <c r="J4708">
        <v>14280.05</v>
      </c>
      <c r="K4708" t="s">
        <v>17</v>
      </c>
      <c r="L4708" t="b">
        <v>0</v>
      </c>
      <c r="N4708" s="2" t="b">
        <f t="shared" si="422"/>
        <v>1</v>
      </c>
      <c r="O4708" t="b">
        <f t="shared" ref="O4708:O4709" si="426">IF(AND(E4697="HR",K4697="EXPENSE"),I4697&lt;J4697,"")</f>
        <v>0</v>
      </c>
      <c r="Q4708" t="str">
        <f t="shared" si="423"/>
        <v/>
      </c>
    </row>
    <row r="4709" spans="1:17" hidden="1">
      <c r="A4709" t="s">
        <v>4814</v>
      </c>
      <c r="B4709" s="1">
        <v>45550</v>
      </c>
      <c r="C4709">
        <v>2024</v>
      </c>
      <c r="D4709">
        <v>9</v>
      </c>
      <c r="E4709" t="s">
        <v>47</v>
      </c>
      <c r="F4709" t="s">
        <v>24</v>
      </c>
      <c r="G4709" t="s">
        <v>77</v>
      </c>
      <c r="H4709" t="s">
        <v>78</v>
      </c>
      <c r="I4709">
        <v>8075.87</v>
      </c>
      <c r="J4709">
        <v>6860</v>
      </c>
      <c r="K4709" t="s">
        <v>17</v>
      </c>
      <c r="L4709" t="b">
        <v>0</v>
      </c>
      <c r="N4709" s="2" t="b">
        <f t="shared" si="422"/>
        <v>1</v>
      </c>
      <c r="O4709" t="str">
        <f t="shared" si="426"/>
        <v/>
      </c>
      <c r="Q4709" t="str">
        <f t="shared" si="423"/>
        <v/>
      </c>
    </row>
    <row r="4710" spans="1:17" hidden="1">
      <c r="A4710" t="s">
        <v>4815</v>
      </c>
      <c r="B4710" s="1">
        <v>45550</v>
      </c>
      <c r="C4710">
        <v>2024</v>
      </c>
      <c r="D4710">
        <v>9</v>
      </c>
      <c r="E4710" t="s">
        <v>19</v>
      </c>
      <c r="F4710" t="s">
        <v>28</v>
      </c>
      <c r="G4710" t="s">
        <v>54</v>
      </c>
      <c r="H4710" t="s">
        <v>55</v>
      </c>
      <c r="I4710">
        <v>8343.5499999999993</v>
      </c>
      <c r="J4710">
        <v>8288.49</v>
      </c>
      <c r="K4710" t="s">
        <v>17</v>
      </c>
      <c r="L4710" t="b">
        <v>0</v>
      </c>
      <c r="N4710" s="2" t="str">
        <f t="shared" si="422"/>
        <v/>
      </c>
      <c r="Q4710" t="str">
        <f t="shared" si="423"/>
        <v/>
      </c>
    </row>
    <row r="4711" spans="1:17" hidden="1">
      <c r="A4711" t="s">
        <v>4816</v>
      </c>
      <c r="B4711" s="1">
        <v>45550</v>
      </c>
      <c r="C4711">
        <v>2024</v>
      </c>
      <c r="D4711">
        <v>9</v>
      </c>
      <c r="E4711" t="s">
        <v>19</v>
      </c>
      <c r="F4711" t="s">
        <v>28</v>
      </c>
      <c r="G4711" t="s">
        <v>54</v>
      </c>
      <c r="H4711" t="s">
        <v>55</v>
      </c>
      <c r="I4711">
        <v>4501.42</v>
      </c>
      <c r="J4711">
        <v>4354.97</v>
      </c>
      <c r="K4711" t="s">
        <v>17</v>
      </c>
      <c r="L4711" t="b">
        <v>0</v>
      </c>
      <c r="N4711" s="2" t="str">
        <f t="shared" si="422"/>
        <v/>
      </c>
      <c r="Q4711" t="str">
        <f t="shared" si="423"/>
        <v/>
      </c>
    </row>
    <row r="4712" spans="1:17" hidden="1">
      <c r="A4712" t="s">
        <v>4817</v>
      </c>
      <c r="B4712" s="1">
        <v>45550</v>
      </c>
      <c r="C4712">
        <v>2024</v>
      </c>
      <c r="D4712">
        <v>9</v>
      </c>
      <c r="E4712" t="s">
        <v>23</v>
      </c>
      <c r="F4712" t="s">
        <v>14</v>
      </c>
      <c r="G4712" t="s">
        <v>30</v>
      </c>
      <c r="H4712" t="s">
        <v>33</v>
      </c>
      <c r="I4712">
        <v>4534.32</v>
      </c>
      <c r="J4712">
        <v>4231.08</v>
      </c>
      <c r="K4712" t="s">
        <v>17</v>
      </c>
      <c r="L4712" t="b">
        <v>0</v>
      </c>
      <c r="N4712" s="2" t="str">
        <f t="shared" si="422"/>
        <v/>
      </c>
      <c r="Q4712" t="str">
        <f t="shared" si="423"/>
        <v/>
      </c>
    </row>
    <row r="4713" spans="1:17" hidden="1">
      <c r="A4713" t="s">
        <v>4818</v>
      </c>
      <c r="B4713" s="1">
        <v>45550</v>
      </c>
      <c r="C4713">
        <v>2024</v>
      </c>
      <c r="D4713">
        <v>9</v>
      </c>
      <c r="E4713" t="s">
        <v>23</v>
      </c>
      <c r="F4713" t="s">
        <v>14</v>
      </c>
      <c r="G4713" t="s">
        <v>59</v>
      </c>
      <c r="H4713" t="s">
        <v>60</v>
      </c>
      <c r="I4713">
        <v>7884.08</v>
      </c>
      <c r="J4713">
        <v>7798.69</v>
      </c>
      <c r="K4713" t="s">
        <v>17</v>
      </c>
      <c r="L4713" t="b">
        <v>0</v>
      </c>
      <c r="N4713" s="2" t="str">
        <f t="shared" si="422"/>
        <v/>
      </c>
      <c r="Q4713" t="str">
        <f t="shared" si="423"/>
        <v/>
      </c>
    </row>
    <row r="4714" spans="1:17" hidden="1">
      <c r="A4714" t="s">
        <v>4819</v>
      </c>
      <c r="B4714" s="1">
        <v>45550</v>
      </c>
      <c r="C4714">
        <v>2024</v>
      </c>
      <c r="D4714">
        <v>9</v>
      </c>
      <c r="E4714" t="s">
        <v>23</v>
      </c>
      <c r="F4714" t="s">
        <v>24</v>
      </c>
      <c r="G4714" t="s">
        <v>59</v>
      </c>
      <c r="H4714" t="s">
        <v>60</v>
      </c>
      <c r="I4714">
        <v>5653.65</v>
      </c>
      <c r="J4714">
        <v>5459.47</v>
      </c>
      <c r="K4714" t="s">
        <v>17</v>
      </c>
      <c r="L4714" t="b">
        <v>0</v>
      </c>
      <c r="N4714" s="2" t="str">
        <f t="shared" si="422"/>
        <v/>
      </c>
      <c r="Q4714" t="str">
        <f t="shared" si="423"/>
        <v/>
      </c>
    </row>
    <row r="4715" spans="1:17" hidden="1">
      <c r="A4715" t="s">
        <v>4820</v>
      </c>
      <c r="B4715" s="1">
        <v>45550</v>
      </c>
      <c r="C4715">
        <v>2024</v>
      </c>
      <c r="D4715">
        <v>9</v>
      </c>
      <c r="E4715" t="s">
        <v>23</v>
      </c>
      <c r="F4715" t="s">
        <v>24</v>
      </c>
      <c r="G4715" t="s">
        <v>30</v>
      </c>
      <c r="H4715" t="s">
        <v>33</v>
      </c>
      <c r="I4715">
        <v>3642.09</v>
      </c>
      <c r="J4715">
        <v>3436.53</v>
      </c>
      <c r="K4715" t="s">
        <v>17</v>
      </c>
      <c r="L4715" t="b">
        <v>0</v>
      </c>
      <c r="N4715" s="2" t="str">
        <f t="shared" si="422"/>
        <v/>
      </c>
      <c r="Q4715" t="str">
        <f t="shared" si="423"/>
        <v/>
      </c>
    </row>
    <row r="4716" spans="1:17" hidden="1">
      <c r="A4716" t="s">
        <v>4821</v>
      </c>
      <c r="B4716" s="1">
        <v>45550</v>
      </c>
      <c r="C4716">
        <v>2024</v>
      </c>
      <c r="D4716">
        <v>9</v>
      </c>
      <c r="E4716" t="s">
        <v>37</v>
      </c>
      <c r="F4716" t="s">
        <v>24</v>
      </c>
      <c r="G4716" t="s">
        <v>83</v>
      </c>
      <c r="H4716" t="s">
        <v>84</v>
      </c>
      <c r="I4716">
        <v>117788.47</v>
      </c>
      <c r="J4716">
        <v>111899.05</v>
      </c>
      <c r="K4716" t="s">
        <v>85</v>
      </c>
      <c r="L4716" t="b">
        <v>0</v>
      </c>
      <c r="N4716" s="2" t="str">
        <f t="shared" si="422"/>
        <v/>
      </c>
      <c r="Q4716" t="str">
        <f t="shared" si="423"/>
        <v/>
      </c>
    </row>
    <row r="4717" spans="1:17" hidden="1">
      <c r="A4717" t="s">
        <v>4822</v>
      </c>
      <c r="B4717" s="1">
        <v>45551</v>
      </c>
      <c r="C4717">
        <v>2024</v>
      </c>
      <c r="D4717">
        <v>9</v>
      </c>
      <c r="E4717" t="s">
        <v>13</v>
      </c>
      <c r="F4717" t="s">
        <v>14</v>
      </c>
      <c r="G4717" t="s">
        <v>108</v>
      </c>
      <c r="H4717" t="s">
        <v>123</v>
      </c>
      <c r="I4717">
        <v>3604.74</v>
      </c>
      <c r="J4717">
        <v>3711.56</v>
      </c>
      <c r="K4717" t="s">
        <v>17</v>
      </c>
      <c r="L4717" t="b">
        <v>0</v>
      </c>
      <c r="N4717" s="2" t="str">
        <f t="shared" si="422"/>
        <v/>
      </c>
      <c r="Q4717" t="str">
        <f t="shared" si="423"/>
        <v/>
      </c>
    </row>
    <row r="4718" spans="1:17" hidden="1">
      <c r="A4718" t="s">
        <v>4823</v>
      </c>
      <c r="B4718" s="1">
        <v>45551</v>
      </c>
      <c r="C4718">
        <v>2024</v>
      </c>
      <c r="D4718">
        <v>9</v>
      </c>
      <c r="E4718" t="s">
        <v>13</v>
      </c>
      <c r="F4718" t="s">
        <v>14</v>
      </c>
      <c r="G4718" t="s">
        <v>15</v>
      </c>
      <c r="H4718" t="s">
        <v>89</v>
      </c>
      <c r="I4718">
        <v>3102.27</v>
      </c>
      <c r="J4718">
        <v>2840.86</v>
      </c>
      <c r="K4718" t="s">
        <v>17</v>
      </c>
      <c r="L4718" t="b">
        <v>0</v>
      </c>
      <c r="N4718" s="2" t="str">
        <f t="shared" si="422"/>
        <v/>
      </c>
      <c r="Q4718" t="str">
        <f t="shared" si="423"/>
        <v/>
      </c>
    </row>
    <row r="4719" spans="1:17" hidden="1">
      <c r="A4719" t="s">
        <v>4824</v>
      </c>
      <c r="B4719" s="1">
        <v>45551</v>
      </c>
      <c r="C4719">
        <v>2024</v>
      </c>
      <c r="D4719">
        <v>9</v>
      </c>
      <c r="E4719" t="s">
        <v>47</v>
      </c>
      <c r="F4719" t="s">
        <v>28</v>
      </c>
      <c r="G4719" t="s">
        <v>77</v>
      </c>
      <c r="H4719" t="s">
        <v>78</v>
      </c>
      <c r="I4719">
        <v>14149.36</v>
      </c>
      <c r="J4719">
        <v>12031.78</v>
      </c>
      <c r="K4719" t="s">
        <v>17</v>
      </c>
      <c r="L4719" t="b">
        <v>0</v>
      </c>
      <c r="N4719" s="2" t="b">
        <f t="shared" si="422"/>
        <v>1</v>
      </c>
      <c r="O4719" t="str">
        <f>IF(AND(E4708="HR",K4708="EXPENSE"),I4708&lt;J4708,"")</f>
        <v/>
      </c>
      <c r="Q4719" t="str">
        <f t="shared" si="423"/>
        <v/>
      </c>
    </row>
    <row r="4720" spans="1:17" hidden="1">
      <c r="A4720" t="s">
        <v>4825</v>
      </c>
      <c r="B4720" s="1">
        <v>45551</v>
      </c>
      <c r="C4720">
        <v>2024</v>
      </c>
      <c r="D4720">
        <v>9</v>
      </c>
      <c r="E4720" t="s">
        <v>19</v>
      </c>
      <c r="F4720" t="s">
        <v>14</v>
      </c>
      <c r="G4720" t="s">
        <v>132</v>
      </c>
      <c r="H4720" t="s">
        <v>171</v>
      </c>
      <c r="I4720">
        <v>7261.51</v>
      </c>
      <c r="J4720">
        <v>7944.18</v>
      </c>
      <c r="K4720" t="s">
        <v>17</v>
      </c>
      <c r="L4720" t="b">
        <v>0</v>
      </c>
      <c r="N4720" s="2" t="str">
        <f t="shared" si="422"/>
        <v/>
      </c>
      <c r="Q4720" t="str">
        <f t="shared" si="423"/>
        <v/>
      </c>
    </row>
    <row r="4721" spans="1:17" hidden="1">
      <c r="A4721" t="s">
        <v>4826</v>
      </c>
      <c r="B4721" s="1">
        <v>45551</v>
      </c>
      <c r="C4721">
        <v>2024</v>
      </c>
      <c r="D4721">
        <v>9</v>
      </c>
      <c r="E4721" t="s">
        <v>19</v>
      </c>
      <c r="F4721" t="s">
        <v>14</v>
      </c>
      <c r="G4721" t="s">
        <v>80</v>
      </c>
      <c r="H4721" t="s">
        <v>113</v>
      </c>
      <c r="I4721">
        <v>8120.68</v>
      </c>
      <c r="J4721">
        <v>8741.74</v>
      </c>
      <c r="K4721" t="s">
        <v>17</v>
      </c>
      <c r="L4721" t="b">
        <v>0</v>
      </c>
      <c r="N4721" s="2" t="str">
        <f t="shared" si="422"/>
        <v/>
      </c>
      <c r="Q4721" t="str">
        <f t="shared" si="423"/>
        <v/>
      </c>
    </row>
    <row r="4722" spans="1:17" hidden="1">
      <c r="A4722" t="s">
        <v>4827</v>
      </c>
      <c r="B4722" s="1">
        <v>45551</v>
      </c>
      <c r="C4722">
        <v>2024</v>
      </c>
      <c r="D4722">
        <v>9</v>
      </c>
      <c r="E4722" t="s">
        <v>23</v>
      </c>
      <c r="F4722" t="s">
        <v>24</v>
      </c>
      <c r="G4722" t="s">
        <v>59</v>
      </c>
      <c r="H4722" t="s">
        <v>60</v>
      </c>
      <c r="I4722">
        <v>6734.94</v>
      </c>
      <c r="J4722">
        <v>7283.32</v>
      </c>
      <c r="K4722" t="s">
        <v>17</v>
      </c>
      <c r="L4722" t="b">
        <v>0</v>
      </c>
      <c r="N4722" s="2" t="str">
        <f t="shared" si="422"/>
        <v/>
      </c>
      <c r="Q4722" t="str">
        <f t="shared" si="423"/>
        <v/>
      </c>
    </row>
    <row r="4723" spans="1:17" hidden="1">
      <c r="A4723" t="s">
        <v>4828</v>
      </c>
      <c r="B4723" s="1">
        <v>45551</v>
      </c>
      <c r="C4723">
        <v>2024</v>
      </c>
      <c r="D4723">
        <v>9</v>
      </c>
      <c r="E4723" t="s">
        <v>37</v>
      </c>
      <c r="F4723" t="s">
        <v>14</v>
      </c>
      <c r="G4723" t="s">
        <v>62</v>
      </c>
      <c r="H4723" t="s">
        <v>63</v>
      </c>
      <c r="I4723">
        <v>6458.8</v>
      </c>
      <c r="J4723">
        <v>7086.56</v>
      </c>
      <c r="K4723" t="s">
        <v>17</v>
      </c>
      <c r="L4723" t="b">
        <v>0</v>
      </c>
      <c r="N4723" s="2" t="str">
        <f t="shared" si="422"/>
        <v/>
      </c>
      <c r="Q4723" t="str">
        <f t="shared" si="423"/>
        <v/>
      </c>
    </row>
    <row r="4724" spans="1:17" hidden="1">
      <c r="A4724" t="s">
        <v>4829</v>
      </c>
      <c r="B4724" s="1">
        <v>45551</v>
      </c>
      <c r="C4724">
        <v>2024</v>
      </c>
      <c r="D4724">
        <v>9</v>
      </c>
      <c r="E4724" t="s">
        <v>37</v>
      </c>
      <c r="F4724" t="s">
        <v>24</v>
      </c>
      <c r="G4724" t="s">
        <v>38</v>
      </c>
      <c r="H4724" t="s">
        <v>39</v>
      </c>
      <c r="I4724">
        <v>4236.57</v>
      </c>
      <c r="J4724">
        <v>4653.6000000000004</v>
      </c>
      <c r="K4724" t="s">
        <v>17</v>
      </c>
      <c r="L4724" t="b">
        <v>0</v>
      </c>
      <c r="N4724" s="2" t="str">
        <f t="shared" si="422"/>
        <v/>
      </c>
      <c r="Q4724" t="str">
        <f t="shared" si="423"/>
        <v/>
      </c>
    </row>
    <row r="4725" spans="1:17" hidden="1">
      <c r="A4725" t="s">
        <v>4830</v>
      </c>
      <c r="B4725" s="1">
        <v>45552</v>
      </c>
      <c r="C4725">
        <v>2024</v>
      </c>
      <c r="D4725">
        <v>9</v>
      </c>
      <c r="E4725" t="s">
        <v>13</v>
      </c>
      <c r="F4725" t="s">
        <v>14</v>
      </c>
      <c r="G4725" t="s">
        <v>68</v>
      </c>
      <c r="H4725" t="s">
        <v>213</v>
      </c>
      <c r="I4725">
        <v>4130.84</v>
      </c>
      <c r="J4725">
        <v>3876.29</v>
      </c>
      <c r="K4725" t="s">
        <v>17</v>
      </c>
      <c r="L4725" t="b">
        <v>0</v>
      </c>
      <c r="N4725" s="2" t="str">
        <f t="shared" si="422"/>
        <v/>
      </c>
      <c r="Q4725" t="str">
        <f t="shared" si="423"/>
        <v/>
      </c>
    </row>
    <row r="4726" spans="1:17" hidden="1">
      <c r="A4726" t="s">
        <v>4831</v>
      </c>
      <c r="B4726" s="1">
        <v>45552</v>
      </c>
      <c r="C4726">
        <v>2024</v>
      </c>
      <c r="D4726">
        <v>9</v>
      </c>
      <c r="E4726" t="s">
        <v>13</v>
      </c>
      <c r="F4726" t="s">
        <v>28</v>
      </c>
      <c r="G4726" t="s">
        <v>102</v>
      </c>
      <c r="H4726" t="s">
        <v>278</v>
      </c>
      <c r="I4726">
        <v>5079.09</v>
      </c>
      <c r="J4726">
        <v>4963.0200000000004</v>
      </c>
      <c r="K4726" t="s">
        <v>17</v>
      </c>
      <c r="L4726" t="b">
        <v>0</v>
      </c>
      <c r="N4726" s="2" t="str">
        <f t="shared" si="422"/>
        <v/>
      </c>
      <c r="Q4726" t="str">
        <f t="shared" si="423"/>
        <v/>
      </c>
    </row>
    <row r="4727" spans="1:17" hidden="1">
      <c r="A4727" t="s">
        <v>4832</v>
      </c>
      <c r="B4727" s="1">
        <v>45552</v>
      </c>
      <c r="C4727">
        <v>2024</v>
      </c>
      <c r="D4727">
        <v>9</v>
      </c>
      <c r="E4727" t="s">
        <v>13</v>
      </c>
      <c r="F4727" t="s">
        <v>24</v>
      </c>
      <c r="G4727" t="s">
        <v>68</v>
      </c>
      <c r="H4727" t="s">
        <v>69</v>
      </c>
      <c r="I4727">
        <v>4787.88</v>
      </c>
      <c r="J4727">
        <v>5013.3</v>
      </c>
      <c r="K4727" t="s">
        <v>17</v>
      </c>
      <c r="L4727" t="b">
        <v>0</v>
      </c>
      <c r="N4727" s="2" t="str">
        <f t="shared" si="422"/>
        <v/>
      </c>
      <c r="Q4727" t="str">
        <f t="shared" si="423"/>
        <v/>
      </c>
    </row>
    <row r="4728" spans="1:17" hidden="1">
      <c r="A4728" t="s">
        <v>4833</v>
      </c>
      <c r="B4728" s="1">
        <v>45552</v>
      </c>
      <c r="C4728">
        <v>2024</v>
      </c>
      <c r="D4728">
        <v>9</v>
      </c>
      <c r="E4728" t="s">
        <v>47</v>
      </c>
      <c r="F4728" t="s">
        <v>24</v>
      </c>
      <c r="G4728" t="s">
        <v>91</v>
      </c>
      <c r="H4728" t="s">
        <v>92</v>
      </c>
      <c r="I4728">
        <v>16820.560000000001</v>
      </c>
      <c r="J4728">
        <v>14437.16</v>
      </c>
      <c r="K4728" t="s">
        <v>17</v>
      </c>
      <c r="L4728" t="b">
        <v>0</v>
      </c>
      <c r="N4728" s="2" t="b">
        <f t="shared" si="422"/>
        <v>1</v>
      </c>
      <c r="O4728" t="b">
        <f>IF(AND(E4717="HR",K4717="EXPENSE"),I4717&lt;J4717,"")</f>
        <v>1</v>
      </c>
      <c r="Q4728" t="str">
        <f t="shared" si="423"/>
        <v/>
      </c>
    </row>
    <row r="4729" spans="1:17" hidden="1">
      <c r="A4729" t="s">
        <v>4834</v>
      </c>
      <c r="B4729" s="1">
        <v>45552</v>
      </c>
      <c r="C4729">
        <v>2024</v>
      </c>
      <c r="D4729">
        <v>9</v>
      </c>
      <c r="E4729" t="s">
        <v>19</v>
      </c>
      <c r="F4729" t="s">
        <v>28</v>
      </c>
      <c r="G4729" t="s">
        <v>20</v>
      </c>
      <c r="H4729" t="s">
        <v>136</v>
      </c>
      <c r="I4729">
        <v>6560.41</v>
      </c>
      <c r="J4729">
        <v>6104.66</v>
      </c>
      <c r="K4729" t="s">
        <v>17</v>
      </c>
      <c r="L4729" t="b">
        <v>0</v>
      </c>
      <c r="N4729" s="2" t="str">
        <f t="shared" si="422"/>
        <v/>
      </c>
      <c r="Q4729" t="str">
        <f t="shared" si="423"/>
        <v/>
      </c>
    </row>
    <row r="4730" spans="1:17" hidden="1">
      <c r="A4730" t="s">
        <v>4835</v>
      </c>
      <c r="B4730" s="1">
        <v>45552</v>
      </c>
      <c r="C4730">
        <v>2024</v>
      </c>
      <c r="D4730">
        <v>9</v>
      </c>
      <c r="E4730" t="s">
        <v>23</v>
      </c>
      <c r="F4730" t="s">
        <v>28</v>
      </c>
      <c r="G4730" t="s">
        <v>25</v>
      </c>
      <c r="H4730" t="s">
        <v>26</v>
      </c>
      <c r="I4730">
        <v>5138.0200000000004</v>
      </c>
      <c r="J4730">
        <v>5398.21</v>
      </c>
      <c r="K4730" t="s">
        <v>17</v>
      </c>
      <c r="L4730" t="b">
        <v>0</v>
      </c>
      <c r="N4730" s="2" t="str">
        <f t="shared" si="422"/>
        <v/>
      </c>
      <c r="Q4730" t="str">
        <f t="shared" si="423"/>
        <v/>
      </c>
    </row>
    <row r="4731" spans="1:17" hidden="1">
      <c r="A4731" t="s">
        <v>4836</v>
      </c>
      <c r="B4731" s="1">
        <v>45552</v>
      </c>
      <c r="C4731">
        <v>2024</v>
      </c>
      <c r="D4731">
        <v>9</v>
      </c>
      <c r="E4731" t="s">
        <v>23</v>
      </c>
      <c r="F4731" t="s">
        <v>28</v>
      </c>
      <c r="G4731" t="s">
        <v>141</v>
      </c>
      <c r="H4731" t="s">
        <v>142</v>
      </c>
      <c r="I4731">
        <v>5306.87</v>
      </c>
      <c r="J4731">
        <v>5769.53</v>
      </c>
      <c r="K4731" t="s">
        <v>17</v>
      </c>
      <c r="L4731" t="b">
        <v>0</v>
      </c>
      <c r="N4731" s="2" t="str">
        <f t="shared" si="422"/>
        <v/>
      </c>
      <c r="Q4731" t="str">
        <f t="shared" si="423"/>
        <v/>
      </c>
    </row>
    <row r="4732" spans="1:17" hidden="1">
      <c r="A4732" t="s">
        <v>4837</v>
      </c>
      <c r="B4732" s="1">
        <v>45552</v>
      </c>
      <c r="C4732">
        <v>2024</v>
      </c>
      <c r="D4732">
        <v>9</v>
      </c>
      <c r="E4732" t="s">
        <v>37</v>
      </c>
      <c r="F4732" t="s">
        <v>14</v>
      </c>
      <c r="G4732" t="s">
        <v>38</v>
      </c>
      <c r="H4732" t="s">
        <v>39</v>
      </c>
      <c r="I4732">
        <v>5859.86</v>
      </c>
      <c r="J4732">
        <v>5819.97</v>
      </c>
      <c r="K4732" t="s">
        <v>17</v>
      </c>
      <c r="L4732" t="b">
        <v>0</v>
      </c>
      <c r="N4732" s="2" t="str">
        <f t="shared" si="422"/>
        <v/>
      </c>
      <c r="Q4732" t="str">
        <f t="shared" si="423"/>
        <v/>
      </c>
    </row>
    <row r="4733" spans="1:17" hidden="1">
      <c r="A4733" t="s">
        <v>4838</v>
      </c>
      <c r="B4733" s="1">
        <v>45552</v>
      </c>
      <c r="C4733">
        <v>2024</v>
      </c>
      <c r="D4733">
        <v>9</v>
      </c>
      <c r="E4733" t="s">
        <v>37</v>
      </c>
      <c r="F4733" t="s">
        <v>28</v>
      </c>
      <c r="G4733" t="s">
        <v>62</v>
      </c>
      <c r="H4733" t="s">
        <v>63</v>
      </c>
      <c r="I4733">
        <v>5574.95</v>
      </c>
      <c r="J4733">
        <v>5775.89</v>
      </c>
      <c r="K4733" t="s">
        <v>17</v>
      </c>
      <c r="L4733" t="b">
        <v>0</v>
      </c>
      <c r="N4733" s="2" t="str">
        <f t="shared" si="422"/>
        <v/>
      </c>
      <c r="Q4733" t="str">
        <f t="shared" si="423"/>
        <v/>
      </c>
    </row>
    <row r="4734" spans="1:17" hidden="1">
      <c r="A4734" t="s">
        <v>4839</v>
      </c>
      <c r="B4734" s="1">
        <v>45553</v>
      </c>
      <c r="C4734">
        <v>2024</v>
      </c>
      <c r="D4734">
        <v>9</v>
      </c>
      <c r="E4734" t="s">
        <v>13</v>
      </c>
      <c r="F4734" t="s">
        <v>24</v>
      </c>
      <c r="G4734" t="s">
        <v>15</v>
      </c>
      <c r="H4734" t="s">
        <v>16</v>
      </c>
      <c r="I4734">
        <v>4056.11</v>
      </c>
      <c r="J4734">
        <v>3862.28</v>
      </c>
      <c r="K4734" t="s">
        <v>17</v>
      </c>
      <c r="L4734" t="b">
        <v>0</v>
      </c>
      <c r="N4734" s="2" t="str">
        <f t="shared" si="422"/>
        <v/>
      </c>
      <c r="Q4734" t="str">
        <f t="shared" si="423"/>
        <v/>
      </c>
    </row>
    <row r="4735" spans="1:17" hidden="1">
      <c r="A4735" t="s">
        <v>4840</v>
      </c>
      <c r="B4735" s="1">
        <v>45553</v>
      </c>
      <c r="C4735">
        <v>2024</v>
      </c>
      <c r="D4735">
        <v>9</v>
      </c>
      <c r="E4735" t="s">
        <v>47</v>
      </c>
      <c r="F4735" t="s">
        <v>14</v>
      </c>
      <c r="G4735" t="s">
        <v>77</v>
      </c>
      <c r="H4735" t="s">
        <v>130</v>
      </c>
      <c r="I4735">
        <v>16533.18</v>
      </c>
      <c r="J4735">
        <v>13715.07</v>
      </c>
      <c r="K4735" t="s">
        <v>17</v>
      </c>
      <c r="L4735" t="b">
        <v>0</v>
      </c>
      <c r="N4735" s="2" t="b">
        <f t="shared" si="422"/>
        <v>1</v>
      </c>
      <c r="O4735" t="str">
        <f t="shared" ref="O4735:O4737" si="427">IF(AND(E4724="HR",K4724="EXPENSE"),I4724&lt;J4724,"")</f>
        <v/>
      </c>
      <c r="Q4735" t="str">
        <f t="shared" si="423"/>
        <v/>
      </c>
    </row>
    <row r="4736" spans="1:17" hidden="1">
      <c r="A4736" t="s">
        <v>4841</v>
      </c>
      <c r="B4736" s="1">
        <v>45553</v>
      </c>
      <c r="C4736">
        <v>2024</v>
      </c>
      <c r="D4736">
        <v>9</v>
      </c>
      <c r="E4736" t="s">
        <v>47</v>
      </c>
      <c r="F4736" t="s">
        <v>28</v>
      </c>
      <c r="G4736" t="s">
        <v>48</v>
      </c>
      <c r="H4736" t="s">
        <v>189</v>
      </c>
      <c r="I4736">
        <v>17582.25</v>
      </c>
      <c r="J4736">
        <v>14559.16</v>
      </c>
      <c r="K4736" t="s">
        <v>17</v>
      </c>
      <c r="L4736" t="b">
        <v>0</v>
      </c>
      <c r="N4736" s="2" t="b">
        <f t="shared" si="422"/>
        <v>1</v>
      </c>
      <c r="O4736" t="b">
        <f t="shared" si="427"/>
        <v>0</v>
      </c>
      <c r="Q4736" t="str">
        <f t="shared" si="423"/>
        <v/>
      </c>
    </row>
    <row r="4737" spans="1:17" hidden="1">
      <c r="A4737" t="s">
        <v>4842</v>
      </c>
      <c r="B4737" s="1">
        <v>45553</v>
      </c>
      <c r="C4737">
        <v>2024</v>
      </c>
      <c r="D4737">
        <v>9</v>
      </c>
      <c r="E4737" t="s">
        <v>47</v>
      </c>
      <c r="F4737" t="s">
        <v>24</v>
      </c>
      <c r="G4737" t="s">
        <v>91</v>
      </c>
      <c r="H4737" t="s">
        <v>249</v>
      </c>
      <c r="I4737">
        <v>13144.06</v>
      </c>
      <c r="J4737">
        <v>10921.01</v>
      </c>
      <c r="K4737" t="s">
        <v>17</v>
      </c>
      <c r="L4737" t="b">
        <v>0</v>
      </c>
      <c r="N4737" s="2" t="b">
        <f t="shared" si="422"/>
        <v>1</v>
      </c>
      <c r="O4737" t="b">
        <f t="shared" si="427"/>
        <v>0</v>
      </c>
      <c r="Q4737" t="str">
        <f t="shared" si="423"/>
        <v/>
      </c>
    </row>
    <row r="4738" spans="1:17" hidden="1">
      <c r="A4738" t="s">
        <v>4843</v>
      </c>
      <c r="B4738" s="1">
        <v>45553</v>
      </c>
      <c r="C4738">
        <v>2024</v>
      </c>
      <c r="D4738">
        <v>9</v>
      </c>
      <c r="E4738" t="s">
        <v>23</v>
      </c>
      <c r="F4738" t="s">
        <v>14</v>
      </c>
      <c r="G4738" t="s">
        <v>59</v>
      </c>
      <c r="H4738" t="s">
        <v>155</v>
      </c>
      <c r="I4738">
        <v>6441.62</v>
      </c>
      <c r="J4738">
        <v>6029.16</v>
      </c>
      <c r="K4738" t="s">
        <v>17</v>
      </c>
      <c r="L4738" t="b">
        <v>0</v>
      </c>
      <c r="N4738" s="2" t="str">
        <f t="shared" si="422"/>
        <v/>
      </c>
      <c r="Q4738" t="str">
        <f t="shared" si="423"/>
        <v/>
      </c>
    </row>
    <row r="4739" spans="1:17" hidden="1">
      <c r="A4739" t="s">
        <v>4844</v>
      </c>
      <c r="B4739" s="1">
        <v>45553</v>
      </c>
      <c r="C4739">
        <v>2024</v>
      </c>
      <c r="D4739">
        <v>9</v>
      </c>
      <c r="E4739" t="s">
        <v>37</v>
      </c>
      <c r="F4739" t="s">
        <v>14</v>
      </c>
      <c r="G4739" t="s">
        <v>41</v>
      </c>
      <c r="H4739" t="s">
        <v>42</v>
      </c>
      <c r="I4739">
        <v>5598.62</v>
      </c>
      <c r="J4739">
        <v>5913.24</v>
      </c>
      <c r="K4739" t="s">
        <v>17</v>
      </c>
      <c r="L4739" t="b">
        <v>0</v>
      </c>
      <c r="N4739" s="2" t="str">
        <f t="shared" ref="N4739:N4802" si="428">IF(AND(E4739="IT",K4739="EXPENSE"),I4739&gt;J4739,"")</f>
        <v/>
      </c>
      <c r="Q4739" t="str">
        <f t="shared" ref="Q4739:Q4802" si="429">IF(L4739=TRUE,OR(H4739="Apex Solutions Inc",H4739="Global Trade Partners",H4739="NovaTech Services"),"")</f>
        <v/>
      </c>
    </row>
    <row r="4740" spans="1:17" hidden="1">
      <c r="A4740" t="s">
        <v>4845</v>
      </c>
      <c r="B4740" s="1">
        <v>45554</v>
      </c>
      <c r="C4740">
        <v>2024</v>
      </c>
      <c r="D4740">
        <v>9</v>
      </c>
      <c r="E4740" t="s">
        <v>13</v>
      </c>
      <c r="F4740" t="s">
        <v>28</v>
      </c>
      <c r="G4740" t="s">
        <v>68</v>
      </c>
      <c r="H4740" t="s">
        <v>69</v>
      </c>
      <c r="I4740">
        <v>3154.58</v>
      </c>
      <c r="J4740">
        <v>3083.82</v>
      </c>
      <c r="K4740" t="s">
        <v>17</v>
      </c>
      <c r="L4740" t="b">
        <v>0</v>
      </c>
      <c r="N4740" s="2" t="str">
        <f t="shared" si="428"/>
        <v/>
      </c>
      <c r="Q4740" t="str">
        <f t="shared" si="429"/>
        <v/>
      </c>
    </row>
    <row r="4741" spans="1:17" hidden="1">
      <c r="A4741" t="s">
        <v>4846</v>
      </c>
      <c r="B4741" s="1">
        <v>45554</v>
      </c>
      <c r="C4741">
        <v>2024</v>
      </c>
      <c r="D4741">
        <v>9</v>
      </c>
      <c r="E4741" t="s">
        <v>47</v>
      </c>
      <c r="F4741" t="s">
        <v>14</v>
      </c>
      <c r="G4741" t="s">
        <v>91</v>
      </c>
      <c r="H4741" t="s">
        <v>254</v>
      </c>
      <c r="I4741">
        <v>13604.17</v>
      </c>
      <c r="J4741">
        <v>11514.54</v>
      </c>
      <c r="K4741" t="s">
        <v>17</v>
      </c>
      <c r="L4741" t="b">
        <v>0</v>
      </c>
      <c r="N4741" s="2" t="b">
        <f t="shared" si="428"/>
        <v>1</v>
      </c>
      <c r="O4741" t="str">
        <f t="shared" ref="O4741:O4744" si="430">IF(AND(E4730="HR",K4730="EXPENSE"),I4730&lt;J4730,"")</f>
        <v/>
      </c>
      <c r="Q4741" t="str">
        <f t="shared" si="429"/>
        <v/>
      </c>
    </row>
    <row r="4742" spans="1:17" hidden="1">
      <c r="A4742" t="s">
        <v>4847</v>
      </c>
      <c r="B4742" s="1">
        <v>45554</v>
      </c>
      <c r="C4742">
        <v>2024</v>
      </c>
      <c r="D4742">
        <v>9</v>
      </c>
      <c r="E4742" t="s">
        <v>47</v>
      </c>
      <c r="F4742" t="s">
        <v>14</v>
      </c>
      <c r="G4742" t="s">
        <v>51</v>
      </c>
      <c r="H4742" t="s">
        <v>189</v>
      </c>
      <c r="I4742">
        <v>9219.99</v>
      </c>
      <c r="J4742">
        <v>7661.7</v>
      </c>
      <c r="K4742" t="s">
        <v>17</v>
      </c>
      <c r="L4742" t="b">
        <v>0</v>
      </c>
      <c r="N4742" s="2" t="b">
        <f t="shared" si="428"/>
        <v>1</v>
      </c>
      <c r="O4742" t="str">
        <f t="shared" si="430"/>
        <v/>
      </c>
      <c r="Q4742" t="str">
        <f t="shared" si="429"/>
        <v/>
      </c>
    </row>
    <row r="4743" spans="1:17" hidden="1">
      <c r="A4743" t="s">
        <v>4848</v>
      </c>
      <c r="B4743" s="1">
        <v>45554</v>
      </c>
      <c r="C4743">
        <v>2024</v>
      </c>
      <c r="D4743">
        <v>9</v>
      </c>
      <c r="E4743" t="s">
        <v>47</v>
      </c>
      <c r="F4743" t="s">
        <v>28</v>
      </c>
      <c r="G4743" t="s">
        <v>77</v>
      </c>
      <c r="H4743" t="s">
        <v>130</v>
      </c>
      <c r="I4743">
        <v>22464.97</v>
      </c>
      <c r="J4743">
        <v>19151.97</v>
      </c>
      <c r="K4743" t="s">
        <v>17</v>
      </c>
      <c r="L4743" t="b">
        <v>0</v>
      </c>
      <c r="N4743" s="2" t="b">
        <f t="shared" si="428"/>
        <v>1</v>
      </c>
      <c r="O4743" t="str">
        <f t="shared" si="430"/>
        <v/>
      </c>
      <c r="Q4743" t="str">
        <f t="shared" si="429"/>
        <v/>
      </c>
    </row>
    <row r="4744" spans="1:17" hidden="1">
      <c r="A4744" t="s">
        <v>4849</v>
      </c>
      <c r="B4744" s="1">
        <v>45554</v>
      </c>
      <c r="C4744">
        <v>2024</v>
      </c>
      <c r="D4744">
        <v>9</v>
      </c>
      <c r="E4744" t="s">
        <v>47</v>
      </c>
      <c r="F4744" t="s">
        <v>24</v>
      </c>
      <c r="G4744" t="s">
        <v>51</v>
      </c>
      <c r="H4744" t="s">
        <v>189</v>
      </c>
      <c r="I4744">
        <v>14533.23</v>
      </c>
      <c r="J4744">
        <v>12107.23</v>
      </c>
      <c r="K4744" t="s">
        <v>17</v>
      </c>
      <c r="L4744" t="b">
        <v>0</v>
      </c>
      <c r="N4744" s="2" t="b">
        <f t="shared" si="428"/>
        <v>1</v>
      </c>
      <c r="O4744" t="str">
        <f t="shared" si="430"/>
        <v/>
      </c>
      <c r="Q4744" t="str">
        <f t="shared" si="429"/>
        <v/>
      </c>
    </row>
    <row r="4745" spans="1:17" hidden="1">
      <c r="A4745" t="s">
        <v>4850</v>
      </c>
      <c r="B4745" s="1">
        <v>45554</v>
      </c>
      <c r="C4745">
        <v>2024</v>
      </c>
      <c r="D4745">
        <v>9</v>
      </c>
      <c r="E4745" t="s">
        <v>19</v>
      </c>
      <c r="F4745" t="s">
        <v>24</v>
      </c>
      <c r="G4745" t="s">
        <v>132</v>
      </c>
      <c r="H4745" t="s">
        <v>138</v>
      </c>
      <c r="I4745">
        <v>5608.68</v>
      </c>
      <c r="J4745">
        <v>5720.99</v>
      </c>
      <c r="K4745" t="s">
        <v>17</v>
      </c>
      <c r="L4745" t="b">
        <v>0</v>
      </c>
      <c r="N4745" s="2" t="str">
        <f t="shared" si="428"/>
        <v/>
      </c>
      <c r="Q4745" t="str">
        <f t="shared" si="429"/>
        <v/>
      </c>
    </row>
    <row r="4746" spans="1:17" hidden="1">
      <c r="A4746" t="s">
        <v>4851</v>
      </c>
      <c r="B4746" s="1">
        <v>45554</v>
      </c>
      <c r="C4746">
        <v>2024</v>
      </c>
      <c r="D4746">
        <v>9</v>
      </c>
      <c r="E4746" t="s">
        <v>23</v>
      </c>
      <c r="F4746" t="s">
        <v>28</v>
      </c>
      <c r="G4746" t="s">
        <v>25</v>
      </c>
      <c r="H4746" t="s">
        <v>26</v>
      </c>
      <c r="I4746">
        <v>7243.16</v>
      </c>
      <c r="J4746">
        <v>7582.23</v>
      </c>
      <c r="K4746" t="s">
        <v>17</v>
      </c>
      <c r="L4746" t="b">
        <v>0</v>
      </c>
      <c r="N4746" s="2" t="str">
        <f t="shared" si="428"/>
        <v/>
      </c>
      <c r="Q4746" t="str">
        <f t="shared" si="429"/>
        <v/>
      </c>
    </row>
    <row r="4747" spans="1:17" hidden="1">
      <c r="A4747" t="s">
        <v>4852</v>
      </c>
      <c r="B4747" s="1">
        <v>45554</v>
      </c>
      <c r="C4747">
        <v>2024</v>
      </c>
      <c r="D4747">
        <v>9</v>
      </c>
      <c r="E4747" t="s">
        <v>23</v>
      </c>
      <c r="F4747" t="s">
        <v>24</v>
      </c>
      <c r="G4747" t="s">
        <v>59</v>
      </c>
      <c r="H4747" t="s">
        <v>60</v>
      </c>
      <c r="I4747">
        <v>6184.19</v>
      </c>
      <c r="J4747">
        <v>5638.04</v>
      </c>
      <c r="K4747" t="s">
        <v>17</v>
      </c>
      <c r="L4747" t="b">
        <v>0</v>
      </c>
      <c r="N4747" s="2" t="str">
        <f t="shared" si="428"/>
        <v/>
      </c>
      <c r="Q4747" t="str">
        <f t="shared" si="429"/>
        <v/>
      </c>
    </row>
    <row r="4748" spans="1:17" hidden="1">
      <c r="A4748" t="s">
        <v>4853</v>
      </c>
      <c r="B4748" s="1">
        <v>45554</v>
      </c>
      <c r="C4748">
        <v>2024</v>
      </c>
      <c r="D4748">
        <v>9</v>
      </c>
      <c r="E4748" t="s">
        <v>37</v>
      </c>
      <c r="F4748" t="s">
        <v>14</v>
      </c>
      <c r="G4748" t="s">
        <v>41</v>
      </c>
      <c r="H4748" t="s">
        <v>42</v>
      </c>
      <c r="I4748">
        <v>4552.38</v>
      </c>
      <c r="J4748">
        <v>4162.4399999999996</v>
      </c>
      <c r="K4748" t="s">
        <v>17</v>
      </c>
      <c r="L4748" t="b">
        <v>0</v>
      </c>
      <c r="N4748" s="2" t="str">
        <f t="shared" si="428"/>
        <v/>
      </c>
      <c r="Q4748" t="str">
        <f t="shared" si="429"/>
        <v/>
      </c>
    </row>
    <row r="4749" spans="1:17" hidden="1">
      <c r="A4749" t="s">
        <v>4854</v>
      </c>
      <c r="B4749" s="1">
        <v>45554</v>
      </c>
      <c r="C4749">
        <v>2024</v>
      </c>
      <c r="D4749">
        <v>9</v>
      </c>
      <c r="E4749" t="s">
        <v>37</v>
      </c>
      <c r="F4749" t="s">
        <v>14</v>
      </c>
      <c r="G4749" t="s">
        <v>98</v>
      </c>
      <c r="H4749" t="s">
        <v>99</v>
      </c>
      <c r="I4749">
        <v>3600.61</v>
      </c>
      <c r="J4749">
        <v>3275.87</v>
      </c>
      <c r="K4749" t="s">
        <v>17</v>
      </c>
      <c r="L4749" t="b">
        <v>0</v>
      </c>
      <c r="N4749" s="2" t="str">
        <f t="shared" si="428"/>
        <v/>
      </c>
      <c r="Q4749" t="str">
        <f t="shared" si="429"/>
        <v/>
      </c>
    </row>
    <row r="4750" spans="1:17" hidden="1">
      <c r="A4750" t="s">
        <v>4855</v>
      </c>
      <c r="B4750" s="1">
        <v>45554</v>
      </c>
      <c r="C4750">
        <v>2024</v>
      </c>
      <c r="D4750">
        <v>9</v>
      </c>
      <c r="E4750" t="s">
        <v>37</v>
      </c>
      <c r="F4750" t="s">
        <v>14</v>
      </c>
      <c r="G4750" t="s">
        <v>38</v>
      </c>
      <c r="H4750" t="s">
        <v>118</v>
      </c>
      <c r="I4750">
        <v>5567.87</v>
      </c>
      <c r="J4750">
        <v>5291.82</v>
      </c>
      <c r="K4750" t="s">
        <v>17</v>
      </c>
      <c r="L4750" t="b">
        <v>0</v>
      </c>
      <c r="N4750" s="2" t="str">
        <f t="shared" si="428"/>
        <v/>
      </c>
      <c r="Q4750" t="str">
        <f t="shared" si="429"/>
        <v/>
      </c>
    </row>
    <row r="4751" spans="1:17" hidden="1">
      <c r="A4751" t="s">
        <v>4856</v>
      </c>
      <c r="B4751" s="1">
        <v>45555</v>
      </c>
      <c r="C4751">
        <v>2024</v>
      </c>
      <c r="D4751">
        <v>9</v>
      </c>
      <c r="E4751" t="s">
        <v>13</v>
      </c>
      <c r="F4751" t="s">
        <v>14</v>
      </c>
      <c r="G4751" t="s">
        <v>108</v>
      </c>
      <c r="H4751" t="s">
        <v>109</v>
      </c>
      <c r="I4751">
        <v>3650.79</v>
      </c>
      <c r="J4751">
        <v>3394.82</v>
      </c>
      <c r="K4751" t="s">
        <v>17</v>
      </c>
      <c r="L4751" t="b">
        <v>0</v>
      </c>
      <c r="N4751" s="2" t="str">
        <f t="shared" si="428"/>
        <v/>
      </c>
      <c r="Q4751" t="str">
        <f t="shared" si="429"/>
        <v/>
      </c>
    </row>
    <row r="4752" spans="1:17" hidden="1">
      <c r="A4752" t="s">
        <v>4857</v>
      </c>
      <c r="B4752" s="1">
        <v>45555</v>
      </c>
      <c r="C4752">
        <v>2024</v>
      </c>
      <c r="D4752">
        <v>9</v>
      </c>
      <c r="E4752" t="s">
        <v>47</v>
      </c>
      <c r="F4752" t="s">
        <v>14</v>
      </c>
      <c r="G4752" t="s">
        <v>91</v>
      </c>
      <c r="H4752" t="s">
        <v>92</v>
      </c>
      <c r="I4752">
        <v>15728.99</v>
      </c>
      <c r="J4752">
        <v>13544.14</v>
      </c>
      <c r="K4752" t="s">
        <v>17</v>
      </c>
      <c r="L4752" t="b">
        <v>0</v>
      </c>
      <c r="N4752" s="2" t="b">
        <f t="shared" si="428"/>
        <v>1</v>
      </c>
      <c r="O4752" t="str">
        <f>IF(AND(E4741="HR",K4741="EXPENSE"),I4741&lt;J4741,"")</f>
        <v/>
      </c>
      <c r="Q4752" t="str">
        <f t="shared" si="429"/>
        <v/>
      </c>
    </row>
    <row r="4753" spans="1:17" hidden="1">
      <c r="A4753" t="s">
        <v>4858</v>
      </c>
      <c r="B4753" s="1">
        <v>45555</v>
      </c>
      <c r="C4753">
        <v>2024</v>
      </c>
      <c r="D4753">
        <v>9</v>
      </c>
      <c r="E4753" t="s">
        <v>19</v>
      </c>
      <c r="F4753" t="s">
        <v>28</v>
      </c>
      <c r="G4753" t="s">
        <v>54</v>
      </c>
      <c r="H4753" t="s">
        <v>57</v>
      </c>
      <c r="I4753">
        <v>5566</v>
      </c>
      <c r="J4753">
        <v>5687</v>
      </c>
      <c r="K4753" t="s">
        <v>17</v>
      </c>
      <c r="L4753" t="b">
        <v>0</v>
      </c>
      <c r="N4753" s="2" t="str">
        <f t="shared" si="428"/>
        <v/>
      </c>
      <c r="Q4753" t="str">
        <f t="shared" si="429"/>
        <v/>
      </c>
    </row>
    <row r="4754" spans="1:17" hidden="1">
      <c r="A4754" t="s">
        <v>4859</v>
      </c>
      <c r="B4754" s="1">
        <v>45555</v>
      </c>
      <c r="C4754">
        <v>2024</v>
      </c>
      <c r="D4754">
        <v>9</v>
      </c>
      <c r="E4754" t="s">
        <v>23</v>
      </c>
      <c r="F4754" t="s">
        <v>24</v>
      </c>
      <c r="G4754" t="s">
        <v>30</v>
      </c>
      <c r="H4754" t="s">
        <v>106</v>
      </c>
      <c r="I4754">
        <v>5184.5200000000004</v>
      </c>
      <c r="J4754">
        <v>5603.17</v>
      </c>
      <c r="K4754" t="s">
        <v>17</v>
      </c>
      <c r="L4754" t="b">
        <v>0</v>
      </c>
      <c r="N4754" s="2" t="str">
        <f t="shared" si="428"/>
        <v/>
      </c>
      <c r="Q4754" t="str">
        <f t="shared" si="429"/>
        <v/>
      </c>
    </row>
    <row r="4755" spans="1:17" hidden="1">
      <c r="A4755" t="s">
        <v>4860</v>
      </c>
      <c r="B4755" s="1">
        <v>45556</v>
      </c>
      <c r="C4755">
        <v>2024</v>
      </c>
      <c r="D4755">
        <v>9</v>
      </c>
      <c r="E4755" t="s">
        <v>13</v>
      </c>
      <c r="F4755" t="s">
        <v>14</v>
      </c>
      <c r="G4755" t="s">
        <v>102</v>
      </c>
      <c r="H4755" t="s">
        <v>103</v>
      </c>
      <c r="I4755">
        <v>4331.5</v>
      </c>
      <c r="J4755">
        <v>4471.6400000000003</v>
      </c>
      <c r="K4755" t="s">
        <v>17</v>
      </c>
      <c r="L4755" t="b">
        <v>0</v>
      </c>
      <c r="N4755" s="2" t="str">
        <f t="shared" si="428"/>
        <v/>
      </c>
      <c r="Q4755" t="str">
        <f t="shared" si="429"/>
        <v/>
      </c>
    </row>
    <row r="4756" spans="1:17" hidden="1">
      <c r="A4756" t="s">
        <v>4861</v>
      </c>
      <c r="B4756" s="1">
        <v>45556</v>
      </c>
      <c r="C4756">
        <v>2024</v>
      </c>
      <c r="D4756">
        <v>9</v>
      </c>
      <c r="E4756" t="s">
        <v>13</v>
      </c>
      <c r="F4756" t="s">
        <v>14</v>
      </c>
      <c r="G4756" t="s">
        <v>68</v>
      </c>
      <c r="H4756" t="s">
        <v>213</v>
      </c>
      <c r="I4756">
        <v>3327.12</v>
      </c>
      <c r="J4756">
        <v>3422.23</v>
      </c>
      <c r="K4756" t="s">
        <v>17</v>
      </c>
      <c r="L4756" t="b">
        <v>0</v>
      </c>
      <c r="N4756" s="2" t="str">
        <f t="shared" si="428"/>
        <v/>
      </c>
      <c r="Q4756" t="str">
        <f t="shared" si="429"/>
        <v/>
      </c>
    </row>
    <row r="4757" spans="1:17" hidden="1">
      <c r="A4757" t="s">
        <v>4862</v>
      </c>
      <c r="B4757" s="1">
        <v>45556</v>
      </c>
      <c r="C4757">
        <v>2024</v>
      </c>
      <c r="D4757">
        <v>9</v>
      </c>
      <c r="E4757" t="s">
        <v>13</v>
      </c>
      <c r="F4757" t="s">
        <v>28</v>
      </c>
      <c r="G4757" t="s">
        <v>108</v>
      </c>
      <c r="H4757" t="s">
        <v>123</v>
      </c>
      <c r="I4757">
        <v>4382.83</v>
      </c>
      <c r="J4757">
        <v>4127.33</v>
      </c>
      <c r="K4757" t="s">
        <v>17</v>
      </c>
      <c r="L4757" t="b">
        <v>0</v>
      </c>
      <c r="N4757" s="2" t="str">
        <f t="shared" si="428"/>
        <v/>
      </c>
      <c r="Q4757" t="str">
        <f t="shared" si="429"/>
        <v/>
      </c>
    </row>
    <row r="4758" spans="1:17" hidden="1">
      <c r="A4758" t="s">
        <v>4863</v>
      </c>
      <c r="B4758" s="1">
        <v>45556</v>
      </c>
      <c r="C4758">
        <v>2024</v>
      </c>
      <c r="D4758">
        <v>9</v>
      </c>
      <c r="E4758" t="s">
        <v>47</v>
      </c>
      <c r="F4758" t="s">
        <v>14</v>
      </c>
      <c r="G4758" t="s">
        <v>48</v>
      </c>
      <c r="H4758" t="s">
        <v>191</v>
      </c>
      <c r="I4758">
        <v>11941.59</v>
      </c>
      <c r="J4758">
        <v>9951.42</v>
      </c>
      <c r="K4758" t="s">
        <v>17</v>
      </c>
      <c r="L4758" t="b">
        <v>0</v>
      </c>
      <c r="N4758" s="2" t="b">
        <f t="shared" si="428"/>
        <v>1</v>
      </c>
      <c r="O4758" t="str">
        <f t="shared" ref="O4758:O4760" si="431">IF(AND(E4747="HR",K4747="EXPENSE"),I4747&lt;J4747,"")</f>
        <v/>
      </c>
      <c r="Q4758" t="str">
        <f t="shared" si="429"/>
        <v/>
      </c>
    </row>
    <row r="4759" spans="1:17" hidden="1">
      <c r="A4759" t="s">
        <v>4864</v>
      </c>
      <c r="B4759" s="1">
        <v>45556</v>
      </c>
      <c r="C4759">
        <v>2024</v>
      </c>
      <c r="D4759">
        <v>9</v>
      </c>
      <c r="E4759" t="s">
        <v>47</v>
      </c>
      <c r="F4759" t="s">
        <v>14</v>
      </c>
      <c r="G4759" t="s">
        <v>51</v>
      </c>
      <c r="H4759" t="s">
        <v>52</v>
      </c>
      <c r="I4759">
        <v>16197.81</v>
      </c>
      <c r="J4759">
        <v>13722.72</v>
      </c>
      <c r="K4759" t="s">
        <v>17</v>
      </c>
      <c r="L4759" t="b">
        <v>0</v>
      </c>
      <c r="N4759" s="2" t="b">
        <f t="shared" si="428"/>
        <v>1</v>
      </c>
      <c r="O4759" t="str">
        <f t="shared" si="431"/>
        <v/>
      </c>
      <c r="Q4759" t="str">
        <f t="shared" si="429"/>
        <v/>
      </c>
    </row>
    <row r="4760" spans="1:17" hidden="1">
      <c r="A4760" t="s">
        <v>4865</v>
      </c>
      <c r="B4760" s="1">
        <v>45556</v>
      </c>
      <c r="C4760">
        <v>2024</v>
      </c>
      <c r="D4760">
        <v>9</v>
      </c>
      <c r="E4760" t="s">
        <v>47</v>
      </c>
      <c r="F4760" t="s">
        <v>24</v>
      </c>
      <c r="G4760" t="s">
        <v>51</v>
      </c>
      <c r="H4760" t="s">
        <v>189</v>
      </c>
      <c r="I4760">
        <v>14588.41</v>
      </c>
      <c r="J4760">
        <v>12162.08</v>
      </c>
      <c r="K4760" t="s">
        <v>17</v>
      </c>
      <c r="L4760" t="b">
        <v>0</v>
      </c>
      <c r="N4760" s="2" t="b">
        <f t="shared" si="428"/>
        <v>1</v>
      </c>
      <c r="O4760" t="str">
        <f t="shared" si="431"/>
        <v/>
      </c>
      <c r="Q4760" t="str">
        <f t="shared" si="429"/>
        <v/>
      </c>
    </row>
    <row r="4761" spans="1:17" hidden="1">
      <c r="A4761" t="s">
        <v>4866</v>
      </c>
      <c r="B4761" s="1">
        <v>45556</v>
      </c>
      <c r="C4761">
        <v>2024</v>
      </c>
      <c r="D4761">
        <v>9</v>
      </c>
      <c r="E4761" t="s">
        <v>19</v>
      </c>
      <c r="F4761" t="s">
        <v>14</v>
      </c>
      <c r="G4761" t="s">
        <v>132</v>
      </c>
      <c r="H4761" t="s">
        <v>138</v>
      </c>
      <c r="I4761">
        <v>5373.98</v>
      </c>
      <c r="J4761">
        <v>4845.5</v>
      </c>
      <c r="K4761" t="s">
        <v>17</v>
      </c>
      <c r="L4761" t="b">
        <v>0</v>
      </c>
      <c r="N4761" s="2" t="str">
        <f t="shared" si="428"/>
        <v/>
      </c>
      <c r="Q4761" t="str">
        <f t="shared" si="429"/>
        <v/>
      </c>
    </row>
    <row r="4762" spans="1:17" hidden="1">
      <c r="A4762" t="s">
        <v>4867</v>
      </c>
      <c r="B4762" s="1">
        <v>45556</v>
      </c>
      <c r="C4762">
        <v>2024</v>
      </c>
      <c r="D4762">
        <v>9</v>
      </c>
      <c r="E4762" t="s">
        <v>19</v>
      </c>
      <c r="F4762" t="s">
        <v>14</v>
      </c>
      <c r="G4762" t="s">
        <v>132</v>
      </c>
      <c r="H4762" t="s">
        <v>133</v>
      </c>
      <c r="I4762">
        <v>7785.71</v>
      </c>
      <c r="J4762">
        <v>7921.76</v>
      </c>
      <c r="K4762" t="s">
        <v>17</v>
      </c>
      <c r="L4762" t="b">
        <v>0</v>
      </c>
      <c r="N4762" s="2" t="str">
        <f t="shared" si="428"/>
        <v/>
      </c>
      <c r="Q4762" t="str">
        <f t="shared" si="429"/>
        <v/>
      </c>
    </row>
    <row r="4763" spans="1:17" hidden="1">
      <c r="A4763" t="s">
        <v>4868</v>
      </c>
      <c r="B4763" s="1">
        <v>45556</v>
      </c>
      <c r="C4763">
        <v>2024</v>
      </c>
      <c r="D4763">
        <v>9</v>
      </c>
      <c r="E4763" t="s">
        <v>19</v>
      </c>
      <c r="F4763" t="s">
        <v>28</v>
      </c>
      <c r="G4763" t="s">
        <v>132</v>
      </c>
      <c r="H4763" t="s">
        <v>138</v>
      </c>
      <c r="I4763">
        <v>6995.98</v>
      </c>
      <c r="J4763">
        <v>6386.26</v>
      </c>
      <c r="K4763" t="s">
        <v>17</v>
      </c>
      <c r="L4763" t="b">
        <v>0</v>
      </c>
      <c r="N4763" s="2" t="str">
        <f t="shared" si="428"/>
        <v/>
      </c>
      <c r="Q4763" t="str">
        <f t="shared" si="429"/>
        <v/>
      </c>
    </row>
    <row r="4764" spans="1:17" hidden="1">
      <c r="A4764" t="s">
        <v>4869</v>
      </c>
      <c r="B4764" s="1">
        <v>45556</v>
      </c>
      <c r="C4764">
        <v>2024</v>
      </c>
      <c r="D4764">
        <v>9</v>
      </c>
      <c r="E4764" t="s">
        <v>19</v>
      </c>
      <c r="F4764" t="s">
        <v>28</v>
      </c>
      <c r="G4764" t="s">
        <v>80</v>
      </c>
      <c r="H4764" t="s">
        <v>150</v>
      </c>
      <c r="I4764">
        <v>5608.67</v>
      </c>
      <c r="J4764">
        <v>5363.63</v>
      </c>
      <c r="K4764" t="s">
        <v>17</v>
      </c>
      <c r="L4764" t="b">
        <v>0</v>
      </c>
      <c r="N4764" s="2" t="str">
        <f t="shared" si="428"/>
        <v/>
      </c>
      <c r="Q4764" t="str">
        <f t="shared" si="429"/>
        <v/>
      </c>
    </row>
    <row r="4765" spans="1:17" hidden="1">
      <c r="A4765" t="s">
        <v>4870</v>
      </c>
      <c r="B4765" s="1">
        <v>45556</v>
      </c>
      <c r="C4765">
        <v>2024</v>
      </c>
      <c r="D4765">
        <v>9</v>
      </c>
      <c r="E4765" t="s">
        <v>19</v>
      </c>
      <c r="F4765" t="s">
        <v>24</v>
      </c>
      <c r="G4765" t="s">
        <v>54</v>
      </c>
      <c r="H4765" t="s">
        <v>55</v>
      </c>
      <c r="I4765">
        <v>122.87</v>
      </c>
      <c r="J4765">
        <v>121.79</v>
      </c>
      <c r="K4765" t="s">
        <v>17</v>
      </c>
      <c r="L4765" t="b">
        <v>0</v>
      </c>
      <c r="N4765" s="2" t="str">
        <f t="shared" si="428"/>
        <v/>
      </c>
      <c r="Q4765" t="str">
        <f t="shared" si="429"/>
        <v/>
      </c>
    </row>
    <row r="4766" spans="1:17" hidden="1">
      <c r="A4766" t="s">
        <v>4871</v>
      </c>
      <c r="B4766" s="1">
        <v>45556</v>
      </c>
      <c r="C4766">
        <v>2024</v>
      </c>
      <c r="D4766">
        <v>9</v>
      </c>
      <c r="E4766" t="s">
        <v>23</v>
      </c>
      <c r="F4766" t="s">
        <v>14</v>
      </c>
      <c r="G4766" t="s">
        <v>59</v>
      </c>
      <c r="H4766" t="s">
        <v>60</v>
      </c>
      <c r="I4766">
        <v>3400.06</v>
      </c>
      <c r="J4766">
        <v>3198.83</v>
      </c>
      <c r="K4766" t="s">
        <v>17</v>
      </c>
      <c r="L4766" t="b">
        <v>0</v>
      </c>
      <c r="N4766" s="2" t="str">
        <f t="shared" si="428"/>
        <v/>
      </c>
      <c r="Q4766" t="str">
        <f t="shared" si="429"/>
        <v/>
      </c>
    </row>
    <row r="4767" spans="1:17" hidden="1">
      <c r="A4767" t="s">
        <v>4872</v>
      </c>
      <c r="B4767" s="1">
        <v>45557</v>
      </c>
      <c r="C4767">
        <v>2024</v>
      </c>
      <c r="D4767">
        <v>9</v>
      </c>
      <c r="E4767" t="s">
        <v>13</v>
      </c>
      <c r="F4767" t="s">
        <v>28</v>
      </c>
      <c r="G4767" t="s">
        <v>68</v>
      </c>
      <c r="H4767" t="s">
        <v>213</v>
      </c>
      <c r="I4767">
        <v>5374.95</v>
      </c>
      <c r="J4767">
        <v>5496.56</v>
      </c>
      <c r="K4767" t="s">
        <v>17</v>
      </c>
      <c r="L4767" t="b">
        <v>0</v>
      </c>
      <c r="N4767" s="2" t="str">
        <f t="shared" si="428"/>
        <v/>
      </c>
      <c r="Q4767" t="str">
        <f t="shared" si="429"/>
        <v/>
      </c>
    </row>
    <row r="4768" spans="1:17" hidden="1">
      <c r="A4768" t="s">
        <v>4873</v>
      </c>
      <c r="B4768" s="1">
        <v>45557</v>
      </c>
      <c r="C4768">
        <v>2024</v>
      </c>
      <c r="D4768">
        <v>9</v>
      </c>
      <c r="E4768" t="s">
        <v>13</v>
      </c>
      <c r="F4768" t="s">
        <v>28</v>
      </c>
      <c r="G4768" t="s">
        <v>108</v>
      </c>
      <c r="H4768" t="s">
        <v>123</v>
      </c>
      <c r="I4768">
        <v>4208.8100000000004</v>
      </c>
      <c r="J4768">
        <v>4602.18</v>
      </c>
      <c r="K4768" t="s">
        <v>17</v>
      </c>
      <c r="L4768" t="b">
        <v>0</v>
      </c>
      <c r="N4768" s="2" t="str">
        <f t="shared" si="428"/>
        <v/>
      </c>
      <c r="Q4768" t="str">
        <f t="shared" si="429"/>
        <v/>
      </c>
    </row>
    <row r="4769" spans="1:17" hidden="1">
      <c r="A4769" t="s">
        <v>4874</v>
      </c>
      <c r="B4769" s="1">
        <v>45557</v>
      </c>
      <c r="C4769">
        <v>2024</v>
      </c>
      <c r="D4769">
        <v>9</v>
      </c>
      <c r="E4769" t="s">
        <v>47</v>
      </c>
      <c r="F4769" t="s">
        <v>28</v>
      </c>
      <c r="G4769" t="s">
        <v>77</v>
      </c>
      <c r="H4769" t="s">
        <v>130</v>
      </c>
      <c r="I4769">
        <v>19833.09</v>
      </c>
      <c r="J4769">
        <v>16702.18</v>
      </c>
      <c r="K4769" t="s">
        <v>17</v>
      </c>
      <c r="L4769" t="b">
        <v>0</v>
      </c>
      <c r="N4769" s="2" t="b">
        <f t="shared" si="428"/>
        <v>1</v>
      </c>
      <c r="O4769" t="str">
        <f>IF(AND(E4758="HR",K4758="EXPENSE"),I4758&lt;J4758,"")</f>
        <v/>
      </c>
      <c r="Q4769" t="str">
        <f t="shared" si="429"/>
        <v/>
      </c>
    </row>
    <row r="4770" spans="1:17" hidden="1">
      <c r="A4770" t="s">
        <v>4875</v>
      </c>
      <c r="B4770" s="1">
        <v>45557</v>
      </c>
      <c r="C4770">
        <v>2024</v>
      </c>
      <c r="D4770">
        <v>9</v>
      </c>
      <c r="E4770" t="s">
        <v>23</v>
      </c>
      <c r="F4770" t="s">
        <v>14</v>
      </c>
      <c r="G4770" t="s">
        <v>25</v>
      </c>
      <c r="H4770" t="s">
        <v>35</v>
      </c>
      <c r="I4770">
        <v>8681.7900000000009</v>
      </c>
      <c r="J4770">
        <v>8747.64</v>
      </c>
      <c r="K4770" t="s">
        <v>17</v>
      </c>
      <c r="L4770" t="b">
        <v>0</v>
      </c>
      <c r="N4770" s="2" t="str">
        <f t="shared" si="428"/>
        <v/>
      </c>
      <c r="Q4770" t="str">
        <f t="shared" si="429"/>
        <v/>
      </c>
    </row>
    <row r="4771" spans="1:17" hidden="1">
      <c r="A4771" t="s">
        <v>4876</v>
      </c>
      <c r="B4771" s="1">
        <v>45557</v>
      </c>
      <c r="C4771">
        <v>2024</v>
      </c>
      <c r="D4771">
        <v>9</v>
      </c>
      <c r="E4771" t="s">
        <v>37</v>
      </c>
      <c r="F4771" t="s">
        <v>24</v>
      </c>
      <c r="G4771" t="s">
        <v>98</v>
      </c>
      <c r="H4771" t="s">
        <v>185</v>
      </c>
      <c r="I4771">
        <v>3682.34</v>
      </c>
      <c r="J4771">
        <v>3368.74</v>
      </c>
      <c r="K4771" t="s">
        <v>17</v>
      </c>
      <c r="L4771" t="b">
        <v>0</v>
      </c>
      <c r="N4771" s="2" t="str">
        <f t="shared" si="428"/>
        <v/>
      </c>
      <c r="Q4771" t="str">
        <f t="shared" si="429"/>
        <v/>
      </c>
    </row>
    <row r="4772" spans="1:17" hidden="1">
      <c r="A4772" t="s">
        <v>4877</v>
      </c>
      <c r="B4772" s="1">
        <v>45557</v>
      </c>
      <c r="C4772">
        <v>2024</v>
      </c>
      <c r="D4772">
        <v>9</v>
      </c>
      <c r="E4772" t="s">
        <v>37</v>
      </c>
      <c r="F4772" t="s">
        <v>24</v>
      </c>
      <c r="G4772" t="s">
        <v>98</v>
      </c>
      <c r="H4772" t="s">
        <v>99</v>
      </c>
      <c r="I4772">
        <v>5309.53</v>
      </c>
      <c r="J4772">
        <v>5177.6000000000004</v>
      </c>
      <c r="K4772" t="s">
        <v>17</v>
      </c>
      <c r="L4772" t="b">
        <v>0</v>
      </c>
      <c r="N4772" s="2" t="str">
        <f t="shared" si="428"/>
        <v/>
      </c>
      <c r="Q4772" t="str">
        <f t="shared" si="429"/>
        <v/>
      </c>
    </row>
    <row r="4773" spans="1:17" hidden="1">
      <c r="A4773" t="s">
        <v>4878</v>
      </c>
      <c r="B4773" s="1">
        <v>45558</v>
      </c>
      <c r="C4773">
        <v>2024</v>
      </c>
      <c r="D4773">
        <v>9</v>
      </c>
      <c r="E4773" t="s">
        <v>19</v>
      </c>
      <c r="F4773" t="s">
        <v>14</v>
      </c>
      <c r="G4773" t="s">
        <v>80</v>
      </c>
      <c r="H4773" t="s">
        <v>81</v>
      </c>
      <c r="I4773">
        <v>8816.6</v>
      </c>
      <c r="J4773">
        <v>8182.38</v>
      </c>
      <c r="K4773" t="s">
        <v>17</v>
      </c>
      <c r="L4773" t="b">
        <v>0</v>
      </c>
      <c r="N4773" s="2" t="str">
        <f t="shared" si="428"/>
        <v/>
      </c>
      <c r="Q4773" t="str">
        <f t="shared" si="429"/>
        <v/>
      </c>
    </row>
    <row r="4774" spans="1:17" hidden="1">
      <c r="A4774" t="s">
        <v>4879</v>
      </c>
      <c r="B4774" s="1">
        <v>45558</v>
      </c>
      <c r="C4774">
        <v>2024</v>
      </c>
      <c r="D4774">
        <v>9</v>
      </c>
      <c r="E4774" t="s">
        <v>23</v>
      </c>
      <c r="F4774" t="s">
        <v>28</v>
      </c>
      <c r="G4774" t="s">
        <v>59</v>
      </c>
      <c r="H4774" t="s">
        <v>155</v>
      </c>
      <c r="I4774">
        <v>4106.49</v>
      </c>
      <c r="J4774">
        <v>4181.66</v>
      </c>
      <c r="K4774" t="s">
        <v>17</v>
      </c>
      <c r="L4774" t="b">
        <v>0</v>
      </c>
      <c r="N4774" s="2" t="str">
        <f t="shared" si="428"/>
        <v/>
      </c>
      <c r="Q4774" t="str">
        <f t="shared" si="429"/>
        <v/>
      </c>
    </row>
    <row r="4775" spans="1:17" hidden="1">
      <c r="A4775" t="s">
        <v>4880</v>
      </c>
      <c r="B4775" s="1">
        <v>45558</v>
      </c>
      <c r="C4775">
        <v>2024</v>
      </c>
      <c r="D4775">
        <v>9</v>
      </c>
      <c r="E4775" t="s">
        <v>23</v>
      </c>
      <c r="F4775" t="s">
        <v>24</v>
      </c>
      <c r="G4775" t="s">
        <v>141</v>
      </c>
      <c r="H4775" t="s">
        <v>209</v>
      </c>
      <c r="I4775">
        <v>6026.94</v>
      </c>
      <c r="J4775">
        <v>6087.73</v>
      </c>
      <c r="K4775" t="s">
        <v>17</v>
      </c>
      <c r="L4775" t="b">
        <v>0</v>
      </c>
      <c r="N4775" s="2" t="str">
        <f t="shared" si="428"/>
        <v/>
      </c>
      <c r="Q4775" t="str">
        <f t="shared" si="429"/>
        <v/>
      </c>
    </row>
    <row r="4776" spans="1:17" hidden="1">
      <c r="A4776" t="s">
        <v>4881</v>
      </c>
      <c r="B4776" s="1">
        <v>45558</v>
      </c>
      <c r="C4776">
        <v>2024</v>
      </c>
      <c r="D4776">
        <v>9</v>
      </c>
      <c r="E4776" t="s">
        <v>37</v>
      </c>
      <c r="F4776" t="s">
        <v>24</v>
      </c>
      <c r="G4776" t="s">
        <v>41</v>
      </c>
      <c r="H4776" t="s">
        <v>42</v>
      </c>
      <c r="I4776">
        <v>7094.64</v>
      </c>
      <c r="J4776">
        <v>7577.18</v>
      </c>
      <c r="K4776" t="s">
        <v>17</v>
      </c>
      <c r="L4776" t="b">
        <v>0</v>
      </c>
      <c r="N4776" s="2" t="str">
        <f t="shared" si="428"/>
        <v/>
      </c>
      <c r="Q4776" t="str">
        <f t="shared" si="429"/>
        <v/>
      </c>
    </row>
    <row r="4777" spans="1:17" hidden="1">
      <c r="A4777" t="s">
        <v>4882</v>
      </c>
      <c r="B4777" s="1">
        <v>45558</v>
      </c>
      <c r="C4777">
        <v>2024</v>
      </c>
      <c r="D4777">
        <v>9</v>
      </c>
      <c r="E4777" t="s">
        <v>37</v>
      </c>
      <c r="F4777" t="s">
        <v>24</v>
      </c>
      <c r="G4777" t="s">
        <v>41</v>
      </c>
      <c r="H4777" t="s">
        <v>42</v>
      </c>
      <c r="I4777">
        <v>3429.86</v>
      </c>
      <c r="J4777">
        <v>3760.82</v>
      </c>
      <c r="K4777" t="s">
        <v>17</v>
      </c>
      <c r="L4777" t="b">
        <v>0</v>
      </c>
      <c r="N4777" s="2" t="str">
        <f t="shared" si="428"/>
        <v/>
      </c>
      <c r="Q4777" t="str">
        <f t="shared" si="429"/>
        <v/>
      </c>
    </row>
    <row r="4778" spans="1:17" hidden="1">
      <c r="A4778" t="s">
        <v>4883</v>
      </c>
      <c r="B4778" s="1">
        <v>45559</v>
      </c>
      <c r="C4778">
        <v>2024</v>
      </c>
      <c r="D4778">
        <v>9</v>
      </c>
      <c r="E4778" t="s">
        <v>47</v>
      </c>
      <c r="F4778" t="s">
        <v>14</v>
      </c>
      <c r="G4778" t="s">
        <v>51</v>
      </c>
      <c r="H4778" t="s">
        <v>189</v>
      </c>
      <c r="I4778">
        <v>13816.39</v>
      </c>
      <c r="J4778">
        <v>11846.53</v>
      </c>
      <c r="K4778" t="s">
        <v>17</v>
      </c>
      <c r="L4778" t="b">
        <v>0</v>
      </c>
      <c r="N4778" s="2" t="b">
        <f t="shared" si="428"/>
        <v>1</v>
      </c>
      <c r="O4778" t="b">
        <f>IF(AND(E4767="HR",K4767="EXPENSE"),I4767&lt;J4767,"")</f>
        <v>1</v>
      </c>
      <c r="Q4778" t="str">
        <f t="shared" si="429"/>
        <v/>
      </c>
    </row>
    <row r="4779" spans="1:17" hidden="1">
      <c r="A4779" t="s">
        <v>4884</v>
      </c>
      <c r="B4779" s="1">
        <v>45559</v>
      </c>
      <c r="C4779">
        <v>2024</v>
      </c>
      <c r="D4779">
        <v>9</v>
      </c>
      <c r="E4779" t="s">
        <v>19</v>
      </c>
      <c r="F4779" t="s">
        <v>14</v>
      </c>
      <c r="G4779" t="s">
        <v>20</v>
      </c>
      <c r="H4779" t="s">
        <v>21</v>
      </c>
      <c r="I4779">
        <v>7964.13</v>
      </c>
      <c r="J4779">
        <v>8691.35</v>
      </c>
      <c r="K4779" t="s">
        <v>17</v>
      </c>
      <c r="L4779" t="b">
        <v>0</v>
      </c>
      <c r="N4779" s="2" t="str">
        <f t="shared" si="428"/>
        <v/>
      </c>
      <c r="Q4779" t="str">
        <f t="shared" si="429"/>
        <v/>
      </c>
    </row>
    <row r="4780" spans="1:17" hidden="1">
      <c r="A4780" t="s">
        <v>4885</v>
      </c>
      <c r="B4780" s="1">
        <v>45559</v>
      </c>
      <c r="C4780">
        <v>2024</v>
      </c>
      <c r="D4780">
        <v>9</v>
      </c>
      <c r="E4780" t="s">
        <v>19</v>
      </c>
      <c r="F4780" t="s">
        <v>14</v>
      </c>
      <c r="G4780" t="s">
        <v>20</v>
      </c>
      <c r="H4780" t="s">
        <v>136</v>
      </c>
      <c r="I4780">
        <v>7001.24</v>
      </c>
      <c r="J4780">
        <v>7224.9</v>
      </c>
      <c r="K4780" t="s">
        <v>17</v>
      </c>
      <c r="L4780" t="b">
        <v>0</v>
      </c>
      <c r="N4780" s="2" t="str">
        <f t="shared" si="428"/>
        <v/>
      </c>
      <c r="Q4780" t="str">
        <f t="shared" si="429"/>
        <v/>
      </c>
    </row>
    <row r="4781" spans="1:17" hidden="1">
      <c r="A4781" t="s">
        <v>4886</v>
      </c>
      <c r="B4781" s="1">
        <v>45559</v>
      </c>
      <c r="C4781">
        <v>2024</v>
      </c>
      <c r="D4781">
        <v>9</v>
      </c>
      <c r="E4781" t="s">
        <v>19</v>
      </c>
      <c r="F4781" t="s">
        <v>24</v>
      </c>
      <c r="G4781" t="s">
        <v>54</v>
      </c>
      <c r="H4781" t="s">
        <v>55</v>
      </c>
      <c r="I4781">
        <v>6848.33</v>
      </c>
      <c r="J4781">
        <v>7142.38</v>
      </c>
      <c r="K4781" t="s">
        <v>17</v>
      </c>
      <c r="L4781" t="b">
        <v>0</v>
      </c>
      <c r="N4781" s="2" t="str">
        <f t="shared" si="428"/>
        <v/>
      </c>
      <c r="Q4781" t="str">
        <f t="shared" si="429"/>
        <v/>
      </c>
    </row>
    <row r="4782" spans="1:17" hidden="1">
      <c r="A4782" t="s">
        <v>4887</v>
      </c>
      <c r="B4782" s="1">
        <v>45559</v>
      </c>
      <c r="C4782">
        <v>2024</v>
      </c>
      <c r="D4782">
        <v>9</v>
      </c>
      <c r="E4782" t="s">
        <v>23</v>
      </c>
      <c r="F4782" t="s">
        <v>28</v>
      </c>
      <c r="G4782" t="s">
        <v>141</v>
      </c>
      <c r="H4782" t="s">
        <v>153</v>
      </c>
      <c r="I4782">
        <v>4253.2700000000004</v>
      </c>
      <c r="J4782">
        <v>4114.55</v>
      </c>
      <c r="K4782" t="s">
        <v>17</v>
      </c>
      <c r="L4782" t="b">
        <v>0</v>
      </c>
      <c r="N4782" s="2" t="str">
        <f t="shared" si="428"/>
        <v/>
      </c>
      <c r="Q4782" t="str">
        <f t="shared" si="429"/>
        <v/>
      </c>
    </row>
    <row r="4783" spans="1:17" hidden="1">
      <c r="A4783" t="s">
        <v>4888</v>
      </c>
      <c r="B4783" s="1">
        <v>45559</v>
      </c>
      <c r="C4783">
        <v>2024</v>
      </c>
      <c r="D4783">
        <v>9</v>
      </c>
      <c r="E4783" t="s">
        <v>23</v>
      </c>
      <c r="F4783" t="s">
        <v>28</v>
      </c>
      <c r="G4783" t="s">
        <v>25</v>
      </c>
      <c r="H4783" t="s">
        <v>95</v>
      </c>
      <c r="I4783">
        <v>6152.42</v>
      </c>
      <c r="J4783">
        <v>6026.24</v>
      </c>
      <c r="K4783" t="s">
        <v>17</v>
      </c>
      <c r="L4783" t="b">
        <v>0</v>
      </c>
      <c r="N4783" s="2" t="str">
        <f t="shared" si="428"/>
        <v/>
      </c>
      <c r="Q4783" t="str">
        <f t="shared" si="429"/>
        <v/>
      </c>
    </row>
    <row r="4784" spans="1:17" hidden="1">
      <c r="A4784" t="s">
        <v>4889</v>
      </c>
      <c r="B4784" s="1">
        <v>45559</v>
      </c>
      <c r="C4784">
        <v>2024</v>
      </c>
      <c r="D4784">
        <v>9</v>
      </c>
      <c r="E4784" t="s">
        <v>23</v>
      </c>
      <c r="F4784" t="s">
        <v>28</v>
      </c>
      <c r="G4784" t="s">
        <v>30</v>
      </c>
      <c r="H4784" t="s">
        <v>31</v>
      </c>
      <c r="I4784">
        <v>5080.99</v>
      </c>
      <c r="J4784">
        <v>5197.93</v>
      </c>
      <c r="K4784" t="s">
        <v>17</v>
      </c>
      <c r="L4784" t="b">
        <v>0</v>
      </c>
      <c r="N4784" s="2" t="str">
        <f t="shared" si="428"/>
        <v/>
      </c>
      <c r="Q4784" t="str">
        <f t="shared" si="429"/>
        <v/>
      </c>
    </row>
    <row r="4785" spans="1:17" hidden="1">
      <c r="A4785" t="s">
        <v>4890</v>
      </c>
      <c r="B4785" s="1">
        <v>45559</v>
      </c>
      <c r="C4785">
        <v>2024</v>
      </c>
      <c r="D4785">
        <v>9</v>
      </c>
      <c r="E4785" t="s">
        <v>37</v>
      </c>
      <c r="F4785" t="s">
        <v>28</v>
      </c>
      <c r="G4785" t="s">
        <v>41</v>
      </c>
      <c r="H4785" t="s">
        <v>42</v>
      </c>
      <c r="I4785">
        <v>4847.3</v>
      </c>
      <c r="J4785">
        <v>5154.4799999999996</v>
      </c>
      <c r="K4785" t="s">
        <v>17</v>
      </c>
      <c r="L4785" t="b">
        <v>0</v>
      </c>
      <c r="N4785" s="2" t="str">
        <f t="shared" si="428"/>
        <v/>
      </c>
      <c r="Q4785" t="str">
        <f t="shared" si="429"/>
        <v/>
      </c>
    </row>
    <row r="4786" spans="1:17" hidden="1">
      <c r="A4786" t="s">
        <v>4891</v>
      </c>
      <c r="B4786" s="1">
        <v>45559</v>
      </c>
      <c r="C4786">
        <v>2024</v>
      </c>
      <c r="D4786">
        <v>9</v>
      </c>
      <c r="E4786" t="s">
        <v>37</v>
      </c>
      <c r="F4786" t="s">
        <v>28</v>
      </c>
      <c r="G4786" t="s">
        <v>98</v>
      </c>
      <c r="H4786" t="s">
        <v>99</v>
      </c>
      <c r="I4786">
        <v>3905.27</v>
      </c>
      <c r="J4786">
        <v>3880.73</v>
      </c>
      <c r="K4786" t="s">
        <v>17</v>
      </c>
      <c r="L4786" t="b">
        <v>0</v>
      </c>
      <c r="N4786" s="2" t="str">
        <f t="shared" si="428"/>
        <v/>
      </c>
      <c r="Q4786" t="str">
        <f t="shared" si="429"/>
        <v/>
      </c>
    </row>
    <row r="4787" spans="1:17" hidden="1">
      <c r="A4787" t="s">
        <v>4892</v>
      </c>
      <c r="B4787" s="1">
        <v>45560</v>
      </c>
      <c r="C4787">
        <v>2024</v>
      </c>
      <c r="D4787">
        <v>9</v>
      </c>
      <c r="E4787" t="s">
        <v>13</v>
      </c>
      <c r="F4787" t="s">
        <v>28</v>
      </c>
      <c r="G4787" t="s">
        <v>102</v>
      </c>
      <c r="H4787" t="s">
        <v>145</v>
      </c>
      <c r="I4787">
        <v>4835.97</v>
      </c>
      <c r="J4787">
        <v>4727.32</v>
      </c>
      <c r="K4787" t="s">
        <v>17</v>
      </c>
      <c r="L4787" t="b">
        <v>0</v>
      </c>
      <c r="N4787" s="2" t="str">
        <f t="shared" si="428"/>
        <v/>
      </c>
      <c r="Q4787" t="str">
        <f t="shared" si="429"/>
        <v/>
      </c>
    </row>
    <row r="4788" spans="1:17" hidden="1">
      <c r="A4788" t="s">
        <v>4893</v>
      </c>
      <c r="B4788" s="1">
        <v>45560</v>
      </c>
      <c r="C4788">
        <v>2024</v>
      </c>
      <c r="D4788">
        <v>9</v>
      </c>
      <c r="E4788" t="s">
        <v>47</v>
      </c>
      <c r="F4788" t="s">
        <v>28</v>
      </c>
      <c r="G4788" t="s">
        <v>77</v>
      </c>
      <c r="H4788" t="s">
        <v>130</v>
      </c>
      <c r="I4788">
        <v>8453.89</v>
      </c>
      <c r="J4788">
        <v>7171.77</v>
      </c>
      <c r="K4788" t="s">
        <v>17</v>
      </c>
      <c r="L4788" t="b">
        <v>0</v>
      </c>
      <c r="N4788" s="2" t="b">
        <f t="shared" si="428"/>
        <v>1</v>
      </c>
      <c r="O4788" t="str">
        <f t="shared" ref="O4788:O4789" si="432">IF(AND(E4777="HR",K4777="EXPENSE"),I4777&lt;J4777,"")</f>
        <v/>
      </c>
      <c r="Q4788" t="str">
        <f t="shared" si="429"/>
        <v/>
      </c>
    </row>
    <row r="4789" spans="1:17" hidden="1">
      <c r="A4789" t="s">
        <v>4894</v>
      </c>
      <c r="B4789" s="1">
        <v>45560</v>
      </c>
      <c r="C4789">
        <v>2024</v>
      </c>
      <c r="D4789">
        <v>9</v>
      </c>
      <c r="E4789" t="s">
        <v>47</v>
      </c>
      <c r="F4789" t="s">
        <v>24</v>
      </c>
      <c r="G4789" t="s">
        <v>91</v>
      </c>
      <c r="H4789" t="s">
        <v>254</v>
      </c>
      <c r="I4789">
        <v>13079.86</v>
      </c>
      <c r="J4789">
        <v>10788.53</v>
      </c>
      <c r="K4789" t="s">
        <v>17</v>
      </c>
      <c r="L4789" t="b">
        <v>0</v>
      </c>
      <c r="N4789" s="2" t="b">
        <f t="shared" si="428"/>
        <v>1</v>
      </c>
      <c r="O4789" t="str">
        <f t="shared" si="432"/>
        <v/>
      </c>
      <c r="Q4789" t="str">
        <f t="shared" si="429"/>
        <v/>
      </c>
    </row>
    <row r="4790" spans="1:17" hidden="1">
      <c r="A4790" t="s">
        <v>4895</v>
      </c>
      <c r="B4790" s="1">
        <v>45560</v>
      </c>
      <c r="C4790">
        <v>2024</v>
      </c>
      <c r="D4790">
        <v>9</v>
      </c>
      <c r="E4790" t="s">
        <v>19</v>
      </c>
      <c r="F4790" t="s">
        <v>24</v>
      </c>
      <c r="G4790" t="s">
        <v>20</v>
      </c>
      <c r="H4790" t="s">
        <v>136</v>
      </c>
      <c r="I4790">
        <v>8846.7199999999993</v>
      </c>
      <c r="J4790">
        <v>8423.51</v>
      </c>
      <c r="K4790" t="s">
        <v>17</v>
      </c>
      <c r="L4790" t="b">
        <v>0</v>
      </c>
      <c r="N4790" s="2" t="str">
        <f t="shared" si="428"/>
        <v/>
      </c>
      <c r="Q4790" t="str">
        <f t="shared" si="429"/>
        <v/>
      </c>
    </row>
    <row r="4791" spans="1:17" hidden="1">
      <c r="A4791" t="s">
        <v>4896</v>
      </c>
      <c r="B4791" s="1">
        <v>45560</v>
      </c>
      <c r="C4791">
        <v>2024</v>
      </c>
      <c r="D4791">
        <v>9</v>
      </c>
      <c r="E4791" t="s">
        <v>23</v>
      </c>
      <c r="F4791" t="s">
        <v>14</v>
      </c>
      <c r="G4791" t="s">
        <v>59</v>
      </c>
      <c r="H4791" t="s">
        <v>60</v>
      </c>
      <c r="I4791">
        <v>7136.04</v>
      </c>
      <c r="J4791">
        <v>7579.42</v>
      </c>
      <c r="K4791" t="s">
        <v>17</v>
      </c>
      <c r="L4791" t="b">
        <v>0</v>
      </c>
      <c r="N4791" s="2" t="str">
        <f t="shared" si="428"/>
        <v/>
      </c>
      <c r="Q4791" t="str">
        <f t="shared" si="429"/>
        <v/>
      </c>
    </row>
    <row r="4792" spans="1:17" hidden="1">
      <c r="A4792" t="s">
        <v>4897</v>
      </c>
      <c r="B4792" s="1">
        <v>45560</v>
      </c>
      <c r="C4792">
        <v>2024</v>
      </c>
      <c r="D4792">
        <v>9</v>
      </c>
      <c r="E4792" t="s">
        <v>23</v>
      </c>
      <c r="F4792" t="s">
        <v>28</v>
      </c>
      <c r="G4792" t="s">
        <v>30</v>
      </c>
      <c r="H4792" t="s">
        <v>33</v>
      </c>
      <c r="I4792">
        <v>6701.26</v>
      </c>
      <c r="J4792">
        <v>6999</v>
      </c>
      <c r="K4792" t="s">
        <v>17</v>
      </c>
      <c r="L4792" t="b">
        <v>0</v>
      </c>
      <c r="N4792" s="2" t="str">
        <f t="shared" si="428"/>
        <v/>
      </c>
      <c r="Q4792" t="str">
        <f t="shared" si="429"/>
        <v/>
      </c>
    </row>
    <row r="4793" spans="1:17" hidden="1">
      <c r="A4793" t="s">
        <v>4898</v>
      </c>
      <c r="B4793" s="1">
        <v>45560</v>
      </c>
      <c r="C4793">
        <v>2024</v>
      </c>
      <c r="D4793">
        <v>9</v>
      </c>
      <c r="E4793" t="s">
        <v>37</v>
      </c>
      <c r="F4793" t="s">
        <v>14</v>
      </c>
      <c r="G4793" t="s">
        <v>38</v>
      </c>
      <c r="H4793" t="s">
        <v>118</v>
      </c>
      <c r="I4793">
        <v>6458.95</v>
      </c>
      <c r="J4793">
        <v>6089.45</v>
      </c>
      <c r="K4793" t="s">
        <v>17</v>
      </c>
      <c r="L4793" t="b">
        <v>0</v>
      </c>
      <c r="N4793" s="2" t="str">
        <f t="shared" si="428"/>
        <v/>
      </c>
      <c r="Q4793" t="str">
        <f t="shared" si="429"/>
        <v/>
      </c>
    </row>
    <row r="4794" spans="1:17" hidden="1">
      <c r="A4794" t="s">
        <v>4899</v>
      </c>
      <c r="B4794" s="1">
        <v>45560</v>
      </c>
      <c r="C4794">
        <v>2024</v>
      </c>
      <c r="D4794">
        <v>9</v>
      </c>
      <c r="E4794" t="s">
        <v>37</v>
      </c>
      <c r="F4794" t="s">
        <v>28</v>
      </c>
      <c r="G4794" t="s">
        <v>41</v>
      </c>
      <c r="H4794" t="s">
        <v>42</v>
      </c>
      <c r="I4794">
        <v>4413.75</v>
      </c>
      <c r="J4794">
        <v>4244.6099999999997</v>
      </c>
      <c r="K4794" t="s">
        <v>17</v>
      </c>
      <c r="L4794" t="b">
        <v>0</v>
      </c>
      <c r="N4794" s="2" t="str">
        <f t="shared" si="428"/>
        <v/>
      </c>
      <c r="Q4794" t="str">
        <f t="shared" si="429"/>
        <v/>
      </c>
    </row>
    <row r="4795" spans="1:17" hidden="1">
      <c r="A4795" t="s">
        <v>4900</v>
      </c>
      <c r="B4795" s="1">
        <v>45560</v>
      </c>
      <c r="C4795">
        <v>2024</v>
      </c>
      <c r="D4795">
        <v>9</v>
      </c>
      <c r="E4795" t="s">
        <v>37</v>
      </c>
      <c r="F4795" t="s">
        <v>28</v>
      </c>
      <c r="G4795" t="s">
        <v>62</v>
      </c>
      <c r="H4795" t="s">
        <v>63</v>
      </c>
      <c r="I4795">
        <v>3288.08</v>
      </c>
      <c r="J4795">
        <v>3102.41</v>
      </c>
      <c r="K4795" t="s">
        <v>17</v>
      </c>
      <c r="L4795" t="b">
        <v>0</v>
      </c>
      <c r="N4795" s="2" t="str">
        <f t="shared" si="428"/>
        <v/>
      </c>
      <c r="Q4795" t="str">
        <f t="shared" si="429"/>
        <v/>
      </c>
    </row>
    <row r="4796" spans="1:17" hidden="1">
      <c r="A4796" t="s">
        <v>4901</v>
      </c>
      <c r="B4796" s="1">
        <v>45561</v>
      </c>
      <c r="C4796">
        <v>2024</v>
      </c>
      <c r="D4796">
        <v>9</v>
      </c>
      <c r="E4796" t="s">
        <v>13</v>
      </c>
      <c r="F4796" t="s">
        <v>28</v>
      </c>
      <c r="G4796" t="s">
        <v>108</v>
      </c>
      <c r="H4796" t="s">
        <v>123</v>
      </c>
      <c r="I4796">
        <v>3011.66</v>
      </c>
      <c r="J4796">
        <v>3147.06</v>
      </c>
      <c r="K4796" t="s">
        <v>17</v>
      </c>
      <c r="L4796" t="b">
        <v>0</v>
      </c>
      <c r="N4796" s="2" t="str">
        <f t="shared" si="428"/>
        <v/>
      </c>
      <c r="Q4796" t="str">
        <f t="shared" si="429"/>
        <v/>
      </c>
    </row>
    <row r="4797" spans="1:17" hidden="1">
      <c r="A4797" t="s">
        <v>4902</v>
      </c>
      <c r="B4797" s="1">
        <v>45561</v>
      </c>
      <c r="C4797">
        <v>2024</v>
      </c>
      <c r="D4797">
        <v>9</v>
      </c>
      <c r="E4797" t="s">
        <v>13</v>
      </c>
      <c r="F4797" t="s">
        <v>24</v>
      </c>
      <c r="G4797" t="s">
        <v>108</v>
      </c>
      <c r="H4797" t="s">
        <v>109</v>
      </c>
      <c r="I4797">
        <v>6481.7</v>
      </c>
      <c r="J4797">
        <v>6193.11</v>
      </c>
      <c r="K4797" t="s">
        <v>17</v>
      </c>
      <c r="L4797" t="b">
        <v>0</v>
      </c>
      <c r="N4797" s="2" t="str">
        <f t="shared" si="428"/>
        <v/>
      </c>
      <c r="Q4797" t="str">
        <f t="shared" si="429"/>
        <v/>
      </c>
    </row>
    <row r="4798" spans="1:17" hidden="1">
      <c r="A4798" t="s">
        <v>4903</v>
      </c>
      <c r="B4798" s="1">
        <v>45561</v>
      </c>
      <c r="C4798">
        <v>2024</v>
      </c>
      <c r="D4798">
        <v>9</v>
      </c>
      <c r="E4798" t="s">
        <v>13</v>
      </c>
      <c r="F4798" t="s">
        <v>24</v>
      </c>
      <c r="G4798" t="s">
        <v>68</v>
      </c>
      <c r="H4798" t="s">
        <v>69</v>
      </c>
      <c r="I4798">
        <v>4111.04</v>
      </c>
      <c r="J4798">
        <v>4412.16</v>
      </c>
      <c r="K4798" t="s">
        <v>17</v>
      </c>
      <c r="L4798" t="b">
        <v>0</v>
      </c>
      <c r="N4798" s="2" t="str">
        <f t="shared" si="428"/>
        <v/>
      </c>
      <c r="Q4798" t="str">
        <f t="shared" si="429"/>
        <v/>
      </c>
    </row>
    <row r="4799" spans="1:17" hidden="1">
      <c r="A4799" t="s">
        <v>4904</v>
      </c>
      <c r="B4799" s="1">
        <v>45561</v>
      </c>
      <c r="C4799">
        <v>2024</v>
      </c>
      <c r="D4799">
        <v>9</v>
      </c>
      <c r="E4799" t="s">
        <v>47</v>
      </c>
      <c r="F4799" t="s">
        <v>28</v>
      </c>
      <c r="G4799" t="s">
        <v>48</v>
      </c>
      <c r="H4799" t="s">
        <v>189</v>
      </c>
      <c r="I4799">
        <v>11941.63</v>
      </c>
      <c r="J4799">
        <v>9969.86</v>
      </c>
      <c r="K4799" t="s">
        <v>17</v>
      </c>
      <c r="L4799" t="b">
        <v>0</v>
      </c>
      <c r="N4799" s="2" t="b">
        <f t="shared" si="428"/>
        <v>1</v>
      </c>
      <c r="O4799" t="str">
        <f t="shared" ref="O4799:O4801" si="433">IF(AND(E4788="HR",K4788="EXPENSE"),I4788&lt;J4788,"")</f>
        <v/>
      </c>
      <c r="Q4799" t="str">
        <f t="shared" si="429"/>
        <v/>
      </c>
    </row>
    <row r="4800" spans="1:17" hidden="1">
      <c r="A4800" t="s">
        <v>4905</v>
      </c>
      <c r="B4800" s="1">
        <v>45561</v>
      </c>
      <c r="C4800">
        <v>2024</v>
      </c>
      <c r="D4800">
        <v>9</v>
      </c>
      <c r="E4800" t="s">
        <v>47</v>
      </c>
      <c r="F4800" t="s">
        <v>28</v>
      </c>
      <c r="G4800" t="s">
        <v>51</v>
      </c>
      <c r="H4800" t="s">
        <v>189</v>
      </c>
      <c r="I4800">
        <v>9781.6200000000008</v>
      </c>
      <c r="J4800">
        <v>8463.33</v>
      </c>
      <c r="K4800" t="s">
        <v>17</v>
      </c>
      <c r="L4800" t="b">
        <v>0</v>
      </c>
      <c r="N4800" s="2" t="b">
        <f t="shared" si="428"/>
        <v>1</v>
      </c>
      <c r="O4800" t="str">
        <f t="shared" si="433"/>
        <v/>
      </c>
      <c r="Q4800" t="str">
        <f t="shared" si="429"/>
        <v/>
      </c>
    </row>
    <row r="4801" spans="1:17" hidden="1">
      <c r="A4801" t="s">
        <v>4906</v>
      </c>
      <c r="B4801" s="1">
        <v>45561</v>
      </c>
      <c r="C4801">
        <v>2024</v>
      </c>
      <c r="D4801">
        <v>9</v>
      </c>
      <c r="E4801" t="s">
        <v>47</v>
      </c>
      <c r="F4801" t="s">
        <v>24</v>
      </c>
      <c r="G4801" t="s">
        <v>77</v>
      </c>
      <c r="H4801" t="s">
        <v>78</v>
      </c>
      <c r="I4801">
        <v>14036.2</v>
      </c>
      <c r="J4801">
        <v>11902.65</v>
      </c>
      <c r="K4801" t="s">
        <v>17</v>
      </c>
      <c r="L4801" t="b">
        <v>0</v>
      </c>
      <c r="N4801" s="2" t="b">
        <f t="shared" si="428"/>
        <v>1</v>
      </c>
      <c r="O4801" t="str">
        <f t="shared" si="433"/>
        <v/>
      </c>
      <c r="Q4801" t="str">
        <f t="shared" si="429"/>
        <v/>
      </c>
    </row>
    <row r="4802" spans="1:17" hidden="1">
      <c r="A4802" t="s">
        <v>4907</v>
      </c>
      <c r="B4802" s="1">
        <v>45561</v>
      </c>
      <c r="C4802">
        <v>2024</v>
      </c>
      <c r="D4802">
        <v>9</v>
      </c>
      <c r="E4802" t="s">
        <v>19</v>
      </c>
      <c r="F4802" t="s">
        <v>24</v>
      </c>
      <c r="G4802" t="s">
        <v>54</v>
      </c>
      <c r="H4802" t="s">
        <v>55</v>
      </c>
      <c r="I4802">
        <v>6433.94</v>
      </c>
      <c r="J4802">
        <v>6529.37</v>
      </c>
      <c r="K4802" t="s">
        <v>17</v>
      </c>
      <c r="L4802" t="b">
        <v>0</v>
      </c>
      <c r="N4802" s="2" t="str">
        <f t="shared" si="428"/>
        <v/>
      </c>
      <c r="Q4802" t="str">
        <f t="shared" si="429"/>
        <v/>
      </c>
    </row>
    <row r="4803" spans="1:17" hidden="1">
      <c r="A4803" t="s">
        <v>4908</v>
      </c>
      <c r="B4803" s="1">
        <v>45561</v>
      </c>
      <c r="C4803">
        <v>2024</v>
      </c>
      <c r="D4803">
        <v>9</v>
      </c>
      <c r="E4803" t="s">
        <v>23</v>
      </c>
      <c r="F4803" t="s">
        <v>28</v>
      </c>
      <c r="G4803" t="s">
        <v>30</v>
      </c>
      <c r="H4803" t="s">
        <v>33</v>
      </c>
      <c r="I4803">
        <v>6028.74</v>
      </c>
      <c r="J4803">
        <v>6197.08</v>
      </c>
      <c r="K4803" t="s">
        <v>17</v>
      </c>
      <c r="L4803" t="b">
        <v>0</v>
      </c>
      <c r="N4803" s="2" t="str">
        <f t="shared" ref="N4803:N4866" si="434">IF(AND(E4803="IT",K4803="EXPENSE"),I4803&gt;J4803,"")</f>
        <v/>
      </c>
      <c r="Q4803" t="str">
        <f t="shared" ref="Q4803:Q4866" si="435">IF(L4803=TRUE,OR(H4803="Apex Solutions Inc",H4803="Global Trade Partners",H4803="NovaTech Services"),"")</f>
        <v/>
      </c>
    </row>
    <row r="4804" spans="1:17" hidden="1">
      <c r="A4804" t="s">
        <v>4909</v>
      </c>
      <c r="B4804" s="1">
        <v>45561</v>
      </c>
      <c r="C4804">
        <v>2024</v>
      </c>
      <c r="D4804">
        <v>9</v>
      </c>
      <c r="E4804" t="s">
        <v>37</v>
      </c>
      <c r="F4804" t="s">
        <v>28</v>
      </c>
      <c r="G4804" t="s">
        <v>62</v>
      </c>
      <c r="H4804" t="s">
        <v>360</v>
      </c>
      <c r="I4804">
        <v>4737.3500000000004</v>
      </c>
      <c r="J4804">
        <v>4278.22</v>
      </c>
      <c r="K4804" t="s">
        <v>17</v>
      </c>
      <c r="L4804" t="b">
        <v>0</v>
      </c>
      <c r="N4804" s="2" t="str">
        <f t="shared" si="434"/>
        <v/>
      </c>
      <c r="Q4804" t="str">
        <f t="shared" si="435"/>
        <v/>
      </c>
    </row>
    <row r="4805" spans="1:17" hidden="1">
      <c r="A4805" t="s">
        <v>4910</v>
      </c>
      <c r="B4805" s="1">
        <v>45561</v>
      </c>
      <c r="C4805">
        <v>2024</v>
      </c>
      <c r="D4805">
        <v>9</v>
      </c>
      <c r="E4805" t="s">
        <v>37</v>
      </c>
      <c r="F4805" t="s">
        <v>24</v>
      </c>
      <c r="G4805" t="s">
        <v>38</v>
      </c>
      <c r="H4805" t="s">
        <v>39</v>
      </c>
      <c r="I4805">
        <v>3221.07</v>
      </c>
      <c r="J4805">
        <v>2955.85</v>
      </c>
      <c r="K4805" t="s">
        <v>17</v>
      </c>
      <c r="L4805" t="b">
        <v>0</v>
      </c>
      <c r="N4805" s="2" t="str">
        <f t="shared" si="434"/>
        <v/>
      </c>
      <c r="Q4805" t="str">
        <f t="shared" si="435"/>
        <v/>
      </c>
    </row>
    <row r="4806" spans="1:17" hidden="1">
      <c r="A4806" t="s">
        <v>4911</v>
      </c>
      <c r="B4806" s="1">
        <v>45561</v>
      </c>
      <c r="C4806">
        <v>2024</v>
      </c>
      <c r="D4806">
        <v>9</v>
      </c>
      <c r="E4806" t="s">
        <v>37</v>
      </c>
      <c r="F4806" t="s">
        <v>28</v>
      </c>
      <c r="G4806" t="s">
        <v>83</v>
      </c>
      <c r="H4806" t="s">
        <v>84</v>
      </c>
      <c r="I4806">
        <v>170037.43</v>
      </c>
      <c r="J4806">
        <v>161535.56</v>
      </c>
      <c r="K4806" t="s">
        <v>85</v>
      </c>
      <c r="L4806" t="b">
        <v>0</v>
      </c>
      <c r="N4806" s="2" t="str">
        <f t="shared" si="434"/>
        <v/>
      </c>
      <c r="Q4806" t="str">
        <f t="shared" si="435"/>
        <v/>
      </c>
    </row>
    <row r="4807" spans="1:17" hidden="1">
      <c r="A4807" t="s">
        <v>4912</v>
      </c>
      <c r="B4807" s="1">
        <v>45562</v>
      </c>
      <c r="C4807">
        <v>2024</v>
      </c>
      <c r="D4807">
        <v>9</v>
      </c>
      <c r="E4807" t="s">
        <v>13</v>
      </c>
      <c r="F4807" t="s">
        <v>14</v>
      </c>
      <c r="G4807" t="s">
        <v>68</v>
      </c>
      <c r="H4807" t="s">
        <v>213</v>
      </c>
      <c r="I4807">
        <v>5651.4</v>
      </c>
      <c r="J4807">
        <v>5615.33</v>
      </c>
      <c r="K4807" t="s">
        <v>17</v>
      </c>
      <c r="L4807" t="b">
        <v>0</v>
      </c>
      <c r="N4807" s="2" t="str">
        <f t="shared" si="434"/>
        <v/>
      </c>
      <c r="Q4807" t="str">
        <f t="shared" si="435"/>
        <v/>
      </c>
    </row>
    <row r="4808" spans="1:17" hidden="1">
      <c r="A4808" t="s">
        <v>4913</v>
      </c>
      <c r="B4808" s="1">
        <v>45562</v>
      </c>
      <c r="C4808">
        <v>2024</v>
      </c>
      <c r="D4808">
        <v>9</v>
      </c>
      <c r="E4808" t="s">
        <v>47</v>
      </c>
      <c r="F4808" t="s">
        <v>28</v>
      </c>
      <c r="G4808" t="s">
        <v>91</v>
      </c>
      <c r="H4808" t="s">
        <v>92</v>
      </c>
      <c r="I4808">
        <v>15662.37</v>
      </c>
      <c r="J4808">
        <v>13324.83</v>
      </c>
      <c r="K4808" t="s">
        <v>17</v>
      </c>
      <c r="L4808" t="b">
        <v>0</v>
      </c>
      <c r="N4808" s="2" t="b">
        <f t="shared" si="434"/>
        <v>1</v>
      </c>
      <c r="O4808" t="b">
        <f t="shared" ref="O4808:O4809" si="436">IF(AND(E4797="HR",K4797="EXPENSE"),I4797&lt;J4797,"")</f>
        <v>0</v>
      </c>
      <c r="Q4808" t="str">
        <f t="shared" si="435"/>
        <v/>
      </c>
    </row>
    <row r="4809" spans="1:17" hidden="1">
      <c r="A4809" t="s">
        <v>4914</v>
      </c>
      <c r="B4809" s="1">
        <v>45562</v>
      </c>
      <c r="C4809">
        <v>2024</v>
      </c>
      <c r="D4809">
        <v>9</v>
      </c>
      <c r="E4809" t="s">
        <v>47</v>
      </c>
      <c r="F4809" t="s">
        <v>24</v>
      </c>
      <c r="G4809" t="s">
        <v>91</v>
      </c>
      <c r="H4809" t="s">
        <v>128</v>
      </c>
      <c r="I4809">
        <v>10048.549999999999</v>
      </c>
      <c r="J4809">
        <v>8429.26</v>
      </c>
      <c r="K4809" t="s">
        <v>17</v>
      </c>
      <c r="L4809" t="b">
        <v>0</v>
      </c>
      <c r="N4809" s="2" t="b">
        <f t="shared" si="434"/>
        <v>1</v>
      </c>
      <c r="O4809" t="b">
        <f t="shared" si="436"/>
        <v>1</v>
      </c>
      <c r="Q4809" t="str">
        <f t="shared" si="435"/>
        <v/>
      </c>
    </row>
    <row r="4810" spans="1:17" hidden="1">
      <c r="A4810" t="s">
        <v>4915</v>
      </c>
      <c r="B4810" s="1">
        <v>45562</v>
      </c>
      <c r="C4810">
        <v>2024</v>
      </c>
      <c r="D4810">
        <v>9</v>
      </c>
      <c r="E4810" t="s">
        <v>19</v>
      </c>
      <c r="F4810" t="s">
        <v>14</v>
      </c>
      <c r="G4810" t="s">
        <v>54</v>
      </c>
      <c r="H4810" t="s">
        <v>163</v>
      </c>
      <c r="I4810">
        <v>9093.98</v>
      </c>
      <c r="J4810">
        <v>9609.98</v>
      </c>
      <c r="K4810" t="s">
        <v>17</v>
      </c>
      <c r="L4810" t="b">
        <v>0</v>
      </c>
      <c r="N4810" s="2" t="str">
        <f t="shared" si="434"/>
        <v/>
      </c>
      <c r="Q4810" t="str">
        <f t="shared" si="435"/>
        <v/>
      </c>
    </row>
    <row r="4811" spans="1:17" hidden="1">
      <c r="A4811" t="s">
        <v>4916</v>
      </c>
      <c r="B4811" s="1">
        <v>45562</v>
      </c>
      <c r="C4811">
        <v>2024</v>
      </c>
      <c r="D4811">
        <v>9</v>
      </c>
      <c r="E4811" t="s">
        <v>19</v>
      </c>
      <c r="F4811" t="s">
        <v>28</v>
      </c>
      <c r="G4811" t="s">
        <v>54</v>
      </c>
      <c r="H4811" t="s">
        <v>57</v>
      </c>
      <c r="I4811">
        <v>5546.97</v>
      </c>
      <c r="J4811">
        <v>5207.55</v>
      </c>
      <c r="K4811" t="s">
        <v>17</v>
      </c>
      <c r="L4811" t="b">
        <v>0</v>
      </c>
      <c r="N4811" s="2" t="str">
        <f t="shared" si="434"/>
        <v/>
      </c>
      <c r="Q4811" t="str">
        <f t="shared" si="435"/>
        <v/>
      </c>
    </row>
    <row r="4812" spans="1:17" hidden="1">
      <c r="A4812" t="s">
        <v>4917</v>
      </c>
      <c r="B4812" s="1">
        <v>45562</v>
      </c>
      <c r="C4812">
        <v>2024</v>
      </c>
      <c r="D4812">
        <v>9</v>
      </c>
      <c r="E4812" t="s">
        <v>19</v>
      </c>
      <c r="F4812" t="s">
        <v>28</v>
      </c>
      <c r="G4812" t="s">
        <v>80</v>
      </c>
      <c r="H4812" t="s">
        <v>113</v>
      </c>
      <c r="I4812">
        <v>4021.19</v>
      </c>
      <c r="J4812">
        <v>4271.43</v>
      </c>
      <c r="K4812" t="s">
        <v>17</v>
      </c>
      <c r="L4812" t="b">
        <v>0</v>
      </c>
      <c r="N4812" s="2" t="str">
        <f t="shared" si="434"/>
        <v/>
      </c>
      <c r="Q4812" t="str">
        <f t="shared" si="435"/>
        <v/>
      </c>
    </row>
    <row r="4813" spans="1:17" hidden="1">
      <c r="A4813" t="s">
        <v>4918</v>
      </c>
      <c r="B4813" s="1">
        <v>45562</v>
      </c>
      <c r="C4813">
        <v>2024</v>
      </c>
      <c r="D4813">
        <v>9</v>
      </c>
      <c r="E4813" t="s">
        <v>19</v>
      </c>
      <c r="F4813" t="s">
        <v>24</v>
      </c>
      <c r="G4813" t="s">
        <v>20</v>
      </c>
      <c r="H4813" t="s">
        <v>21</v>
      </c>
      <c r="I4813">
        <v>5855.01</v>
      </c>
      <c r="J4813">
        <v>6391.94</v>
      </c>
      <c r="K4813" t="s">
        <v>17</v>
      </c>
      <c r="L4813" t="b">
        <v>0</v>
      </c>
      <c r="N4813" s="2" t="str">
        <f t="shared" si="434"/>
        <v/>
      </c>
      <c r="Q4813" t="str">
        <f t="shared" si="435"/>
        <v/>
      </c>
    </row>
    <row r="4814" spans="1:17" hidden="1">
      <c r="A4814" t="s">
        <v>4919</v>
      </c>
      <c r="B4814" s="1">
        <v>45562</v>
      </c>
      <c r="C4814">
        <v>2024</v>
      </c>
      <c r="D4814">
        <v>9</v>
      </c>
      <c r="E4814" t="s">
        <v>23</v>
      </c>
      <c r="F4814" t="s">
        <v>28</v>
      </c>
      <c r="G4814" t="s">
        <v>141</v>
      </c>
      <c r="H4814" t="s">
        <v>153</v>
      </c>
      <c r="I4814">
        <v>6626.38</v>
      </c>
      <c r="J4814">
        <v>6423.05</v>
      </c>
      <c r="K4814" t="s">
        <v>17</v>
      </c>
      <c r="L4814" t="b">
        <v>0</v>
      </c>
      <c r="N4814" s="2" t="str">
        <f t="shared" si="434"/>
        <v/>
      </c>
      <c r="Q4814" t="str">
        <f t="shared" si="435"/>
        <v/>
      </c>
    </row>
    <row r="4815" spans="1:17" hidden="1">
      <c r="A4815" t="s">
        <v>4920</v>
      </c>
      <c r="B4815" s="1">
        <v>45562</v>
      </c>
      <c r="C4815">
        <v>2024</v>
      </c>
      <c r="D4815">
        <v>9</v>
      </c>
      <c r="E4815" t="s">
        <v>23</v>
      </c>
      <c r="F4815" t="s">
        <v>28</v>
      </c>
      <c r="G4815" t="s">
        <v>59</v>
      </c>
      <c r="H4815" t="s">
        <v>155</v>
      </c>
      <c r="I4815">
        <v>6064.26</v>
      </c>
      <c r="J4815">
        <v>5713.05</v>
      </c>
      <c r="K4815" t="s">
        <v>17</v>
      </c>
      <c r="L4815" t="b">
        <v>0</v>
      </c>
      <c r="N4815" s="2" t="str">
        <f t="shared" si="434"/>
        <v/>
      </c>
      <c r="Q4815" t="str">
        <f t="shared" si="435"/>
        <v/>
      </c>
    </row>
    <row r="4816" spans="1:17" hidden="1">
      <c r="A4816" t="s">
        <v>4921</v>
      </c>
      <c r="B4816" s="1">
        <v>45562</v>
      </c>
      <c r="C4816">
        <v>2024</v>
      </c>
      <c r="D4816">
        <v>9</v>
      </c>
      <c r="E4816" t="s">
        <v>23</v>
      </c>
      <c r="F4816" t="s">
        <v>24</v>
      </c>
      <c r="G4816" t="s">
        <v>59</v>
      </c>
      <c r="H4816" t="s">
        <v>60</v>
      </c>
      <c r="I4816">
        <v>6881.22</v>
      </c>
      <c r="J4816">
        <v>7333.37</v>
      </c>
      <c r="K4816" t="s">
        <v>17</v>
      </c>
      <c r="L4816" t="b">
        <v>0</v>
      </c>
      <c r="N4816" s="2" t="str">
        <f t="shared" si="434"/>
        <v/>
      </c>
      <c r="Q4816" t="str">
        <f t="shared" si="435"/>
        <v/>
      </c>
    </row>
    <row r="4817" spans="1:17" hidden="1">
      <c r="A4817" t="s">
        <v>4922</v>
      </c>
      <c r="B4817" s="1">
        <v>45562</v>
      </c>
      <c r="C4817">
        <v>2024</v>
      </c>
      <c r="D4817">
        <v>9</v>
      </c>
      <c r="E4817" t="s">
        <v>37</v>
      </c>
      <c r="F4817" t="s">
        <v>28</v>
      </c>
      <c r="G4817" t="s">
        <v>41</v>
      </c>
      <c r="H4817" t="s">
        <v>42</v>
      </c>
      <c r="I4817">
        <v>3522.23</v>
      </c>
      <c r="J4817">
        <v>3329.45</v>
      </c>
      <c r="K4817" t="s">
        <v>17</v>
      </c>
      <c r="L4817" t="b">
        <v>0</v>
      </c>
      <c r="N4817" s="2" t="str">
        <f t="shared" si="434"/>
        <v/>
      </c>
      <c r="Q4817" t="str">
        <f t="shared" si="435"/>
        <v/>
      </c>
    </row>
    <row r="4818" spans="1:17" hidden="1">
      <c r="A4818" t="s">
        <v>4923</v>
      </c>
      <c r="B4818" s="1">
        <v>45563</v>
      </c>
      <c r="C4818">
        <v>2024</v>
      </c>
      <c r="D4818">
        <v>9</v>
      </c>
      <c r="E4818" t="s">
        <v>13</v>
      </c>
      <c r="F4818" t="s">
        <v>28</v>
      </c>
      <c r="G4818" t="s">
        <v>108</v>
      </c>
      <c r="H4818" t="s">
        <v>109</v>
      </c>
      <c r="I4818">
        <v>3524.87</v>
      </c>
      <c r="J4818">
        <v>3249.73</v>
      </c>
      <c r="K4818" t="s">
        <v>17</v>
      </c>
      <c r="L4818" t="b">
        <v>0</v>
      </c>
      <c r="N4818" s="2" t="str">
        <f t="shared" si="434"/>
        <v/>
      </c>
      <c r="Q4818" t="str">
        <f t="shared" si="435"/>
        <v/>
      </c>
    </row>
    <row r="4819" spans="1:17" hidden="1">
      <c r="A4819" t="s">
        <v>4924</v>
      </c>
      <c r="B4819" s="1">
        <v>45563</v>
      </c>
      <c r="C4819">
        <v>2024</v>
      </c>
      <c r="D4819">
        <v>9</v>
      </c>
      <c r="E4819" t="s">
        <v>47</v>
      </c>
      <c r="F4819" t="s">
        <v>24</v>
      </c>
      <c r="G4819" t="s">
        <v>51</v>
      </c>
      <c r="H4819" t="s">
        <v>189</v>
      </c>
      <c r="I4819">
        <v>16565.849999999999</v>
      </c>
      <c r="J4819">
        <v>14054.06</v>
      </c>
      <c r="K4819" t="s">
        <v>17</v>
      </c>
      <c r="L4819" t="b">
        <v>0</v>
      </c>
      <c r="N4819" s="2" t="b">
        <f t="shared" si="434"/>
        <v>1</v>
      </c>
      <c r="O4819" t="str">
        <f>IF(AND(E4808="HR",K4808="EXPENSE"),I4808&lt;J4808,"")</f>
        <v/>
      </c>
      <c r="Q4819" t="str">
        <f t="shared" si="435"/>
        <v/>
      </c>
    </row>
    <row r="4820" spans="1:17" hidden="1">
      <c r="A4820" t="s">
        <v>4925</v>
      </c>
      <c r="B4820" s="1">
        <v>45563</v>
      </c>
      <c r="C4820">
        <v>2024</v>
      </c>
      <c r="D4820">
        <v>9</v>
      </c>
      <c r="E4820" t="s">
        <v>37</v>
      </c>
      <c r="F4820" t="s">
        <v>28</v>
      </c>
      <c r="G4820" t="s">
        <v>62</v>
      </c>
      <c r="H4820" t="s">
        <v>121</v>
      </c>
      <c r="I4820">
        <v>2126.3200000000002</v>
      </c>
      <c r="J4820">
        <v>1990.87</v>
      </c>
      <c r="K4820" t="s">
        <v>17</v>
      </c>
      <c r="L4820" t="b">
        <v>0</v>
      </c>
      <c r="N4820" s="2" t="str">
        <f t="shared" si="434"/>
        <v/>
      </c>
      <c r="Q4820" t="str">
        <f t="shared" si="435"/>
        <v/>
      </c>
    </row>
    <row r="4821" spans="1:17" hidden="1">
      <c r="A4821" t="s">
        <v>4926</v>
      </c>
      <c r="B4821" s="1">
        <v>45564</v>
      </c>
      <c r="C4821">
        <v>2024</v>
      </c>
      <c r="D4821">
        <v>9</v>
      </c>
      <c r="E4821" t="s">
        <v>13</v>
      </c>
      <c r="F4821" t="s">
        <v>14</v>
      </c>
      <c r="G4821" t="s">
        <v>108</v>
      </c>
      <c r="H4821" t="s">
        <v>126</v>
      </c>
      <c r="I4821">
        <v>4276.43</v>
      </c>
      <c r="J4821">
        <v>3862.62</v>
      </c>
      <c r="K4821" t="s">
        <v>17</v>
      </c>
      <c r="L4821" t="b">
        <v>0</v>
      </c>
      <c r="N4821" s="2" t="str">
        <f t="shared" si="434"/>
        <v/>
      </c>
      <c r="Q4821" t="str">
        <f t="shared" si="435"/>
        <v/>
      </c>
    </row>
    <row r="4822" spans="1:17" hidden="1">
      <c r="A4822" t="s">
        <v>4927</v>
      </c>
      <c r="B4822" s="1">
        <v>45564</v>
      </c>
      <c r="C4822">
        <v>2024</v>
      </c>
      <c r="D4822">
        <v>9</v>
      </c>
      <c r="E4822" t="s">
        <v>47</v>
      </c>
      <c r="F4822" t="s">
        <v>24</v>
      </c>
      <c r="G4822" t="s">
        <v>91</v>
      </c>
      <c r="H4822" t="s">
        <v>249</v>
      </c>
      <c r="I4822">
        <v>10505.36</v>
      </c>
      <c r="J4822">
        <v>9092.11</v>
      </c>
      <c r="K4822" t="s">
        <v>17</v>
      </c>
      <c r="L4822" t="b">
        <v>0</v>
      </c>
      <c r="N4822" s="2" t="b">
        <f t="shared" si="434"/>
        <v>1</v>
      </c>
      <c r="O4822" t="str">
        <f>IF(AND(E4811="HR",K4811="EXPENSE"),I4811&lt;J4811,"")</f>
        <v/>
      </c>
      <c r="Q4822" t="str">
        <f t="shared" si="435"/>
        <v/>
      </c>
    </row>
    <row r="4823" spans="1:17" hidden="1">
      <c r="A4823" t="s">
        <v>4928</v>
      </c>
      <c r="B4823" s="1">
        <v>45564</v>
      </c>
      <c r="C4823">
        <v>2024</v>
      </c>
      <c r="D4823">
        <v>9</v>
      </c>
      <c r="E4823" t="s">
        <v>19</v>
      </c>
      <c r="F4823" t="s">
        <v>14</v>
      </c>
      <c r="G4823" t="s">
        <v>54</v>
      </c>
      <c r="H4823" t="s">
        <v>163</v>
      </c>
      <c r="I4823">
        <v>7323.81</v>
      </c>
      <c r="J4823">
        <v>7324.53</v>
      </c>
      <c r="K4823" t="s">
        <v>17</v>
      </c>
      <c r="L4823" t="b">
        <v>0</v>
      </c>
      <c r="N4823" s="2" t="str">
        <f t="shared" si="434"/>
        <v/>
      </c>
      <c r="Q4823" t="str">
        <f t="shared" si="435"/>
        <v/>
      </c>
    </row>
    <row r="4824" spans="1:17" hidden="1">
      <c r="A4824" t="s">
        <v>4929</v>
      </c>
      <c r="B4824" s="1">
        <v>45564</v>
      </c>
      <c r="C4824">
        <v>2024</v>
      </c>
      <c r="D4824">
        <v>9</v>
      </c>
      <c r="E4824" t="s">
        <v>19</v>
      </c>
      <c r="F4824" t="s">
        <v>24</v>
      </c>
      <c r="G4824" t="s">
        <v>20</v>
      </c>
      <c r="H4824" t="s">
        <v>21</v>
      </c>
      <c r="I4824">
        <v>3883.01</v>
      </c>
      <c r="J4824">
        <v>4072.3</v>
      </c>
      <c r="K4824" t="s">
        <v>17</v>
      </c>
      <c r="L4824" t="b">
        <v>0</v>
      </c>
      <c r="N4824" s="2" t="str">
        <f t="shared" si="434"/>
        <v/>
      </c>
      <c r="Q4824" t="str">
        <f t="shared" si="435"/>
        <v/>
      </c>
    </row>
    <row r="4825" spans="1:17" hidden="1">
      <c r="A4825" t="s">
        <v>4930</v>
      </c>
      <c r="B4825" s="1">
        <v>45564</v>
      </c>
      <c r="C4825">
        <v>2024</v>
      </c>
      <c r="D4825">
        <v>9</v>
      </c>
      <c r="E4825" t="s">
        <v>23</v>
      </c>
      <c r="F4825" t="s">
        <v>14</v>
      </c>
      <c r="G4825" t="s">
        <v>30</v>
      </c>
      <c r="H4825" t="s">
        <v>31</v>
      </c>
      <c r="I4825">
        <v>6362.02</v>
      </c>
      <c r="J4825">
        <v>6493.45</v>
      </c>
      <c r="K4825" t="s">
        <v>17</v>
      </c>
      <c r="L4825" t="b">
        <v>0</v>
      </c>
      <c r="N4825" s="2" t="str">
        <f t="shared" si="434"/>
        <v/>
      </c>
      <c r="Q4825" t="str">
        <f t="shared" si="435"/>
        <v/>
      </c>
    </row>
    <row r="4826" spans="1:17" hidden="1">
      <c r="A4826" t="s">
        <v>4931</v>
      </c>
      <c r="B4826" s="1">
        <v>45564</v>
      </c>
      <c r="C4826">
        <v>2024</v>
      </c>
      <c r="D4826">
        <v>9</v>
      </c>
      <c r="E4826" t="s">
        <v>37</v>
      </c>
      <c r="F4826" t="s">
        <v>28</v>
      </c>
      <c r="G4826" t="s">
        <v>98</v>
      </c>
      <c r="H4826" t="s">
        <v>99</v>
      </c>
      <c r="I4826">
        <v>3310.12</v>
      </c>
      <c r="J4826">
        <v>3430.29</v>
      </c>
      <c r="K4826" t="s">
        <v>17</v>
      </c>
      <c r="L4826" t="b">
        <v>0</v>
      </c>
      <c r="N4826" s="2" t="str">
        <f t="shared" si="434"/>
        <v/>
      </c>
      <c r="Q4826" t="str">
        <f t="shared" si="435"/>
        <v/>
      </c>
    </row>
    <row r="4827" spans="1:17" hidden="1">
      <c r="A4827" t="s">
        <v>4932</v>
      </c>
      <c r="B4827" s="1">
        <v>45564</v>
      </c>
      <c r="C4827">
        <v>2024</v>
      </c>
      <c r="D4827">
        <v>9</v>
      </c>
      <c r="E4827" t="s">
        <v>37</v>
      </c>
      <c r="F4827" t="s">
        <v>24</v>
      </c>
      <c r="G4827" t="s">
        <v>98</v>
      </c>
      <c r="H4827" t="s">
        <v>185</v>
      </c>
      <c r="I4827">
        <v>3716.98</v>
      </c>
      <c r="J4827">
        <v>3637.76</v>
      </c>
      <c r="K4827" t="s">
        <v>17</v>
      </c>
      <c r="L4827" t="b">
        <v>0</v>
      </c>
      <c r="N4827" s="2" t="str">
        <f t="shared" si="434"/>
        <v/>
      </c>
      <c r="Q4827" t="str">
        <f t="shared" si="435"/>
        <v/>
      </c>
    </row>
    <row r="4828" spans="1:17" hidden="1">
      <c r="A4828" t="s">
        <v>4933</v>
      </c>
      <c r="B4828" s="1">
        <v>45565</v>
      </c>
      <c r="C4828">
        <v>2024</v>
      </c>
      <c r="D4828">
        <v>9</v>
      </c>
      <c r="E4828" t="s">
        <v>19</v>
      </c>
      <c r="F4828" t="s">
        <v>14</v>
      </c>
      <c r="G4828" t="s">
        <v>54</v>
      </c>
      <c r="H4828" t="s">
        <v>163</v>
      </c>
      <c r="I4828">
        <v>6703.02</v>
      </c>
      <c r="J4828">
        <v>6183.68</v>
      </c>
      <c r="K4828" t="s">
        <v>17</v>
      </c>
      <c r="L4828" t="b">
        <v>0</v>
      </c>
      <c r="N4828" s="2" t="str">
        <f t="shared" si="434"/>
        <v/>
      </c>
      <c r="Q4828" t="str">
        <f t="shared" si="435"/>
        <v/>
      </c>
    </row>
    <row r="4829" spans="1:17" hidden="1">
      <c r="A4829" t="s">
        <v>4934</v>
      </c>
      <c r="B4829" s="1">
        <v>45565</v>
      </c>
      <c r="C4829">
        <v>2024</v>
      </c>
      <c r="D4829">
        <v>9</v>
      </c>
      <c r="E4829" t="s">
        <v>19</v>
      </c>
      <c r="F4829" t="s">
        <v>24</v>
      </c>
      <c r="G4829" t="s">
        <v>54</v>
      </c>
      <c r="H4829" t="s">
        <v>163</v>
      </c>
      <c r="I4829">
        <v>5460.73</v>
      </c>
      <c r="J4829">
        <v>5225.7</v>
      </c>
      <c r="K4829" t="s">
        <v>17</v>
      </c>
      <c r="L4829" t="b">
        <v>0</v>
      </c>
      <c r="N4829" s="2" t="str">
        <f t="shared" si="434"/>
        <v/>
      </c>
      <c r="Q4829" t="str">
        <f t="shared" si="435"/>
        <v/>
      </c>
    </row>
    <row r="4830" spans="1:17" hidden="1">
      <c r="A4830" t="s">
        <v>4935</v>
      </c>
      <c r="B4830" s="1">
        <v>45565</v>
      </c>
      <c r="C4830">
        <v>2024</v>
      </c>
      <c r="D4830">
        <v>9</v>
      </c>
      <c r="E4830" t="s">
        <v>23</v>
      </c>
      <c r="F4830" t="s">
        <v>28</v>
      </c>
      <c r="G4830" t="s">
        <v>25</v>
      </c>
      <c r="H4830" t="s">
        <v>26</v>
      </c>
      <c r="I4830">
        <v>6251.03</v>
      </c>
      <c r="J4830">
        <v>6557.91</v>
      </c>
      <c r="K4830" t="s">
        <v>17</v>
      </c>
      <c r="L4830" t="b">
        <v>0</v>
      </c>
      <c r="N4830" s="2" t="str">
        <f t="shared" si="434"/>
        <v/>
      </c>
      <c r="Q4830" t="str">
        <f t="shared" si="435"/>
        <v/>
      </c>
    </row>
    <row r="4831" spans="1:17" hidden="1">
      <c r="A4831" t="s">
        <v>4936</v>
      </c>
      <c r="B4831" s="1">
        <v>45565</v>
      </c>
      <c r="C4831">
        <v>2024</v>
      </c>
      <c r="D4831">
        <v>9</v>
      </c>
      <c r="E4831" t="s">
        <v>37</v>
      </c>
      <c r="F4831" t="s">
        <v>28</v>
      </c>
      <c r="G4831" t="s">
        <v>62</v>
      </c>
      <c r="H4831" t="s">
        <v>63</v>
      </c>
      <c r="I4831">
        <v>5647.82</v>
      </c>
      <c r="J4831">
        <v>5345.06</v>
      </c>
      <c r="K4831" t="s">
        <v>17</v>
      </c>
      <c r="L4831" t="b">
        <v>0</v>
      </c>
      <c r="N4831" s="2" t="str">
        <f t="shared" si="434"/>
        <v/>
      </c>
      <c r="Q4831" t="str">
        <f t="shared" si="435"/>
        <v/>
      </c>
    </row>
    <row r="4832" spans="1:17" hidden="1">
      <c r="A4832" t="s">
        <v>4937</v>
      </c>
      <c r="B4832" s="1">
        <v>45566</v>
      </c>
      <c r="C4832">
        <v>2024</v>
      </c>
      <c r="D4832">
        <v>10</v>
      </c>
      <c r="E4832" t="s">
        <v>13</v>
      </c>
      <c r="F4832" t="s">
        <v>28</v>
      </c>
      <c r="G4832" t="s">
        <v>102</v>
      </c>
      <c r="H4832" t="s">
        <v>145</v>
      </c>
      <c r="I4832">
        <v>3292.07</v>
      </c>
      <c r="J4832">
        <v>3441.36</v>
      </c>
      <c r="K4832" t="s">
        <v>17</v>
      </c>
      <c r="L4832" t="b">
        <v>0</v>
      </c>
      <c r="N4832" s="2" t="str">
        <f t="shared" si="434"/>
        <v/>
      </c>
      <c r="Q4832" t="str">
        <f t="shared" si="435"/>
        <v/>
      </c>
    </row>
    <row r="4833" spans="1:17" hidden="1">
      <c r="A4833" t="s">
        <v>4938</v>
      </c>
      <c r="B4833" s="1">
        <v>45566</v>
      </c>
      <c r="C4833">
        <v>2024</v>
      </c>
      <c r="D4833">
        <v>10</v>
      </c>
      <c r="E4833" t="s">
        <v>19</v>
      </c>
      <c r="F4833" t="s">
        <v>14</v>
      </c>
      <c r="G4833" t="s">
        <v>80</v>
      </c>
      <c r="H4833" t="s">
        <v>81</v>
      </c>
      <c r="I4833">
        <v>9141.49</v>
      </c>
      <c r="J4833">
        <v>9120.58</v>
      </c>
      <c r="K4833" t="s">
        <v>17</v>
      </c>
      <c r="L4833" t="b">
        <v>0</v>
      </c>
      <c r="N4833" s="2" t="str">
        <f t="shared" si="434"/>
        <v/>
      </c>
      <c r="Q4833" t="str">
        <f t="shared" si="435"/>
        <v/>
      </c>
    </row>
    <row r="4834" spans="1:17" hidden="1">
      <c r="A4834" t="s">
        <v>4939</v>
      </c>
      <c r="B4834" s="1">
        <v>45566</v>
      </c>
      <c r="C4834">
        <v>2024</v>
      </c>
      <c r="D4834">
        <v>10</v>
      </c>
      <c r="E4834" t="s">
        <v>19</v>
      </c>
      <c r="F4834" t="s">
        <v>24</v>
      </c>
      <c r="G4834" t="s">
        <v>20</v>
      </c>
      <c r="H4834" t="s">
        <v>136</v>
      </c>
      <c r="I4834">
        <v>5973.88</v>
      </c>
      <c r="J4834">
        <v>5449.1</v>
      </c>
      <c r="K4834" t="s">
        <v>17</v>
      </c>
      <c r="L4834" t="b">
        <v>0</v>
      </c>
      <c r="N4834" s="2" t="str">
        <f t="shared" si="434"/>
        <v/>
      </c>
      <c r="Q4834" t="str">
        <f t="shared" si="435"/>
        <v/>
      </c>
    </row>
    <row r="4835" spans="1:17" hidden="1">
      <c r="A4835" t="s">
        <v>4940</v>
      </c>
      <c r="B4835" s="1">
        <v>45566</v>
      </c>
      <c r="C4835">
        <v>2024</v>
      </c>
      <c r="D4835">
        <v>10</v>
      </c>
      <c r="E4835" t="s">
        <v>23</v>
      </c>
      <c r="F4835" t="s">
        <v>24</v>
      </c>
      <c r="G4835" t="s">
        <v>30</v>
      </c>
      <c r="H4835" t="s">
        <v>33</v>
      </c>
      <c r="I4835">
        <v>4872.2</v>
      </c>
      <c r="J4835">
        <v>4386.28</v>
      </c>
      <c r="K4835" t="s">
        <v>17</v>
      </c>
      <c r="L4835" t="b">
        <v>0</v>
      </c>
      <c r="N4835" s="2" t="str">
        <f t="shared" si="434"/>
        <v/>
      </c>
      <c r="Q4835" t="str">
        <f t="shared" si="435"/>
        <v/>
      </c>
    </row>
    <row r="4836" spans="1:17" hidden="1">
      <c r="A4836" t="s">
        <v>4941</v>
      </c>
      <c r="B4836" s="1">
        <v>45566</v>
      </c>
      <c r="C4836">
        <v>2024</v>
      </c>
      <c r="D4836">
        <v>10</v>
      </c>
      <c r="E4836" t="s">
        <v>23</v>
      </c>
      <c r="F4836" t="s">
        <v>24</v>
      </c>
      <c r="G4836" t="s">
        <v>141</v>
      </c>
      <c r="H4836" t="s">
        <v>209</v>
      </c>
      <c r="I4836">
        <v>2433.84</v>
      </c>
      <c r="J4836">
        <v>2414.17</v>
      </c>
      <c r="K4836" t="s">
        <v>17</v>
      </c>
      <c r="L4836" t="b">
        <v>0</v>
      </c>
      <c r="N4836" s="2" t="str">
        <f t="shared" si="434"/>
        <v/>
      </c>
      <c r="Q4836" t="str">
        <f t="shared" si="435"/>
        <v/>
      </c>
    </row>
    <row r="4837" spans="1:17" hidden="1">
      <c r="A4837" t="s">
        <v>4942</v>
      </c>
      <c r="B4837" s="1">
        <v>45566</v>
      </c>
      <c r="C4837">
        <v>2024</v>
      </c>
      <c r="D4837">
        <v>10</v>
      </c>
      <c r="E4837" t="s">
        <v>37</v>
      </c>
      <c r="F4837" t="s">
        <v>14</v>
      </c>
      <c r="G4837" t="s">
        <v>41</v>
      </c>
      <c r="H4837" t="s">
        <v>42</v>
      </c>
      <c r="I4837">
        <v>4660.91</v>
      </c>
      <c r="J4837">
        <v>4671.62</v>
      </c>
      <c r="K4837" t="s">
        <v>17</v>
      </c>
      <c r="L4837" t="b">
        <v>0</v>
      </c>
      <c r="N4837" s="2" t="str">
        <f t="shared" si="434"/>
        <v/>
      </c>
      <c r="Q4837" t="str">
        <f t="shared" si="435"/>
        <v/>
      </c>
    </row>
    <row r="4838" spans="1:17" hidden="1">
      <c r="A4838" t="s">
        <v>4943</v>
      </c>
      <c r="B4838" s="1">
        <v>45566</v>
      </c>
      <c r="C4838">
        <v>2024</v>
      </c>
      <c r="D4838">
        <v>10</v>
      </c>
      <c r="E4838" t="s">
        <v>37</v>
      </c>
      <c r="F4838" t="s">
        <v>24</v>
      </c>
      <c r="G4838" t="s">
        <v>98</v>
      </c>
      <c r="H4838" t="s">
        <v>99</v>
      </c>
      <c r="I4838">
        <v>3542.15</v>
      </c>
      <c r="J4838">
        <v>3782.75</v>
      </c>
      <c r="K4838" t="s">
        <v>17</v>
      </c>
      <c r="L4838" t="b">
        <v>0</v>
      </c>
      <c r="N4838" s="2" t="str">
        <f t="shared" si="434"/>
        <v/>
      </c>
      <c r="Q4838" t="str">
        <f t="shared" si="435"/>
        <v/>
      </c>
    </row>
    <row r="4839" spans="1:17" hidden="1">
      <c r="A4839" t="s">
        <v>4944</v>
      </c>
      <c r="B4839" s="1">
        <v>45567</v>
      </c>
      <c r="C4839">
        <v>2024</v>
      </c>
      <c r="D4839">
        <v>10</v>
      </c>
      <c r="E4839" t="s">
        <v>47</v>
      </c>
      <c r="F4839" t="s">
        <v>14</v>
      </c>
      <c r="G4839" t="s">
        <v>91</v>
      </c>
      <c r="H4839" t="s">
        <v>254</v>
      </c>
      <c r="I4839">
        <v>9733.51</v>
      </c>
      <c r="J4839">
        <v>8013.61</v>
      </c>
      <c r="K4839" t="s">
        <v>17</v>
      </c>
      <c r="L4839" t="b">
        <v>0</v>
      </c>
      <c r="N4839" s="2" t="b">
        <f t="shared" si="434"/>
        <v>1</v>
      </c>
      <c r="O4839" t="str">
        <f>IF(AND(E4828="HR",K4828="EXPENSE"),I4828&lt;J4828,"")</f>
        <v/>
      </c>
      <c r="Q4839" t="str">
        <f t="shared" si="435"/>
        <v/>
      </c>
    </row>
    <row r="4840" spans="1:17" hidden="1">
      <c r="A4840" t="s">
        <v>4945</v>
      </c>
      <c r="B4840" s="1">
        <v>45567</v>
      </c>
      <c r="C4840">
        <v>2024</v>
      </c>
      <c r="D4840">
        <v>10</v>
      </c>
      <c r="E4840" t="s">
        <v>37</v>
      </c>
      <c r="F4840" t="s">
        <v>28</v>
      </c>
      <c r="G4840" t="s">
        <v>41</v>
      </c>
      <c r="H4840" t="s">
        <v>42</v>
      </c>
      <c r="I4840">
        <v>7142.1</v>
      </c>
      <c r="J4840">
        <v>7340.27</v>
      </c>
      <c r="K4840" t="s">
        <v>17</v>
      </c>
      <c r="L4840" t="b">
        <v>0</v>
      </c>
      <c r="N4840" s="2" t="str">
        <f t="shared" si="434"/>
        <v/>
      </c>
      <c r="Q4840" t="str">
        <f t="shared" si="435"/>
        <v/>
      </c>
    </row>
    <row r="4841" spans="1:17" hidden="1">
      <c r="A4841" t="s">
        <v>4946</v>
      </c>
      <c r="B4841" s="1">
        <v>45568</v>
      </c>
      <c r="C4841">
        <v>2024</v>
      </c>
      <c r="D4841">
        <v>10</v>
      </c>
      <c r="E4841" t="s">
        <v>47</v>
      </c>
      <c r="F4841" t="s">
        <v>24</v>
      </c>
      <c r="G4841" t="s">
        <v>77</v>
      </c>
      <c r="H4841" t="s">
        <v>78</v>
      </c>
      <c r="I4841">
        <v>25332.44</v>
      </c>
      <c r="J4841">
        <v>20832.240000000002</v>
      </c>
      <c r="K4841" t="s">
        <v>17</v>
      </c>
      <c r="L4841" t="b">
        <v>0</v>
      </c>
      <c r="N4841" s="2" t="b">
        <f t="shared" si="434"/>
        <v>1</v>
      </c>
      <c r="O4841" t="str">
        <f>IF(AND(E4830="HR",K4830="EXPENSE"),I4830&lt;J4830,"")</f>
        <v/>
      </c>
      <c r="Q4841" t="str">
        <f t="shared" si="435"/>
        <v/>
      </c>
    </row>
    <row r="4842" spans="1:17" hidden="1">
      <c r="A4842" t="s">
        <v>4947</v>
      </c>
      <c r="B4842" s="1">
        <v>45568</v>
      </c>
      <c r="C4842">
        <v>2024</v>
      </c>
      <c r="D4842">
        <v>10</v>
      </c>
      <c r="E4842" t="s">
        <v>23</v>
      </c>
      <c r="F4842" t="s">
        <v>14</v>
      </c>
      <c r="G4842" t="s">
        <v>141</v>
      </c>
      <c r="H4842" t="s">
        <v>153</v>
      </c>
      <c r="I4842">
        <v>3754.06</v>
      </c>
      <c r="J4842">
        <v>4115.8900000000003</v>
      </c>
      <c r="K4842" t="s">
        <v>17</v>
      </c>
      <c r="L4842" t="b">
        <v>0</v>
      </c>
      <c r="N4842" s="2" t="str">
        <f t="shared" si="434"/>
        <v/>
      </c>
      <c r="Q4842" t="str">
        <f t="shared" si="435"/>
        <v/>
      </c>
    </row>
    <row r="4843" spans="1:17" hidden="1">
      <c r="A4843" t="s">
        <v>4948</v>
      </c>
      <c r="B4843" s="1">
        <v>45568</v>
      </c>
      <c r="C4843">
        <v>2024</v>
      </c>
      <c r="D4843">
        <v>10</v>
      </c>
      <c r="E4843" t="s">
        <v>23</v>
      </c>
      <c r="F4843" t="s">
        <v>28</v>
      </c>
      <c r="G4843" t="s">
        <v>25</v>
      </c>
      <c r="H4843" t="s">
        <v>35</v>
      </c>
      <c r="I4843">
        <v>7494.97</v>
      </c>
      <c r="J4843">
        <v>6777.61</v>
      </c>
      <c r="K4843" t="s">
        <v>17</v>
      </c>
      <c r="L4843" t="b">
        <v>0</v>
      </c>
      <c r="N4843" s="2" t="str">
        <f t="shared" si="434"/>
        <v/>
      </c>
      <c r="Q4843" t="str">
        <f t="shared" si="435"/>
        <v/>
      </c>
    </row>
    <row r="4844" spans="1:17" hidden="1">
      <c r="A4844" t="s">
        <v>4949</v>
      </c>
      <c r="B4844" s="1">
        <v>45568</v>
      </c>
      <c r="C4844">
        <v>2024</v>
      </c>
      <c r="D4844">
        <v>10</v>
      </c>
      <c r="E4844" t="s">
        <v>37</v>
      </c>
      <c r="F4844" t="s">
        <v>28</v>
      </c>
      <c r="G4844" t="s">
        <v>38</v>
      </c>
      <c r="H4844" t="s">
        <v>227</v>
      </c>
      <c r="I4844">
        <v>6018.4</v>
      </c>
      <c r="J4844">
        <v>5428.71</v>
      </c>
      <c r="K4844" t="s">
        <v>17</v>
      </c>
      <c r="L4844" t="b">
        <v>0</v>
      </c>
      <c r="N4844" s="2" t="str">
        <f t="shared" si="434"/>
        <v/>
      </c>
      <c r="Q4844" t="str">
        <f t="shared" si="435"/>
        <v/>
      </c>
    </row>
    <row r="4845" spans="1:17" hidden="1">
      <c r="A4845" t="s">
        <v>4950</v>
      </c>
      <c r="B4845" s="1">
        <v>45568</v>
      </c>
      <c r="C4845">
        <v>2024</v>
      </c>
      <c r="D4845">
        <v>10</v>
      </c>
      <c r="E4845" t="s">
        <v>37</v>
      </c>
      <c r="F4845" t="s">
        <v>24</v>
      </c>
      <c r="G4845" t="s">
        <v>62</v>
      </c>
      <c r="H4845" t="s">
        <v>360</v>
      </c>
      <c r="I4845">
        <v>3656.58</v>
      </c>
      <c r="J4845">
        <v>3321.9</v>
      </c>
      <c r="K4845" t="s">
        <v>17</v>
      </c>
      <c r="L4845" t="b">
        <v>0</v>
      </c>
      <c r="N4845" s="2" t="str">
        <f t="shared" si="434"/>
        <v/>
      </c>
      <c r="Q4845" t="str">
        <f t="shared" si="435"/>
        <v/>
      </c>
    </row>
    <row r="4846" spans="1:17" hidden="1">
      <c r="A4846" t="s">
        <v>4951</v>
      </c>
      <c r="B4846" s="1">
        <v>45569</v>
      </c>
      <c r="C4846">
        <v>2024</v>
      </c>
      <c r="D4846">
        <v>10</v>
      </c>
      <c r="E4846" t="s">
        <v>13</v>
      </c>
      <c r="F4846" t="s">
        <v>24</v>
      </c>
      <c r="G4846" t="s">
        <v>102</v>
      </c>
      <c r="H4846" t="s">
        <v>145</v>
      </c>
      <c r="I4846">
        <v>3578.43</v>
      </c>
      <c r="J4846">
        <v>3520.61</v>
      </c>
      <c r="K4846" t="s">
        <v>17</v>
      </c>
      <c r="L4846" t="b">
        <v>0</v>
      </c>
      <c r="N4846" s="2" t="str">
        <f t="shared" si="434"/>
        <v/>
      </c>
      <c r="Q4846" t="str">
        <f t="shared" si="435"/>
        <v/>
      </c>
    </row>
    <row r="4847" spans="1:17" hidden="1">
      <c r="A4847" t="s">
        <v>4952</v>
      </c>
      <c r="B4847" s="1">
        <v>45569</v>
      </c>
      <c r="C4847">
        <v>2024</v>
      </c>
      <c r="D4847">
        <v>10</v>
      </c>
      <c r="E4847" t="s">
        <v>13</v>
      </c>
      <c r="F4847" t="s">
        <v>24</v>
      </c>
      <c r="G4847" t="s">
        <v>102</v>
      </c>
      <c r="H4847" t="s">
        <v>103</v>
      </c>
      <c r="I4847">
        <v>2981.54</v>
      </c>
      <c r="J4847">
        <v>2794.24</v>
      </c>
      <c r="K4847" t="s">
        <v>17</v>
      </c>
      <c r="L4847" t="b">
        <v>0</v>
      </c>
      <c r="N4847" s="2" t="str">
        <f t="shared" si="434"/>
        <v/>
      </c>
      <c r="Q4847" t="str">
        <f t="shared" si="435"/>
        <v/>
      </c>
    </row>
    <row r="4848" spans="1:17" hidden="1">
      <c r="A4848" t="s">
        <v>4953</v>
      </c>
      <c r="B4848" s="1">
        <v>45569</v>
      </c>
      <c r="C4848">
        <v>2024</v>
      </c>
      <c r="D4848">
        <v>10</v>
      </c>
      <c r="E4848" t="s">
        <v>13</v>
      </c>
      <c r="F4848" t="s">
        <v>24</v>
      </c>
      <c r="G4848" t="s">
        <v>102</v>
      </c>
      <c r="H4848" t="s">
        <v>145</v>
      </c>
      <c r="I4848">
        <v>3181.06</v>
      </c>
      <c r="J4848">
        <v>3397.59</v>
      </c>
      <c r="K4848" t="s">
        <v>17</v>
      </c>
      <c r="L4848" t="b">
        <v>0</v>
      </c>
      <c r="N4848" s="2" t="str">
        <f t="shared" si="434"/>
        <v/>
      </c>
      <c r="Q4848" t="str">
        <f t="shared" si="435"/>
        <v/>
      </c>
    </row>
    <row r="4849" spans="1:17" hidden="1">
      <c r="A4849" t="s">
        <v>4954</v>
      </c>
      <c r="B4849" s="1">
        <v>45569</v>
      </c>
      <c r="C4849">
        <v>2024</v>
      </c>
      <c r="D4849">
        <v>10</v>
      </c>
      <c r="E4849" t="s">
        <v>47</v>
      </c>
      <c r="F4849" t="s">
        <v>14</v>
      </c>
      <c r="G4849" t="s">
        <v>51</v>
      </c>
      <c r="H4849" t="s">
        <v>189</v>
      </c>
      <c r="I4849">
        <v>9174.4500000000007</v>
      </c>
      <c r="J4849">
        <v>7756.89</v>
      </c>
      <c r="K4849" t="s">
        <v>17</v>
      </c>
      <c r="L4849" t="b">
        <v>0</v>
      </c>
      <c r="N4849" s="2" t="b">
        <f t="shared" si="434"/>
        <v>1</v>
      </c>
      <c r="O4849" t="str">
        <f>IF(AND(E4838="HR",K4838="EXPENSE"),I4838&lt;J4838,"")</f>
        <v/>
      </c>
      <c r="Q4849" t="str">
        <f t="shared" si="435"/>
        <v/>
      </c>
    </row>
    <row r="4850" spans="1:17" hidden="1">
      <c r="A4850" t="s">
        <v>4955</v>
      </c>
      <c r="B4850" s="1">
        <v>45569</v>
      </c>
      <c r="C4850">
        <v>2024</v>
      </c>
      <c r="D4850">
        <v>10</v>
      </c>
      <c r="E4850" t="s">
        <v>23</v>
      </c>
      <c r="F4850" t="s">
        <v>14</v>
      </c>
      <c r="G4850" t="s">
        <v>25</v>
      </c>
      <c r="H4850" t="s">
        <v>95</v>
      </c>
      <c r="I4850">
        <v>3491.65</v>
      </c>
      <c r="J4850">
        <v>3651.45</v>
      </c>
      <c r="K4850" t="s">
        <v>17</v>
      </c>
      <c r="L4850" t="b">
        <v>0</v>
      </c>
      <c r="N4850" s="2" t="str">
        <f t="shared" si="434"/>
        <v/>
      </c>
      <c r="Q4850" t="str">
        <f t="shared" si="435"/>
        <v/>
      </c>
    </row>
    <row r="4851" spans="1:17" hidden="1">
      <c r="A4851" t="s">
        <v>4956</v>
      </c>
      <c r="B4851" s="1">
        <v>45569</v>
      </c>
      <c r="C4851">
        <v>2024</v>
      </c>
      <c r="D4851">
        <v>10</v>
      </c>
      <c r="E4851" t="s">
        <v>37</v>
      </c>
      <c r="F4851" t="s">
        <v>28</v>
      </c>
      <c r="G4851" t="s">
        <v>41</v>
      </c>
      <c r="H4851" t="s">
        <v>42</v>
      </c>
      <c r="I4851">
        <v>6264.42</v>
      </c>
      <c r="J4851">
        <v>5889.62</v>
      </c>
      <c r="K4851" t="s">
        <v>17</v>
      </c>
      <c r="L4851" t="b">
        <v>0</v>
      </c>
      <c r="N4851" s="2" t="str">
        <f t="shared" si="434"/>
        <v/>
      </c>
      <c r="Q4851" t="str">
        <f t="shared" si="435"/>
        <v/>
      </c>
    </row>
    <row r="4852" spans="1:17" hidden="1">
      <c r="A4852" t="s">
        <v>4957</v>
      </c>
      <c r="B4852" s="1">
        <v>45569</v>
      </c>
      <c r="C4852">
        <v>2024</v>
      </c>
      <c r="D4852">
        <v>10</v>
      </c>
      <c r="E4852" t="s">
        <v>37</v>
      </c>
      <c r="F4852" t="s">
        <v>24</v>
      </c>
      <c r="G4852" t="s">
        <v>41</v>
      </c>
      <c r="H4852" t="s">
        <v>42</v>
      </c>
      <c r="I4852">
        <v>4483.28</v>
      </c>
      <c r="J4852">
        <v>4639.25</v>
      </c>
      <c r="K4852" t="s">
        <v>17</v>
      </c>
      <c r="L4852" t="b">
        <v>0</v>
      </c>
      <c r="N4852" s="2" t="str">
        <f t="shared" si="434"/>
        <v/>
      </c>
      <c r="Q4852" t="str">
        <f t="shared" si="435"/>
        <v/>
      </c>
    </row>
    <row r="4853" spans="1:17" hidden="1">
      <c r="A4853" t="s">
        <v>4958</v>
      </c>
      <c r="B4853" s="1">
        <v>45570</v>
      </c>
      <c r="C4853">
        <v>2024</v>
      </c>
      <c r="D4853">
        <v>10</v>
      </c>
      <c r="E4853" t="s">
        <v>13</v>
      </c>
      <c r="F4853" t="s">
        <v>28</v>
      </c>
      <c r="G4853" t="s">
        <v>68</v>
      </c>
      <c r="H4853" t="s">
        <v>213</v>
      </c>
      <c r="I4853">
        <v>4170.04</v>
      </c>
      <c r="J4853">
        <v>3771.67</v>
      </c>
      <c r="K4853" t="s">
        <v>17</v>
      </c>
      <c r="L4853" t="b">
        <v>0</v>
      </c>
      <c r="N4853" s="2" t="str">
        <f t="shared" si="434"/>
        <v/>
      </c>
      <c r="Q4853" t="str">
        <f t="shared" si="435"/>
        <v/>
      </c>
    </row>
    <row r="4854" spans="1:17" hidden="1">
      <c r="A4854" t="s">
        <v>4959</v>
      </c>
      <c r="B4854" s="1">
        <v>45570</v>
      </c>
      <c r="C4854">
        <v>2024</v>
      </c>
      <c r="D4854">
        <v>10</v>
      </c>
      <c r="E4854" t="s">
        <v>47</v>
      </c>
      <c r="F4854" t="s">
        <v>14</v>
      </c>
      <c r="G4854" t="s">
        <v>77</v>
      </c>
      <c r="H4854" t="s">
        <v>147</v>
      </c>
      <c r="I4854">
        <v>10946.15</v>
      </c>
      <c r="J4854">
        <v>9152.56</v>
      </c>
      <c r="K4854" t="s">
        <v>17</v>
      </c>
      <c r="L4854" t="b">
        <v>0</v>
      </c>
      <c r="N4854" s="2" t="b">
        <f t="shared" si="434"/>
        <v>1</v>
      </c>
      <c r="O4854" t="str">
        <f t="shared" ref="O4854:O4855" si="437">IF(AND(E4843="HR",K4843="EXPENSE"),I4843&lt;J4843,"")</f>
        <v/>
      </c>
      <c r="Q4854" t="str">
        <f t="shared" si="435"/>
        <v/>
      </c>
    </row>
    <row r="4855" spans="1:17" hidden="1">
      <c r="A4855" t="s">
        <v>4960</v>
      </c>
      <c r="B4855" s="1">
        <v>45570</v>
      </c>
      <c r="C4855">
        <v>2024</v>
      </c>
      <c r="D4855">
        <v>10</v>
      </c>
      <c r="E4855" t="s">
        <v>47</v>
      </c>
      <c r="F4855" t="s">
        <v>24</v>
      </c>
      <c r="G4855" t="s">
        <v>51</v>
      </c>
      <c r="H4855" t="s">
        <v>52</v>
      </c>
      <c r="I4855">
        <v>19074.919999999998</v>
      </c>
      <c r="J4855">
        <v>16250.46</v>
      </c>
      <c r="K4855" t="s">
        <v>17</v>
      </c>
      <c r="L4855" t="b">
        <v>0</v>
      </c>
      <c r="N4855" s="2" t="b">
        <f t="shared" si="434"/>
        <v>1</v>
      </c>
      <c r="O4855" t="str">
        <f t="shared" si="437"/>
        <v/>
      </c>
      <c r="Q4855" t="str">
        <f t="shared" si="435"/>
        <v/>
      </c>
    </row>
    <row r="4856" spans="1:17" hidden="1">
      <c r="A4856" t="s">
        <v>4961</v>
      </c>
      <c r="B4856" s="1">
        <v>45570</v>
      </c>
      <c r="C4856">
        <v>2024</v>
      </c>
      <c r="D4856">
        <v>10</v>
      </c>
      <c r="E4856" t="s">
        <v>19</v>
      </c>
      <c r="F4856" t="s">
        <v>28</v>
      </c>
      <c r="G4856" t="s">
        <v>54</v>
      </c>
      <c r="H4856" t="s">
        <v>55</v>
      </c>
      <c r="I4856">
        <v>7467.06</v>
      </c>
      <c r="J4856">
        <v>7934.67</v>
      </c>
      <c r="K4856" t="s">
        <v>17</v>
      </c>
      <c r="L4856" t="b">
        <v>0</v>
      </c>
      <c r="N4856" s="2" t="str">
        <f t="shared" si="434"/>
        <v/>
      </c>
      <c r="Q4856" t="str">
        <f t="shared" si="435"/>
        <v/>
      </c>
    </row>
    <row r="4857" spans="1:17" hidden="1">
      <c r="A4857" t="s">
        <v>4962</v>
      </c>
      <c r="B4857" s="1">
        <v>45570</v>
      </c>
      <c r="C4857">
        <v>2024</v>
      </c>
      <c r="D4857">
        <v>10</v>
      </c>
      <c r="E4857" t="s">
        <v>19</v>
      </c>
      <c r="F4857" t="s">
        <v>24</v>
      </c>
      <c r="G4857" t="s">
        <v>54</v>
      </c>
      <c r="H4857" t="s">
        <v>55</v>
      </c>
      <c r="I4857">
        <v>6448.86</v>
      </c>
      <c r="J4857">
        <v>6240.53</v>
      </c>
      <c r="K4857" t="s">
        <v>17</v>
      </c>
      <c r="L4857" t="b">
        <v>0</v>
      </c>
      <c r="N4857" s="2" t="str">
        <f t="shared" si="434"/>
        <v/>
      </c>
      <c r="Q4857" t="str">
        <f t="shared" si="435"/>
        <v/>
      </c>
    </row>
    <row r="4858" spans="1:17" hidden="1">
      <c r="A4858" t="s">
        <v>4963</v>
      </c>
      <c r="B4858" s="1">
        <v>45570</v>
      </c>
      <c r="C4858">
        <v>2024</v>
      </c>
      <c r="D4858">
        <v>10</v>
      </c>
      <c r="E4858" t="s">
        <v>19</v>
      </c>
      <c r="F4858" t="s">
        <v>24</v>
      </c>
      <c r="G4858" t="s">
        <v>80</v>
      </c>
      <c r="H4858" t="s">
        <v>217</v>
      </c>
      <c r="I4858">
        <v>4912.8100000000004</v>
      </c>
      <c r="J4858">
        <v>4633.6899999999996</v>
      </c>
      <c r="K4858" t="s">
        <v>17</v>
      </c>
      <c r="L4858" t="b">
        <v>0</v>
      </c>
      <c r="N4858" s="2" t="str">
        <f t="shared" si="434"/>
        <v/>
      </c>
      <c r="Q4858" t="str">
        <f t="shared" si="435"/>
        <v/>
      </c>
    </row>
    <row r="4859" spans="1:17" hidden="1">
      <c r="A4859" t="s">
        <v>4964</v>
      </c>
      <c r="B4859" s="1">
        <v>45570</v>
      </c>
      <c r="C4859">
        <v>2024</v>
      </c>
      <c r="D4859">
        <v>10</v>
      </c>
      <c r="E4859" t="s">
        <v>23</v>
      </c>
      <c r="F4859" t="s">
        <v>28</v>
      </c>
      <c r="G4859" t="s">
        <v>30</v>
      </c>
      <c r="H4859" t="s">
        <v>106</v>
      </c>
      <c r="I4859">
        <v>7622.1</v>
      </c>
      <c r="J4859">
        <v>8036.05</v>
      </c>
      <c r="K4859" t="s">
        <v>17</v>
      </c>
      <c r="L4859" t="b">
        <v>0</v>
      </c>
      <c r="N4859" s="2" t="str">
        <f t="shared" si="434"/>
        <v/>
      </c>
      <c r="Q4859" t="str">
        <f t="shared" si="435"/>
        <v/>
      </c>
    </row>
    <row r="4860" spans="1:17" hidden="1">
      <c r="A4860" t="s">
        <v>4965</v>
      </c>
      <c r="B4860" s="1">
        <v>45570</v>
      </c>
      <c r="C4860">
        <v>2024</v>
      </c>
      <c r="D4860">
        <v>10</v>
      </c>
      <c r="E4860" t="s">
        <v>23</v>
      </c>
      <c r="F4860" t="s">
        <v>24</v>
      </c>
      <c r="G4860" t="s">
        <v>59</v>
      </c>
      <c r="H4860" t="s">
        <v>155</v>
      </c>
      <c r="I4860">
        <v>2517.46</v>
      </c>
      <c r="J4860">
        <v>2597.58</v>
      </c>
      <c r="K4860" t="s">
        <v>17</v>
      </c>
      <c r="L4860" t="b">
        <v>0</v>
      </c>
      <c r="N4860" s="2" t="str">
        <f t="shared" si="434"/>
        <v/>
      </c>
      <c r="Q4860" t="str">
        <f t="shared" si="435"/>
        <v/>
      </c>
    </row>
    <row r="4861" spans="1:17" hidden="1">
      <c r="A4861" t="s">
        <v>4966</v>
      </c>
      <c r="B4861" s="1">
        <v>45570</v>
      </c>
      <c r="C4861">
        <v>2024</v>
      </c>
      <c r="D4861">
        <v>10</v>
      </c>
      <c r="E4861" t="s">
        <v>37</v>
      </c>
      <c r="F4861" t="s">
        <v>14</v>
      </c>
      <c r="G4861" t="s">
        <v>38</v>
      </c>
      <c r="H4861" t="s">
        <v>227</v>
      </c>
      <c r="I4861">
        <v>5019.47</v>
      </c>
      <c r="J4861">
        <v>4756.07</v>
      </c>
      <c r="K4861" t="s">
        <v>17</v>
      </c>
      <c r="L4861" t="b">
        <v>0</v>
      </c>
      <c r="N4861" s="2" t="str">
        <f t="shared" si="434"/>
        <v/>
      </c>
      <c r="Q4861" t="str">
        <f t="shared" si="435"/>
        <v/>
      </c>
    </row>
    <row r="4862" spans="1:17" hidden="1">
      <c r="A4862" t="s">
        <v>4967</v>
      </c>
      <c r="B4862" s="1">
        <v>45571</v>
      </c>
      <c r="C4862">
        <v>2024</v>
      </c>
      <c r="D4862">
        <v>10</v>
      </c>
      <c r="E4862" t="s">
        <v>13</v>
      </c>
      <c r="F4862" t="s">
        <v>14</v>
      </c>
      <c r="G4862" t="s">
        <v>102</v>
      </c>
      <c r="H4862" t="s">
        <v>103</v>
      </c>
      <c r="I4862">
        <v>2671.04</v>
      </c>
      <c r="J4862">
        <v>2764.22</v>
      </c>
      <c r="K4862" t="s">
        <v>17</v>
      </c>
      <c r="L4862" t="b">
        <v>0</v>
      </c>
      <c r="N4862" s="2" t="str">
        <f t="shared" si="434"/>
        <v/>
      </c>
      <c r="Q4862" t="str">
        <f t="shared" si="435"/>
        <v/>
      </c>
    </row>
    <row r="4863" spans="1:17" hidden="1">
      <c r="A4863" t="s">
        <v>4968</v>
      </c>
      <c r="B4863" s="1">
        <v>45571</v>
      </c>
      <c r="C4863">
        <v>2024</v>
      </c>
      <c r="D4863">
        <v>10</v>
      </c>
      <c r="E4863" t="s">
        <v>13</v>
      </c>
      <c r="F4863" t="s">
        <v>14</v>
      </c>
      <c r="G4863" t="s">
        <v>15</v>
      </c>
      <c r="H4863" t="s">
        <v>16</v>
      </c>
      <c r="I4863">
        <v>2218.19</v>
      </c>
      <c r="J4863">
        <v>2339.87</v>
      </c>
      <c r="K4863" t="s">
        <v>17</v>
      </c>
      <c r="L4863" t="b">
        <v>0</v>
      </c>
      <c r="N4863" s="2" t="str">
        <f t="shared" si="434"/>
        <v/>
      </c>
      <c r="Q4863" t="str">
        <f t="shared" si="435"/>
        <v/>
      </c>
    </row>
    <row r="4864" spans="1:17" hidden="1">
      <c r="A4864" t="s">
        <v>4969</v>
      </c>
      <c r="B4864" s="1">
        <v>45571</v>
      </c>
      <c r="C4864">
        <v>2024</v>
      </c>
      <c r="D4864">
        <v>10</v>
      </c>
      <c r="E4864" t="s">
        <v>13</v>
      </c>
      <c r="F4864" t="s">
        <v>24</v>
      </c>
      <c r="G4864" t="s">
        <v>108</v>
      </c>
      <c r="H4864" t="s">
        <v>126</v>
      </c>
      <c r="I4864">
        <v>2334.23</v>
      </c>
      <c r="J4864">
        <v>2320.48</v>
      </c>
      <c r="K4864" t="s">
        <v>17</v>
      </c>
      <c r="L4864" t="b">
        <v>0</v>
      </c>
      <c r="N4864" s="2" t="str">
        <f t="shared" si="434"/>
        <v/>
      </c>
      <c r="Q4864" t="str">
        <f t="shared" si="435"/>
        <v/>
      </c>
    </row>
    <row r="4865" spans="1:17" hidden="1">
      <c r="A4865" t="s">
        <v>4970</v>
      </c>
      <c r="B4865" s="1">
        <v>45571</v>
      </c>
      <c r="C4865">
        <v>2024</v>
      </c>
      <c r="D4865">
        <v>10</v>
      </c>
      <c r="E4865" t="s">
        <v>47</v>
      </c>
      <c r="F4865" t="s">
        <v>24</v>
      </c>
      <c r="G4865" t="s">
        <v>91</v>
      </c>
      <c r="H4865" t="s">
        <v>128</v>
      </c>
      <c r="I4865">
        <v>13768.6</v>
      </c>
      <c r="J4865">
        <v>11733.96</v>
      </c>
      <c r="K4865" t="s">
        <v>17</v>
      </c>
      <c r="L4865" t="b">
        <v>0</v>
      </c>
      <c r="N4865" s="2" t="b">
        <f t="shared" si="434"/>
        <v>1</v>
      </c>
      <c r="O4865" t="str">
        <f>IF(AND(E4854="HR",K4854="EXPENSE"),I4854&lt;J4854,"")</f>
        <v/>
      </c>
      <c r="Q4865" t="str">
        <f t="shared" si="435"/>
        <v/>
      </c>
    </row>
    <row r="4866" spans="1:17" hidden="1">
      <c r="A4866" t="s">
        <v>4971</v>
      </c>
      <c r="B4866" s="1">
        <v>45571</v>
      </c>
      <c r="C4866">
        <v>2024</v>
      </c>
      <c r="D4866">
        <v>10</v>
      </c>
      <c r="E4866" t="s">
        <v>19</v>
      </c>
      <c r="F4866" t="s">
        <v>28</v>
      </c>
      <c r="G4866" t="s">
        <v>54</v>
      </c>
      <c r="H4866" t="s">
        <v>163</v>
      </c>
      <c r="I4866">
        <v>6255.32</v>
      </c>
      <c r="J4866">
        <v>6840.38</v>
      </c>
      <c r="K4866" t="s">
        <v>17</v>
      </c>
      <c r="L4866" t="b">
        <v>0</v>
      </c>
      <c r="N4866" s="2" t="str">
        <f t="shared" si="434"/>
        <v/>
      </c>
      <c r="Q4866" t="str">
        <f t="shared" si="435"/>
        <v/>
      </c>
    </row>
    <row r="4867" spans="1:17" hidden="1">
      <c r="A4867" t="s">
        <v>4972</v>
      </c>
      <c r="B4867" s="1">
        <v>45571</v>
      </c>
      <c r="C4867">
        <v>2024</v>
      </c>
      <c r="D4867">
        <v>10</v>
      </c>
      <c r="E4867" t="s">
        <v>23</v>
      </c>
      <c r="F4867" t="s">
        <v>28</v>
      </c>
      <c r="G4867" t="s">
        <v>25</v>
      </c>
      <c r="H4867" t="s">
        <v>35</v>
      </c>
      <c r="I4867">
        <v>5076.95</v>
      </c>
      <c r="J4867">
        <v>4901.1000000000004</v>
      </c>
      <c r="K4867" t="s">
        <v>17</v>
      </c>
      <c r="L4867" t="b">
        <v>0</v>
      </c>
      <c r="N4867" s="2" t="str">
        <f t="shared" ref="N4867:N4930" si="438">IF(AND(E4867="IT",K4867="EXPENSE"),I4867&gt;J4867,"")</f>
        <v/>
      </c>
      <c r="Q4867" t="str">
        <f t="shared" ref="Q4867:Q4930" si="439">IF(L4867=TRUE,OR(H4867="Apex Solutions Inc",H4867="Global Trade Partners",H4867="NovaTech Services"),"")</f>
        <v/>
      </c>
    </row>
    <row r="4868" spans="1:17" hidden="1">
      <c r="A4868" t="s">
        <v>4973</v>
      </c>
      <c r="B4868" s="1">
        <v>45571</v>
      </c>
      <c r="C4868">
        <v>2024</v>
      </c>
      <c r="D4868">
        <v>10</v>
      </c>
      <c r="E4868" t="s">
        <v>23</v>
      </c>
      <c r="F4868" t="s">
        <v>28</v>
      </c>
      <c r="G4868" t="s">
        <v>59</v>
      </c>
      <c r="H4868" t="s">
        <v>155</v>
      </c>
      <c r="I4868">
        <v>5539.02</v>
      </c>
      <c r="J4868">
        <v>5245.81</v>
      </c>
      <c r="K4868" t="s">
        <v>17</v>
      </c>
      <c r="L4868" t="b">
        <v>0</v>
      </c>
      <c r="N4868" s="2" t="str">
        <f t="shared" si="438"/>
        <v/>
      </c>
      <c r="Q4868" t="str">
        <f t="shared" si="439"/>
        <v/>
      </c>
    </row>
    <row r="4869" spans="1:17" hidden="1">
      <c r="A4869" t="s">
        <v>4974</v>
      </c>
      <c r="B4869" s="1">
        <v>45571</v>
      </c>
      <c r="C4869">
        <v>2024</v>
      </c>
      <c r="D4869">
        <v>10</v>
      </c>
      <c r="E4869" t="s">
        <v>37</v>
      </c>
      <c r="F4869" t="s">
        <v>14</v>
      </c>
      <c r="G4869" t="s">
        <v>98</v>
      </c>
      <c r="H4869" t="s">
        <v>99</v>
      </c>
      <c r="I4869">
        <v>6530.82</v>
      </c>
      <c r="J4869">
        <v>6117.73</v>
      </c>
      <c r="K4869" t="s">
        <v>17</v>
      </c>
      <c r="L4869" t="b">
        <v>0</v>
      </c>
      <c r="N4869" s="2" t="str">
        <f t="shared" si="438"/>
        <v/>
      </c>
      <c r="Q4869" t="str">
        <f t="shared" si="439"/>
        <v/>
      </c>
    </row>
    <row r="4870" spans="1:17" hidden="1">
      <c r="A4870" t="s">
        <v>4975</v>
      </c>
      <c r="B4870" s="1">
        <v>45572</v>
      </c>
      <c r="C4870">
        <v>2024</v>
      </c>
      <c r="D4870">
        <v>10</v>
      </c>
      <c r="E4870" t="s">
        <v>13</v>
      </c>
      <c r="F4870" t="s">
        <v>14</v>
      </c>
      <c r="G4870" t="s">
        <v>108</v>
      </c>
      <c r="H4870" t="s">
        <v>126</v>
      </c>
      <c r="I4870">
        <v>6552.03</v>
      </c>
      <c r="J4870">
        <v>5902.2</v>
      </c>
      <c r="K4870" t="s">
        <v>17</v>
      </c>
      <c r="L4870" t="b">
        <v>0</v>
      </c>
      <c r="N4870" s="2" t="str">
        <f t="shared" si="438"/>
        <v/>
      </c>
      <c r="Q4870" t="str">
        <f t="shared" si="439"/>
        <v/>
      </c>
    </row>
    <row r="4871" spans="1:17" hidden="1">
      <c r="A4871" t="s">
        <v>4976</v>
      </c>
      <c r="B4871" s="1">
        <v>45572</v>
      </c>
      <c r="C4871">
        <v>2024</v>
      </c>
      <c r="D4871">
        <v>10</v>
      </c>
      <c r="E4871" t="s">
        <v>47</v>
      </c>
      <c r="F4871" t="s">
        <v>14</v>
      </c>
      <c r="G4871" t="s">
        <v>91</v>
      </c>
      <c r="H4871" t="s">
        <v>249</v>
      </c>
      <c r="I4871">
        <v>15096.38</v>
      </c>
      <c r="J4871">
        <v>12449.29</v>
      </c>
      <c r="K4871" t="s">
        <v>17</v>
      </c>
      <c r="L4871" t="b">
        <v>0</v>
      </c>
      <c r="N4871" s="2" t="b">
        <f t="shared" si="438"/>
        <v>1</v>
      </c>
      <c r="O4871" t="str">
        <f>IF(AND(E4860="HR",K4860="EXPENSE"),I4860&lt;J4860,"")</f>
        <v/>
      </c>
      <c r="Q4871" t="str">
        <f t="shared" si="439"/>
        <v/>
      </c>
    </row>
    <row r="4872" spans="1:17" hidden="1">
      <c r="A4872" t="s">
        <v>4977</v>
      </c>
      <c r="B4872" s="1">
        <v>45572</v>
      </c>
      <c r="C4872">
        <v>2024</v>
      </c>
      <c r="D4872">
        <v>10</v>
      </c>
      <c r="E4872" t="s">
        <v>19</v>
      </c>
      <c r="F4872" t="s">
        <v>28</v>
      </c>
      <c r="G4872" t="s">
        <v>20</v>
      </c>
      <c r="H4872" t="s">
        <v>21</v>
      </c>
      <c r="I4872">
        <v>5952.38</v>
      </c>
      <c r="J4872">
        <v>6393.91</v>
      </c>
      <c r="K4872" t="s">
        <v>17</v>
      </c>
      <c r="L4872" t="b">
        <v>0</v>
      </c>
      <c r="N4872" s="2" t="str">
        <f t="shared" si="438"/>
        <v/>
      </c>
      <c r="Q4872" t="str">
        <f t="shared" si="439"/>
        <v/>
      </c>
    </row>
    <row r="4873" spans="1:17" hidden="1">
      <c r="A4873" t="s">
        <v>4978</v>
      </c>
      <c r="B4873" s="1">
        <v>45572</v>
      </c>
      <c r="C4873">
        <v>2024</v>
      </c>
      <c r="D4873">
        <v>10</v>
      </c>
      <c r="E4873" t="s">
        <v>23</v>
      </c>
      <c r="F4873" t="s">
        <v>14</v>
      </c>
      <c r="G4873" t="s">
        <v>59</v>
      </c>
      <c r="H4873" t="s">
        <v>60</v>
      </c>
      <c r="I4873">
        <v>6180.05</v>
      </c>
      <c r="J4873">
        <v>5977.44</v>
      </c>
      <c r="K4873" t="s">
        <v>17</v>
      </c>
      <c r="L4873" t="b">
        <v>0</v>
      </c>
      <c r="N4873" s="2" t="str">
        <f t="shared" si="438"/>
        <v/>
      </c>
      <c r="Q4873" t="str">
        <f t="shared" si="439"/>
        <v/>
      </c>
    </row>
    <row r="4874" spans="1:17" hidden="1">
      <c r="A4874" t="s">
        <v>4979</v>
      </c>
      <c r="B4874" s="1">
        <v>45572</v>
      </c>
      <c r="C4874">
        <v>2024</v>
      </c>
      <c r="D4874">
        <v>10</v>
      </c>
      <c r="E4874" t="s">
        <v>23</v>
      </c>
      <c r="F4874" t="s">
        <v>24</v>
      </c>
      <c r="G4874" t="s">
        <v>59</v>
      </c>
      <c r="H4874" t="s">
        <v>155</v>
      </c>
      <c r="I4874">
        <v>5503.43</v>
      </c>
      <c r="J4874">
        <v>5973.72</v>
      </c>
      <c r="K4874" t="s">
        <v>17</v>
      </c>
      <c r="L4874" t="b">
        <v>0</v>
      </c>
      <c r="N4874" s="2" t="str">
        <f t="shared" si="438"/>
        <v/>
      </c>
      <c r="Q4874" t="str">
        <f t="shared" si="439"/>
        <v/>
      </c>
    </row>
    <row r="4875" spans="1:17" hidden="1">
      <c r="A4875" t="s">
        <v>4980</v>
      </c>
      <c r="B4875" s="1">
        <v>45572</v>
      </c>
      <c r="C4875">
        <v>2024</v>
      </c>
      <c r="D4875">
        <v>10</v>
      </c>
      <c r="E4875" t="s">
        <v>37</v>
      </c>
      <c r="F4875" t="s">
        <v>28</v>
      </c>
      <c r="G4875" t="s">
        <v>38</v>
      </c>
      <c r="H4875" t="s">
        <v>39</v>
      </c>
      <c r="I4875">
        <v>6614.51</v>
      </c>
      <c r="J4875">
        <v>6846.48</v>
      </c>
      <c r="K4875" t="s">
        <v>17</v>
      </c>
      <c r="L4875" t="b">
        <v>0</v>
      </c>
      <c r="N4875" s="2" t="str">
        <f t="shared" si="438"/>
        <v/>
      </c>
      <c r="Q4875" t="str">
        <f t="shared" si="439"/>
        <v/>
      </c>
    </row>
    <row r="4876" spans="1:17" hidden="1">
      <c r="A4876" t="s">
        <v>4981</v>
      </c>
      <c r="B4876" s="1">
        <v>45572</v>
      </c>
      <c r="C4876">
        <v>2024</v>
      </c>
      <c r="D4876">
        <v>10</v>
      </c>
      <c r="E4876" t="s">
        <v>37</v>
      </c>
      <c r="F4876" t="s">
        <v>14</v>
      </c>
      <c r="G4876" t="s">
        <v>83</v>
      </c>
      <c r="H4876" t="s">
        <v>84</v>
      </c>
      <c r="I4876">
        <v>409105.22</v>
      </c>
      <c r="J4876">
        <v>388649.96</v>
      </c>
      <c r="K4876" t="s">
        <v>85</v>
      </c>
      <c r="L4876" t="b">
        <v>0</v>
      </c>
      <c r="N4876" s="2" t="str">
        <f t="shared" si="438"/>
        <v/>
      </c>
      <c r="Q4876" t="str">
        <f t="shared" si="439"/>
        <v/>
      </c>
    </row>
    <row r="4877" spans="1:17" hidden="1">
      <c r="A4877" t="s">
        <v>4982</v>
      </c>
      <c r="B4877" s="1">
        <v>45573</v>
      </c>
      <c r="C4877">
        <v>2024</v>
      </c>
      <c r="D4877">
        <v>10</v>
      </c>
      <c r="E4877" t="s">
        <v>47</v>
      </c>
      <c r="F4877" t="s">
        <v>24</v>
      </c>
      <c r="G4877" t="s">
        <v>48</v>
      </c>
      <c r="H4877" t="s">
        <v>111</v>
      </c>
      <c r="I4877">
        <v>14870.59</v>
      </c>
      <c r="J4877">
        <v>12643.65</v>
      </c>
      <c r="K4877" t="s">
        <v>17</v>
      </c>
      <c r="L4877" t="b">
        <v>0</v>
      </c>
      <c r="N4877" s="2" t="b">
        <f t="shared" si="438"/>
        <v>1</v>
      </c>
      <c r="O4877" t="str">
        <f>IF(AND(E4866="HR",K4866="EXPENSE"),I4866&lt;J4866,"")</f>
        <v/>
      </c>
      <c r="Q4877" t="str">
        <f t="shared" si="439"/>
        <v/>
      </c>
    </row>
    <row r="4878" spans="1:17">
      <c r="A4878" t="s">
        <v>4983</v>
      </c>
      <c r="B4878" s="1">
        <v>45573</v>
      </c>
      <c r="C4878">
        <v>2024</v>
      </c>
      <c r="D4878">
        <v>10</v>
      </c>
      <c r="E4878" t="s">
        <v>19</v>
      </c>
      <c r="F4878" t="s">
        <v>14</v>
      </c>
      <c r="G4878" t="s">
        <v>132</v>
      </c>
      <c r="H4878" t="s">
        <v>322</v>
      </c>
      <c r="I4878">
        <v>43356.67</v>
      </c>
      <c r="J4878">
        <v>9474.17</v>
      </c>
      <c r="K4878" t="s">
        <v>17</v>
      </c>
      <c r="L4878" t="b">
        <v>1</v>
      </c>
      <c r="N4878" s="2" t="str">
        <f t="shared" si="438"/>
        <v/>
      </c>
      <c r="Q4878" t="b">
        <f t="shared" si="439"/>
        <v>1</v>
      </c>
    </row>
    <row r="4879" spans="1:17" hidden="1">
      <c r="A4879" t="s">
        <v>4984</v>
      </c>
      <c r="B4879" s="1">
        <v>45573</v>
      </c>
      <c r="C4879">
        <v>2024</v>
      </c>
      <c r="D4879">
        <v>10</v>
      </c>
      <c r="E4879" t="s">
        <v>19</v>
      </c>
      <c r="F4879" t="s">
        <v>24</v>
      </c>
      <c r="G4879" t="s">
        <v>132</v>
      </c>
      <c r="H4879" t="s">
        <v>138</v>
      </c>
      <c r="I4879">
        <v>8948.07</v>
      </c>
      <c r="J4879">
        <v>9051.9599999999991</v>
      </c>
      <c r="K4879" t="s">
        <v>17</v>
      </c>
      <c r="L4879" t="b">
        <v>0</v>
      </c>
      <c r="N4879" s="2" t="str">
        <f t="shared" si="438"/>
        <v/>
      </c>
      <c r="Q4879" t="str">
        <f t="shared" si="439"/>
        <v/>
      </c>
    </row>
    <row r="4880" spans="1:17" hidden="1">
      <c r="A4880" t="s">
        <v>4985</v>
      </c>
      <c r="B4880" s="1">
        <v>45573</v>
      </c>
      <c r="C4880">
        <v>2024</v>
      </c>
      <c r="D4880">
        <v>10</v>
      </c>
      <c r="E4880" t="s">
        <v>37</v>
      </c>
      <c r="F4880" t="s">
        <v>14</v>
      </c>
      <c r="G4880" t="s">
        <v>62</v>
      </c>
      <c r="H4880" t="s">
        <v>121</v>
      </c>
      <c r="I4880">
        <v>6758.5</v>
      </c>
      <c r="J4880">
        <v>7359.83</v>
      </c>
      <c r="K4880" t="s">
        <v>17</v>
      </c>
      <c r="L4880" t="b">
        <v>0</v>
      </c>
      <c r="N4880" s="2" t="str">
        <f t="shared" si="438"/>
        <v/>
      </c>
      <c r="Q4880" t="str">
        <f t="shared" si="439"/>
        <v/>
      </c>
    </row>
    <row r="4881" spans="1:17" hidden="1">
      <c r="A4881" t="s">
        <v>4986</v>
      </c>
      <c r="B4881" s="1">
        <v>45573</v>
      </c>
      <c r="C4881">
        <v>2024</v>
      </c>
      <c r="D4881">
        <v>10</v>
      </c>
      <c r="E4881" t="s">
        <v>37</v>
      </c>
      <c r="F4881" t="s">
        <v>14</v>
      </c>
      <c r="G4881" t="s">
        <v>38</v>
      </c>
      <c r="H4881" t="s">
        <v>39</v>
      </c>
      <c r="I4881">
        <v>5391.01</v>
      </c>
      <c r="J4881">
        <v>4858.5200000000004</v>
      </c>
      <c r="K4881" t="s">
        <v>17</v>
      </c>
      <c r="L4881" t="b">
        <v>0</v>
      </c>
      <c r="N4881" s="2" t="str">
        <f t="shared" si="438"/>
        <v/>
      </c>
      <c r="Q4881" t="str">
        <f t="shared" si="439"/>
        <v/>
      </c>
    </row>
    <row r="4882" spans="1:17" hidden="1">
      <c r="A4882" t="s">
        <v>4987</v>
      </c>
      <c r="B4882" s="1">
        <v>45573</v>
      </c>
      <c r="C4882">
        <v>2024</v>
      </c>
      <c r="D4882">
        <v>10</v>
      </c>
      <c r="E4882" t="s">
        <v>37</v>
      </c>
      <c r="F4882" t="s">
        <v>28</v>
      </c>
      <c r="G4882" t="s">
        <v>98</v>
      </c>
      <c r="H4882" t="s">
        <v>185</v>
      </c>
      <c r="I4882">
        <v>5061.5600000000004</v>
      </c>
      <c r="J4882">
        <v>5526.22</v>
      </c>
      <c r="K4882" t="s">
        <v>17</v>
      </c>
      <c r="L4882" t="b">
        <v>0</v>
      </c>
      <c r="N4882" s="2" t="str">
        <f t="shared" si="438"/>
        <v/>
      </c>
      <c r="Q4882" t="str">
        <f t="shared" si="439"/>
        <v/>
      </c>
    </row>
    <row r="4883" spans="1:17" hidden="1">
      <c r="A4883" t="s">
        <v>4988</v>
      </c>
      <c r="B4883" s="1">
        <v>45574</v>
      </c>
      <c r="C4883">
        <v>2024</v>
      </c>
      <c r="D4883">
        <v>10</v>
      </c>
      <c r="E4883" t="s">
        <v>13</v>
      </c>
      <c r="F4883" t="s">
        <v>28</v>
      </c>
      <c r="G4883" t="s">
        <v>102</v>
      </c>
      <c r="H4883" t="s">
        <v>278</v>
      </c>
      <c r="I4883">
        <v>4768.18</v>
      </c>
      <c r="J4883">
        <v>4487.83</v>
      </c>
      <c r="K4883" t="s">
        <v>17</v>
      </c>
      <c r="L4883" t="b">
        <v>0</v>
      </c>
      <c r="N4883" s="2" t="str">
        <f t="shared" si="438"/>
        <v/>
      </c>
      <c r="Q4883" t="str">
        <f t="shared" si="439"/>
        <v/>
      </c>
    </row>
    <row r="4884" spans="1:17" hidden="1">
      <c r="A4884" t="s">
        <v>4989</v>
      </c>
      <c r="B4884" s="1">
        <v>45574</v>
      </c>
      <c r="C4884">
        <v>2024</v>
      </c>
      <c r="D4884">
        <v>10</v>
      </c>
      <c r="E4884" t="s">
        <v>13</v>
      </c>
      <c r="F4884" t="s">
        <v>24</v>
      </c>
      <c r="G4884" t="s">
        <v>102</v>
      </c>
      <c r="H4884" t="s">
        <v>103</v>
      </c>
      <c r="I4884">
        <v>3793.66</v>
      </c>
      <c r="J4884">
        <v>4059.2</v>
      </c>
      <c r="K4884" t="s">
        <v>17</v>
      </c>
      <c r="L4884" t="b">
        <v>0</v>
      </c>
      <c r="N4884" s="2" t="str">
        <f t="shared" si="438"/>
        <v/>
      </c>
      <c r="Q4884" t="str">
        <f t="shared" si="439"/>
        <v/>
      </c>
    </row>
    <row r="4885" spans="1:17" hidden="1">
      <c r="A4885" t="s">
        <v>4990</v>
      </c>
      <c r="B4885" s="1">
        <v>45574</v>
      </c>
      <c r="C4885">
        <v>2024</v>
      </c>
      <c r="D4885">
        <v>10</v>
      </c>
      <c r="E4885" t="s">
        <v>47</v>
      </c>
      <c r="F4885" t="s">
        <v>28</v>
      </c>
      <c r="G4885" t="s">
        <v>77</v>
      </c>
      <c r="H4885" t="s">
        <v>78</v>
      </c>
      <c r="I4885">
        <v>10016.85</v>
      </c>
      <c r="J4885">
        <v>8475.61</v>
      </c>
      <c r="K4885" t="s">
        <v>17</v>
      </c>
      <c r="L4885" t="b">
        <v>0</v>
      </c>
      <c r="N4885" s="2" t="b">
        <f t="shared" si="438"/>
        <v>1</v>
      </c>
      <c r="O4885" t="str">
        <f>IF(AND(E4874="HR",K4874="EXPENSE"),I4874&lt;J4874,"")</f>
        <v/>
      </c>
      <c r="Q4885" t="str">
        <f t="shared" si="439"/>
        <v/>
      </c>
    </row>
    <row r="4886" spans="1:17" hidden="1">
      <c r="A4886" t="s">
        <v>4991</v>
      </c>
      <c r="B4886" s="1">
        <v>45574</v>
      </c>
      <c r="C4886">
        <v>2024</v>
      </c>
      <c r="D4886">
        <v>10</v>
      </c>
      <c r="E4886" t="s">
        <v>19</v>
      </c>
      <c r="F4886" t="s">
        <v>24</v>
      </c>
      <c r="G4886" t="s">
        <v>132</v>
      </c>
      <c r="H4886" t="s">
        <v>133</v>
      </c>
      <c r="I4886">
        <v>6472.08</v>
      </c>
      <c r="J4886">
        <v>6203.27</v>
      </c>
      <c r="K4886" t="s">
        <v>17</v>
      </c>
      <c r="L4886" t="b">
        <v>0</v>
      </c>
      <c r="N4886" s="2" t="str">
        <f t="shared" si="438"/>
        <v/>
      </c>
      <c r="Q4886" t="str">
        <f t="shared" si="439"/>
        <v/>
      </c>
    </row>
    <row r="4887" spans="1:17" hidden="1">
      <c r="A4887" t="s">
        <v>4992</v>
      </c>
      <c r="B4887" s="1">
        <v>45574</v>
      </c>
      <c r="C4887">
        <v>2024</v>
      </c>
      <c r="D4887">
        <v>10</v>
      </c>
      <c r="E4887" t="s">
        <v>23</v>
      </c>
      <c r="F4887" t="s">
        <v>24</v>
      </c>
      <c r="G4887" t="s">
        <v>141</v>
      </c>
      <c r="H4887" t="s">
        <v>142</v>
      </c>
      <c r="I4887">
        <v>4659.8599999999997</v>
      </c>
      <c r="J4887">
        <v>4829.05</v>
      </c>
      <c r="K4887" t="s">
        <v>17</v>
      </c>
      <c r="L4887" t="b">
        <v>0</v>
      </c>
      <c r="N4887" s="2" t="str">
        <f t="shared" si="438"/>
        <v/>
      </c>
      <c r="Q4887" t="str">
        <f t="shared" si="439"/>
        <v/>
      </c>
    </row>
    <row r="4888" spans="1:17" hidden="1">
      <c r="A4888" t="s">
        <v>4993</v>
      </c>
      <c r="B4888" s="1">
        <v>45574</v>
      </c>
      <c r="C4888">
        <v>2024</v>
      </c>
      <c r="D4888">
        <v>10</v>
      </c>
      <c r="E4888" t="s">
        <v>37</v>
      </c>
      <c r="F4888" t="s">
        <v>28</v>
      </c>
      <c r="G4888" t="s">
        <v>98</v>
      </c>
      <c r="H4888" t="s">
        <v>185</v>
      </c>
      <c r="I4888">
        <v>5639.99</v>
      </c>
      <c r="J4888">
        <v>5794.87</v>
      </c>
      <c r="K4888" t="s">
        <v>17</v>
      </c>
      <c r="L4888" t="b">
        <v>0</v>
      </c>
      <c r="N4888" s="2" t="str">
        <f t="shared" si="438"/>
        <v/>
      </c>
      <c r="Q4888" t="str">
        <f t="shared" si="439"/>
        <v/>
      </c>
    </row>
    <row r="4889" spans="1:17" hidden="1">
      <c r="A4889" t="s">
        <v>4994</v>
      </c>
      <c r="B4889" s="1">
        <v>45574</v>
      </c>
      <c r="C4889">
        <v>2024</v>
      </c>
      <c r="D4889">
        <v>10</v>
      </c>
      <c r="E4889" t="s">
        <v>37</v>
      </c>
      <c r="F4889" t="s">
        <v>28</v>
      </c>
      <c r="G4889" t="s">
        <v>38</v>
      </c>
      <c r="H4889" t="s">
        <v>227</v>
      </c>
      <c r="I4889">
        <v>6464.6</v>
      </c>
      <c r="J4889">
        <v>6353.76</v>
      </c>
      <c r="K4889" t="s">
        <v>17</v>
      </c>
      <c r="L4889" t="b">
        <v>0</v>
      </c>
      <c r="N4889" s="2" t="str">
        <f t="shared" si="438"/>
        <v/>
      </c>
      <c r="Q4889" t="str">
        <f t="shared" si="439"/>
        <v/>
      </c>
    </row>
    <row r="4890" spans="1:17" hidden="1">
      <c r="A4890" t="s">
        <v>4995</v>
      </c>
      <c r="B4890" s="1">
        <v>45574</v>
      </c>
      <c r="C4890">
        <v>2024</v>
      </c>
      <c r="D4890">
        <v>10</v>
      </c>
      <c r="E4890" t="s">
        <v>37</v>
      </c>
      <c r="F4890" t="s">
        <v>24</v>
      </c>
      <c r="G4890" t="s">
        <v>98</v>
      </c>
      <c r="H4890" t="s">
        <v>99</v>
      </c>
      <c r="I4890">
        <v>4075.3</v>
      </c>
      <c r="J4890">
        <v>3694.24</v>
      </c>
      <c r="K4890" t="s">
        <v>17</v>
      </c>
      <c r="L4890" t="b">
        <v>0</v>
      </c>
      <c r="N4890" s="2" t="str">
        <f t="shared" si="438"/>
        <v/>
      </c>
      <c r="Q4890" t="str">
        <f t="shared" si="439"/>
        <v/>
      </c>
    </row>
    <row r="4891" spans="1:17" hidden="1">
      <c r="A4891" t="s">
        <v>4996</v>
      </c>
      <c r="B4891" s="1">
        <v>45575</v>
      </c>
      <c r="C4891">
        <v>2024</v>
      </c>
      <c r="D4891">
        <v>10</v>
      </c>
      <c r="E4891" t="s">
        <v>13</v>
      </c>
      <c r="F4891" t="s">
        <v>14</v>
      </c>
      <c r="G4891" t="s">
        <v>68</v>
      </c>
      <c r="H4891" t="s">
        <v>87</v>
      </c>
      <c r="I4891">
        <v>4300.6499999999996</v>
      </c>
      <c r="J4891">
        <v>4703.93</v>
      </c>
      <c r="K4891" t="s">
        <v>17</v>
      </c>
      <c r="L4891" t="b">
        <v>0</v>
      </c>
      <c r="N4891" s="2" t="str">
        <f t="shared" si="438"/>
        <v/>
      </c>
      <c r="Q4891" t="str">
        <f t="shared" si="439"/>
        <v/>
      </c>
    </row>
    <row r="4892" spans="1:17" hidden="1">
      <c r="A4892" t="s">
        <v>4997</v>
      </c>
      <c r="B4892" s="1">
        <v>45575</v>
      </c>
      <c r="C4892">
        <v>2024</v>
      </c>
      <c r="D4892">
        <v>10</v>
      </c>
      <c r="E4892" t="s">
        <v>13</v>
      </c>
      <c r="F4892" t="s">
        <v>14</v>
      </c>
      <c r="G4892" t="s">
        <v>108</v>
      </c>
      <c r="H4892" t="s">
        <v>109</v>
      </c>
      <c r="I4892">
        <v>6233.64</v>
      </c>
      <c r="J4892">
        <v>5742.81</v>
      </c>
      <c r="K4892" t="s">
        <v>17</v>
      </c>
      <c r="L4892" t="b">
        <v>0</v>
      </c>
      <c r="N4892" s="2" t="str">
        <f t="shared" si="438"/>
        <v/>
      </c>
      <c r="Q4892" t="str">
        <f t="shared" si="439"/>
        <v/>
      </c>
    </row>
    <row r="4893" spans="1:17" hidden="1">
      <c r="A4893" t="s">
        <v>4998</v>
      </c>
      <c r="B4893" s="1">
        <v>45575</v>
      </c>
      <c r="C4893">
        <v>2024</v>
      </c>
      <c r="D4893">
        <v>10</v>
      </c>
      <c r="E4893" t="s">
        <v>47</v>
      </c>
      <c r="F4893" t="s">
        <v>14</v>
      </c>
      <c r="G4893" t="s">
        <v>91</v>
      </c>
      <c r="H4893" t="s">
        <v>92</v>
      </c>
      <c r="I4893">
        <v>10986.6</v>
      </c>
      <c r="J4893">
        <v>9452.5300000000007</v>
      </c>
      <c r="K4893" t="s">
        <v>17</v>
      </c>
      <c r="L4893" t="b">
        <v>0</v>
      </c>
      <c r="N4893" s="2" t="b">
        <f t="shared" si="438"/>
        <v>1</v>
      </c>
      <c r="O4893" t="str">
        <f t="shared" ref="O4893:O4894" si="440">IF(AND(E4882="HR",K4882="EXPENSE"),I4882&lt;J4882,"")</f>
        <v/>
      </c>
      <c r="Q4893" t="str">
        <f t="shared" si="439"/>
        <v/>
      </c>
    </row>
    <row r="4894" spans="1:17" hidden="1">
      <c r="A4894" t="s">
        <v>4999</v>
      </c>
      <c r="B4894" s="1">
        <v>45575</v>
      </c>
      <c r="C4894">
        <v>2024</v>
      </c>
      <c r="D4894">
        <v>10</v>
      </c>
      <c r="E4894" t="s">
        <v>47</v>
      </c>
      <c r="F4894" t="s">
        <v>28</v>
      </c>
      <c r="G4894" t="s">
        <v>51</v>
      </c>
      <c r="H4894" t="s">
        <v>52</v>
      </c>
      <c r="I4894">
        <v>9437.42</v>
      </c>
      <c r="J4894">
        <v>8205.19</v>
      </c>
      <c r="K4894" t="s">
        <v>17</v>
      </c>
      <c r="L4894" t="b">
        <v>0</v>
      </c>
      <c r="N4894" s="2" t="b">
        <f t="shared" si="438"/>
        <v>1</v>
      </c>
      <c r="O4894" t="b">
        <f t="shared" si="440"/>
        <v>0</v>
      </c>
      <c r="Q4894" t="str">
        <f t="shared" si="439"/>
        <v/>
      </c>
    </row>
    <row r="4895" spans="1:17" hidden="1">
      <c r="A4895" t="s">
        <v>5000</v>
      </c>
      <c r="B4895" s="1">
        <v>45575</v>
      </c>
      <c r="C4895">
        <v>2024</v>
      </c>
      <c r="D4895">
        <v>10</v>
      </c>
      <c r="E4895" t="s">
        <v>19</v>
      </c>
      <c r="F4895" t="s">
        <v>28</v>
      </c>
      <c r="G4895" t="s">
        <v>132</v>
      </c>
      <c r="H4895" t="s">
        <v>133</v>
      </c>
      <c r="I4895">
        <v>7268.24</v>
      </c>
      <c r="J4895">
        <v>7460.11</v>
      </c>
      <c r="K4895" t="s">
        <v>17</v>
      </c>
      <c r="L4895" t="b">
        <v>0</v>
      </c>
      <c r="N4895" s="2" t="str">
        <f t="shared" si="438"/>
        <v/>
      </c>
      <c r="Q4895" t="str">
        <f t="shared" si="439"/>
        <v/>
      </c>
    </row>
    <row r="4896" spans="1:17" hidden="1">
      <c r="A4896" t="s">
        <v>5001</v>
      </c>
      <c r="B4896" s="1">
        <v>45575</v>
      </c>
      <c r="C4896">
        <v>2024</v>
      </c>
      <c r="D4896">
        <v>10</v>
      </c>
      <c r="E4896" t="s">
        <v>19</v>
      </c>
      <c r="F4896" t="s">
        <v>24</v>
      </c>
      <c r="G4896" t="s">
        <v>20</v>
      </c>
      <c r="H4896" t="s">
        <v>136</v>
      </c>
      <c r="I4896">
        <v>5689.41</v>
      </c>
      <c r="J4896">
        <v>6136.76</v>
      </c>
      <c r="K4896" t="s">
        <v>17</v>
      </c>
      <c r="L4896" t="b">
        <v>0</v>
      </c>
      <c r="N4896" s="2" t="str">
        <f t="shared" si="438"/>
        <v/>
      </c>
      <c r="Q4896" t="str">
        <f t="shared" si="439"/>
        <v/>
      </c>
    </row>
    <row r="4897" spans="1:17" hidden="1">
      <c r="A4897" t="s">
        <v>5002</v>
      </c>
      <c r="B4897" s="1">
        <v>45575</v>
      </c>
      <c r="C4897">
        <v>2024</v>
      </c>
      <c r="D4897">
        <v>10</v>
      </c>
      <c r="E4897" t="s">
        <v>23</v>
      </c>
      <c r="F4897" t="s">
        <v>14</v>
      </c>
      <c r="G4897" t="s">
        <v>141</v>
      </c>
      <c r="H4897" t="s">
        <v>153</v>
      </c>
      <c r="I4897">
        <v>4516.0600000000004</v>
      </c>
      <c r="J4897">
        <v>4822.82</v>
      </c>
      <c r="K4897" t="s">
        <v>17</v>
      </c>
      <c r="L4897" t="b">
        <v>0</v>
      </c>
      <c r="N4897" s="2" t="str">
        <f t="shared" si="438"/>
        <v/>
      </c>
      <c r="Q4897" t="str">
        <f t="shared" si="439"/>
        <v/>
      </c>
    </row>
    <row r="4898" spans="1:17" hidden="1">
      <c r="A4898" t="s">
        <v>5003</v>
      </c>
      <c r="B4898" s="1">
        <v>45575</v>
      </c>
      <c r="C4898">
        <v>2024</v>
      </c>
      <c r="D4898">
        <v>10</v>
      </c>
      <c r="E4898" t="s">
        <v>23</v>
      </c>
      <c r="F4898" t="s">
        <v>28</v>
      </c>
      <c r="G4898" t="s">
        <v>59</v>
      </c>
      <c r="H4898" t="s">
        <v>60</v>
      </c>
      <c r="I4898">
        <v>4321.1400000000003</v>
      </c>
      <c r="J4898">
        <v>4466.53</v>
      </c>
      <c r="K4898" t="s">
        <v>17</v>
      </c>
      <c r="L4898" t="b">
        <v>0</v>
      </c>
      <c r="N4898" s="2" t="str">
        <f t="shared" si="438"/>
        <v/>
      </c>
      <c r="Q4898" t="str">
        <f t="shared" si="439"/>
        <v/>
      </c>
    </row>
    <row r="4899" spans="1:17" hidden="1">
      <c r="A4899" t="s">
        <v>5004</v>
      </c>
      <c r="B4899" s="1">
        <v>45575</v>
      </c>
      <c r="C4899">
        <v>2024</v>
      </c>
      <c r="D4899">
        <v>10</v>
      </c>
      <c r="E4899" t="s">
        <v>23</v>
      </c>
      <c r="F4899" t="s">
        <v>24</v>
      </c>
      <c r="G4899" t="s">
        <v>141</v>
      </c>
      <c r="H4899" t="s">
        <v>209</v>
      </c>
      <c r="I4899">
        <v>7269.52</v>
      </c>
      <c r="J4899">
        <v>7897.47</v>
      </c>
      <c r="K4899" t="s">
        <v>17</v>
      </c>
      <c r="L4899" t="b">
        <v>0</v>
      </c>
      <c r="N4899" s="2" t="str">
        <f t="shared" si="438"/>
        <v/>
      </c>
      <c r="Q4899" t="str">
        <f t="shared" si="439"/>
        <v/>
      </c>
    </row>
    <row r="4900" spans="1:17" hidden="1">
      <c r="A4900" t="s">
        <v>5005</v>
      </c>
      <c r="B4900" s="1">
        <v>45575</v>
      </c>
      <c r="C4900">
        <v>2024</v>
      </c>
      <c r="D4900">
        <v>10</v>
      </c>
      <c r="E4900" t="s">
        <v>23</v>
      </c>
      <c r="F4900" t="s">
        <v>24</v>
      </c>
      <c r="G4900" t="s">
        <v>141</v>
      </c>
      <c r="H4900" t="s">
        <v>209</v>
      </c>
      <c r="I4900">
        <v>5908.87</v>
      </c>
      <c r="J4900">
        <v>5987.33</v>
      </c>
      <c r="K4900" t="s">
        <v>17</v>
      </c>
      <c r="L4900" t="b">
        <v>0</v>
      </c>
      <c r="N4900" s="2" t="str">
        <f t="shared" si="438"/>
        <v/>
      </c>
      <c r="Q4900" t="str">
        <f t="shared" si="439"/>
        <v/>
      </c>
    </row>
    <row r="4901" spans="1:17" hidden="1">
      <c r="A4901" t="s">
        <v>5006</v>
      </c>
      <c r="B4901" s="1">
        <v>45575</v>
      </c>
      <c r="C4901">
        <v>2024</v>
      </c>
      <c r="D4901">
        <v>10</v>
      </c>
      <c r="E4901" t="s">
        <v>37</v>
      </c>
      <c r="F4901" t="s">
        <v>24</v>
      </c>
      <c r="G4901" t="s">
        <v>98</v>
      </c>
      <c r="H4901" t="s">
        <v>99</v>
      </c>
      <c r="I4901">
        <v>1926.91</v>
      </c>
      <c r="J4901">
        <v>1978.72</v>
      </c>
      <c r="K4901" t="s">
        <v>17</v>
      </c>
      <c r="L4901" t="b">
        <v>0</v>
      </c>
      <c r="N4901" s="2" t="str">
        <f t="shared" si="438"/>
        <v/>
      </c>
      <c r="Q4901" t="str">
        <f t="shared" si="439"/>
        <v/>
      </c>
    </row>
    <row r="4902" spans="1:17" hidden="1">
      <c r="A4902" t="s">
        <v>5007</v>
      </c>
      <c r="B4902" s="1">
        <v>45576</v>
      </c>
      <c r="C4902">
        <v>2024</v>
      </c>
      <c r="D4902">
        <v>10</v>
      </c>
      <c r="E4902" t="s">
        <v>13</v>
      </c>
      <c r="F4902" t="s">
        <v>28</v>
      </c>
      <c r="G4902" t="s">
        <v>68</v>
      </c>
      <c r="H4902" t="s">
        <v>87</v>
      </c>
      <c r="I4902">
        <v>3196.32</v>
      </c>
      <c r="J4902">
        <v>2993.34</v>
      </c>
      <c r="K4902" t="s">
        <v>17</v>
      </c>
      <c r="L4902" t="b">
        <v>0</v>
      </c>
      <c r="N4902" s="2" t="str">
        <f t="shared" si="438"/>
        <v/>
      </c>
      <c r="Q4902" t="str">
        <f t="shared" si="439"/>
        <v/>
      </c>
    </row>
    <row r="4903" spans="1:17" hidden="1">
      <c r="A4903" t="s">
        <v>5008</v>
      </c>
      <c r="B4903" s="1">
        <v>45576</v>
      </c>
      <c r="C4903">
        <v>2024</v>
      </c>
      <c r="D4903">
        <v>10</v>
      </c>
      <c r="E4903" t="s">
        <v>13</v>
      </c>
      <c r="F4903" t="s">
        <v>24</v>
      </c>
      <c r="G4903" t="s">
        <v>68</v>
      </c>
      <c r="H4903" t="s">
        <v>69</v>
      </c>
      <c r="I4903">
        <v>3060.73</v>
      </c>
      <c r="J4903">
        <v>2870.11</v>
      </c>
      <c r="K4903" t="s">
        <v>17</v>
      </c>
      <c r="L4903" t="b">
        <v>0</v>
      </c>
      <c r="N4903" s="2" t="str">
        <f t="shared" si="438"/>
        <v/>
      </c>
      <c r="Q4903" t="str">
        <f t="shared" si="439"/>
        <v/>
      </c>
    </row>
    <row r="4904" spans="1:17" hidden="1">
      <c r="A4904" t="s">
        <v>5009</v>
      </c>
      <c r="B4904" s="1">
        <v>45576</v>
      </c>
      <c r="C4904">
        <v>2024</v>
      </c>
      <c r="D4904">
        <v>10</v>
      </c>
      <c r="E4904" t="s">
        <v>13</v>
      </c>
      <c r="F4904" t="s">
        <v>24</v>
      </c>
      <c r="G4904" t="s">
        <v>102</v>
      </c>
      <c r="H4904" t="s">
        <v>145</v>
      </c>
      <c r="I4904">
        <v>4364.8900000000003</v>
      </c>
      <c r="J4904">
        <v>4307.4799999999996</v>
      </c>
      <c r="K4904" t="s">
        <v>17</v>
      </c>
      <c r="L4904" t="b">
        <v>0</v>
      </c>
      <c r="N4904" s="2" t="str">
        <f t="shared" si="438"/>
        <v/>
      </c>
      <c r="Q4904" t="str">
        <f t="shared" si="439"/>
        <v/>
      </c>
    </row>
    <row r="4905" spans="1:17" hidden="1">
      <c r="A4905" t="s">
        <v>5010</v>
      </c>
      <c r="B4905" s="1">
        <v>45576</v>
      </c>
      <c r="C4905">
        <v>2024</v>
      </c>
      <c r="D4905">
        <v>10</v>
      </c>
      <c r="E4905" t="s">
        <v>13</v>
      </c>
      <c r="F4905" t="s">
        <v>24</v>
      </c>
      <c r="G4905" t="s">
        <v>108</v>
      </c>
      <c r="H4905" t="s">
        <v>109</v>
      </c>
      <c r="I4905">
        <v>3064.47</v>
      </c>
      <c r="J4905">
        <v>3070.05</v>
      </c>
      <c r="K4905" t="s">
        <v>17</v>
      </c>
      <c r="L4905" t="b">
        <v>0</v>
      </c>
      <c r="N4905" s="2" t="str">
        <f t="shared" si="438"/>
        <v/>
      </c>
      <c r="Q4905" t="str">
        <f t="shared" si="439"/>
        <v/>
      </c>
    </row>
    <row r="4906" spans="1:17" hidden="1">
      <c r="A4906" t="s">
        <v>5011</v>
      </c>
      <c r="B4906" s="1">
        <v>45576</v>
      </c>
      <c r="C4906">
        <v>2024</v>
      </c>
      <c r="D4906">
        <v>10</v>
      </c>
      <c r="E4906" t="s">
        <v>47</v>
      </c>
      <c r="F4906" t="s">
        <v>24</v>
      </c>
      <c r="G4906" t="s">
        <v>77</v>
      </c>
      <c r="H4906" t="s">
        <v>147</v>
      </c>
      <c r="I4906">
        <v>17132.59</v>
      </c>
      <c r="J4906">
        <v>14161.74</v>
      </c>
      <c r="K4906" t="s">
        <v>17</v>
      </c>
      <c r="L4906" t="b">
        <v>0</v>
      </c>
      <c r="N4906" s="2" t="b">
        <f t="shared" si="438"/>
        <v>1</v>
      </c>
      <c r="O4906" t="str">
        <f>IF(AND(E4895="HR",K4895="EXPENSE"),I4895&lt;J4895,"")</f>
        <v/>
      </c>
      <c r="Q4906" t="str">
        <f t="shared" si="439"/>
        <v/>
      </c>
    </row>
    <row r="4907" spans="1:17" hidden="1">
      <c r="A4907" t="s">
        <v>5012</v>
      </c>
      <c r="B4907" s="1">
        <v>45576</v>
      </c>
      <c r="C4907">
        <v>2024</v>
      </c>
      <c r="D4907">
        <v>10</v>
      </c>
      <c r="E4907" t="s">
        <v>19</v>
      </c>
      <c r="F4907" t="s">
        <v>28</v>
      </c>
      <c r="G4907" t="s">
        <v>132</v>
      </c>
      <c r="H4907" t="s">
        <v>138</v>
      </c>
      <c r="I4907">
        <v>4915.22</v>
      </c>
      <c r="J4907">
        <v>4633.54</v>
      </c>
      <c r="K4907" t="s">
        <v>17</v>
      </c>
      <c r="L4907" t="b">
        <v>0</v>
      </c>
      <c r="N4907" s="2" t="str">
        <f t="shared" si="438"/>
        <v/>
      </c>
      <c r="Q4907" t="str">
        <f t="shared" si="439"/>
        <v/>
      </c>
    </row>
    <row r="4908" spans="1:17" hidden="1">
      <c r="A4908" t="s">
        <v>5013</v>
      </c>
      <c r="B4908" s="1">
        <v>45576</v>
      </c>
      <c r="C4908">
        <v>2024</v>
      </c>
      <c r="D4908">
        <v>10</v>
      </c>
      <c r="E4908" t="s">
        <v>23</v>
      </c>
      <c r="F4908" t="s">
        <v>14</v>
      </c>
      <c r="G4908" t="s">
        <v>30</v>
      </c>
      <c r="H4908" t="s">
        <v>33</v>
      </c>
      <c r="I4908">
        <v>2620.17</v>
      </c>
      <c r="J4908">
        <v>2768.95</v>
      </c>
      <c r="K4908" t="s">
        <v>17</v>
      </c>
      <c r="L4908" t="b">
        <v>0</v>
      </c>
      <c r="N4908" s="2" t="str">
        <f t="shared" si="438"/>
        <v/>
      </c>
      <c r="Q4908" t="str">
        <f t="shared" si="439"/>
        <v/>
      </c>
    </row>
    <row r="4909" spans="1:17" hidden="1">
      <c r="A4909" t="s">
        <v>5014</v>
      </c>
      <c r="B4909" s="1">
        <v>45576</v>
      </c>
      <c r="C4909">
        <v>2024</v>
      </c>
      <c r="D4909">
        <v>10</v>
      </c>
      <c r="E4909" t="s">
        <v>23</v>
      </c>
      <c r="F4909" t="s">
        <v>14</v>
      </c>
      <c r="G4909" t="s">
        <v>141</v>
      </c>
      <c r="H4909" t="s">
        <v>209</v>
      </c>
      <c r="I4909">
        <v>4679.13</v>
      </c>
      <c r="J4909">
        <v>4843.2</v>
      </c>
      <c r="K4909" t="s">
        <v>17</v>
      </c>
      <c r="L4909" t="b">
        <v>0</v>
      </c>
      <c r="N4909" s="2" t="str">
        <f t="shared" si="438"/>
        <v/>
      </c>
      <c r="Q4909" t="str">
        <f t="shared" si="439"/>
        <v/>
      </c>
    </row>
    <row r="4910" spans="1:17" hidden="1">
      <c r="A4910" t="s">
        <v>5015</v>
      </c>
      <c r="B4910" s="1">
        <v>45576</v>
      </c>
      <c r="C4910">
        <v>2024</v>
      </c>
      <c r="D4910">
        <v>10</v>
      </c>
      <c r="E4910" t="s">
        <v>23</v>
      </c>
      <c r="F4910" t="s">
        <v>24</v>
      </c>
      <c r="G4910" t="s">
        <v>59</v>
      </c>
      <c r="H4910" t="s">
        <v>155</v>
      </c>
      <c r="I4910">
        <v>4724.04</v>
      </c>
      <c r="J4910">
        <v>4349.24</v>
      </c>
      <c r="K4910" t="s">
        <v>17</v>
      </c>
      <c r="L4910" t="b">
        <v>0</v>
      </c>
      <c r="N4910" s="2" t="str">
        <f t="shared" si="438"/>
        <v/>
      </c>
      <c r="Q4910" t="str">
        <f t="shared" si="439"/>
        <v/>
      </c>
    </row>
    <row r="4911" spans="1:17" hidden="1">
      <c r="A4911" t="s">
        <v>5016</v>
      </c>
      <c r="B4911" s="1">
        <v>45577</v>
      </c>
      <c r="C4911">
        <v>2024</v>
      </c>
      <c r="D4911">
        <v>10</v>
      </c>
      <c r="E4911" t="s">
        <v>13</v>
      </c>
      <c r="F4911" t="s">
        <v>24</v>
      </c>
      <c r="G4911" t="s">
        <v>68</v>
      </c>
      <c r="H4911" t="s">
        <v>87</v>
      </c>
      <c r="I4911">
        <v>3955.13</v>
      </c>
      <c r="J4911">
        <v>4284.5600000000004</v>
      </c>
      <c r="K4911" t="s">
        <v>17</v>
      </c>
      <c r="L4911" t="b">
        <v>0</v>
      </c>
      <c r="N4911" s="2" t="str">
        <f t="shared" si="438"/>
        <v/>
      </c>
      <c r="Q4911" t="str">
        <f t="shared" si="439"/>
        <v/>
      </c>
    </row>
    <row r="4912" spans="1:17" hidden="1">
      <c r="A4912" t="s">
        <v>5017</v>
      </c>
      <c r="B4912" s="1">
        <v>45577</v>
      </c>
      <c r="C4912">
        <v>2024</v>
      </c>
      <c r="D4912">
        <v>10</v>
      </c>
      <c r="E4912" t="s">
        <v>47</v>
      </c>
      <c r="F4912" t="s">
        <v>14</v>
      </c>
      <c r="G4912" t="s">
        <v>51</v>
      </c>
      <c r="H4912" t="s">
        <v>72</v>
      </c>
      <c r="I4912">
        <v>11397.3</v>
      </c>
      <c r="J4912">
        <v>9690.49</v>
      </c>
      <c r="K4912" t="s">
        <v>17</v>
      </c>
      <c r="L4912" t="b">
        <v>0</v>
      </c>
      <c r="N4912" s="2" t="b">
        <f t="shared" si="438"/>
        <v>1</v>
      </c>
      <c r="O4912" t="str">
        <f>IF(AND(E4901="HR",K4901="EXPENSE"),I4901&lt;J4901,"")</f>
        <v/>
      </c>
      <c r="Q4912" t="str">
        <f t="shared" si="439"/>
        <v/>
      </c>
    </row>
    <row r="4913" spans="1:17" hidden="1">
      <c r="A4913" t="s">
        <v>5018</v>
      </c>
      <c r="B4913" s="1">
        <v>45577</v>
      </c>
      <c r="C4913">
        <v>2024</v>
      </c>
      <c r="D4913">
        <v>10</v>
      </c>
      <c r="E4913" t="s">
        <v>19</v>
      </c>
      <c r="F4913" t="s">
        <v>28</v>
      </c>
      <c r="G4913" t="s">
        <v>80</v>
      </c>
      <c r="H4913" t="s">
        <v>81</v>
      </c>
      <c r="I4913">
        <v>6777.11</v>
      </c>
      <c r="J4913">
        <v>7248.51</v>
      </c>
      <c r="K4913" t="s">
        <v>17</v>
      </c>
      <c r="L4913" t="b">
        <v>0</v>
      </c>
      <c r="N4913" s="2" t="str">
        <f t="shared" si="438"/>
        <v/>
      </c>
      <c r="Q4913" t="str">
        <f t="shared" si="439"/>
        <v/>
      </c>
    </row>
    <row r="4914" spans="1:17" hidden="1">
      <c r="A4914" t="s">
        <v>5019</v>
      </c>
      <c r="B4914" s="1">
        <v>45577</v>
      </c>
      <c r="C4914">
        <v>2024</v>
      </c>
      <c r="D4914">
        <v>10</v>
      </c>
      <c r="E4914" t="s">
        <v>19</v>
      </c>
      <c r="F4914" t="s">
        <v>24</v>
      </c>
      <c r="G4914" t="s">
        <v>132</v>
      </c>
      <c r="H4914" t="s">
        <v>171</v>
      </c>
      <c r="I4914">
        <v>8354.44</v>
      </c>
      <c r="J4914">
        <v>7613.59</v>
      </c>
      <c r="K4914" t="s">
        <v>17</v>
      </c>
      <c r="L4914" t="b">
        <v>0</v>
      </c>
      <c r="N4914" s="2" t="str">
        <f t="shared" si="438"/>
        <v/>
      </c>
      <c r="Q4914" t="str">
        <f t="shared" si="439"/>
        <v/>
      </c>
    </row>
    <row r="4915" spans="1:17" hidden="1">
      <c r="A4915" t="s">
        <v>5020</v>
      </c>
      <c r="B4915" s="1">
        <v>45577</v>
      </c>
      <c r="C4915">
        <v>2024</v>
      </c>
      <c r="D4915">
        <v>10</v>
      </c>
      <c r="E4915" t="s">
        <v>23</v>
      </c>
      <c r="F4915" t="s">
        <v>28</v>
      </c>
      <c r="G4915" t="s">
        <v>25</v>
      </c>
      <c r="H4915" t="s">
        <v>35</v>
      </c>
      <c r="I4915">
        <v>4721.24</v>
      </c>
      <c r="J4915">
        <v>4576.63</v>
      </c>
      <c r="K4915" t="s">
        <v>17</v>
      </c>
      <c r="L4915" t="b">
        <v>0</v>
      </c>
      <c r="N4915" s="2" t="str">
        <f t="shared" si="438"/>
        <v/>
      </c>
      <c r="Q4915" t="str">
        <f t="shared" si="439"/>
        <v/>
      </c>
    </row>
    <row r="4916" spans="1:17" hidden="1">
      <c r="A4916" t="s">
        <v>5021</v>
      </c>
      <c r="B4916" s="1">
        <v>45577</v>
      </c>
      <c r="C4916">
        <v>2024</v>
      </c>
      <c r="D4916">
        <v>10</v>
      </c>
      <c r="E4916" t="s">
        <v>37</v>
      </c>
      <c r="F4916" t="s">
        <v>14</v>
      </c>
      <c r="G4916" t="s">
        <v>38</v>
      </c>
      <c r="H4916" t="s">
        <v>227</v>
      </c>
      <c r="I4916">
        <v>6921.73</v>
      </c>
      <c r="J4916">
        <v>7357.81</v>
      </c>
      <c r="K4916" t="s">
        <v>17</v>
      </c>
      <c r="L4916" t="b">
        <v>0</v>
      </c>
      <c r="N4916" s="2" t="str">
        <f t="shared" si="438"/>
        <v/>
      </c>
      <c r="Q4916" t="str">
        <f t="shared" si="439"/>
        <v/>
      </c>
    </row>
    <row r="4917" spans="1:17" hidden="1">
      <c r="A4917" t="s">
        <v>5022</v>
      </c>
      <c r="B4917" s="1">
        <v>45577</v>
      </c>
      <c r="C4917">
        <v>2024</v>
      </c>
      <c r="D4917">
        <v>10</v>
      </c>
      <c r="E4917" t="s">
        <v>37</v>
      </c>
      <c r="F4917" t="s">
        <v>14</v>
      </c>
      <c r="G4917" t="s">
        <v>62</v>
      </c>
      <c r="H4917" t="s">
        <v>63</v>
      </c>
      <c r="I4917">
        <v>5721.82</v>
      </c>
      <c r="J4917">
        <v>5742.88</v>
      </c>
      <c r="K4917" t="s">
        <v>17</v>
      </c>
      <c r="L4917" t="b">
        <v>0</v>
      </c>
      <c r="N4917" s="2" t="str">
        <f t="shared" si="438"/>
        <v/>
      </c>
      <c r="Q4917" t="str">
        <f t="shared" si="439"/>
        <v/>
      </c>
    </row>
    <row r="4918" spans="1:17" hidden="1">
      <c r="A4918" t="s">
        <v>5023</v>
      </c>
      <c r="B4918" s="1">
        <v>45578</v>
      </c>
      <c r="C4918">
        <v>2024</v>
      </c>
      <c r="D4918">
        <v>10</v>
      </c>
      <c r="E4918" t="s">
        <v>47</v>
      </c>
      <c r="F4918" t="s">
        <v>14</v>
      </c>
      <c r="G4918" t="s">
        <v>51</v>
      </c>
      <c r="H4918" t="s">
        <v>72</v>
      </c>
      <c r="I4918">
        <v>10232.73</v>
      </c>
      <c r="J4918">
        <v>8773.56</v>
      </c>
      <c r="K4918" t="s">
        <v>17</v>
      </c>
      <c r="L4918" t="b">
        <v>0</v>
      </c>
      <c r="N4918" s="2" t="b">
        <f t="shared" si="438"/>
        <v>1</v>
      </c>
      <c r="O4918" t="str">
        <f t="shared" ref="O4918:O4921" si="441">IF(AND(E4907="HR",K4907="EXPENSE"),I4907&lt;J4907,"")</f>
        <v/>
      </c>
      <c r="Q4918" t="str">
        <f t="shared" si="439"/>
        <v/>
      </c>
    </row>
    <row r="4919" spans="1:17" hidden="1">
      <c r="A4919" t="s">
        <v>5024</v>
      </c>
      <c r="B4919" s="1">
        <v>45578</v>
      </c>
      <c r="C4919">
        <v>2024</v>
      </c>
      <c r="D4919">
        <v>10</v>
      </c>
      <c r="E4919" t="s">
        <v>47</v>
      </c>
      <c r="F4919" t="s">
        <v>14</v>
      </c>
      <c r="G4919" t="s">
        <v>77</v>
      </c>
      <c r="H4919" t="s">
        <v>147</v>
      </c>
      <c r="I4919">
        <v>15967.79</v>
      </c>
      <c r="J4919">
        <v>13374.1</v>
      </c>
      <c r="K4919" t="s">
        <v>17</v>
      </c>
      <c r="L4919" t="b">
        <v>0</v>
      </c>
      <c r="N4919" s="2" t="b">
        <f t="shared" si="438"/>
        <v>1</v>
      </c>
      <c r="O4919" t="str">
        <f t="shared" si="441"/>
        <v/>
      </c>
      <c r="Q4919" t="str">
        <f t="shared" si="439"/>
        <v/>
      </c>
    </row>
    <row r="4920" spans="1:17" hidden="1">
      <c r="A4920" t="s">
        <v>5025</v>
      </c>
      <c r="B4920" s="1">
        <v>45578</v>
      </c>
      <c r="C4920">
        <v>2024</v>
      </c>
      <c r="D4920">
        <v>10</v>
      </c>
      <c r="E4920" t="s">
        <v>47</v>
      </c>
      <c r="F4920" t="s">
        <v>14</v>
      </c>
      <c r="G4920" t="s">
        <v>48</v>
      </c>
      <c r="H4920" t="s">
        <v>49</v>
      </c>
      <c r="I4920">
        <v>15985.75</v>
      </c>
      <c r="J4920">
        <v>13751.21</v>
      </c>
      <c r="K4920" t="s">
        <v>17</v>
      </c>
      <c r="L4920" t="b">
        <v>0</v>
      </c>
      <c r="N4920" s="2" t="b">
        <f t="shared" si="438"/>
        <v>1</v>
      </c>
      <c r="O4920" t="str">
        <f t="shared" si="441"/>
        <v/>
      </c>
      <c r="Q4920" t="str">
        <f t="shared" si="439"/>
        <v/>
      </c>
    </row>
    <row r="4921" spans="1:17" hidden="1">
      <c r="A4921" t="s">
        <v>5026</v>
      </c>
      <c r="B4921" s="1">
        <v>45578</v>
      </c>
      <c r="C4921">
        <v>2024</v>
      </c>
      <c r="D4921">
        <v>10</v>
      </c>
      <c r="E4921" t="s">
        <v>47</v>
      </c>
      <c r="F4921" t="s">
        <v>14</v>
      </c>
      <c r="G4921" t="s">
        <v>51</v>
      </c>
      <c r="H4921" t="s">
        <v>72</v>
      </c>
      <c r="I4921">
        <v>10915.37</v>
      </c>
      <c r="J4921">
        <v>9114.34</v>
      </c>
      <c r="K4921" t="s">
        <v>17</v>
      </c>
      <c r="L4921" t="b">
        <v>0</v>
      </c>
      <c r="N4921" s="2" t="b">
        <f t="shared" si="438"/>
        <v>1</v>
      </c>
      <c r="O4921" t="str">
        <f t="shared" si="441"/>
        <v/>
      </c>
      <c r="Q4921" t="str">
        <f t="shared" si="439"/>
        <v/>
      </c>
    </row>
    <row r="4922" spans="1:17" hidden="1">
      <c r="A4922" t="s">
        <v>5027</v>
      </c>
      <c r="B4922" s="1">
        <v>45578</v>
      </c>
      <c r="C4922">
        <v>2024</v>
      </c>
      <c r="D4922">
        <v>10</v>
      </c>
      <c r="E4922" t="s">
        <v>23</v>
      </c>
      <c r="F4922" t="s">
        <v>14</v>
      </c>
      <c r="G4922" t="s">
        <v>30</v>
      </c>
      <c r="H4922" t="s">
        <v>31</v>
      </c>
      <c r="I4922">
        <v>2570.6999999999998</v>
      </c>
      <c r="J4922">
        <v>2464.52</v>
      </c>
      <c r="K4922" t="s">
        <v>17</v>
      </c>
      <c r="L4922" t="b">
        <v>0</v>
      </c>
      <c r="N4922" s="2" t="str">
        <f t="shared" si="438"/>
        <v/>
      </c>
      <c r="Q4922" t="str">
        <f t="shared" si="439"/>
        <v/>
      </c>
    </row>
    <row r="4923" spans="1:17" hidden="1">
      <c r="A4923" t="s">
        <v>5028</v>
      </c>
      <c r="B4923" s="1">
        <v>45578</v>
      </c>
      <c r="C4923">
        <v>2024</v>
      </c>
      <c r="D4923">
        <v>10</v>
      </c>
      <c r="E4923" t="s">
        <v>23</v>
      </c>
      <c r="F4923" t="s">
        <v>28</v>
      </c>
      <c r="G4923" t="s">
        <v>30</v>
      </c>
      <c r="H4923" t="s">
        <v>33</v>
      </c>
      <c r="I4923">
        <v>3180.26</v>
      </c>
      <c r="J4923">
        <v>3011.32</v>
      </c>
      <c r="K4923" t="s">
        <v>17</v>
      </c>
      <c r="L4923" t="b">
        <v>0</v>
      </c>
      <c r="N4923" s="2" t="str">
        <f t="shared" si="438"/>
        <v/>
      </c>
      <c r="Q4923" t="str">
        <f t="shared" si="439"/>
        <v/>
      </c>
    </row>
    <row r="4924" spans="1:17" hidden="1">
      <c r="A4924" t="s">
        <v>5029</v>
      </c>
      <c r="B4924" s="1">
        <v>45579</v>
      </c>
      <c r="C4924">
        <v>2024</v>
      </c>
      <c r="D4924">
        <v>10</v>
      </c>
      <c r="E4924" t="s">
        <v>13</v>
      </c>
      <c r="F4924" t="s">
        <v>28</v>
      </c>
      <c r="G4924" t="s">
        <v>102</v>
      </c>
      <c r="H4924" t="s">
        <v>145</v>
      </c>
      <c r="I4924">
        <v>4848.8100000000004</v>
      </c>
      <c r="J4924">
        <v>4763.43</v>
      </c>
      <c r="K4924" t="s">
        <v>17</v>
      </c>
      <c r="L4924" t="b">
        <v>0</v>
      </c>
      <c r="N4924" s="2" t="str">
        <f t="shared" si="438"/>
        <v/>
      </c>
      <c r="Q4924" t="str">
        <f t="shared" si="439"/>
        <v/>
      </c>
    </row>
    <row r="4925" spans="1:17" hidden="1">
      <c r="A4925" t="s">
        <v>5030</v>
      </c>
      <c r="B4925" s="1">
        <v>45579</v>
      </c>
      <c r="C4925">
        <v>2024</v>
      </c>
      <c r="D4925">
        <v>10</v>
      </c>
      <c r="E4925" t="s">
        <v>47</v>
      </c>
      <c r="F4925" t="s">
        <v>28</v>
      </c>
      <c r="G4925" t="s">
        <v>77</v>
      </c>
      <c r="H4925" t="s">
        <v>130</v>
      </c>
      <c r="I4925">
        <v>16607.39</v>
      </c>
      <c r="J4925">
        <v>14118.51</v>
      </c>
      <c r="K4925" t="s">
        <v>17</v>
      </c>
      <c r="L4925" t="b">
        <v>0</v>
      </c>
      <c r="N4925" s="2" t="b">
        <f t="shared" si="438"/>
        <v>1</v>
      </c>
      <c r="O4925" t="str">
        <f>IF(AND(E4914="HR",K4914="EXPENSE"),I4914&lt;J4914,"")</f>
        <v/>
      </c>
      <c r="Q4925" t="str">
        <f t="shared" si="439"/>
        <v/>
      </c>
    </row>
    <row r="4926" spans="1:17" hidden="1">
      <c r="A4926" t="s">
        <v>5031</v>
      </c>
      <c r="B4926" s="1">
        <v>45579</v>
      </c>
      <c r="C4926">
        <v>2024</v>
      </c>
      <c r="D4926">
        <v>10</v>
      </c>
      <c r="E4926" t="s">
        <v>19</v>
      </c>
      <c r="F4926" t="s">
        <v>28</v>
      </c>
      <c r="G4926" t="s">
        <v>80</v>
      </c>
      <c r="H4926" t="s">
        <v>113</v>
      </c>
      <c r="I4926">
        <v>6342.02</v>
      </c>
      <c r="J4926">
        <v>6436.43</v>
      </c>
      <c r="K4926" t="s">
        <v>17</v>
      </c>
      <c r="L4926" t="b">
        <v>0</v>
      </c>
      <c r="N4926" s="2" t="str">
        <f t="shared" si="438"/>
        <v/>
      </c>
      <c r="Q4926" t="str">
        <f t="shared" si="439"/>
        <v/>
      </c>
    </row>
    <row r="4927" spans="1:17" hidden="1">
      <c r="A4927" t="s">
        <v>5032</v>
      </c>
      <c r="B4927" s="1">
        <v>45579</v>
      </c>
      <c r="C4927">
        <v>2024</v>
      </c>
      <c r="D4927">
        <v>10</v>
      </c>
      <c r="E4927" t="s">
        <v>23</v>
      </c>
      <c r="F4927" t="s">
        <v>28</v>
      </c>
      <c r="G4927" t="s">
        <v>25</v>
      </c>
      <c r="H4927" t="s">
        <v>35</v>
      </c>
      <c r="I4927">
        <v>4970.6499999999996</v>
      </c>
      <c r="J4927">
        <v>4509.9399999999996</v>
      </c>
      <c r="K4927" t="s">
        <v>17</v>
      </c>
      <c r="L4927" t="b">
        <v>0</v>
      </c>
      <c r="N4927" s="2" t="str">
        <f t="shared" si="438"/>
        <v/>
      </c>
      <c r="Q4927" t="str">
        <f t="shared" si="439"/>
        <v/>
      </c>
    </row>
    <row r="4928" spans="1:17" hidden="1">
      <c r="A4928" t="s">
        <v>5033</v>
      </c>
      <c r="B4928" s="1">
        <v>45579</v>
      </c>
      <c r="C4928">
        <v>2024</v>
      </c>
      <c r="D4928">
        <v>10</v>
      </c>
      <c r="E4928" t="s">
        <v>23</v>
      </c>
      <c r="F4928" t="s">
        <v>24</v>
      </c>
      <c r="G4928" t="s">
        <v>141</v>
      </c>
      <c r="H4928" t="s">
        <v>142</v>
      </c>
      <c r="I4928">
        <v>3548.09</v>
      </c>
      <c r="J4928">
        <v>3423.09</v>
      </c>
      <c r="K4928" t="s">
        <v>17</v>
      </c>
      <c r="L4928" t="b">
        <v>0</v>
      </c>
      <c r="N4928" s="2" t="str">
        <f t="shared" si="438"/>
        <v/>
      </c>
      <c r="Q4928" t="str">
        <f t="shared" si="439"/>
        <v/>
      </c>
    </row>
    <row r="4929" spans="1:17" hidden="1">
      <c r="A4929" t="s">
        <v>5034</v>
      </c>
      <c r="B4929" s="1">
        <v>45580</v>
      </c>
      <c r="C4929">
        <v>2024</v>
      </c>
      <c r="D4929">
        <v>10</v>
      </c>
      <c r="E4929" t="s">
        <v>47</v>
      </c>
      <c r="F4929" t="s">
        <v>24</v>
      </c>
      <c r="G4929" t="s">
        <v>51</v>
      </c>
      <c r="H4929" t="s">
        <v>189</v>
      </c>
      <c r="I4929">
        <v>19019.62</v>
      </c>
      <c r="J4929">
        <v>16080.65</v>
      </c>
      <c r="K4929" t="s">
        <v>17</v>
      </c>
      <c r="L4929" t="b">
        <v>0</v>
      </c>
      <c r="N4929" s="2" t="b">
        <f t="shared" si="438"/>
        <v>1</v>
      </c>
      <c r="O4929" t="str">
        <f>IF(AND(E4918="HR",K4918="EXPENSE"),I4918&lt;J4918,"")</f>
        <v/>
      </c>
      <c r="Q4929" t="str">
        <f t="shared" si="439"/>
        <v/>
      </c>
    </row>
    <row r="4930" spans="1:17" hidden="1">
      <c r="A4930" t="s">
        <v>5035</v>
      </c>
      <c r="B4930" s="1">
        <v>45580</v>
      </c>
      <c r="C4930">
        <v>2024</v>
      </c>
      <c r="D4930">
        <v>10</v>
      </c>
      <c r="E4930" t="s">
        <v>19</v>
      </c>
      <c r="F4930" t="s">
        <v>14</v>
      </c>
      <c r="G4930" t="s">
        <v>20</v>
      </c>
      <c r="H4930" t="s">
        <v>136</v>
      </c>
      <c r="I4930">
        <v>5470.83</v>
      </c>
      <c r="J4930">
        <v>5888.79</v>
      </c>
      <c r="K4930" t="s">
        <v>17</v>
      </c>
      <c r="L4930" t="b">
        <v>0</v>
      </c>
      <c r="N4930" s="2" t="str">
        <f t="shared" si="438"/>
        <v/>
      </c>
      <c r="Q4930" t="str">
        <f t="shared" si="439"/>
        <v/>
      </c>
    </row>
    <row r="4931" spans="1:17" hidden="1">
      <c r="A4931" t="s">
        <v>5036</v>
      </c>
      <c r="B4931" s="1">
        <v>45580</v>
      </c>
      <c r="C4931">
        <v>2024</v>
      </c>
      <c r="D4931">
        <v>10</v>
      </c>
      <c r="E4931" t="s">
        <v>23</v>
      </c>
      <c r="F4931" t="s">
        <v>14</v>
      </c>
      <c r="G4931" t="s">
        <v>30</v>
      </c>
      <c r="H4931" t="s">
        <v>33</v>
      </c>
      <c r="I4931">
        <v>6318.62</v>
      </c>
      <c r="J4931">
        <v>6538.8</v>
      </c>
      <c r="K4931" t="s">
        <v>17</v>
      </c>
      <c r="L4931" t="b">
        <v>0</v>
      </c>
      <c r="N4931" s="2" t="str">
        <f t="shared" ref="N4931:N4994" si="442">IF(AND(E4931="IT",K4931="EXPENSE"),I4931&gt;J4931,"")</f>
        <v/>
      </c>
      <c r="Q4931" t="str">
        <f t="shared" ref="Q4931:Q4994" si="443">IF(L4931=TRUE,OR(H4931="Apex Solutions Inc",H4931="Global Trade Partners",H4931="NovaTech Services"),"")</f>
        <v/>
      </c>
    </row>
    <row r="4932" spans="1:17" hidden="1">
      <c r="A4932" t="s">
        <v>5037</v>
      </c>
      <c r="B4932" s="1">
        <v>45580</v>
      </c>
      <c r="C4932">
        <v>2024</v>
      </c>
      <c r="D4932">
        <v>10</v>
      </c>
      <c r="E4932" t="s">
        <v>23</v>
      </c>
      <c r="F4932" t="s">
        <v>28</v>
      </c>
      <c r="G4932" t="s">
        <v>30</v>
      </c>
      <c r="H4932" t="s">
        <v>31</v>
      </c>
      <c r="I4932">
        <v>4360.93</v>
      </c>
      <c r="J4932">
        <v>4669.7</v>
      </c>
      <c r="K4932" t="s">
        <v>17</v>
      </c>
      <c r="L4932" t="b">
        <v>0</v>
      </c>
      <c r="N4932" s="2" t="str">
        <f t="shared" si="442"/>
        <v/>
      </c>
      <c r="Q4932" t="str">
        <f t="shared" si="443"/>
        <v/>
      </c>
    </row>
    <row r="4933" spans="1:17" hidden="1">
      <c r="A4933" t="s">
        <v>5038</v>
      </c>
      <c r="B4933" s="1">
        <v>45580</v>
      </c>
      <c r="C4933">
        <v>2024</v>
      </c>
      <c r="D4933">
        <v>10</v>
      </c>
      <c r="E4933" t="s">
        <v>23</v>
      </c>
      <c r="F4933" t="s">
        <v>24</v>
      </c>
      <c r="G4933" t="s">
        <v>30</v>
      </c>
      <c r="H4933" t="s">
        <v>33</v>
      </c>
      <c r="I4933">
        <v>3951.67</v>
      </c>
      <c r="J4933">
        <v>3814.3</v>
      </c>
      <c r="K4933" t="s">
        <v>17</v>
      </c>
      <c r="L4933" t="b">
        <v>0</v>
      </c>
      <c r="N4933" s="2" t="str">
        <f t="shared" si="442"/>
        <v/>
      </c>
      <c r="Q4933" t="str">
        <f t="shared" si="443"/>
        <v/>
      </c>
    </row>
    <row r="4934" spans="1:17" hidden="1">
      <c r="A4934" t="s">
        <v>5039</v>
      </c>
      <c r="B4934" s="1">
        <v>45580</v>
      </c>
      <c r="C4934">
        <v>2024</v>
      </c>
      <c r="D4934">
        <v>10</v>
      </c>
      <c r="E4934" t="s">
        <v>37</v>
      </c>
      <c r="F4934" t="s">
        <v>28</v>
      </c>
      <c r="G4934" t="s">
        <v>62</v>
      </c>
      <c r="H4934" t="s">
        <v>66</v>
      </c>
      <c r="I4934">
        <v>5676.53</v>
      </c>
      <c r="J4934">
        <v>5750.93</v>
      </c>
      <c r="K4934" t="s">
        <v>17</v>
      </c>
      <c r="L4934" t="b">
        <v>0</v>
      </c>
      <c r="N4934" s="2" t="str">
        <f t="shared" si="442"/>
        <v/>
      </c>
      <c r="Q4934" t="str">
        <f t="shared" si="443"/>
        <v/>
      </c>
    </row>
    <row r="4935" spans="1:17" hidden="1">
      <c r="A4935" t="s">
        <v>5040</v>
      </c>
      <c r="B4935" s="1">
        <v>45580</v>
      </c>
      <c r="C4935">
        <v>2024</v>
      </c>
      <c r="D4935">
        <v>10</v>
      </c>
      <c r="E4935" t="s">
        <v>37</v>
      </c>
      <c r="F4935" t="s">
        <v>24</v>
      </c>
      <c r="G4935" t="s">
        <v>38</v>
      </c>
      <c r="H4935" t="s">
        <v>227</v>
      </c>
      <c r="I4935">
        <v>4023.27</v>
      </c>
      <c r="J4935">
        <v>4261.88</v>
      </c>
      <c r="K4935" t="s">
        <v>17</v>
      </c>
      <c r="L4935" t="b">
        <v>0</v>
      </c>
      <c r="N4935" s="2" t="str">
        <f t="shared" si="442"/>
        <v/>
      </c>
      <c r="Q4935" t="str">
        <f t="shared" si="443"/>
        <v/>
      </c>
    </row>
    <row r="4936" spans="1:17" hidden="1">
      <c r="A4936" t="s">
        <v>5041</v>
      </c>
      <c r="B4936" s="1">
        <v>45580</v>
      </c>
      <c r="C4936">
        <v>2024</v>
      </c>
      <c r="D4936">
        <v>10</v>
      </c>
      <c r="E4936" t="s">
        <v>37</v>
      </c>
      <c r="F4936" t="s">
        <v>24</v>
      </c>
      <c r="G4936" t="s">
        <v>83</v>
      </c>
      <c r="H4936" t="s">
        <v>84</v>
      </c>
      <c r="I4936">
        <v>163603.25</v>
      </c>
      <c r="J4936">
        <v>155423.09</v>
      </c>
      <c r="K4936" t="s">
        <v>85</v>
      </c>
      <c r="L4936" t="b">
        <v>0</v>
      </c>
      <c r="N4936" s="2" t="str">
        <f t="shared" si="442"/>
        <v/>
      </c>
      <c r="Q4936" t="str">
        <f t="shared" si="443"/>
        <v/>
      </c>
    </row>
    <row r="4937" spans="1:17" hidden="1">
      <c r="A4937" t="s">
        <v>5042</v>
      </c>
      <c r="B4937" s="1">
        <v>45581</v>
      </c>
      <c r="C4937">
        <v>2024</v>
      </c>
      <c r="D4937">
        <v>10</v>
      </c>
      <c r="E4937" t="s">
        <v>13</v>
      </c>
      <c r="F4937" t="s">
        <v>14</v>
      </c>
      <c r="G4937" t="s">
        <v>68</v>
      </c>
      <c r="H4937" t="s">
        <v>87</v>
      </c>
      <c r="I4937">
        <v>5904.27</v>
      </c>
      <c r="J4937">
        <v>5975.68</v>
      </c>
      <c r="K4937" t="s">
        <v>17</v>
      </c>
      <c r="L4937" t="b">
        <v>0</v>
      </c>
      <c r="N4937" s="2" t="str">
        <f t="shared" si="442"/>
        <v/>
      </c>
      <c r="Q4937" t="str">
        <f t="shared" si="443"/>
        <v/>
      </c>
    </row>
    <row r="4938" spans="1:17" hidden="1">
      <c r="A4938" t="s">
        <v>5043</v>
      </c>
      <c r="B4938" s="1">
        <v>45581</v>
      </c>
      <c r="C4938">
        <v>2024</v>
      </c>
      <c r="D4938">
        <v>10</v>
      </c>
      <c r="E4938" t="s">
        <v>13</v>
      </c>
      <c r="F4938" t="s">
        <v>14</v>
      </c>
      <c r="G4938" t="s">
        <v>68</v>
      </c>
      <c r="H4938" t="s">
        <v>87</v>
      </c>
      <c r="I4938">
        <v>3526.75</v>
      </c>
      <c r="J4938">
        <v>3425.25</v>
      </c>
      <c r="K4938" t="s">
        <v>17</v>
      </c>
      <c r="L4938" t="b">
        <v>0</v>
      </c>
      <c r="N4938" s="2" t="str">
        <f t="shared" si="442"/>
        <v/>
      </c>
      <c r="Q4938" t="str">
        <f t="shared" si="443"/>
        <v/>
      </c>
    </row>
    <row r="4939" spans="1:17" hidden="1">
      <c r="A4939" t="s">
        <v>5044</v>
      </c>
      <c r="B4939" s="1">
        <v>45581</v>
      </c>
      <c r="C4939">
        <v>2024</v>
      </c>
      <c r="D4939">
        <v>10</v>
      </c>
      <c r="E4939" t="s">
        <v>13</v>
      </c>
      <c r="F4939" t="s">
        <v>28</v>
      </c>
      <c r="G4939" t="s">
        <v>15</v>
      </c>
      <c r="H4939" t="s">
        <v>16</v>
      </c>
      <c r="I4939">
        <v>2100.48</v>
      </c>
      <c r="J4939">
        <v>1908.66</v>
      </c>
      <c r="K4939" t="s">
        <v>17</v>
      </c>
      <c r="L4939" t="b">
        <v>0</v>
      </c>
      <c r="N4939" s="2" t="str">
        <f t="shared" si="442"/>
        <v/>
      </c>
      <c r="Q4939" t="str">
        <f t="shared" si="443"/>
        <v/>
      </c>
    </row>
    <row r="4940" spans="1:17" hidden="1">
      <c r="A4940" t="s">
        <v>5045</v>
      </c>
      <c r="B4940" s="1">
        <v>45581</v>
      </c>
      <c r="C4940">
        <v>2024</v>
      </c>
      <c r="D4940">
        <v>10</v>
      </c>
      <c r="E4940" t="s">
        <v>13</v>
      </c>
      <c r="F4940" t="s">
        <v>24</v>
      </c>
      <c r="G4940" t="s">
        <v>68</v>
      </c>
      <c r="H4940" t="s">
        <v>87</v>
      </c>
      <c r="I4940">
        <v>2953.07</v>
      </c>
      <c r="J4940">
        <v>3159.28</v>
      </c>
      <c r="K4940" t="s">
        <v>17</v>
      </c>
      <c r="L4940" t="b">
        <v>0</v>
      </c>
      <c r="N4940" s="2" t="str">
        <f t="shared" si="442"/>
        <v/>
      </c>
      <c r="Q4940" t="str">
        <f t="shared" si="443"/>
        <v/>
      </c>
    </row>
    <row r="4941" spans="1:17" hidden="1">
      <c r="A4941" t="s">
        <v>5046</v>
      </c>
      <c r="B4941" s="1">
        <v>45581</v>
      </c>
      <c r="C4941">
        <v>2024</v>
      </c>
      <c r="D4941">
        <v>10</v>
      </c>
      <c r="E4941" t="s">
        <v>19</v>
      </c>
      <c r="F4941" t="s">
        <v>28</v>
      </c>
      <c r="G4941" t="s">
        <v>54</v>
      </c>
      <c r="H4941" t="s">
        <v>57</v>
      </c>
      <c r="I4941">
        <v>5542.91</v>
      </c>
      <c r="J4941">
        <v>5957.52</v>
      </c>
      <c r="K4941" t="s">
        <v>17</v>
      </c>
      <c r="L4941" t="b">
        <v>0</v>
      </c>
      <c r="N4941" s="2" t="str">
        <f t="shared" si="442"/>
        <v/>
      </c>
      <c r="Q4941" t="str">
        <f t="shared" si="443"/>
        <v/>
      </c>
    </row>
    <row r="4942" spans="1:17" hidden="1">
      <c r="A4942" t="s">
        <v>5047</v>
      </c>
      <c r="B4942" s="1">
        <v>45581</v>
      </c>
      <c r="C4942">
        <v>2024</v>
      </c>
      <c r="D4942">
        <v>10</v>
      </c>
      <c r="E4942" t="s">
        <v>37</v>
      </c>
      <c r="F4942" t="s">
        <v>24</v>
      </c>
      <c r="G4942" t="s">
        <v>62</v>
      </c>
      <c r="H4942" t="s">
        <v>63</v>
      </c>
      <c r="I4942">
        <v>3807.23</v>
      </c>
      <c r="J4942">
        <v>3700.67</v>
      </c>
      <c r="K4942" t="s">
        <v>17</v>
      </c>
      <c r="L4942" t="b">
        <v>0</v>
      </c>
      <c r="N4942" s="2" t="str">
        <f t="shared" si="442"/>
        <v/>
      </c>
      <c r="Q4942" t="str">
        <f t="shared" si="443"/>
        <v/>
      </c>
    </row>
    <row r="4943" spans="1:17" hidden="1">
      <c r="A4943" t="s">
        <v>5048</v>
      </c>
      <c r="B4943" s="1">
        <v>45581</v>
      </c>
      <c r="C4943">
        <v>2024</v>
      </c>
      <c r="D4943">
        <v>10</v>
      </c>
      <c r="E4943" t="s">
        <v>37</v>
      </c>
      <c r="F4943" t="s">
        <v>24</v>
      </c>
      <c r="G4943" t="s">
        <v>62</v>
      </c>
      <c r="H4943" t="s">
        <v>63</v>
      </c>
      <c r="I4943">
        <v>5637.79</v>
      </c>
      <c r="J4943">
        <v>5398.99</v>
      </c>
      <c r="K4943" t="s">
        <v>17</v>
      </c>
      <c r="L4943" t="b">
        <v>0</v>
      </c>
      <c r="N4943" s="2" t="str">
        <f t="shared" si="442"/>
        <v/>
      </c>
      <c r="Q4943" t="str">
        <f t="shared" si="443"/>
        <v/>
      </c>
    </row>
    <row r="4944" spans="1:17" hidden="1">
      <c r="A4944" t="s">
        <v>5049</v>
      </c>
      <c r="B4944" s="1">
        <v>45582</v>
      </c>
      <c r="C4944">
        <v>2024</v>
      </c>
      <c r="D4944">
        <v>10</v>
      </c>
      <c r="E4944" t="s">
        <v>47</v>
      </c>
      <c r="F4944" t="s">
        <v>28</v>
      </c>
      <c r="G4944" t="s">
        <v>48</v>
      </c>
      <c r="H4944" t="s">
        <v>191</v>
      </c>
      <c r="I4944">
        <v>12914.86</v>
      </c>
      <c r="J4944">
        <v>10954.5</v>
      </c>
      <c r="K4944" t="s">
        <v>17</v>
      </c>
      <c r="L4944" t="b">
        <v>0</v>
      </c>
      <c r="N4944" s="2" t="b">
        <f t="shared" si="442"/>
        <v>1</v>
      </c>
      <c r="O4944" t="str">
        <f t="shared" ref="O4944:O4945" si="444">IF(AND(E4933="HR",K4933="EXPENSE"),I4933&lt;J4933,"")</f>
        <v/>
      </c>
      <c r="Q4944" t="str">
        <f t="shared" si="443"/>
        <v/>
      </c>
    </row>
    <row r="4945" spans="1:17" hidden="1">
      <c r="A4945" t="s">
        <v>5050</v>
      </c>
      <c r="B4945" s="1">
        <v>45582</v>
      </c>
      <c r="C4945">
        <v>2024</v>
      </c>
      <c r="D4945">
        <v>10</v>
      </c>
      <c r="E4945" t="s">
        <v>47</v>
      </c>
      <c r="F4945" t="s">
        <v>24</v>
      </c>
      <c r="G4945" t="s">
        <v>77</v>
      </c>
      <c r="H4945" t="s">
        <v>78</v>
      </c>
      <c r="I4945">
        <v>16817.97</v>
      </c>
      <c r="J4945">
        <v>14332.75</v>
      </c>
      <c r="K4945" t="s">
        <v>17</v>
      </c>
      <c r="L4945" t="b">
        <v>0</v>
      </c>
      <c r="N4945" s="2" t="b">
        <f t="shared" si="442"/>
        <v>1</v>
      </c>
      <c r="O4945" t="str">
        <f t="shared" si="444"/>
        <v/>
      </c>
      <c r="Q4945" t="str">
        <f t="shared" si="443"/>
        <v/>
      </c>
    </row>
    <row r="4946" spans="1:17" hidden="1">
      <c r="A4946" t="s">
        <v>5051</v>
      </c>
      <c r="B4946" s="1">
        <v>45582</v>
      </c>
      <c r="C4946">
        <v>2024</v>
      </c>
      <c r="D4946">
        <v>10</v>
      </c>
      <c r="E4946" t="s">
        <v>19</v>
      </c>
      <c r="F4946" t="s">
        <v>14</v>
      </c>
      <c r="G4946" t="s">
        <v>20</v>
      </c>
      <c r="H4946" t="s">
        <v>21</v>
      </c>
      <c r="I4946">
        <v>10903.07</v>
      </c>
      <c r="J4946">
        <v>11004.5</v>
      </c>
      <c r="K4946" t="s">
        <v>17</v>
      </c>
      <c r="L4946" t="b">
        <v>0</v>
      </c>
      <c r="N4946" s="2" t="str">
        <f t="shared" si="442"/>
        <v/>
      </c>
      <c r="Q4946" t="str">
        <f t="shared" si="443"/>
        <v/>
      </c>
    </row>
    <row r="4947" spans="1:17" hidden="1">
      <c r="A4947" t="s">
        <v>5052</v>
      </c>
      <c r="B4947" s="1">
        <v>45582</v>
      </c>
      <c r="C4947">
        <v>2024</v>
      </c>
      <c r="D4947">
        <v>10</v>
      </c>
      <c r="E4947" t="s">
        <v>23</v>
      </c>
      <c r="F4947" t="s">
        <v>28</v>
      </c>
      <c r="G4947" t="s">
        <v>59</v>
      </c>
      <c r="H4947" t="s">
        <v>60</v>
      </c>
      <c r="I4947">
        <v>4498.37</v>
      </c>
      <c r="J4947">
        <v>4550.12</v>
      </c>
      <c r="K4947" t="s">
        <v>17</v>
      </c>
      <c r="L4947" t="b">
        <v>0</v>
      </c>
      <c r="N4947" s="2" t="str">
        <f t="shared" si="442"/>
        <v/>
      </c>
      <c r="Q4947" t="str">
        <f t="shared" si="443"/>
        <v/>
      </c>
    </row>
    <row r="4948" spans="1:17" hidden="1">
      <c r="A4948" t="s">
        <v>5053</v>
      </c>
      <c r="B4948" s="1">
        <v>45582</v>
      </c>
      <c r="C4948">
        <v>2024</v>
      </c>
      <c r="D4948">
        <v>10</v>
      </c>
      <c r="E4948" t="s">
        <v>37</v>
      </c>
      <c r="F4948" t="s">
        <v>28</v>
      </c>
      <c r="G4948" t="s">
        <v>62</v>
      </c>
      <c r="H4948" t="s">
        <v>63</v>
      </c>
      <c r="I4948">
        <v>7878.42</v>
      </c>
      <c r="J4948">
        <v>8592.67</v>
      </c>
      <c r="K4948" t="s">
        <v>17</v>
      </c>
      <c r="L4948" t="b">
        <v>0</v>
      </c>
      <c r="N4948" s="2" t="str">
        <f t="shared" si="442"/>
        <v/>
      </c>
      <c r="Q4948" t="str">
        <f t="shared" si="443"/>
        <v/>
      </c>
    </row>
    <row r="4949" spans="1:17" hidden="1">
      <c r="A4949" t="s">
        <v>5054</v>
      </c>
      <c r="B4949" s="1">
        <v>45582</v>
      </c>
      <c r="C4949">
        <v>2024</v>
      </c>
      <c r="D4949">
        <v>10</v>
      </c>
      <c r="E4949" t="s">
        <v>37</v>
      </c>
      <c r="F4949" t="s">
        <v>24</v>
      </c>
      <c r="G4949" t="s">
        <v>98</v>
      </c>
      <c r="H4949" t="s">
        <v>99</v>
      </c>
      <c r="I4949">
        <v>4704.72</v>
      </c>
      <c r="J4949">
        <v>5107.1000000000004</v>
      </c>
      <c r="K4949" t="s">
        <v>17</v>
      </c>
      <c r="L4949" t="b">
        <v>0</v>
      </c>
      <c r="N4949" s="2" t="str">
        <f t="shared" si="442"/>
        <v/>
      </c>
      <c r="Q4949" t="str">
        <f t="shared" si="443"/>
        <v/>
      </c>
    </row>
    <row r="4950" spans="1:17" hidden="1">
      <c r="A4950" t="s">
        <v>5055</v>
      </c>
      <c r="B4950" s="1">
        <v>45583</v>
      </c>
      <c r="C4950">
        <v>2024</v>
      </c>
      <c r="D4950">
        <v>10</v>
      </c>
      <c r="E4950" t="s">
        <v>47</v>
      </c>
      <c r="F4950" t="s">
        <v>14</v>
      </c>
      <c r="G4950" t="s">
        <v>77</v>
      </c>
      <c r="H4950" t="s">
        <v>147</v>
      </c>
      <c r="I4950">
        <v>13596.51</v>
      </c>
      <c r="J4950">
        <v>11387.41</v>
      </c>
      <c r="K4950" t="s">
        <v>17</v>
      </c>
      <c r="L4950" t="b">
        <v>0</v>
      </c>
      <c r="N4950" s="2" t="b">
        <f t="shared" si="442"/>
        <v>1</v>
      </c>
      <c r="O4950" t="b">
        <f t="shared" ref="O4950:O4952" si="445">IF(AND(E4939="HR",K4939="EXPENSE"),I4939&lt;J4939,"")</f>
        <v>0</v>
      </c>
      <c r="Q4950" t="str">
        <f t="shared" si="443"/>
        <v/>
      </c>
    </row>
    <row r="4951" spans="1:17" hidden="1">
      <c r="A4951" t="s">
        <v>5056</v>
      </c>
      <c r="B4951" s="1">
        <v>45583</v>
      </c>
      <c r="C4951">
        <v>2024</v>
      </c>
      <c r="D4951">
        <v>10</v>
      </c>
      <c r="E4951" t="s">
        <v>47</v>
      </c>
      <c r="F4951" t="s">
        <v>14</v>
      </c>
      <c r="G4951" t="s">
        <v>48</v>
      </c>
      <c r="H4951" t="s">
        <v>75</v>
      </c>
      <c r="I4951">
        <v>14288.31</v>
      </c>
      <c r="J4951">
        <v>12066.23</v>
      </c>
      <c r="K4951" t="s">
        <v>17</v>
      </c>
      <c r="L4951" t="b">
        <v>0</v>
      </c>
      <c r="N4951" s="2" t="b">
        <f t="shared" si="442"/>
        <v>1</v>
      </c>
      <c r="O4951" t="b">
        <f t="shared" si="445"/>
        <v>1</v>
      </c>
      <c r="Q4951" t="str">
        <f t="shared" si="443"/>
        <v/>
      </c>
    </row>
    <row r="4952" spans="1:17" hidden="1">
      <c r="A4952" t="s">
        <v>5057</v>
      </c>
      <c r="B4952" s="1">
        <v>45583</v>
      </c>
      <c r="C4952">
        <v>2024</v>
      </c>
      <c r="D4952">
        <v>10</v>
      </c>
      <c r="E4952" t="s">
        <v>47</v>
      </c>
      <c r="F4952" t="s">
        <v>14</v>
      </c>
      <c r="G4952" t="s">
        <v>48</v>
      </c>
      <c r="H4952" t="s">
        <v>191</v>
      </c>
      <c r="I4952">
        <v>13078.76</v>
      </c>
      <c r="J4952">
        <v>11089.42</v>
      </c>
      <c r="K4952" t="s">
        <v>17</v>
      </c>
      <c r="L4952" t="b">
        <v>0</v>
      </c>
      <c r="N4952" s="2" t="b">
        <f t="shared" si="442"/>
        <v>1</v>
      </c>
      <c r="O4952" t="str">
        <f t="shared" si="445"/>
        <v/>
      </c>
      <c r="Q4952" t="str">
        <f t="shared" si="443"/>
        <v/>
      </c>
    </row>
    <row r="4953" spans="1:17" hidden="1">
      <c r="A4953" t="s">
        <v>5058</v>
      </c>
      <c r="B4953" s="1">
        <v>45583</v>
      </c>
      <c r="C4953">
        <v>2024</v>
      </c>
      <c r="D4953">
        <v>10</v>
      </c>
      <c r="E4953" t="s">
        <v>23</v>
      </c>
      <c r="F4953" t="s">
        <v>24</v>
      </c>
      <c r="G4953" t="s">
        <v>25</v>
      </c>
      <c r="H4953" t="s">
        <v>95</v>
      </c>
      <c r="I4953">
        <v>4872.12</v>
      </c>
      <c r="J4953">
        <v>4566.6899999999996</v>
      </c>
      <c r="K4953" t="s">
        <v>17</v>
      </c>
      <c r="L4953" t="b">
        <v>0</v>
      </c>
      <c r="N4953" s="2" t="str">
        <f t="shared" si="442"/>
        <v/>
      </c>
      <c r="Q4953" t="str">
        <f t="shared" si="443"/>
        <v/>
      </c>
    </row>
    <row r="4954" spans="1:17" hidden="1">
      <c r="A4954" t="s">
        <v>5059</v>
      </c>
      <c r="B4954" s="1">
        <v>45584</v>
      </c>
      <c r="C4954">
        <v>2024</v>
      </c>
      <c r="D4954">
        <v>10</v>
      </c>
      <c r="E4954" t="s">
        <v>47</v>
      </c>
      <c r="F4954" t="s">
        <v>28</v>
      </c>
      <c r="G4954" t="s">
        <v>48</v>
      </c>
      <c r="H4954" t="s">
        <v>75</v>
      </c>
      <c r="I4954">
        <v>18716.88</v>
      </c>
      <c r="J4954">
        <v>15551.79</v>
      </c>
      <c r="K4954" t="s">
        <v>17</v>
      </c>
      <c r="L4954" t="b">
        <v>0</v>
      </c>
      <c r="N4954" s="2" t="b">
        <f t="shared" si="442"/>
        <v>1</v>
      </c>
      <c r="O4954" t="str">
        <f t="shared" ref="O4954:O4956" si="446">IF(AND(E4943="HR",K4943="EXPENSE"),I4943&lt;J4943,"")</f>
        <v/>
      </c>
      <c r="Q4954" t="str">
        <f t="shared" si="443"/>
        <v/>
      </c>
    </row>
    <row r="4955" spans="1:17" hidden="1">
      <c r="A4955" t="s">
        <v>5060</v>
      </c>
      <c r="B4955" s="1">
        <v>45584</v>
      </c>
      <c r="C4955">
        <v>2024</v>
      </c>
      <c r="D4955">
        <v>10</v>
      </c>
      <c r="E4955" t="s">
        <v>47</v>
      </c>
      <c r="F4955" t="s">
        <v>24</v>
      </c>
      <c r="G4955" t="s">
        <v>48</v>
      </c>
      <c r="H4955" t="s">
        <v>111</v>
      </c>
      <c r="I4955">
        <v>18863.91</v>
      </c>
      <c r="J4955">
        <v>16213.57</v>
      </c>
      <c r="K4955" t="s">
        <v>17</v>
      </c>
      <c r="L4955" t="b">
        <v>0</v>
      </c>
      <c r="N4955" s="2" t="b">
        <f t="shared" si="442"/>
        <v>1</v>
      </c>
      <c r="O4955" t="str">
        <f t="shared" si="446"/>
        <v/>
      </c>
      <c r="Q4955" t="str">
        <f t="shared" si="443"/>
        <v/>
      </c>
    </row>
    <row r="4956" spans="1:17" hidden="1">
      <c r="A4956" t="s">
        <v>5061</v>
      </c>
      <c r="B4956" s="1">
        <v>45584</v>
      </c>
      <c r="C4956">
        <v>2024</v>
      </c>
      <c r="D4956">
        <v>10</v>
      </c>
      <c r="E4956" t="s">
        <v>47</v>
      </c>
      <c r="F4956" t="s">
        <v>24</v>
      </c>
      <c r="G4956" t="s">
        <v>51</v>
      </c>
      <c r="H4956" t="s">
        <v>189</v>
      </c>
      <c r="I4956">
        <v>10372.9</v>
      </c>
      <c r="J4956">
        <v>8779.58</v>
      </c>
      <c r="K4956" t="s">
        <v>17</v>
      </c>
      <c r="L4956" t="b">
        <v>0</v>
      </c>
      <c r="N4956" s="2" t="b">
        <f t="shared" si="442"/>
        <v>1</v>
      </c>
      <c r="O4956" t="str">
        <f t="shared" si="446"/>
        <v/>
      </c>
      <c r="Q4956" t="str">
        <f t="shared" si="443"/>
        <v/>
      </c>
    </row>
    <row r="4957" spans="1:17" hidden="1">
      <c r="A4957" t="s">
        <v>5062</v>
      </c>
      <c r="B4957" s="1">
        <v>45584</v>
      </c>
      <c r="C4957">
        <v>2024</v>
      </c>
      <c r="D4957">
        <v>10</v>
      </c>
      <c r="E4957" t="s">
        <v>19</v>
      </c>
      <c r="F4957" t="s">
        <v>28</v>
      </c>
      <c r="G4957" t="s">
        <v>80</v>
      </c>
      <c r="H4957" t="s">
        <v>217</v>
      </c>
      <c r="I4957">
        <v>7891.2</v>
      </c>
      <c r="J4957">
        <v>7944.42</v>
      </c>
      <c r="K4957" t="s">
        <v>17</v>
      </c>
      <c r="L4957" t="b">
        <v>0</v>
      </c>
      <c r="N4957" s="2" t="str">
        <f t="shared" si="442"/>
        <v/>
      </c>
      <c r="Q4957" t="str">
        <f t="shared" si="443"/>
        <v/>
      </c>
    </row>
    <row r="4958" spans="1:17" hidden="1">
      <c r="A4958" t="s">
        <v>5063</v>
      </c>
      <c r="B4958" s="1">
        <v>45584</v>
      </c>
      <c r="C4958">
        <v>2024</v>
      </c>
      <c r="D4958">
        <v>10</v>
      </c>
      <c r="E4958" t="s">
        <v>37</v>
      </c>
      <c r="F4958" t="s">
        <v>14</v>
      </c>
      <c r="G4958" t="s">
        <v>41</v>
      </c>
      <c r="H4958" t="s">
        <v>42</v>
      </c>
      <c r="I4958">
        <v>6621.77</v>
      </c>
      <c r="J4958">
        <v>6877.25</v>
      </c>
      <c r="K4958" t="s">
        <v>17</v>
      </c>
      <c r="L4958" t="b">
        <v>0</v>
      </c>
      <c r="N4958" s="2" t="str">
        <f t="shared" si="442"/>
        <v/>
      </c>
      <c r="Q4958" t="str">
        <f t="shared" si="443"/>
        <v/>
      </c>
    </row>
    <row r="4959" spans="1:17" hidden="1">
      <c r="A4959" t="s">
        <v>5064</v>
      </c>
      <c r="B4959" s="1">
        <v>45584</v>
      </c>
      <c r="C4959">
        <v>2024</v>
      </c>
      <c r="D4959">
        <v>10</v>
      </c>
      <c r="E4959" t="s">
        <v>37</v>
      </c>
      <c r="F4959" t="s">
        <v>28</v>
      </c>
      <c r="G4959" t="s">
        <v>98</v>
      </c>
      <c r="H4959" t="s">
        <v>185</v>
      </c>
      <c r="I4959">
        <v>6103.74</v>
      </c>
      <c r="J4959">
        <v>5542.22</v>
      </c>
      <c r="K4959" t="s">
        <v>17</v>
      </c>
      <c r="L4959" t="b">
        <v>0</v>
      </c>
      <c r="N4959" s="2" t="str">
        <f t="shared" si="442"/>
        <v/>
      </c>
      <c r="Q4959" t="str">
        <f t="shared" si="443"/>
        <v/>
      </c>
    </row>
    <row r="4960" spans="1:17" hidden="1">
      <c r="A4960" t="s">
        <v>5065</v>
      </c>
      <c r="B4960" s="1">
        <v>45585</v>
      </c>
      <c r="C4960">
        <v>2024</v>
      </c>
      <c r="D4960">
        <v>10</v>
      </c>
      <c r="E4960" t="s">
        <v>13</v>
      </c>
      <c r="F4960" t="s">
        <v>28</v>
      </c>
      <c r="G4960" t="s">
        <v>102</v>
      </c>
      <c r="H4960" t="s">
        <v>278</v>
      </c>
      <c r="I4960">
        <v>2579.5500000000002</v>
      </c>
      <c r="J4960">
        <v>2590.94</v>
      </c>
      <c r="K4960" t="s">
        <v>17</v>
      </c>
      <c r="L4960" t="b">
        <v>0</v>
      </c>
      <c r="N4960" s="2" t="str">
        <f t="shared" si="442"/>
        <v/>
      </c>
      <c r="Q4960" t="str">
        <f t="shared" si="443"/>
        <v/>
      </c>
    </row>
    <row r="4961" spans="1:17" hidden="1">
      <c r="A4961" t="s">
        <v>5066</v>
      </c>
      <c r="B4961" s="1">
        <v>45585</v>
      </c>
      <c r="C4961">
        <v>2024</v>
      </c>
      <c r="D4961">
        <v>10</v>
      </c>
      <c r="E4961" t="s">
        <v>13</v>
      </c>
      <c r="F4961" t="s">
        <v>24</v>
      </c>
      <c r="G4961" t="s">
        <v>15</v>
      </c>
      <c r="H4961" t="s">
        <v>89</v>
      </c>
      <c r="I4961">
        <v>3417.11</v>
      </c>
      <c r="J4961">
        <v>3650.63</v>
      </c>
      <c r="K4961" t="s">
        <v>17</v>
      </c>
      <c r="L4961" t="b">
        <v>0</v>
      </c>
      <c r="N4961" s="2" t="str">
        <f t="shared" si="442"/>
        <v/>
      </c>
      <c r="Q4961" t="str">
        <f t="shared" si="443"/>
        <v/>
      </c>
    </row>
    <row r="4962" spans="1:17" hidden="1">
      <c r="A4962" t="s">
        <v>5067</v>
      </c>
      <c r="B4962" s="1">
        <v>45585</v>
      </c>
      <c r="C4962">
        <v>2024</v>
      </c>
      <c r="D4962">
        <v>10</v>
      </c>
      <c r="E4962" t="s">
        <v>47</v>
      </c>
      <c r="F4962" t="s">
        <v>14</v>
      </c>
      <c r="G4962" t="s">
        <v>51</v>
      </c>
      <c r="H4962" t="s">
        <v>52</v>
      </c>
      <c r="I4962">
        <v>13964.08</v>
      </c>
      <c r="J4962">
        <v>11925.58</v>
      </c>
      <c r="K4962" t="s">
        <v>17</v>
      </c>
      <c r="L4962" t="b">
        <v>0</v>
      </c>
      <c r="N4962" s="2" t="b">
        <f t="shared" si="442"/>
        <v>1</v>
      </c>
      <c r="O4962" t="str">
        <f t="shared" ref="O4962:O4963" si="447">IF(AND(E4951="HR",K4951="EXPENSE"),I4951&lt;J4951,"")</f>
        <v/>
      </c>
      <c r="Q4962" t="str">
        <f t="shared" si="443"/>
        <v/>
      </c>
    </row>
    <row r="4963" spans="1:17" hidden="1">
      <c r="A4963" t="s">
        <v>5068</v>
      </c>
      <c r="B4963" s="1">
        <v>45585</v>
      </c>
      <c r="C4963">
        <v>2024</v>
      </c>
      <c r="D4963">
        <v>10</v>
      </c>
      <c r="E4963" t="s">
        <v>47</v>
      </c>
      <c r="F4963" t="s">
        <v>24</v>
      </c>
      <c r="G4963" t="s">
        <v>51</v>
      </c>
      <c r="H4963" t="s">
        <v>72</v>
      </c>
      <c r="I4963">
        <v>13059.59</v>
      </c>
      <c r="J4963">
        <v>11152.11</v>
      </c>
      <c r="K4963" t="s">
        <v>17</v>
      </c>
      <c r="L4963" t="b">
        <v>0</v>
      </c>
      <c r="N4963" s="2" t="b">
        <f t="shared" si="442"/>
        <v>1</v>
      </c>
      <c r="O4963" t="str">
        <f t="shared" si="447"/>
        <v/>
      </c>
      <c r="Q4963" t="str">
        <f t="shared" si="443"/>
        <v/>
      </c>
    </row>
    <row r="4964" spans="1:17" hidden="1">
      <c r="A4964" t="s">
        <v>5069</v>
      </c>
      <c r="B4964" s="1">
        <v>45585</v>
      </c>
      <c r="C4964">
        <v>2024</v>
      </c>
      <c r="D4964">
        <v>10</v>
      </c>
      <c r="E4964" t="s">
        <v>19</v>
      </c>
      <c r="F4964" t="s">
        <v>24</v>
      </c>
      <c r="G4964" t="s">
        <v>20</v>
      </c>
      <c r="H4964" t="s">
        <v>174</v>
      </c>
      <c r="I4964">
        <v>8756.1200000000008</v>
      </c>
      <c r="J4964">
        <v>8958.99</v>
      </c>
      <c r="K4964" t="s">
        <v>17</v>
      </c>
      <c r="L4964" t="b">
        <v>0</v>
      </c>
      <c r="N4964" s="2" t="str">
        <f t="shared" si="442"/>
        <v/>
      </c>
      <c r="Q4964" t="str">
        <f t="shared" si="443"/>
        <v/>
      </c>
    </row>
    <row r="4965" spans="1:17" hidden="1">
      <c r="A4965" t="s">
        <v>5070</v>
      </c>
      <c r="B4965" s="1">
        <v>45585</v>
      </c>
      <c r="C4965">
        <v>2024</v>
      </c>
      <c r="D4965">
        <v>10</v>
      </c>
      <c r="E4965" t="s">
        <v>19</v>
      </c>
      <c r="F4965" t="s">
        <v>24</v>
      </c>
      <c r="G4965" t="s">
        <v>80</v>
      </c>
      <c r="H4965" t="s">
        <v>113</v>
      </c>
      <c r="I4965">
        <v>9537.11</v>
      </c>
      <c r="J4965">
        <v>9774.27</v>
      </c>
      <c r="K4965" t="s">
        <v>17</v>
      </c>
      <c r="L4965" t="b">
        <v>0</v>
      </c>
      <c r="N4965" s="2" t="str">
        <f t="shared" si="442"/>
        <v/>
      </c>
      <c r="Q4965" t="str">
        <f t="shared" si="443"/>
        <v/>
      </c>
    </row>
    <row r="4966" spans="1:17" hidden="1">
      <c r="A4966" t="s">
        <v>5071</v>
      </c>
      <c r="B4966" s="1">
        <v>45585</v>
      </c>
      <c r="C4966">
        <v>2024</v>
      </c>
      <c r="D4966">
        <v>10</v>
      </c>
      <c r="E4966" t="s">
        <v>23</v>
      </c>
      <c r="F4966" t="s">
        <v>14</v>
      </c>
      <c r="G4966" t="s">
        <v>59</v>
      </c>
      <c r="H4966" t="s">
        <v>60</v>
      </c>
      <c r="I4966">
        <v>5368.89</v>
      </c>
      <c r="J4966">
        <v>5351.37</v>
      </c>
      <c r="K4966" t="s">
        <v>17</v>
      </c>
      <c r="L4966" t="b">
        <v>0</v>
      </c>
      <c r="N4966" s="2" t="str">
        <f t="shared" si="442"/>
        <v/>
      </c>
      <c r="Q4966" t="str">
        <f t="shared" si="443"/>
        <v/>
      </c>
    </row>
    <row r="4967" spans="1:17" hidden="1">
      <c r="A4967" t="s">
        <v>5072</v>
      </c>
      <c r="B4967" s="1">
        <v>45585</v>
      </c>
      <c r="C4967">
        <v>2024</v>
      </c>
      <c r="D4967">
        <v>10</v>
      </c>
      <c r="E4967" t="s">
        <v>23</v>
      </c>
      <c r="F4967" t="s">
        <v>28</v>
      </c>
      <c r="G4967" t="s">
        <v>59</v>
      </c>
      <c r="H4967" t="s">
        <v>155</v>
      </c>
      <c r="I4967">
        <v>4335.96</v>
      </c>
      <c r="J4967">
        <v>4364.16</v>
      </c>
      <c r="K4967" t="s">
        <v>17</v>
      </c>
      <c r="L4967" t="b">
        <v>0</v>
      </c>
      <c r="N4967" s="2" t="str">
        <f t="shared" si="442"/>
        <v/>
      </c>
      <c r="Q4967" t="str">
        <f t="shared" si="443"/>
        <v/>
      </c>
    </row>
    <row r="4968" spans="1:17" hidden="1">
      <c r="A4968" t="s">
        <v>5073</v>
      </c>
      <c r="B4968" s="1">
        <v>45585</v>
      </c>
      <c r="C4968">
        <v>2024</v>
      </c>
      <c r="D4968">
        <v>10</v>
      </c>
      <c r="E4968" t="s">
        <v>37</v>
      </c>
      <c r="F4968" t="s">
        <v>14</v>
      </c>
      <c r="G4968" t="s">
        <v>98</v>
      </c>
      <c r="H4968" t="s">
        <v>99</v>
      </c>
      <c r="I4968">
        <v>5140.8</v>
      </c>
      <c r="J4968">
        <v>5561</v>
      </c>
      <c r="K4968" t="s">
        <v>17</v>
      </c>
      <c r="L4968" t="b">
        <v>0</v>
      </c>
      <c r="N4968" s="2" t="str">
        <f t="shared" si="442"/>
        <v/>
      </c>
      <c r="Q4968" t="str">
        <f t="shared" si="443"/>
        <v/>
      </c>
    </row>
    <row r="4969" spans="1:17" hidden="1">
      <c r="A4969" t="s">
        <v>5074</v>
      </c>
      <c r="B4969" s="1">
        <v>45585</v>
      </c>
      <c r="C4969">
        <v>2024</v>
      </c>
      <c r="D4969">
        <v>10</v>
      </c>
      <c r="E4969" t="s">
        <v>37</v>
      </c>
      <c r="F4969" t="s">
        <v>24</v>
      </c>
      <c r="G4969" t="s">
        <v>38</v>
      </c>
      <c r="H4969" t="s">
        <v>118</v>
      </c>
      <c r="I4969">
        <v>6899.56</v>
      </c>
      <c r="J4969">
        <v>6453.95</v>
      </c>
      <c r="K4969" t="s">
        <v>17</v>
      </c>
      <c r="L4969" t="b">
        <v>0</v>
      </c>
      <c r="N4969" s="2" t="str">
        <f t="shared" si="442"/>
        <v/>
      </c>
      <c r="Q4969" t="str">
        <f t="shared" si="443"/>
        <v/>
      </c>
    </row>
    <row r="4970" spans="1:17" hidden="1">
      <c r="A4970" t="s">
        <v>5075</v>
      </c>
      <c r="B4970" s="1">
        <v>45585</v>
      </c>
      <c r="C4970">
        <v>2024</v>
      </c>
      <c r="D4970">
        <v>10</v>
      </c>
      <c r="E4970" t="s">
        <v>37</v>
      </c>
      <c r="F4970" t="s">
        <v>28</v>
      </c>
      <c r="G4970" t="s">
        <v>83</v>
      </c>
      <c r="H4970" t="s">
        <v>84</v>
      </c>
      <c r="I4970">
        <v>246704.18</v>
      </c>
      <c r="J4970">
        <v>234368.97</v>
      </c>
      <c r="K4970" t="s">
        <v>85</v>
      </c>
      <c r="L4970" t="b">
        <v>0</v>
      </c>
      <c r="N4970" s="2" t="str">
        <f t="shared" si="442"/>
        <v/>
      </c>
      <c r="Q4970" t="str">
        <f t="shared" si="443"/>
        <v/>
      </c>
    </row>
    <row r="4971" spans="1:17" hidden="1">
      <c r="A4971" t="s">
        <v>5076</v>
      </c>
      <c r="B4971" s="1">
        <v>45586</v>
      </c>
      <c r="C4971">
        <v>2024</v>
      </c>
      <c r="D4971">
        <v>10</v>
      </c>
      <c r="E4971" t="s">
        <v>13</v>
      </c>
      <c r="F4971" t="s">
        <v>14</v>
      </c>
      <c r="G4971" t="s">
        <v>102</v>
      </c>
      <c r="H4971" t="s">
        <v>145</v>
      </c>
      <c r="I4971">
        <v>5157.32</v>
      </c>
      <c r="J4971">
        <v>5615.79</v>
      </c>
      <c r="K4971" t="s">
        <v>17</v>
      </c>
      <c r="L4971" t="b">
        <v>0</v>
      </c>
      <c r="N4971" s="2" t="str">
        <f t="shared" si="442"/>
        <v/>
      </c>
      <c r="Q4971" t="str">
        <f t="shared" si="443"/>
        <v/>
      </c>
    </row>
    <row r="4972" spans="1:17" hidden="1">
      <c r="A4972" t="s">
        <v>5077</v>
      </c>
      <c r="B4972" s="1">
        <v>45586</v>
      </c>
      <c r="C4972">
        <v>2024</v>
      </c>
      <c r="D4972">
        <v>10</v>
      </c>
      <c r="E4972" t="s">
        <v>13</v>
      </c>
      <c r="F4972" t="s">
        <v>28</v>
      </c>
      <c r="G4972" t="s">
        <v>102</v>
      </c>
      <c r="H4972" t="s">
        <v>145</v>
      </c>
      <c r="I4972">
        <v>5097.1000000000004</v>
      </c>
      <c r="J4972">
        <v>4633.5</v>
      </c>
      <c r="K4972" t="s">
        <v>17</v>
      </c>
      <c r="L4972" t="b">
        <v>0</v>
      </c>
      <c r="N4972" s="2" t="str">
        <f t="shared" si="442"/>
        <v/>
      </c>
      <c r="Q4972" t="str">
        <f t="shared" si="443"/>
        <v/>
      </c>
    </row>
    <row r="4973" spans="1:17" hidden="1">
      <c r="A4973" t="s">
        <v>5078</v>
      </c>
      <c r="B4973" s="1">
        <v>45586</v>
      </c>
      <c r="C4973">
        <v>2024</v>
      </c>
      <c r="D4973">
        <v>10</v>
      </c>
      <c r="E4973" t="s">
        <v>47</v>
      </c>
      <c r="F4973" t="s">
        <v>28</v>
      </c>
      <c r="G4973" t="s">
        <v>91</v>
      </c>
      <c r="H4973" t="s">
        <v>92</v>
      </c>
      <c r="I4973">
        <v>10559.38</v>
      </c>
      <c r="J4973">
        <v>8759.99</v>
      </c>
      <c r="K4973" t="s">
        <v>17</v>
      </c>
      <c r="L4973" t="b">
        <v>0</v>
      </c>
      <c r="N4973" s="2" t="b">
        <f t="shared" si="442"/>
        <v>1</v>
      </c>
      <c r="O4973" t="str">
        <f t="shared" ref="O4973:O4974" si="448">IF(AND(E4962="HR",K4962="EXPENSE"),I4962&lt;J4962,"")</f>
        <v/>
      </c>
      <c r="Q4973" t="str">
        <f t="shared" si="443"/>
        <v/>
      </c>
    </row>
    <row r="4974" spans="1:17" hidden="1">
      <c r="A4974" t="s">
        <v>5079</v>
      </c>
      <c r="B4974" s="1">
        <v>45586</v>
      </c>
      <c r="C4974">
        <v>2024</v>
      </c>
      <c r="D4974">
        <v>10</v>
      </c>
      <c r="E4974" t="s">
        <v>47</v>
      </c>
      <c r="F4974" t="s">
        <v>28</v>
      </c>
      <c r="G4974" t="s">
        <v>91</v>
      </c>
      <c r="H4974" t="s">
        <v>254</v>
      </c>
      <c r="I4974">
        <v>16085.53</v>
      </c>
      <c r="J4974">
        <v>13863.5</v>
      </c>
      <c r="K4974" t="s">
        <v>17</v>
      </c>
      <c r="L4974" t="b">
        <v>0</v>
      </c>
      <c r="N4974" s="2" t="b">
        <f t="shared" si="442"/>
        <v>1</v>
      </c>
      <c r="O4974" t="str">
        <f t="shared" si="448"/>
        <v/>
      </c>
      <c r="Q4974" t="str">
        <f t="shared" si="443"/>
        <v/>
      </c>
    </row>
    <row r="4975" spans="1:17" hidden="1">
      <c r="A4975" t="s">
        <v>5080</v>
      </c>
      <c r="B4975" s="1">
        <v>45586</v>
      </c>
      <c r="C4975">
        <v>2024</v>
      </c>
      <c r="D4975">
        <v>10</v>
      </c>
      <c r="E4975" t="s">
        <v>19</v>
      </c>
      <c r="F4975" t="s">
        <v>24</v>
      </c>
      <c r="G4975" t="s">
        <v>20</v>
      </c>
      <c r="H4975" t="s">
        <v>136</v>
      </c>
      <c r="I4975">
        <v>5395.89</v>
      </c>
      <c r="J4975">
        <v>5583.04</v>
      </c>
      <c r="K4975" t="s">
        <v>17</v>
      </c>
      <c r="L4975" t="b">
        <v>0</v>
      </c>
      <c r="N4975" s="2" t="str">
        <f t="shared" si="442"/>
        <v/>
      </c>
      <c r="Q4975" t="str">
        <f t="shared" si="443"/>
        <v/>
      </c>
    </row>
    <row r="4976" spans="1:17" hidden="1">
      <c r="A4976" t="s">
        <v>5081</v>
      </c>
      <c r="B4976" s="1">
        <v>45586</v>
      </c>
      <c r="C4976">
        <v>2024</v>
      </c>
      <c r="D4976">
        <v>10</v>
      </c>
      <c r="E4976" t="s">
        <v>23</v>
      </c>
      <c r="F4976" t="s">
        <v>28</v>
      </c>
      <c r="G4976" t="s">
        <v>30</v>
      </c>
      <c r="H4976" t="s">
        <v>106</v>
      </c>
      <c r="I4976">
        <v>7394.57</v>
      </c>
      <c r="J4976">
        <v>7124.04</v>
      </c>
      <c r="K4976" t="s">
        <v>17</v>
      </c>
      <c r="L4976" t="b">
        <v>0</v>
      </c>
      <c r="N4976" s="2" t="str">
        <f t="shared" si="442"/>
        <v/>
      </c>
      <c r="Q4976" t="str">
        <f t="shared" si="443"/>
        <v/>
      </c>
    </row>
    <row r="4977" spans="1:17" hidden="1">
      <c r="A4977" t="s">
        <v>5082</v>
      </c>
      <c r="B4977" s="1">
        <v>45586</v>
      </c>
      <c r="C4977">
        <v>2024</v>
      </c>
      <c r="D4977">
        <v>10</v>
      </c>
      <c r="E4977" t="s">
        <v>23</v>
      </c>
      <c r="F4977" t="s">
        <v>24</v>
      </c>
      <c r="G4977" t="s">
        <v>59</v>
      </c>
      <c r="H4977" t="s">
        <v>60</v>
      </c>
      <c r="I4977">
        <v>4942.79</v>
      </c>
      <c r="J4977">
        <v>5274.31</v>
      </c>
      <c r="K4977" t="s">
        <v>17</v>
      </c>
      <c r="L4977" t="b">
        <v>0</v>
      </c>
      <c r="N4977" s="2" t="str">
        <f t="shared" si="442"/>
        <v/>
      </c>
      <c r="Q4977" t="str">
        <f t="shared" si="443"/>
        <v/>
      </c>
    </row>
    <row r="4978" spans="1:17" hidden="1">
      <c r="A4978" t="s">
        <v>5083</v>
      </c>
      <c r="B4978" s="1">
        <v>45586</v>
      </c>
      <c r="C4978">
        <v>2024</v>
      </c>
      <c r="D4978">
        <v>10</v>
      </c>
      <c r="E4978" t="s">
        <v>37</v>
      </c>
      <c r="F4978" t="s">
        <v>14</v>
      </c>
      <c r="G4978" t="s">
        <v>41</v>
      </c>
      <c r="H4978" t="s">
        <v>42</v>
      </c>
      <c r="I4978">
        <v>5778.07</v>
      </c>
      <c r="J4978">
        <v>5573.75</v>
      </c>
      <c r="K4978" t="s">
        <v>17</v>
      </c>
      <c r="L4978" t="b">
        <v>0</v>
      </c>
      <c r="N4978" s="2" t="str">
        <f t="shared" si="442"/>
        <v/>
      </c>
      <c r="Q4978" t="str">
        <f t="shared" si="443"/>
        <v/>
      </c>
    </row>
    <row r="4979" spans="1:17" hidden="1">
      <c r="A4979" t="s">
        <v>5084</v>
      </c>
      <c r="B4979" s="1">
        <v>45586</v>
      </c>
      <c r="C4979">
        <v>2024</v>
      </c>
      <c r="D4979">
        <v>10</v>
      </c>
      <c r="E4979" t="s">
        <v>37</v>
      </c>
      <c r="F4979" t="s">
        <v>14</v>
      </c>
      <c r="G4979" t="s">
        <v>62</v>
      </c>
      <c r="H4979" t="s">
        <v>360</v>
      </c>
      <c r="I4979">
        <v>5589.35</v>
      </c>
      <c r="J4979">
        <v>5049.6099999999997</v>
      </c>
      <c r="K4979" t="s">
        <v>17</v>
      </c>
      <c r="L4979" t="b">
        <v>0</v>
      </c>
      <c r="N4979" s="2" t="str">
        <f t="shared" si="442"/>
        <v/>
      </c>
      <c r="Q4979" t="str">
        <f t="shared" si="443"/>
        <v/>
      </c>
    </row>
    <row r="4980" spans="1:17" hidden="1">
      <c r="A4980" t="s">
        <v>5085</v>
      </c>
      <c r="B4980" s="1">
        <v>45586</v>
      </c>
      <c r="C4980">
        <v>2024</v>
      </c>
      <c r="D4980">
        <v>10</v>
      </c>
      <c r="E4980" t="s">
        <v>37</v>
      </c>
      <c r="F4980" t="s">
        <v>24</v>
      </c>
      <c r="G4980" t="s">
        <v>38</v>
      </c>
      <c r="H4980" t="s">
        <v>118</v>
      </c>
      <c r="I4980">
        <v>3556.39</v>
      </c>
      <c r="J4980">
        <v>3599.44</v>
      </c>
      <c r="K4980" t="s">
        <v>17</v>
      </c>
      <c r="L4980" t="b">
        <v>0</v>
      </c>
      <c r="N4980" s="2" t="str">
        <f t="shared" si="442"/>
        <v/>
      </c>
      <c r="Q4980" t="str">
        <f t="shared" si="443"/>
        <v/>
      </c>
    </row>
    <row r="4981" spans="1:17" hidden="1">
      <c r="A4981" t="s">
        <v>5086</v>
      </c>
      <c r="B4981" s="1">
        <v>45587</v>
      </c>
      <c r="C4981">
        <v>2024</v>
      </c>
      <c r="D4981">
        <v>10</v>
      </c>
      <c r="E4981" t="s">
        <v>13</v>
      </c>
      <c r="F4981" t="s">
        <v>14</v>
      </c>
      <c r="G4981" t="s">
        <v>108</v>
      </c>
      <c r="H4981" t="s">
        <v>123</v>
      </c>
      <c r="I4981">
        <v>5586.31</v>
      </c>
      <c r="J4981">
        <v>5635.73</v>
      </c>
      <c r="K4981" t="s">
        <v>17</v>
      </c>
      <c r="L4981" t="b">
        <v>0</v>
      </c>
      <c r="N4981" s="2" t="str">
        <f t="shared" si="442"/>
        <v/>
      </c>
      <c r="Q4981" t="str">
        <f t="shared" si="443"/>
        <v/>
      </c>
    </row>
    <row r="4982" spans="1:17" hidden="1">
      <c r="A4982" t="s">
        <v>5087</v>
      </c>
      <c r="B4982" s="1">
        <v>45587</v>
      </c>
      <c r="C4982">
        <v>2024</v>
      </c>
      <c r="D4982">
        <v>10</v>
      </c>
      <c r="E4982" t="s">
        <v>13</v>
      </c>
      <c r="F4982" t="s">
        <v>14</v>
      </c>
      <c r="G4982" t="s">
        <v>15</v>
      </c>
      <c r="H4982" t="s">
        <v>45</v>
      </c>
      <c r="I4982">
        <v>3940.53</v>
      </c>
      <c r="J4982">
        <v>3784.04</v>
      </c>
      <c r="K4982" t="s">
        <v>17</v>
      </c>
      <c r="L4982" t="b">
        <v>0</v>
      </c>
      <c r="N4982" s="2" t="str">
        <f t="shared" si="442"/>
        <v/>
      </c>
      <c r="Q4982" t="str">
        <f t="shared" si="443"/>
        <v/>
      </c>
    </row>
    <row r="4983" spans="1:17" hidden="1">
      <c r="A4983" t="s">
        <v>5088</v>
      </c>
      <c r="B4983" s="1">
        <v>45587</v>
      </c>
      <c r="C4983">
        <v>2024</v>
      </c>
      <c r="D4983">
        <v>10</v>
      </c>
      <c r="E4983" t="s">
        <v>13</v>
      </c>
      <c r="F4983" t="s">
        <v>28</v>
      </c>
      <c r="G4983" t="s">
        <v>15</v>
      </c>
      <c r="H4983" t="s">
        <v>45</v>
      </c>
      <c r="I4983">
        <v>5723.11</v>
      </c>
      <c r="J4983">
        <v>5349.55</v>
      </c>
      <c r="K4983" t="s">
        <v>17</v>
      </c>
      <c r="L4983" t="b">
        <v>0</v>
      </c>
      <c r="N4983" s="2" t="str">
        <f t="shared" si="442"/>
        <v/>
      </c>
      <c r="Q4983" t="str">
        <f t="shared" si="443"/>
        <v/>
      </c>
    </row>
    <row r="4984" spans="1:17" hidden="1">
      <c r="A4984" t="s">
        <v>5089</v>
      </c>
      <c r="B4984" s="1">
        <v>45587</v>
      </c>
      <c r="C4984">
        <v>2024</v>
      </c>
      <c r="D4984">
        <v>10</v>
      </c>
      <c r="E4984" t="s">
        <v>13</v>
      </c>
      <c r="F4984" t="s">
        <v>24</v>
      </c>
      <c r="G4984" t="s">
        <v>15</v>
      </c>
      <c r="H4984" t="s">
        <v>89</v>
      </c>
      <c r="I4984">
        <v>2894.86</v>
      </c>
      <c r="J4984">
        <v>2948.77</v>
      </c>
      <c r="K4984" t="s">
        <v>17</v>
      </c>
      <c r="L4984" t="b">
        <v>0</v>
      </c>
      <c r="N4984" s="2" t="str">
        <f t="shared" si="442"/>
        <v/>
      </c>
      <c r="Q4984" t="str">
        <f t="shared" si="443"/>
        <v/>
      </c>
    </row>
    <row r="4985" spans="1:17" hidden="1">
      <c r="A4985" t="s">
        <v>5090</v>
      </c>
      <c r="B4985" s="1">
        <v>45587</v>
      </c>
      <c r="C4985">
        <v>2024</v>
      </c>
      <c r="D4985">
        <v>10</v>
      </c>
      <c r="E4985" t="s">
        <v>47</v>
      </c>
      <c r="F4985" t="s">
        <v>14</v>
      </c>
      <c r="G4985" t="s">
        <v>91</v>
      </c>
      <c r="H4985" t="s">
        <v>254</v>
      </c>
      <c r="I4985">
        <v>11135.47</v>
      </c>
      <c r="J4985">
        <v>9666.3700000000008</v>
      </c>
      <c r="K4985" t="s">
        <v>17</v>
      </c>
      <c r="L4985" t="b">
        <v>0</v>
      </c>
      <c r="N4985" s="2" t="b">
        <f t="shared" si="442"/>
        <v>1</v>
      </c>
      <c r="O4985" t="str">
        <f>IF(AND(E4974="HR",K4974="EXPENSE"),I4974&lt;J4974,"")</f>
        <v/>
      </c>
      <c r="Q4985" t="str">
        <f t="shared" si="443"/>
        <v/>
      </c>
    </row>
    <row r="4986" spans="1:17" hidden="1">
      <c r="A4986" t="s">
        <v>5091</v>
      </c>
      <c r="B4986" s="1">
        <v>45587</v>
      </c>
      <c r="C4986">
        <v>2024</v>
      </c>
      <c r="D4986">
        <v>10</v>
      </c>
      <c r="E4986" t="s">
        <v>19</v>
      </c>
      <c r="F4986" t="s">
        <v>14</v>
      </c>
      <c r="G4986" t="s">
        <v>80</v>
      </c>
      <c r="H4986" t="s">
        <v>150</v>
      </c>
      <c r="I4986">
        <v>6608.17</v>
      </c>
      <c r="J4986">
        <v>7213.93</v>
      </c>
      <c r="K4986" t="s">
        <v>17</v>
      </c>
      <c r="L4986" t="b">
        <v>0</v>
      </c>
      <c r="N4986" s="2" t="str">
        <f t="shared" si="442"/>
        <v/>
      </c>
      <c r="Q4986" t="str">
        <f t="shared" si="443"/>
        <v/>
      </c>
    </row>
    <row r="4987" spans="1:17" hidden="1">
      <c r="A4987" t="s">
        <v>5092</v>
      </c>
      <c r="B4987" s="1">
        <v>45587</v>
      </c>
      <c r="C4987">
        <v>2024</v>
      </c>
      <c r="D4987">
        <v>10</v>
      </c>
      <c r="E4987" t="s">
        <v>19</v>
      </c>
      <c r="F4987" t="s">
        <v>14</v>
      </c>
      <c r="G4987" t="s">
        <v>54</v>
      </c>
      <c r="H4987" t="s">
        <v>163</v>
      </c>
      <c r="I4987">
        <v>5389.1</v>
      </c>
      <c r="J4987">
        <v>5878.06</v>
      </c>
      <c r="K4987" t="s">
        <v>17</v>
      </c>
      <c r="L4987" t="b">
        <v>0</v>
      </c>
      <c r="N4987" s="2" t="str">
        <f t="shared" si="442"/>
        <v/>
      </c>
      <c r="Q4987" t="str">
        <f t="shared" si="443"/>
        <v/>
      </c>
    </row>
    <row r="4988" spans="1:17" hidden="1">
      <c r="A4988" t="s">
        <v>5093</v>
      </c>
      <c r="B4988" s="1">
        <v>45587</v>
      </c>
      <c r="C4988">
        <v>2024</v>
      </c>
      <c r="D4988">
        <v>10</v>
      </c>
      <c r="E4988" t="s">
        <v>19</v>
      </c>
      <c r="F4988" t="s">
        <v>28</v>
      </c>
      <c r="G4988" t="s">
        <v>132</v>
      </c>
      <c r="H4988" t="s">
        <v>133</v>
      </c>
      <c r="I4988">
        <v>5936.6</v>
      </c>
      <c r="J4988">
        <v>5803.1</v>
      </c>
      <c r="K4988" t="s">
        <v>17</v>
      </c>
      <c r="L4988" t="b">
        <v>0</v>
      </c>
      <c r="N4988" s="2" t="str">
        <f t="shared" si="442"/>
        <v/>
      </c>
      <c r="Q4988" t="str">
        <f t="shared" si="443"/>
        <v/>
      </c>
    </row>
    <row r="4989" spans="1:17" hidden="1">
      <c r="A4989" t="s">
        <v>5094</v>
      </c>
      <c r="B4989" s="1">
        <v>45587</v>
      </c>
      <c r="C4989">
        <v>2024</v>
      </c>
      <c r="D4989">
        <v>10</v>
      </c>
      <c r="E4989" t="s">
        <v>23</v>
      </c>
      <c r="F4989" t="s">
        <v>24</v>
      </c>
      <c r="G4989" t="s">
        <v>141</v>
      </c>
      <c r="H4989" t="s">
        <v>153</v>
      </c>
      <c r="I4989">
        <v>6256.46</v>
      </c>
      <c r="J4989">
        <v>6277.48</v>
      </c>
      <c r="K4989" t="s">
        <v>17</v>
      </c>
      <c r="L4989" t="b">
        <v>0</v>
      </c>
      <c r="N4989" s="2" t="str">
        <f t="shared" si="442"/>
        <v/>
      </c>
      <c r="Q4989" t="str">
        <f t="shared" si="443"/>
        <v/>
      </c>
    </row>
    <row r="4990" spans="1:17" hidden="1">
      <c r="A4990" t="s">
        <v>5095</v>
      </c>
      <c r="B4990" s="1">
        <v>45587</v>
      </c>
      <c r="C4990">
        <v>2024</v>
      </c>
      <c r="D4990">
        <v>10</v>
      </c>
      <c r="E4990" t="s">
        <v>23</v>
      </c>
      <c r="F4990" t="s">
        <v>24</v>
      </c>
      <c r="G4990" t="s">
        <v>59</v>
      </c>
      <c r="H4990" t="s">
        <v>155</v>
      </c>
      <c r="I4990">
        <v>7413.71</v>
      </c>
      <c r="J4990">
        <v>6965.4</v>
      </c>
      <c r="K4990" t="s">
        <v>17</v>
      </c>
      <c r="L4990" t="b">
        <v>0</v>
      </c>
      <c r="N4990" s="2" t="str">
        <f t="shared" si="442"/>
        <v/>
      </c>
      <c r="Q4990" t="str">
        <f t="shared" si="443"/>
        <v/>
      </c>
    </row>
    <row r="4991" spans="1:17" hidden="1">
      <c r="A4991" t="s">
        <v>5096</v>
      </c>
      <c r="B4991" s="1">
        <v>45587</v>
      </c>
      <c r="C4991">
        <v>2024</v>
      </c>
      <c r="D4991">
        <v>10</v>
      </c>
      <c r="E4991" t="s">
        <v>37</v>
      </c>
      <c r="F4991" t="s">
        <v>14</v>
      </c>
      <c r="G4991" t="s">
        <v>98</v>
      </c>
      <c r="H4991" t="s">
        <v>99</v>
      </c>
      <c r="I4991">
        <v>5153.9399999999996</v>
      </c>
      <c r="J4991">
        <v>5642.86</v>
      </c>
      <c r="K4991" t="s">
        <v>17</v>
      </c>
      <c r="L4991" t="b">
        <v>0</v>
      </c>
      <c r="N4991" s="2" t="str">
        <f t="shared" si="442"/>
        <v/>
      </c>
      <c r="Q4991" t="str">
        <f t="shared" si="443"/>
        <v/>
      </c>
    </row>
    <row r="4992" spans="1:17" hidden="1">
      <c r="A4992" t="s">
        <v>5097</v>
      </c>
      <c r="B4992" s="1">
        <v>45588</v>
      </c>
      <c r="C4992">
        <v>2024</v>
      </c>
      <c r="D4992">
        <v>10</v>
      </c>
      <c r="E4992" t="s">
        <v>19</v>
      </c>
      <c r="F4992" t="s">
        <v>24</v>
      </c>
      <c r="G4992" t="s">
        <v>132</v>
      </c>
      <c r="H4992" t="s">
        <v>133</v>
      </c>
      <c r="I4992">
        <v>5269.42</v>
      </c>
      <c r="J4992">
        <v>5298.83</v>
      </c>
      <c r="K4992" t="s">
        <v>17</v>
      </c>
      <c r="L4992" t="b">
        <v>0</v>
      </c>
      <c r="N4992" s="2" t="str">
        <f t="shared" si="442"/>
        <v/>
      </c>
      <c r="Q4992" t="str">
        <f t="shared" si="443"/>
        <v/>
      </c>
    </row>
    <row r="4993" spans="1:17" hidden="1">
      <c r="A4993" t="s">
        <v>5098</v>
      </c>
      <c r="B4993" s="1">
        <v>45588</v>
      </c>
      <c r="C4993">
        <v>2024</v>
      </c>
      <c r="D4993">
        <v>10</v>
      </c>
      <c r="E4993" t="s">
        <v>23</v>
      </c>
      <c r="F4993" t="s">
        <v>14</v>
      </c>
      <c r="G4993" t="s">
        <v>59</v>
      </c>
      <c r="H4993" t="s">
        <v>60</v>
      </c>
      <c r="I4993">
        <v>4821.97</v>
      </c>
      <c r="J4993">
        <v>4565.5200000000004</v>
      </c>
      <c r="K4993" t="s">
        <v>17</v>
      </c>
      <c r="L4993" t="b">
        <v>0</v>
      </c>
      <c r="N4993" s="2" t="str">
        <f t="shared" si="442"/>
        <v/>
      </c>
      <c r="Q4993" t="str">
        <f t="shared" si="443"/>
        <v/>
      </c>
    </row>
    <row r="4994" spans="1:17" hidden="1">
      <c r="A4994" t="s">
        <v>5099</v>
      </c>
      <c r="B4994" s="1">
        <v>45588</v>
      </c>
      <c r="C4994">
        <v>2024</v>
      </c>
      <c r="D4994">
        <v>10</v>
      </c>
      <c r="E4994" t="s">
        <v>23</v>
      </c>
      <c r="F4994" t="s">
        <v>14</v>
      </c>
      <c r="G4994" t="s">
        <v>25</v>
      </c>
      <c r="H4994" t="s">
        <v>35</v>
      </c>
      <c r="I4994">
        <v>4263.12</v>
      </c>
      <c r="J4994">
        <v>4067.41</v>
      </c>
      <c r="K4994" t="s">
        <v>17</v>
      </c>
      <c r="L4994" t="b">
        <v>0</v>
      </c>
      <c r="N4994" s="2" t="str">
        <f t="shared" si="442"/>
        <v/>
      </c>
      <c r="Q4994" t="str">
        <f t="shared" si="443"/>
        <v/>
      </c>
    </row>
    <row r="4995" spans="1:17" hidden="1">
      <c r="A4995" t="s">
        <v>5100</v>
      </c>
      <c r="B4995" s="1">
        <v>45589</v>
      </c>
      <c r="C4995">
        <v>2024</v>
      </c>
      <c r="D4995">
        <v>10</v>
      </c>
      <c r="E4995" t="s">
        <v>13</v>
      </c>
      <c r="F4995" t="s">
        <v>28</v>
      </c>
      <c r="G4995" t="s">
        <v>68</v>
      </c>
      <c r="H4995" t="s">
        <v>213</v>
      </c>
      <c r="I4995">
        <v>3345.36</v>
      </c>
      <c r="J4995">
        <v>3388.75</v>
      </c>
      <c r="K4995" t="s">
        <v>17</v>
      </c>
      <c r="L4995" t="b">
        <v>0</v>
      </c>
      <c r="N4995" s="2" t="str">
        <f t="shared" ref="N4995:N5058" si="449">IF(AND(E4995="IT",K4995="EXPENSE"),I4995&gt;J4995,"")</f>
        <v/>
      </c>
      <c r="Q4995" t="str">
        <f t="shared" ref="Q4995:Q5058" si="450">IF(L4995=TRUE,OR(H4995="Apex Solutions Inc",H4995="Global Trade Partners",H4995="NovaTech Services"),"")</f>
        <v/>
      </c>
    </row>
    <row r="4996" spans="1:17" hidden="1">
      <c r="A4996" t="s">
        <v>5101</v>
      </c>
      <c r="B4996" s="1">
        <v>45589</v>
      </c>
      <c r="C4996">
        <v>2024</v>
      </c>
      <c r="D4996">
        <v>10</v>
      </c>
      <c r="E4996" t="s">
        <v>47</v>
      </c>
      <c r="F4996" t="s">
        <v>24</v>
      </c>
      <c r="G4996" t="s">
        <v>91</v>
      </c>
      <c r="H4996" t="s">
        <v>249</v>
      </c>
      <c r="I4996">
        <v>10031.52</v>
      </c>
      <c r="J4996">
        <v>8281.07</v>
      </c>
      <c r="K4996" t="s">
        <v>17</v>
      </c>
      <c r="L4996" t="b">
        <v>0</v>
      </c>
      <c r="N4996" s="2" t="b">
        <f t="shared" si="449"/>
        <v>1</v>
      </c>
      <c r="O4996" t="str">
        <f>IF(AND(E4985="HR",K4985="EXPENSE"),I4985&lt;J4985,"")</f>
        <v/>
      </c>
      <c r="Q4996" t="str">
        <f t="shared" si="450"/>
        <v/>
      </c>
    </row>
    <row r="4997" spans="1:17" hidden="1">
      <c r="A4997" t="s">
        <v>5102</v>
      </c>
      <c r="B4997" s="1">
        <v>45589</v>
      </c>
      <c r="C4997">
        <v>2024</v>
      </c>
      <c r="D4997">
        <v>10</v>
      </c>
      <c r="E4997" t="s">
        <v>19</v>
      </c>
      <c r="F4997" t="s">
        <v>24</v>
      </c>
      <c r="G4997" t="s">
        <v>132</v>
      </c>
      <c r="H4997" t="s">
        <v>133</v>
      </c>
      <c r="I4997">
        <v>7660.5</v>
      </c>
      <c r="J4997">
        <v>7257.78</v>
      </c>
      <c r="K4997" t="s">
        <v>17</v>
      </c>
      <c r="L4997" t="b">
        <v>0</v>
      </c>
      <c r="N4997" s="2" t="str">
        <f t="shared" si="449"/>
        <v/>
      </c>
      <c r="Q4997" t="str">
        <f t="shared" si="450"/>
        <v/>
      </c>
    </row>
    <row r="4998" spans="1:17" hidden="1">
      <c r="A4998" t="s">
        <v>5103</v>
      </c>
      <c r="B4998" s="1">
        <v>45589</v>
      </c>
      <c r="C4998">
        <v>2024</v>
      </c>
      <c r="D4998">
        <v>10</v>
      </c>
      <c r="E4998" t="s">
        <v>23</v>
      </c>
      <c r="F4998" t="s">
        <v>28</v>
      </c>
      <c r="G4998" t="s">
        <v>59</v>
      </c>
      <c r="H4998" t="s">
        <v>155</v>
      </c>
      <c r="I4998">
        <v>6129.45</v>
      </c>
      <c r="J4998">
        <v>6691.77</v>
      </c>
      <c r="K4998" t="s">
        <v>17</v>
      </c>
      <c r="L4998" t="b">
        <v>0</v>
      </c>
      <c r="N4998" s="2" t="str">
        <f t="shared" si="449"/>
        <v/>
      </c>
      <c r="Q4998" t="str">
        <f t="shared" si="450"/>
        <v/>
      </c>
    </row>
    <row r="4999" spans="1:17" hidden="1">
      <c r="A4999" t="s">
        <v>5104</v>
      </c>
      <c r="B4999" s="1">
        <v>45589</v>
      </c>
      <c r="C4999">
        <v>2024</v>
      </c>
      <c r="D4999">
        <v>10</v>
      </c>
      <c r="E4999" t="s">
        <v>37</v>
      </c>
      <c r="F4999" t="s">
        <v>14</v>
      </c>
      <c r="G4999" t="s">
        <v>62</v>
      </c>
      <c r="H4999" t="s">
        <v>63</v>
      </c>
      <c r="I4999">
        <v>5543.64</v>
      </c>
      <c r="J4999">
        <v>5951.23</v>
      </c>
      <c r="K4999" t="s">
        <v>17</v>
      </c>
      <c r="L4999" t="b">
        <v>0</v>
      </c>
      <c r="N4999" s="2" t="str">
        <f t="shared" si="449"/>
        <v/>
      </c>
      <c r="Q4999" t="str">
        <f t="shared" si="450"/>
        <v/>
      </c>
    </row>
    <row r="5000" spans="1:17" hidden="1">
      <c r="A5000" t="s">
        <v>5105</v>
      </c>
      <c r="B5000" s="1">
        <v>45589</v>
      </c>
      <c r="C5000">
        <v>2024</v>
      </c>
      <c r="D5000">
        <v>10</v>
      </c>
      <c r="E5000" t="s">
        <v>37</v>
      </c>
      <c r="F5000" t="s">
        <v>28</v>
      </c>
      <c r="G5000" t="s">
        <v>62</v>
      </c>
      <c r="H5000" t="s">
        <v>63</v>
      </c>
      <c r="I5000">
        <v>8108.82</v>
      </c>
      <c r="J5000">
        <v>8882.69</v>
      </c>
      <c r="K5000" t="s">
        <v>17</v>
      </c>
      <c r="L5000" t="b">
        <v>0</v>
      </c>
      <c r="N5000" s="2" t="str">
        <f t="shared" si="449"/>
        <v/>
      </c>
      <c r="Q5000" t="str">
        <f t="shared" si="450"/>
        <v/>
      </c>
    </row>
    <row r="5001" spans="1:17" hidden="1">
      <c r="A5001" t="s">
        <v>5106</v>
      </c>
      <c r="B5001" s="1">
        <v>45590</v>
      </c>
      <c r="C5001">
        <v>2024</v>
      </c>
      <c r="D5001">
        <v>10</v>
      </c>
      <c r="E5001" t="s">
        <v>13</v>
      </c>
      <c r="F5001" t="s">
        <v>14</v>
      </c>
      <c r="G5001" t="s">
        <v>15</v>
      </c>
      <c r="H5001" t="s">
        <v>89</v>
      </c>
      <c r="I5001">
        <v>5641.09</v>
      </c>
      <c r="J5001">
        <v>5268.4</v>
      </c>
      <c r="K5001" t="s">
        <v>17</v>
      </c>
      <c r="L5001" t="b">
        <v>0</v>
      </c>
      <c r="N5001" s="2" t="str">
        <f t="shared" si="449"/>
        <v/>
      </c>
      <c r="Q5001" t="str">
        <f t="shared" si="450"/>
        <v/>
      </c>
    </row>
    <row r="5002" spans="1:17" hidden="1">
      <c r="A5002" t="s">
        <v>5107</v>
      </c>
      <c r="B5002" s="1">
        <v>45590</v>
      </c>
      <c r="C5002">
        <v>2024</v>
      </c>
      <c r="D5002">
        <v>10</v>
      </c>
      <c r="E5002" t="s">
        <v>13</v>
      </c>
      <c r="F5002" t="s">
        <v>24</v>
      </c>
      <c r="G5002" t="s">
        <v>15</v>
      </c>
      <c r="H5002" t="s">
        <v>16</v>
      </c>
      <c r="I5002">
        <v>3514.06</v>
      </c>
      <c r="J5002">
        <v>3409.1</v>
      </c>
      <c r="K5002" t="s">
        <v>17</v>
      </c>
      <c r="L5002" t="b">
        <v>0</v>
      </c>
      <c r="N5002" s="2" t="str">
        <f t="shared" si="449"/>
        <v/>
      </c>
      <c r="Q5002" t="str">
        <f t="shared" si="450"/>
        <v/>
      </c>
    </row>
    <row r="5003" spans="1:17" hidden="1">
      <c r="A5003" t="s">
        <v>5108</v>
      </c>
      <c r="B5003" s="1">
        <v>45590</v>
      </c>
      <c r="C5003">
        <v>2024</v>
      </c>
      <c r="D5003">
        <v>10</v>
      </c>
      <c r="E5003" t="s">
        <v>13</v>
      </c>
      <c r="F5003" t="s">
        <v>24</v>
      </c>
      <c r="G5003" t="s">
        <v>102</v>
      </c>
      <c r="H5003" t="s">
        <v>103</v>
      </c>
      <c r="I5003">
        <v>2906.5</v>
      </c>
      <c r="J5003">
        <v>3159.46</v>
      </c>
      <c r="K5003" t="s">
        <v>17</v>
      </c>
      <c r="L5003" t="b">
        <v>0</v>
      </c>
      <c r="N5003" s="2" t="str">
        <f t="shared" si="449"/>
        <v/>
      </c>
      <c r="Q5003" t="str">
        <f t="shared" si="450"/>
        <v/>
      </c>
    </row>
    <row r="5004" spans="1:17" hidden="1">
      <c r="A5004" t="s">
        <v>5109</v>
      </c>
      <c r="B5004" s="1">
        <v>45590</v>
      </c>
      <c r="C5004">
        <v>2024</v>
      </c>
      <c r="D5004">
        <v>10</v>
      </c>
      <c r="E5004" t="s">
        <v>47</v>
      </c>
      <c r="F5004" t="s">
        <v>14</v>
      </c>
      <c r="G5004" t="s">
        <v>77</v>
      </c>
      <c r="H5004" t="s">
        <v>130</v>
      </c>
      <c r="I5004">
        <v>10867.18</v>
      </c>
      <c r="J5004">
        <v>9363.81</v>
      </c>
      <c r="K5004" t="s">
        <v>17</v>
      </c>
      <c r="L5004" t="b">
        <v>0</v>
      </c>
      <c r="N5004" s="2" t="b">
        <f t="shared" si="449"/>
        <v>1</v>
      </c>
      <c r="O5004" t="str">
        <f t="shared" ref="O5004:O5006" si="451">IF(AND(E4993="HR",K4993="EXPENSE"),I4993&lt;J4993,"")</f>
        <v/>
      </c>
      <c r="Q5004" t="str">
        <f t="shared" si="450"/>
        <v/>
      </c>
    </row>
    <row r="5005" spans="1:17" hidden="1">
      <c r="A5005" t="s">
        <v>5110</v>
      </c>
      <c r="B5005" s="1">
        <v>45590</v>
      </c>
      <c r="C5005">
        <v>2024</v>
      </c>
      <c r="D5005">
        <v>10</v>
      </c>
      <c r="E5005" t="s">
        <v>47</v>
      </c>
      <c r="F5005" t="s">
        <v>14</v>
      </c>
      <c r="G5005" t="s">
        <v>77</v>
      </c>
      <c r="H5005" t="s">
        <v>130</v>
      </c>
      <c r="I5005">
        <v>12897.81</v>
      </c>
      <c r="J5005">
        <v>11190.79</v>
      </c>
      <c r="K5005" t="s">
        <v>17</v>
      </c>
      <c r="L5005" t="b">
        <v>0</v>
      </c>
      <c r="N5005" s="2" t="b">
        <f t="shared" si="449"/>
        <v>1</v>
      </c>
      <c r="O5005" t="str">
        <f t="shared" si="451"/>
        <v/>
      </c>
      <c r="Q5005" t="str">
        <f t="shared" si="450"/>
        <v/>
      </c>
    </row>
    <row r="5006" spans="1:17" hidden="1">
      <c r="A5006" t="s">
        <v>5111</v>
      </c>
      <c r="B5006" s="1">
        <v>45590</v>
      </c>
      <c r="C5006">
        <v>2024</v>
      </c>
      <c r="D5006">
        <v>10</v>
      </c>
      <c r="E5006" t="s">
        <v>47</v>
      </c>
      <c r="F5006" t="s">
        <v>28</v>
      </c>
      <c r="G5006" t="s">
        <v>77</v>
      </c>
      <c r="H5006" t="s">
        <v>130</v>
      </c>
      <c r="I5006">
        <v>15093.34</v>
      </c>
      <c r="J5006">
        <v>12591.02</v>
      </c>
      <c r="K5006" t="s">
        <v>17</v>
      </c>
      <c r="L5006" t="b">
        <v>0</v>
      </c>
      <c r="N5006" s="2" t="b">
        <f t="shared" si="449"/>
        <v>1</v>
      </c>
      <c r="O5006" t="b">
        <f t="shared" si="451"/>
        <v>1</v>
      </c>
      <c r="Q5006" t="str">
        <f t="shared" si="450"/>
        <v/>
      </c>
    </row>
    <row r="5007" spans="1:17" hidden="1">
      <c r="A5007" t="s">
        <v>5112</v>
      </c>
      <c r="B5007" s="1">
        <v>45590</v>
      </c>
      <c r="C5007">
        <v>2024</v>
      </c>
      <c r="D5007">
        <v>10</v>
      </c>
      <c r="E5007" t="s">
        <v>19</v>
      </c>
      <c r="F5007" t="s">
        <v>14</v>
      </c>
      <c r="G5007" t="s">
        <v>54</v>
      </c>
      <c r="H5007" t="s">
        <v>163</v>
      </c>
      <c r="I5007">
        <v>6261.7</v>
      </c>
      <c r="J5007">
        <v>6253.93</v>
      </c>
      <c r="K5007" t="s">
        <v>17</v>
      </c>
      <c r="L5007" t="b">
        <v>0</v>
      </c>
      <c r="N5007" s="2" t="str">
        <f t="shared" si="449"/>
        <v/>
      </c>
      <c r="Q5007" t="str">
        <f t="shared" si="450"/>
        <v/>
      </c>
    </row>
    <row r="5008" spans="1:17" hidden="1">
      <c r="A5008" t="s">
        <v>5113</v>
      </c>
      <c r="B5008" s="1">
        <v>45590</v>
      </c>
      <c r="C5008">
        <v>2024</v>
      </c>
      <c r="D5008">
        <v>10</v>
      </c>
      <c r="E5008" t="s">
        <v>19</v>
      </c>
      <c r="F5008" t="s">
        <v>28</v>
      </c>
      <c r="G5008" t="s">
        <v>132</v>
      </c>
      <c r="H5008" t="s">
        <v>171</v>
      </c>
      <c r="I5008">
        <v>6370.54</v>
      </c>
      <c r="J5008">
        <v>6437.75</v>
      </c>
      <c r="K5008" t="s">
        <v>17</v>
      </c>
      <c r="L5008" t="b">
        <v>0</v>
      </c>
      <c r="N5008" s="2" t="str">
        <f t="shared" si="449"/>
        <v/>
      </c>
      <c r="Q5008" t="str">
        <f t="shared" si="450"/>
        <v/>
      </c>
    </row>
    <row r="5009" spans="1:17" hidden="1">
      <c r="A5009" t="s">
        <v>5114</v>
      </c>
      <c r="B5009" s="1">
        <v>45590</v>
      </c>
      <c r="C5009">
        <v>2024</v>
      </c>
      <c r="D5009">
        <v>10</v>
      </c>
      <c r="E5009" t="s">
        <v>19</v>
      </c>
      <c r="F5009" t="s">
        <v>28</v>
      </c>
      <c r="G5009" t="s">
        <v>80</v>
      </c>
      <c r="H5009" t="s">
        <v>150</v>
      </c>
      <c r="I5009">
        <v>5771.06</v>
      </c>
      <c r="J5009">
        <v>5607.59</v>
      </c>
      <c r="K5009" t="s">
        <v>17</v>
      </c>
      <c r="L5009" t="b">
        <v>0</v>
      </c>
      <c r="N5009" s="2" t="str">
        <f t="shared" si="449"/>
        <v/>
      </c>
      <c r="Q5009" t="str">
        <f t="shared" si="450"/>
        <v/>
      </c>
    </row>
    <row r="5010" spans="1:17" hidden="1">
      <c r="A5010" t="s">
        <v>5115</v>
      </c>
      <c r="B5010" s="1">
        <v>45590</v>
      </c>
      <c r="C5010">
        <v>2024</v>
      </c>
      <c r="D5010">
        <v>10</v>
      </c>
      <c r="E5010" t="s">
        <v>23</v>
      </c>
      <c r="F5010" t="s">
        <v>14</v>
      </c>
      <c r="G5010" t="s">
        <v>25</v>
      </c>
      <c r="H5010" t="s">
        <v>26</v>
      </c>
      <c r="I5010">
        <v>4983.3999999999996</v>
      </c>
      <c r="J5010">
        <v>4674.1899999999996</v>
      </c>
      <c r="K5010" t="s">
        <v>17</v>
      </c>
      <c r="L5010" t="b">
        <v>0</v>
      </c>
      <c r="N5010" s="2" t="str">
        <f t="shared" si="449"/>
        <v/>
      </c>
      <c r="Q5010" t="str">
        <f t="shared" si="450"/>
        <v/>
      </c>
    </row>
    <row r="5011" spans="1:17" hidden="1">
      <c r="A5011" t="s">
        <v>5116</v>
      </c>
      <c r="B5011" s="1">
        <v>45590</v>
      </c>
      <c r="C5011">
        <v>2024</v>
      </c>
      <c r="D5011">
        <v>10</v>
      </c>
      <c r="E5011" t="s">
        <v>23</v>
      </c>
      <c r="F5011" t="s">
        <v>14</v>
      </c>
      <c r="G5011" t="s">
        <v>25</v>
      </c>
      <c r="H5011" t="s">
        <v>95</v>
      </c>
      <c r="I5011">
        <v>6154.72</v>
      </c>
      <c r="J5011">
        <v>6046.23</v>
      </c>
      <c r="K5011" t="s">
        <v>17</v>
      </c>
      <c r="L5011" t="b">
        <v>0</v>
      </c>
      <c r="N5011" s="2" t="str">
        <f t="shared" si="449"/>
        <v/>
      </c>
      <c r="Q5011" t="str">
        <f t="shared" si="450"/>
        <v/>
      </c>
    </row>
    <row r="5012" spans="1:17" hidden="1">
      <c r="A5012" t="s">
        <v>5117</v>
      </c>
      <c r="B5012" s="1">
        <v>45590</v>
      </c>
      <c r="C5012">
        <v>2024</v>
      </c>
      <c r="D5012">
        <v>10</v>
      </c>
      <c r="E5012" t="s">
        <v>23</v>
      </c>
      <c r="F5012" t="s">
        <v>28</v>
      </c>
      <c r="G5012" t="s">
        <v>141</v>
      </c>
      <c r="H5012" t="s">
        <v>209</v>
      </c>
      <c r="I5012">
        <v>6306.58</v>
      </c>
      <c r="J5012">
        <v>6356.41</v>
      </c>
      <c r="K5012" t="s">
        <v>17</v>
      </c>
      <c r="L5012" t="b">
        <v>0</v>
      </c>
      <c r="N5012" s="2" t="str">
        <f t="shared" si="449"/>
        <v/>
      </c>
      <c r="Q5012" t="str">
        <f t="shared" si="450"/>
        <v/>
      </c>
    </row>
    <row r="5013" spans="1:17" hidden="1">
      <c r="A5013" t="s">
        <v>5118</v>
      </c>
      <c r="B5013" s="1">
        <v>45590</v>
      </c>
      <c r="C5013">
        <v>2024</v>
      </c>
      <c r="D5013">
        <v>10</v>
      </c>
      <c r="E5013" t="s">
        <v>23</v>
      </c>
      <c r="F5013" t="s">
        <v>24</v>
      </c>
      <c r="G5013" t="s">
        <v>141</v>
      </c>
      <c r="H5013" t="s">
        <v>209</v>
      </c>
      <c r="I5013">
        <v>5700.32</v>
      </c>
      <c r="J5013">
        <v>5640.33</v>
      </c>
      <c r="K5013" t="s">
        <v>17</v>
      </c>
      <c r="L5013" t="b">
        <v>0</v>
      </c>
      <c r="N5013" s="2" t="str">
        <f t="shared" si="449"/>
        <v/>
      </c>
      <c r="Q5013" t="str">
        <f t="shared" si="450"/>
        <v/>
      </c>
    </row>
    <row r="5014" spans="1:17" hidden="1">
      <c r="A5014" t="s">
        <v>5119</v>
      </c>
      <c r="B5014" s="1">
        <v>45590</v>
      </c>
      <c r="C5014">
        <v>2024</v>
      </c>
      <c r="D5014">
        <v>10</v>
      </c>
      <c r="E5014" t="s">
        <v>37</v>
      </c>
      <c r="F5014" t="s">
        <v>24</v>
      </c>
      <c r="G5014" t="s">
        <v>62</v>
      </c>
      <c r="H5014" t="s">
        <v>360</v>
      </c>
      <c r="I5014">
        <v>6922.84</v>
      </c>
      <c r="J5014">
        <v>7550.84</v>
      </c>
      <c r="K5014" t="s">
        <v>17</v>
      </c>
      <c r="L5014" t="b">
        <v>0</v>
      </c>
      <c r="N5014" s="2" t="str">
        <f t="shared" si="449"/>
        <v/>
      </c>
      <c r="Q5014" t="str">
        <f t="shared" si="450"/>
        <v/>
      </c>
    </row>
    <row r="5015" spans="1:17" hidden="1">
      <c r="A5015" t="s">
        <v>5120</v>
      </c>
      <c r="B5015" s="1">
        <v>45591</v>
      </c>
      <c r="C5015">
        <v>2024</v>
      </c>
      <c r="D5015">
        <v>10</v>
      </c>
      <c r="E5015" t="s">
        <v>19</v>
      </c>
      <c r="F5015" t="s">
        <v>14</v>
      </c>
      <c r="G5015" t="s">
        <v>80</v>
      </c>
      <c r="H5015" t="s">
        <v>150</v>
      </c>
      <c r="I5015">
        <v>7519.7</v>
      </c>
      <c r="J5015">
        <v>7421.96</v>
      </c>
      <c r="K5015" t="s">
        <v>17</v>
      </c>
      <c r="L5015" t="b">
        <v>0</v>
      </c>
      <c r="N5015" s="2" t="str">
        <f t="shared" si="449"/>
        <v/>
      </c>
      <c r="Q5015" t="str">
        <f t="shared" si="450"/>
        <v/>
      </c>
    </row>
    <row r="5016" spans="1:17" hidden="1">
      <c r="A5016" t="s">
        <v>5121</v>
      </c>
      <c r="B5016" s="1">
        <v>45591</v>
      </c>
      <c r="C5016">
        <v>2024</v>
      </c>
      <c r="D5016">
        <v>10</v>
      </c>
      <c r="E5016" t="s">
        <v>19</v>
      </c>
      <c r="F5016" t="s">
        <v>14</v>
      </c>
      <c r="G5016" t="s">
        <v>80</v>
      </c>
      <c r="H5016" t="s">
        <v>81</v>
      </c>
      <c r="I5016">
        <v>8378.99</v>
      </c>
      <c r="J5016">
        <v>7821.57</v>
      </c>
      <c r="K5016" t="s">
        <v>17</v>
      </c>
      <c r="L5016" t="b">
        <v>0</v>
      </c>
      <c r="N5016" s="2" t="str">
        <f t="shared" si="449"/>
        <v/>
      </c>
      <c r="Q5016" t="str">
        <f t="shared" si="450"/>
        <v/>
      </c>
    </row>
    <row r="5017" spans="1:17" hidden="1">
      <c r="A5017" t="s">
        <v>5122</v>
      </c>
      <c r="B5017" s="1">
        <v>45591</v>
      </c>
      <c r="C5017">
        <v>2024</v>
      </c>
      <c r="D5017">
        <v>10</v>
      </c>
      <c r="E5017" t="s">
        <v>19</v>
      </c>
      <c r="F5017" t="s">
        <v>28</v>
      </c>
      <c r="G5017" t="s">
        <v>54</v>
      </c>
      <c r="H5017" t="s">
        <v>57</v>
      </c>
      <c r="I5017">
        <v>5440.82</v>
      </c>
      <c r="J5017">
        <v>4939.1499999999996</v>
      </c>
      <c r="K5017" t="s">
        <v>17</v>
      </c>
      <c r="L5017" t="b">
        <v>0</v>
      </c>
      <c r="N5017" s="2" t="str">
        <f t="shared" si="449"/>
        <v/>
      </c>
      <c r="Q5017" t="str">
        <f t="shared" si="450"/>
        <v/>
      </c>
    </row>
    <row r="5018" spans="1:17" hidden="1">
      <c r="A5018" t="s">
        <v>5123</v>
      </c>
      <c r="B5018" s="1">
        <v>45591</v>
      </c>
      <c r="C5018">
        <v>2024</v>
      </c>
      <c r="D5018">
        <v>10</v>
      </c>
      <c r="E5018" t="s">
        <v>19</v>
      </c>
      <c r="F5018" t="s">
        <v>28</v>
      </c>
      <c r="G5018" t="s">
        <v>80</v>
      </c>
      <c r="H5018" t="s">
        <v>217</v>
      </c>
      <c r="I5018">
        <v>1869.68</v>
      </c>
      <c r="J5018">
        <v>1982.12</v>
      </c>
      <c r="K5018" t="s">
        <v>17</v>
      </c>
      <c r="L5018" t="b">
        <v>0</v>
      </c>
      <c r="N5018" s="2" t="str">
        <f t="shared" si="449"/>
        <v/>
      </c>
      <c r="Q5018" t="str">
        <f t="shared" si="450"/>
        <v/>
      </c>
    </row>
    <row r="5019" spans="1:17" hidden="1">
      <c r="A5019" t="s">
        <v>5124</v>
      </c>
      <c r="B5019" s="1">
        <v>45591</v>
      </c>
      <c r="C5019">
        <v>2024</v>
      </c>
      <c r="D5019">
        <v>10</v>
      </c>
      <c r="E5019" t="s">
        <v>37</v>
      </c>
      <c r="F5019" t="s">
        <v>24</v>
      </c>
      <c r="G5019" t="s">
        <v>62</v>
      </c>
      <c r="H5019" t="s">
        <v>121</v>
      </c>
      <c r="I5019">
        <v>3999.97</v>
      </c>
      <c r="J5019">
        <v>3843.92</v>
      </c>
      <c r="K5019" t="s">
        <v>17</v>
      </c>
      <c r="L5019" t="b">
        <v>0</v>
      </c>
      <c r="N5019" s="2" t="str">
        <f t="shared" si="449"/>
        <v/>
      </c>
      <c r="Q5019" t="str">
        <f t="shared" si="450"/>
        <v/>
      </c>
    </row>
    <row r="5020" spans="1:17" hidden="1">
      <c r="A5020" t="s">
        <v>5125</v>
      </c>
      <c r="B5020" s="1">
        <v>45592</v>
      </c>
      <c r="C5020">
        <v>2024</v>
      </c>
      <c r="D5020">
        <v>10</v>
      </c>
      <c r="E5020" t="s">
        <v>13</v>
      </c>
      <c r="F5020" t="s">
        <v>24</v>
      </c>
      <c r="G5020" t="s">
        <v>68</v>
      </c>
      <c r="H5020" t="s">
        <v>69</v>
      </c>
      <c r="I5020">
        <v>2924.08</v>
      </c>
      <c r="J5020">
        <v>2713.71</v>
      </c>
      <c r="K5020" t="s">
        <v>17</v>
      </c>
      <c r="L5020" t="b">
        <v>0</v>
      </c>
      <c r="N5020" s="2" t="str">
        <f t="shared" si="449"/>
        <v/>
      </c>
      <c r="Q5020" t="str">
        <f t="shared" si="450"/>
        <v/>
      </c>
    </row>
    <row r="5021" spans="1:17" hidden="1">
      <c r="A5021" t="s">
        <v>5126</v>
      </c>
      <c r="B5021" s="1">
        <v>45592</v>
      </c>
      <c r="C5021">
        <v>2024</v>
      </c>
      <c r="D5021">
        <v>10</v>
      </c>
      <c r="E5021" t="s">
        <v>13</v>
      </c>
      <c r="F5021" t="s">
        <v>24</v>
      </c>
      <c r="G5021" t="s">
        <v>68</v>
      </c>
      <c r="H5021" t="s">
        <v>213</v>
      </c>
      <c r="I5021">
        <v>2290.04</v>
      </c>
      <c r="J5021">
        <v>2084.52</v>
      </c>
      <c r="K5021" t="s">
        <v>17</v>
      </c>
      <c r="L5021" t="b">
        <v>0</v>
      </c>
      <c r="N5021" s="2" t="str">
        <f t="shared" si="449"/>
        <v/>
      </c>
      <c r="Q5021" t="str">
        <f t="shared" si="450"/>
        <v/>
      </c>
    </row>
    <row r="5022" spans="1:17" hidden="1">
      <c r="A5022" t="s">
        <v>5127</v>
      </c>
      <c r="B5022" s="1">
        <v>45592</v>
      </c>
      <c r="C5022">
        <v>2024</v>
      </c>
      <c r="D5022">
        <v>10</v>
      </c>
      <c r="E5022" t="s">
        <v>47</v>
      </c>
      <c r="F5022" t="s">
        <v>28</v>
      </c>
      <c r="G5022" t="s">
        <v>77</v>
      </c>
      <c r="H5022" t="s">
        <v>130</v>
      </c>
      <c r="I5022">
        <v>14075.43</v>
      </c>
      <c r="J5022">
        <v>11891.12</v>
      </c>
      <c r="K5022" t="s">
        <v>17</v>
      </c>
      <c r="L5022" t="b">
        <v>0</v>
      </c>
      <c r="N5022" s="2" t="b">
        <f t="shared" si="449"/>
        <v>1</v>
      </c>
      <c r="O5022" t="str">
        <f t="shared" ref="O5022:O5023" si="452">IF(AND(E5011="HR",K5011="EXPENSE"),I5011&lt;J5011,"")</f>
        <v/>
      </c>
      <c r="Q5022" t="str">
        <f t="shared" si="450"/>
        <v/>
      </c>
    </row>
    <row r="5023" spans="1:17" hidden="1">
      <c r="A5023" t="s">
        <v>5128</v>
      </c>
      <c r="B5023" s="1">
        <v>45592</v>
      </c>
      <c r="C5023">
        <v>2024</v>
      </c>
      <c r="D5023">
        <v>10</v>
      </c>
      <c r="E5023" t="s">
        <v>47</v>
      </c>
      <c r="F5023" t="s">
        <v>28</v>
      </c>
      <c r="G5023" t="s">
        <v>48</v>
      </c>
      <c r="H5023" t="s">
        <v>111</v>
      </c>
      <c r="I5023">
        <v>19020.349999999999</v>
      </c>
      <c r="J5023">
        <v>15778.53</v>
      </c>
      <c r="K5023" t="s">
        <v>17</v>
      </c>
      <c r="L5023" t="b">
        <v>0</v>
      </c>
      <c r="N5023" s="2" t="b">
        <f t="shared" si="449"/>
        <v>1</v>
      </c>
      <c r="O5023" t="str">
        <f t="shared" si="452"/>
        <v/>
      </c>
      <c r="Q5023" t="str">
        <f t="shared" si="450"/>
        <v/>
      </c>
    </row>
    <row r="5024" spans="1:17" hidden="1">
      <c r="A5024" t="s">
        <v>5129</v>
      </c>
      <c r="B5024" s="1">
        <v>45592</v>
      </c>
      <c r="C5024">
        <v>2024</v>
      </c>
      <c r="D5024">
        <v>10</v>
      </c>
      <c r="E5024" t="s">
        <v>19</v>
      </c>
      <c r="F5024" t="s">
        <v>14</v>
      </c>
      <c r="G5024" t="s">
        <v>54</v>
      </c>
      <c r="H5024" t="s">
        <v>163</v>
      </c>
      <c r="I5024">
        <v>10130.040000000001</v>
      </c>
      <c r="J5024">
        <v>9532.89</v>
      </c>
      <c r="K5024" t="s">
        <v>17</v>
      </c>
      <c r="L5024" t="b">
        <v>0</v>
      </c>
      <c r="N5024" s="2" t="str">
        <f t="shared" si="449"/>
        <v/>
      </c>
      <c r="Q5024" t="str">
        <f t="shared" si="450"/>
        <v/>
      </c>
    </row>
    <row r="5025" spans="1:17" hidden="1">
      <c r="A5025" t="s">
        <v>5130</v>
      </c>
      <c r="B5025" s="1">
        <v>45592</v>
      </c>
      <c r="C5025">
        <v>2024</v>
      </c>
      <c r="D5025">
        <v>10</v>
      </c>
      <c r="E5025" t="s">
        <v>23</v>
      </c>
      <c r="F5025" t="s">
        <v>14</v>
      </c>
      <c r="G5025" t="s">
        <v>30</v>
      </c>
      <c r="H5025" t="s">
        <v>33</v>
      </c>
      <c r="I5025">
        <v>4117.17</v>
      </c>
      <c r="J5025">
        <v>3879.58</v>
      </c>
      <c r="K5025" t="s">
        <v>17</v>
      </c>
      <c r="L5025" t="b">
        <v>0</v>
      </c>
      <c r="N5025" s="2" t="str">
        <f t="shared" si="449"/>
        <v/>
      </c>
      <c r="Q5025" t="str">
        <f t="shared" si="450"/>
        <v/>
      </c>
    </row>
    <row r="5026" spans="1:17" hidden="1">
      <c r="A5026" t="s">
        <v>5131</v>
      </c>
      <c r="B5026" s="1">
        <v>45592</v>
      </c>
      <c r="C5026">
        <v>2024</v>
      </c>
      <c r="D5026">
        <v>10</v>
      </c>
      <c r="E5026" t="s">
        <v>23</v>
      </c>
      <c r="F5026" t="s">
        <v>24</v>
      </c>
      <c r="G5026" t="s">
        <v>30</v>
      </c>
      <c r="H5026" t="s">
        <v>33</v>
      </c>
      <c r="I5026">
        <v>4710.74</v>
      </c>
      <c r="J5026">
        <v>4518.53</v>
      </c>
      <c r="K5026" t="s">
        <v>17</v>
      </c>
      <c r="L5026" t="b">
        <v>0</v>
      </c>
      <c r="N5026" s="2" t="str">
        <f t="shared" si="449"/>
        <v/>
      </c>
      <c r="Q5026" t="str">
        <f t="shared" si="450"/>
        <v/>
      </c>
    </row>
    <row r="5027" spans="1:17" hidden="1">
      <c r="A5027" t="s">
        <v>5132</v>
      </c>
      <c r="B5027" s="1">
        <v>45593</v>
      </c>
      <c r="C5027">
        <v>2024</v>
      </c>
      <c r="D5027">
        <v>10</v>
      </c>
      <c r="E5027" t="s">
        <v>13</v>
      </c>
      <c r="F5027" t="s">
        <v>28</v>
      </c>
      <c r="G5027" t="s">
        <v>102</v>
      </c>
      <c r="H5027" t="s">
        <v>103</v>
      </c>
      <c r="I5027">
        <v>5050.3500000000004</v>
      </c>
      <c r="J5027">
        <v>5463.51</v>
      </c>
      <c r="K5027" t="s">
        <v>17</v>
      </c>
      <c r="L5027" t="b">
        <v>0</v>
      </c>
      <c r="N5027" s="2" t="str">
        <f t="shared" si="449"/>
        <v/>
      </c>
      <c r="Q5027" t="str">
        <f t="shared" si="450"/>
        <v/>
      </c>
    </row>
    <row r="5028" spans="1:17" hidden="1">
      <c r="A5028" t="s">
        <v>5133</v>
      </c>
      <c r="B5028" s="1">
        <v>45593</v>
      </c>
      <c r="C5028">
        <v>2024</v>
      </c>
      <c r="D5028">
        <v>10</v>
      </c>
      <c r="E5028" t="s">
        <v>47</v>
      </c>
      <c r="F5028" t="s">
        <v>14</v>
      </c>
      <c r="G5028" t="s">
        <v>91</v>
      </c>
      <c r="H5028" t="s">
        <v>128</v>
      </c>
      <c r="I5028">
        <v>8372.59</v>
      </c>
      <c r="J5028">
        <v>6957.66</v>
      </c>
      <c r="K5028" t="s">
        <v>17</v>
      </c>
      <c r="L5028" t="b">
        <v>0</v>
      </c>
      <c r="N5028" s="2" t="b">
        <f t="shared" si="449"/>
        <v>1</v>
      </c>
      <c r="O5028" t="str">
        <f t="shared" ref="O5028:O5029" si="453">IF(AND(E5017="HR",K5017="EXPENSE"),I5017&lt;J5017,"")</f>
        <v/>
      </c>
      <c r="Q5028" t="str">
        <f t="shared" si="450"/>
        <v/>
      </c>
    </row>
    <row r="5029" spans="1:17" hidden="1">
      <c r="A5029" t="s">
        <v>5134</v>
      </c>
      <c r="B5029" s="1">
        <v>45593</v>
      </c>
      <c r="C5029">
        <v>2024</v>
      </c>
      <c r="D5029">
        <v>10</v>
      </c>
      <c r="E5029" t="s">
        <v>47</v>
      </c>
      <c r="F5029" t="s">
        <v>28</v>
      </c>
      <c r="G5029" t="s">
        <v>77</v>
      </c>
      <c r="H5029" t="s">
        <v>147</v>
      </c>
      <c r="I5029">
        <v>24667.68</v>
      </c>
      <c r="J5029">
        <v>20744.650000000001</v>
      </c>
      <c r="K5029" t="s">
        <v>17</v>
      </c>
      <c r="L5029" t="b">
        <v>0</v>
      </c>
      <c r="N5029" s="2" t="b">
        <f t="shared" si="449"/>
        <v>1</v>
      </c>
      <c r="O5029" t="str">
        <f t="shared" si="453"/>
        <v/>
      </c>
      <c r="Q5029" t="str">
        <f t="shared" si="450"/>
        <v/>
      </c>
    </row>
    <row r="5030" spans="1:17" hidden="1">
      <c r="A5030" t="s">
        <v>5135</v>
      </c>
      <c r="B5030" s="1">
        <v>45593</v>
      </c>
      <c r="C5030">
        <v>2024</v>
      </c>
      <c r="D5030">
        <v>10</v>
      </c>
      <c r="E5030" t="s">
        <v>19</v>
      </c>
      <c r="F5030" t="s">
        <v>14</v>
      </c>
      <c r="G5030" t="s">
        <v>80</v>
      </c>
      <c r="H5030" t="s">
        <v>113</v>
      </c>
      <c r="I5030">
        <v>5772.86</v>
      </c>
      <c r="J5030">
        <v>6100.32</v>
      </c>
      <c r="K5030" t="s">
        <v>17</v>
      </c>
      <c r="L5030" t="b">
        <v>0</v>
      </c>
      <c r="N5030" s="2" t="str">
        <f t="shared" si="449"/>
        <v/>
      </c>
      <c r="Q5030" t="str">
        <f t="shared" si="450"/>
        <v/>
      </c>
    </row>
    <row r="5031" spans="1:17" hidden="1">
      <c r="A5031" t="s">
        <v>5136</v>
      </c>
      <c r="B5031" s="1">
        <v>45593</v>
      </c>
      <c r="C5031">
        <v>2024</v>
      </c>
      <c r="D5031">
        <v>10</v>
      </c>
      <c r="E5031" t="s">
        <v>19</v>
      </c>
      <c r="F5031" t="s">
        <v>24</v>
      </c>
      <c r="G5031" t="s">
        <v>20</v>
      </c>
      <c r="H5031" t="s">
        <v>174</v>
      </c>
      <c r="I5031">
        <v>9645.39</v>
      </c>
      <c r="J5031">
        <v>10558.34</v>
      </c>
      <c r="K5031" t="s">
        <v>17</v>
      </c>
      <c r="L5031" t="b">
        <v>0</v>
      </c>
      <c r="N5031" s="2" t="str">
        <f t="shared" si="449"/>
        <v/>
      </c>
      <c r="Q5031" t="str">
        <f t="shared" si="450"/>
        <v/>
      </c>
    </row>
    <row r="5032" spans="1:17" hidden="1">
      <c r="A5032" t="s">
        <v>5137</v>
      </c>
      <c r="B5032" s="1">
        <v>45593</v>
      </c>
      <c r="C5032">
        <v>2024</v>
      </c>
      <c r="D5032">
        <v>10</v>
      </c>
      <c r="E5032" t="s">
        <v>23</v>
      </c>
      <c r="F5032" t="s">
        <v>14</v>
      </c>
      <c r="G5032" t="s">
        <v>30</v>
      </c>
      <c r="H5032" t="s">
        <v>33</v>
      </c>
      <c r="I5032">
        <v>2590.65</v>
      </c>
      <c r="J5032">
        <v>2676.18</v>
      </c>
      <c r="K5032" t="s">
        <v>17</v>
      </c>
      <c r="L5032" t="b">
        <v>0</v>
      </c>
      <c r="N5032" s="2" t="str">
        <f t="shared" si="449"/>
        <v/>
      </c>
      <c r="Q5032" t="str">
        <f t="shared" si="450"/>
        <v/>
      </c>
    </row>
    <row r="5033" spans="1:17" hidden="1">
      <c r="A5033" t="s">
        <v>5138</v>
      </c>
      <c r="B5033" s="1">
        <v>45593</v>
      </c>
      <c r="C5033">
        <v>2024</v>
      </c>
      <c r="D5033">
        <v>10</v>
      </c>
      <c r="E5033" t="s">
        <v>23</v>
      </c>
      <c r="F5033" t="s">
        <v>28</v>
      </c>
      <c r="G5033" t="s">
        <v>25</v>
      </c>
      <c r="H5033" t="s">
        <v>35</v>
      </c>
      <c r="I5033">
        <v>6092.63</v>
      </c>
      <c r="J5033">
        <v>5879.96</v>
      </c>
      <c r="K5033" t="s">
        <v>17</v>
      </c>
      <c r="L5033" t="b">
        <v>0</v>
      </c>
      <c r="N5033" s="2" t="str">
        <f t="shared" si="449"/>
        <v/>
      </c>
      <c r="Q5033" t="str">
        <f t="shared" si="450"/>
        <v/>
      </c>
    </row>
    <row r="5034" spans="1:17" hidden="1">
      <c r="A5034" t="s">
        <v>5139</v>
      </c>
      <c r="B5034" s="1">
        <v>45593</v>
      </c>
      <c r="C5034">
        <v>2024</v>
      </c>
      <c r="D5034">
        <v>10</v>
      </c>
      <c r="E5034" t="s">
        <v>23</v>
      </c>
      <c r="F5034" t="s">
        <v>24</v>
      </c>
      <c r="G5034" t="s">
        <v>141</v>
      </c>
      <c r="H5034" t="s">
        <v>142</v>
      </c>
      <c r="I5034">
        <v>3707.15</v>
      </c>
      <c r="J5034">
        <v>3405.27</v>
      </c>
      <c r="K5034" t="s">
        <v>17</v>
      </c>
      <c r="L5034" t="b">
        <v>0</v>
      </c>
      <c r="N5034" s="2" t="str">
        <f t="shared" si="449"/>
        <v/>
      </c>
      <c r="Q5034" t="str">
        <f t="shared" si="450"/>
        <v/>
      </c>
    </row>
    <row r="5035" spans="1:17" hidden="1">
      <c r="A5035" t="s">
        <v>5140</v>
      </c>
      <c r="B5035" s="1">
        <v>45593</v>
      </c>
      <c r="C5035">
        <v>2024</v>
      </c>
      <c r="D5035">
        <v>10</v>
      </c>
      <c r="E5035" t="s">
        <v>37</v>
      </c>
      <c r="F5035" t="s">
        <v>24</v>
      </c>
      <c r="G5035" t="s">
        <v>62</v>
      </c>
      <c r="H5035" t="s">
        <v>360</v>
      </c>
      <c r="I5035">
        <v>6532.72</v>
      </c>
      <c r="J5035">
        <v>6960.85</v>
      </c>
      <c r="K5035" t="s">
        <v>17</v>
      </c>
      <c r="L5035" t="b">
        <v>0</v>
      </c>
      <c r="N5035" s="2" t="str">
        <f t="shared" si="449"/>
        <v/>
      </c>
      <c r="Q5035" t="str">
        <f t="shared" si="450"/>
        <v/>
      </c>
    </row>
    <row r="5036" spans="1:17" hidden="1">
      <c r="A5036" t="s">
        <v>5141</v>
      </c>
      <c r="B5036" s="1">
        <v>45593</v>
      </c>
      <c r="C5036">
        <v>2024</v>
      </c>
      <c r="D5036">
        <v>10</v>
      </c>
      <c r="E5036" t="s">
        <v>37</v>
      </c>
      <c r="F5036" t="s">
        <v>24</v>
      </c>
      <c r="G5036" t="s">
        <v>38</v>
      </c>
      <c r="H5036" t="s">
        <v>118</v>
      </c>
      <c r="I5036">
        <v>4803.53</v>
      </c>
      <c r="J5036">
        <v>4586.96</v>
      </c>
      <c r="K5036" t="s">
        <v>17</v>
      </c>
      <c r="L5036" t="b">
        <v>0</v>
      </c>
      <c r="N5036" s="2" t="str">
        <f t="shared" si="449"/>
        <v/>
      </c>
      <c r="Q5036" t="str">
        <f t="shared" si="450"/>
        <v/>
      </c>
    </row>
    <row r="5037" spans="1:17" hidden="1">
      <c r="A5037" t="s">
        <v>5142</v>
      </c>
      <c r="B5037" s="1">
        <v>45594</v>
      </c>
      <c r="C5037">
        <v>2024</v>
      </c>
      <c r="D5037">
        <v>10</v>
      </c>
      <c r="E5037" t="s">
        <v>13</v>
      </c>
      <c r="F5037" t="s">
        <v>24</v>
      </c>
      <c r="G5037" t="s">
        <v>102</v>
      </c>
      <c r="H5037" t="s">
        <v>103</v>
      </c>
      <c r="I5037">
        <v>3033.5</v>
      </c>
      <c r="J5037">
        <v>2833.43</v>
      </c>
      <c r="K5037" t="s">
        <v>17</v>
      </c>
      <c r="L5037" t="b">
        <v>0</v>
      </c>
      <c r="N5037" s="2" t="str">
        <f t="shared" si="449"/>
        <v/>
      </c>
      <c r="Q5037" t="str">
        <f t="shared" si="450"/>
        <v/>
      </c>
    </row>
    <row r="5038" spans="1:17" hidden="1">
      <c r="A5038" t="s">
        <v>5143</v>
      </c>
      <c r="B5038" s="1">
        <v>45594</v>
      </c>
      <c r="C5038">
        <v>2024</v>
      </c>
      <c r="D5038">
        <v>10</v>
      </c>
      <c r="E5038" t="s">
        <v>47</v>
      </c>
      <c r="F5038" t="s">
        <v>24</v>
      </c>
      <c r="G5038" t="s">
        <v>91</v>
      </c>
      <c r="H5038" t="s">
        <v>249</v>
      </c>
      <c r="I5038">
        <v>17920.95</v>
      </c>
      <c r="J5038">
        <v>14935.49</v>
      </c>
      <c r="K5038" t="s">
        <v>17</v>
      </c>
      <c r="L5038" t="b">
        <v>0</v>
      </c>
      <c r="N5038" s="2" t="b">
        <f t="shared" si="449"/>
        <v>1</v>
      </c>
      <c r="O5038" t="b">
        <f>IF(AND(E5027="HR",K5027="EXPENSE"),I5027&lt;J5027,"")</f>
        <v>1</v>
      </c>
      <c r="Q5038" t="str">
        <f t="shared" si="450"/>
        <v/>
      </c>
    </row>
    <row r="5039" spans="1:17" hidden="1">
      <c r="A5039" t="s">
        <v>5144</v>
      </c>
      <c r="B5039" s="1">
        <v>45594</v>
      </c>
      <c r="C5039">
        <v>2024</v>
      </c>
      <c r="D5039">
        <v>10</v>
      </c>
      <c r="E5039" t="s">
        <v>19</v>
      </c>
      <c r="F5039" t="s">
        <v>14</v>
      </c>
      <c r="G5039" t="s">
        <v>80</v>
      </c>
      <c r="H5039" t="s">
        <v>217</v>
      </c>
      <c r="I5039">
        <v>12106.17</v>
      </c>
      <c r="J5039">
        <v>13264.63</v>
      </c>
      <c r="K5039" t="s">
        <v>17</v>
      </c>
      <c r="L5039" t="b">
        <v>0</v>
      </c>
      <c r="N5039" s="2" t="str">
        <f t="shared" si="449"/>
        <v/>
      </c>
      <c r="Q5039" t="str">
        <f t="shared" si="450"/>
        <v/>
      </c>
    </row>
    <row r="5040" spans="1:17" hidden="1">
      <c r="A5040" t="s">
        <v>5145</v>
      </c>
      <c r="B5040" s="1">
        <v>45594</v>
      </c>
      <c r="C5040">
        <v>2024</v>
      </c>
      <c r="D5040">
        <v>10</v>
      </c>
      <c r="E5040" t="s">
        <v>19</v>
      </c>
      <c r="F5040" t="s">
        <v>28</v>
      </c>
      <c r="G5040" t="s">
        <v>54</v>
      </c>
      <c r="H5040" t="s">
        <v>57</v>
      </c>
      <c r="I5040">
        <v>6931.2</v>
      </c>
      <c r="J5040">
        <v>6832.17</v>
      </c>
      <c r="K5040" t="s">
        <v>17</v>
      </c>
      <c r="L5040" t="b">
        <v>0</v>
      </c>
      <c r="N5040" s="2" t="str">
        <f t="shared" si="449"/>
        <v/>
      </c>
      <c r="Q5040" t="str">
        <f t="shared" si="450"/>
        <v/>
      </c>
    </row>
    <row r="5041" spans="1:17" hidden="1">
      <c r="A5041" t="s">
        <v>5146</v>
      </c>
      <c r="B5041" s="1">
        <v>45594</v>
      </c>
      <c r="C5041">
        <v>2024</v>
      </c>
      <c r="D5041">
        <v>10</v>
      </c>
      <c r="E5041" t="s">
        <v>23</v>
      </c>
      <c r="F5041" t="s">
        <v>14</v>
      </c>
      <c r="G5041" t="s">
        <v>59</v>
      </c>
      <c r="H5041" t="s">
        <v>60</v>
      </c>
      <c r="I5041">
        <v>5407.7</v>
      </c>
      <c r="J5041">
        <v>4917.37</v>
      </c>
      <c r="K5041" t="s">
        <v>17</v>
      </c>
      <c r="L5041" t="b">
        <v>0</v>
      </c>
      <c r="N5041" s="2" t="str">
        <f t="shared" si="449"/>
        <v/>
      </c>
      <c r="Q5041" t="str">
        <f t="shared" si="450"/>
        <v/>
      </c>
    </row>
    <row r="5042" spans="1:17" hidden="1">
      <c r="A5042" t="s">
        <v>5147</v>
      </c>
      <c r="B5042" s="1">
        <v>45594</v>
      </c>
      <c r="C5042">
        <v>2024</v>
      </c>
      <c r="D5042">
        <v>10</v>
      </c>
      <c r="E5042" t="s">
        <v>23</v>
      </c>
      <c r="F5042" t="s">
        <v>14</v>
      </c>
      <c r="G5042" t="s">
        <v>30</v>
      </c>
      <c r="H5042" t="s">
        <v>106</v>
      </c>
      <c r="I5042">
        <v>6553.05</v>
      </c>
      <c r="J5042">
        <v>5930.07</v>
      </c>
      <c r="K5042" t="s">
        <v>17</v>
      </c>
      <c r="L5042" t="b">
        <v>0</v>
      </c>
      <c r="N5042" s="2" t="str">
        <f t="shared" si="449"/>
        <v/>
      </c>
      <c r="Q5042" t="str">
        <f t="shared" si="450"/>
        <v/>
      </c>
    </row>
    <row r="5043" spans="1:17" hidden="1">
      <c r="A5043" t="s">
        <v>5148</v>
      </c>
      <c r="B5043" s="1">
        <v>45595</v>
      </c>
      <c r="C5043">
        <v>2024</v>
      </c>
      <c r="D5043">
        <v>10</v>
      </c>
      <c r="E5043" t="s">
        <v>13</v>
      </c>
      <c r="F5043" t="s">
        <v>14</v>
      </c>
      <c r="G5043" t="s">
        <v>68</v>
      </c>
      <c r="H5043" t="s">
        <v>69</v>
      </c>
      <c r="I5043">
        <v>4273.99</v>
      </c>
      <c r="J5043">
        <v>4381.18</v>
      </c>
      <c r="K5043" t="s">
        <v>17</v>
      </c>
      <c r="L5043" t="b">
        <v>0</v>
      </c>
      <c r="N5043" s="2" t="str">
        <f t="shared" si="449"/>
        <v/>
      </c>
      <c r="Q5043" t="str">
        <f t="shared" si="450"/>
        <v/>
      </c>
    </row>
    <row r="5044" spans="1:17" hidden="1">
      <c r="A5044" t="s">
        <v>5149</v>
      </c>
      <c r="B5044" s="1">
        <v>45595</v>
      </c>
      <c r="C5044">
        <v>2024</v>
      </c>
      <c r="D5044">
        <v>10</v>
      </c>
      <c r="E5044" t="s">
        <v>47</v>
      </c>
      <c r="F5044" t="s">
        <v>28</v>
      </c>
      <c r="G5044" t="s">
        <v>77</v>
      </c>
      <c r="H5044" t="s">
        <v>147</v>
      </c>
      <c r="I5044">
        <v>19216.14</v>
      </c>
      <c r="J5044">
        <v>16422.439999999999</v>
      </c>
      <c r="K5044" t="s">
        <v>17</v>
      </c>
      <c r="L5044" t="b">
        <v>0</v>
      </c>
      <c r="N5044" s="2" t="b">
        <f t="shared" si="449"/>
        <v>1</v>
      </c>
      <c r="O5044" t="str">
        <f t="shared" ref="O5044:O5046" si="454">IF(AND(E5033="HR",K5033="EXPENSE"),I5033&lt;J5033,"")</f>
        <v/>
      </c>
      <c r="Q5044" t="str">
        <f t="shared" si="450"/>
        <v/>
      </c>
    </row>
    <row r="5045" spans="1:17" hidden="1">
      <c r="A5045" t="s">
        <v>5150</v>
      </c>
      <c r="B5045" s="1">
        <v>45595</v>
      </c>
      <c r="C5045">
        <v>2024</v>
      </c>
      <c r="D5045">
        <v>10</v>
      </c>
      <c r="E5045" t="s">
        <v>47</v>
      </c>
      <c r="F5045" t="s">
        <v>28</v>
      </c>
      <c r="G5045" t="s">
        <v>51</v>
      </c>
      <c r="H5045" t="s">
        <v>72</v>
      </c>
      <c r="I5045">
        <v>18575.02</v>
      </c>
      <c r="J5045">
        <v>16011.21</v>
      </c>
      <c r="K5045" t="s">
        <v>17</v>
      </c>
      <c r="L5045" t="b">
        <v>0</v>
      </c>
      <c r="N5045" s="2" t="b">
        <f t="shared" si="449"/>
        <v>1</v>
      </c>
      <c r="O5045" t="str">
        <f t="shared" si="454"/>
        <v/>
      </c>
      <c r="Q5045" t="str">
        <f t="shared" si="450"/>
        <v/>
      </c>
    </row>
    <row r="5046" spans="1:17" hidden="1">
      <c r="A5046" t="s">
        <v>5151</v>
      </c>
      <c r="B5046" s="1">
        <v>45595</v>
      </c>
      <c r="C5046">
        <v>2024</v>
      </c>
      <c r="D5046">
        <v>10</v>
      </c>
      <c r="E5046" t="s">
        <v>47</v>
      </c>
      <c r="F5046" t="s">
        <v>24</v>
      </c>
      <c r="G5046" t="s">
        <v>77</v>
      </c>
      <c r="H5046" t="s">
        <v>78</v>
      </c>
      <c r="I5046">
        <v>16413.86</v>
      </c>
      <c r="J5046">
        <v>13833.85</v>
      </c>
      <c r="K5046" t="s">
        <v>17</v>
      </c>
      <c r="L5046" t="b">
        <v>0</v>
      </c>
      <c r="N5046" s="2" t="b">
        <f t="shared" si="449"/>
        <v>1</v>
      </c>
      <c r="O5046" t="str">
        <f t="shared" si="454"/>
        <v/>
      </c>
      <c r="Q5046" t="str">
        <f t="shared" si="450"/>
        <v/>
      </c>
    </row>
    <row r="5047" spans="1:17" hidden="1">
      <c r="A5047" t="s">
        <v>5152</v>
      </c>
      <c r="B5047" s="1">
        <v>45595</v>
      </c>
      <c r="C5047">
        <v>2024</v>
      </c>
      <c r="D5047">
        <v>10</v>
      </c>
      <c r="E5047" t="s">
        <v>19</v>
      </c>
      <c r="F5047" t="s">
        <v>28</v>
      </c>
      <c r="G5047" t="s">
        <v>132</v>
      </c>
      <c r="H5047" t="s">
        <v>138</v>
      </c>
      <c r="I5047">
        <v>7713.74</v>
      </c>
      <c r="J5047">
        <v>7888.19</v>
      </c>
      <c r="K5047" t="s">
        <v>17</v>
      </c>
      <c r="L5047" t="b">
        <v>0</v>
      </c>
      <c r="N5047" s="2" t="str">
        <f t="shared" si="449"/>
        <v/>
      </c>
      <c r="Q5047" t="str">
        <f t="shared" si="450"/>
        <v/>
      </c>
    </row>
    <row r="5048" spans="1:17" hidden="1">
      <c r="A5048" t="s">
        <v>5153</v>
      </c>
      <c r="B5048" s="1">
        <v>45595</v>
      </c>
      <c r="C5048">
        <v>2024</v>
      </c>
      <c r="D5048">
        <v>10</v>
      </c>
      <c r="E5048" t="s">
        <v>23</v>
      </c>
      <c r="F5048" t="s">
        <v>28</v>
      </c>
      <c r="G5048" t="s">
        <v>25</v>
      </c>
      <c r="H5048" t="s">
        <v>35</v>
      </c>
      <c r="I5048">
        <v>5569.45</v>
      </c>
      <c r="J5048">
        <v>5204.59</v>
      </c>
      <c r="K5048" t="s">
        <v>17</v>
      </c>
      <c r="L5048" t="b">
        <v>0</v>
      </c>
      <c r="N5048" s="2" t="str">
        <f t="shared" si="449"/>
        <v/>
      </c>
      <c r="Q5048" t="str">
        <f t="shared" si="450"/>
        <v/>
      </c>
    </row>
    <row r="5049" spans="1:17" hidden="1">
      <c r="A5049" t="s">
        <v>5154</v>
      </c>
      <c r="B5049" s="1">
        <v>45595</v>
      </c>
      <c r="C5049">
        <v>2024</v>
      </c>
      <c r="D5049">
        <v>10</v>
      </c>
      <c r="E5049" t="s">
        <v>23</v>
      </c>
      <c r="F5049" t="s">
        <v>24</v>
      </c>
      <c r="G5049" t="s">
        <v>141</v>
      </c>
      <c r="H5049" t="s">
        <v>153</v>
      </c>
      <c r="I5049">
        <v>2987.26</v>
      </c>
      <c r="J5049">
        <v>3056.44</v>
      </c>
      <c r="K5049" t="s">
        <v>17</v>
      </c>
      <c r="L5049" t="b">
        <v>0</v>
      </c>
      <c r="N5049" s="2" t="str">
        <f t="shared" si="449"/>
        <v/>
      </c>
      <c r="Q5049" t="str">
        <f t="shared" si="450"/>
        <v/>
      </c>
    </row>
    <row r="5050" spans="1:17" hidden="1">
      <c r="A5050" t="s">
        <v>5155</v>
      </c>
      <c r="B5050" s="1">
        <v>45596</v>
      </c>
      <c r="C5050">
        <v>2024</v>
      </c>
      <c r="D5050">
        <v>10</v>
      </c>
      <c r="E5050" t="s">
        <v>13</v>
      </c>
      <c r="F5050" t="s">
        <v>28</v>
      </c>
      <c r="G5050" t="s">
        <v>15</v>
      </c>
      <c r="H5050" t="s">
        <v>16</v>
      </c>
      <c r="I5050">
        <v>4222.26</v>
      </c>
      <c r="J5050">
        <v>4168.6000000000004</v>
      </c>
      <c r="K5050" t="s">
        <v>17</v>
      </c>
      <c r="L5050" t="b">
        <v>0</v>
      </c>
      <c r="N5050" s="2" t="str">
        <f t="shared" si="449"/>
        <v/>
      </c>
      <c r="Q5050" t="str">
        <f t="shared" si="450"/>
        <v/>
      </c>
    </row>
    <row r="5051" spans="1:17" hidden="1">
      <c r="A5051" t="s">
        <v>5156</v>
      </c>
      <c r="B5051" s="1">
        <v>45596</v>
      </c>
      <c r="C5051">
        <v>2024</v>
      </c>
      <c r="D5051">
        <v>10</v>
      </c>
      <c r="E5051" t="s">
        <v>13</v>
      </c>
      <c r="F5051" t="s">
        <v>28</v>
      </c>
      <c r="G5051" t="s">
        <v>102</v>
      </c>
      <c r="H5051" t="s">
        <v>103</v>
      </c>
      <c r="I5051">
        <v>3999.02</v>
      </c>
      <c r="J5051">
        <v>4087.6</v>
      </c>
      <c r="K5051" t="s">
        <v>17</v>
      </c>
      <c r="L5051" t="b">
        <v>0</v>
      </c>
      <c r="N5051" s="2" t="str">
        <f t="shared" si="449"/>
        <v/>
      </c>
      <c r="Q5051" t="str">
        <f t="shared" si="450"/>
        <v/>
      </c>
    </row>
    <row r="5052" spans="1:17" hidden="1">
      <c r="A5052" t="s">
        <v>5157</v>
      </c>
      <c r="B5052" s="1">
        <v>45596</v>
      </c>
      <c r="C5052">
        <v>2024</v>
      </c>
      <c r="D5052">
        <v>10</v>
      </c>
      <c r="E5052" t="s">
        <v>13</v>
      </c>
      <c r="F5052" t="s">
        <v>24</v>
      </c>
      <c r="G5052" t="s">
        <v>102</v>
      </c>
      <c r="H5052" t="s">
        <v>278</v>
      </c>
      <c r="I5052">
        <v>2632.84</v>
      </c>
      <c r="J5052">
        <v>2669.08</v>
      </c>
      <c r="K5052" t="s">
        <v>17</v>
      </c>
      <c r="L5052" t="b">
        <v>0</v>
      </c>
      <c r="N5052" s="2" t="str">
        <f t="shared" si="449"/>
        <v/>
      </c>
      <c r="Q5052" t="str">
        <f t="shared" si="450"/>
        <v/>
      </c>
    </row>
    <row r="5053" spans="1:17" hidden="1">
      <c r="A5053" t="s">
        <v>5158</v>
      </c>
      <c r="B5053" s="1">
        <v>45596</v>
      </c>
      <c r="C5053">
        <v>2024</v>
      </c>
      <c r="D5053">
        <v>10</v>
      </c>
      <c r="E5053" t="s">
        <v>19</v>
      </c>
      <c r="F5053" t="s">
        <v>24</v>
      </c>
      <c r="G5053" t="s">
        <v>132</v>
      </c>
      <c r="H5053" t="s">
        <v>133</v>
      </c>
      <c r="I5053">
        <v>5881.8</v>
      </c>
      <c r="J5053">
        <v>5626.09</v>
      </c>
      <c r="K5053" t="s">
        <v>17</v>
      </c>
      <c r="L5053" t="b">
        <v>0</v>
      </c>
      <c r="N5053" s="2" t="str">
        <f t="shared" si="449"/>
        <v/>
      </c>
      <c r="Q5053" t="str">
        <f t="shared" si="450"/>
        <v/>
      </c>
    </row>
    <row r="5054" spans="1:17" hidden="1">
      <c r="A5054" t="s">
        <v>5159</v>
      </c>
      <c r="B5054" s="1">
        <v>45596</v>
      </c>
      <c r="C5054">
        <v>2024</v>
      </c>
      <c r="D5054">
        <v>10</v>
      </c>
      <c r="E5054" t="s">
        <v>37</v>
      </c>
      <c r="F5054" t="s">
        <v>28</v>
      </c>
      <c r="G5054" t="s">
        <v>38</v>
      </c>
      <c r="H5054" t="s">
        <v>227</v>
      </c>
      <c r="I5054">
        <v>7039.47</v>
      </c>
      <c r="J5054">
        <v>7305.78</v>
      </c>
      <c r="K5054" t="s">
        <v>17</v>
      </c>
      <c r="L5054" t="b">
        <v>0</v>
      </c>
      <c r="N5054" s="2" t="str">
        <f t="shared" si="449"/>
        <v/>
      </c>
      <c r="Q5054" t="str">
        <f t="shared" si="450"/>
        <v/>
      </c>
    </row>
    <row r="5055" spans="1:17" hidden="1">
      <c r="A5055" t="s">
        <v>5160</v>
      </c>
      <c r="B5055" s="1">
        <v>45596</v>
      </c>
      <c r="C5055">
        <v>2024</v>
      </c>
      <c r="D5055">
        <v>10</v>
      </c>
      <c r="E5055" t="s">
        <v>37</v>
      </c>
      <c r="F5055" t="s">
        <v>24</v>
      </c>
      <c r="G5055" t="s">
        <v>41</v>
      </c>
      <c r="H5055" t="s">
        <v>42</v>
      </c>
      <c r="I5055">
        <v>5140.04</v>
      </c>
      <c r="J5055">
        <v>5044.78</v>
      </c>
      <c r="K5055" t="s">
        <v>17</v>
      </c>
      <c r="L5055" t="b">
        <v>0</v>
      </c>
      <c r="N5055" s="2" t="str">
        <f t="shared" si="449"/>
        <v/>
      </c>
      <c r="Q5055" t="str">
        <f t="shared" si="450"/>
        <v/>
      </c>
    </row>
    <row r="5056" spans="1:17" hidden="1">
      <c r="A5056" t="s">
        <v>5161</v>
      </c>
      <c r="B5056" s="1">
        <v>45597</v>
      </c>
      <c r="C5056">
        <v>2024</v>
      </c>
      <c r="D5056">
        <v>11</v>
      </c>
      <c r="E5056" t="s">
        <v>13</v>
      </c>
      <c r="F5056" t="s">
        <v>24</v>
      </c>
      <c r="G5056" t="s">
        <v>15</v>
      </c>
      <c r="H5056" t="s">
        <v>89</v>
      </c>
      <c r="I5056">
        <v>2634.17</v>
      </c>
      <c r="J5056">
        <v>2389.06</v>
      </c>
      <c r="K5056" t="s">
        <v>17</v>
      </c>
      <c r="L5056" t="b">
        <v>0</v>
      </c>
      <c r="N5056" s="2" t="str">
        <f t="shared" si="449"/>
        <v/>
      </c>
      <c r="Q5056" t="str">
        <f t="shared" si="450"/>
        <v/>
      </c>
    </row>
    <row r="5057" spans="1:17" hidden="1">
      <c r="A5057" t="s">
        <v>5162</v>
      </c>
      <c r="B5057" s="1">
        <v>45597</v>
      </c>
      <c r="C5057">
        <v>2024</v>
      </c>
      <c r="D5057">
        <v>11</v>
      </c>
      <c r="E5057" t="s">
        <v>13</v>
      </c>
      <c r="F5057" t="s">
        <v>24</v>
      </c>
      <c r="G5057" t="s">
        <v>68</v>
      </c>
      <c r="H5057" t="s">
        <v>69</v>
      </c>
      <c r="I5057">
        <v>1793.29</v>
      </c>
      <c r="J5057">
        <v>1860.58</v>
      </c>
      <c r="K5057" t="s">
        <v>17</v>
      </c>
      <c r="L5057" t="b">
        <v>0</v>
      </c>
      <c r="N5057" s="2" t="str">
        <f t="shared" si="449"/>
        <v/>
      </c>
      <c r="Q5057" t="str">
        <f t="shared" si="450"/>
        <v/>
      </c>
    </row>
    <row r="5058" spans="1:17" hidden="1">
      <c r="A5058" t="s">
        <v>5163</v>
      </c>
      <c r="B5058" s="1">
        <v>45597</v>
      </c>
      <c r="C5058">
        <v>2024</v>
      </c>
      <c r="D5058">
        <v>11</v>
      </c>
      <c r="E5058" t="s">
        <v>47</v>
      </c>
      <c r="F5058" t="s">
        <v>14</v>
      </c>
      <c r="G5058" t="s">
        <v>48</v>
      </c>
      <c r="H5058" t="s">
        <v>75</v>
      </c>
      <c r="I5058">
        <v>8790.18</v>
      </c>
      <c r="J5058">
        <v>7283.46</v>
      </c>
      <c r="K5058" t="s">
        <v>17</v>
      </c>
      <c r="L5058" t="b">
        <v>0</v>
      </c>
      <c r="N5058" s="2" t="b">
        <f t="shared" si="449"/>
        <v>1</v>
      </c>
      <c r="O5058" t="str">
        <f t="shared" ref="O5058:O5061" si="455">IF(AND(E5047="HR",K5047="EXPENSE"),I5047&lt;J5047,"")</f>
        <v/>
      </c>
      <c r="Q5058" t="str">
        <f t="shared" si="450"/>
        <v/>
      </c>
    </row>
    <row r="5059" spans="1:17" hidden="1">
      <c r="A5059" t="s">
        <v>5164</v>
      </c>
      <c r="B5059" s="1">
        <v>45597</v>
      </c>
      <c r="C5059">
        <v>2024</v>
      </c>
      <c r="D5059">
        <v>11</v>
      </c>
      <c r="E5059" t="s">
        <v>47</v>
      </c>
      <c r="F5059" t="s">
        <v>28</v>
      </c>
      <c r="G5059" t="s">
        <v>48</v>
      </c>
      <c r="H5059" t="s">
        <v>189</v>
      </c>
      <c r="I5059">
        <v>15623.26</v>
      </c>
      <c r="J5059">
        <v>13348.99</v>
      </c>
      <c r="K5059" t="s">
        <v>17</v>
      </c>
      <c r="L5059" t="b">
        <v>0</v>
      </c>
      <c r="N5059" s="2" t="b">
        <f t="shared" ref="N5059:N5122" si="456">IF(AND(E5059="IT",K5059="EXPENSE"),I5059&gt;J5059,"")</f>
        <v>1</v>
      </c>
      <c r="O5059" t="str">
        <f t="shared" si="455"/>
        <v/>
      </c>
      <c r="Q5059" t="str">
        <f t="shared" ref="Q5059:Q5122" si="457">IF(L5059=TRUE,OR(H5059="Apex Solutions Inc",H5059="Global Trade Partners",H5059="NovaTech Services"),"")</f>
        <v/>
      </c>
    </row>
    <row r="5060" spans="1:17" hidden="1">
      <c r="A5060" t="s">
        <v>5165</v>
      </c>
      <c r="B5060" s="1">
        <v>45597</v>
      </c>
      <c r="C5060">
        <v>2024</v>
      </c>
      <c r="D5060">
        <v>11</v>
      </c>
      <c r="E5060" t="s">
        <v>47</v>
      </c>
      <c r="F5060" t="s">
        <v>28</v>
      </c>
      <c r="G5060" t="s">
        <v>91</v>
      </c>
      <c r="H5060" t="s">
        <v>92</v>
      </c>
      <c r="I5060">
        <v>6341.91</v>
      </c>
      <c r="J5060">
        <v>5224.3999999999996</v>
      </c>
      <c r="K5060" t="s">
        <v>17</v>
      </c>
      <c r="L5060" t="b">
        <v>0</v>
      </c>
      <c r="N5060" s="2" t="b">
        <f t="shared" si="456"/>
        <v>1</v>
      </c>
      <c r="O5060" t="str">
        <f t="shared" si="455"/>
        <v/>
      </c>
      <c r="Q5060" t="str">
        <f t="shared" si="457"/>
        <v/>
      </c>
    </row>
    <row r="5061" spans="1:17" hidden="1">
      <c r="A5061" t="s">
        <v>5166</v>
      </c>
      <c r="B5061" s="1">
        <v>45597</v>
      </c>
      <c r="C5061">
        <v>2024</v>
      </c>
      <c r="D5061">
        <v>11</v>
      </c>
      <c r="E5061" t="s">
        <v>47</v>
      </c>
      <c r="F5061" t="s">
        <v>28</v>
      </c>
      <c r="G5061" t="s">
        <v>48</v>
      </c>
      <c r="H5061" t="s">
        <v>191</v>
      </c>
      <c r="I5061">
        <v>9357.75</v>
      </c>
      <c r="J5061">
        <v>8026.21</v>
      </c>
      <c r="K5061" t="s">
        <v>17</v>
      </c>
      <c r="L5061" t="b">
        <v>0</v>
      </c>
      <c r="N5061" s="2" t="b">
        <f t="shared" si="456"/>
        <v>1</v>
      </c>
      <c r="O5061" t="b">
        <f t="shared" si="455"/>
        <v>0</v>
      </c>
      <c r="Q5061" t="str">
        <f t="shared" si="457"/>
        <v/>
      </c>
    </row>
    <row r="5062" spans="1:17" hidden="1">
      <c r="A5062" t="s">
        <v>5167</v>
      </c>
      <c r="B5062" s="1">
        <v>45597</v>
      </c>
      <c r="C5062">
        <v>2024</v>
      </c>
      <c r="D5062">
        <v>11</v>
      </c>
      <c r="E5062" t="s">
        <v>19</v>
      </c>
      <c r="F5062" t="s">
        <v>14</v>
      </c>
      <c r="G5062" t="s">
        <v>20</v>
      </c>
      <c r="H5062" t="s">
        <v>174</v>
      </c>
      <c r="I5062">
        <v>4302.7299999999996</v>
      </c>
      <c r="J5062">
        <v>4081.89</v>
      </c>
      <c r="K5062" t="s">
        <v>17</v>
      </c>
      <c r="L5062" t="b">
        <v>0</v>
      </c>
      <c r="N5062" s="2" t="str">
        <f t="shared" si="456"/>
        <v/>
      </c>
      <c r="Q5062" t="str">
        <f t="shared" si="457"/>
        <v/>
      </c>
    </row>
    <row r="5063" spans="1:17" hidden="1">
      <c r="A5063" t="s">
        <v>5168</v>
      </c>
      <c r="B5063" s="1">
        <v>45597</v>
      </c>
      <c r="C5063">
        <v>2024</v>
      </c>
      <c r="D5063">
        <v>11</v>
      </c>
      <c r="E5063" t="s">
        <v>23</v>
      </c>
      <c r="F5063" t="s">
        <v>28</v>
      </c>
      <c r="G5063" t="s">
        <v>141</v>
      </c>
      <c r="H5063" t="s">
        <v>209</v>
      </c>
      <c r="I5063">
        <v>5704.17</v>
      </c>
      <c r="J5063">
        <v>5292.55</v>
      </c>
      <c r="K5063" t="s">
        <v>17</v>
      </c>
      <c r="L5063" t="b">
        <v>0</v>
      </c>
      <c r="N5063" s="2" t="str">
        <f t="shared" si="456"/>
        <v/>
      </c>
      <c r="Q5063" t="str">
        <f t="shared" si="457"/>
        <v/>
      </c>
    </row>
    <row r="5064" spans="1:17" hidden="1">
      <c r="A5064" t="s">
        <v>5169</v>
      </c>
      <c r="B5064" s="1">
        <v>45597</v>
      </c>
      <c r="C5064">
        <v>2024</v>
      </c>
      <c r="D5064">
        <v>11</v>
      </c>
      <c r="E5064" t="s">
        <v>23</v>
      </c>
      <c r="F5064" t="s">
        <v>24</v>
      </c>
      <c r="G5064" t="s">
        <v>25</v>
      </c>
      <c r="H5064" t="s">
        <v>35</v>
      </c>
      <c r="I5064">
        <v>6381.85</v>
      </c>
      <c r="J5064">
        <v>6890.73</v>
      </c>
      <c r="K5064" t="s">
        <v>17</v>
      </c>
      <c r="L5064" t="b">
        <v>0</v>
      </c>
      <c r="N5064" s="2" t="str">
        <f t="shared" si="456"/>
        <v/>
      </c>
      <c r="Q5064" t="str">
        <f t="shared" si="457"/>
        <v/>
      </c>
    </row>
    <row r="5065" spans="1:17" hidden="1">
      <c r="A5065" t="s">
        <v>5170</v>
      </c>
      <c r="B5065" s="1">
        <v>45598</v>
      </c>
      <c r="C5065">
        <v>2024</v>
      </c>
      <c r="D5065">
        <v>11</v>
      </c>
      <c r="E5065" t="s">
        <v>47</v>
      </c>
      <c r="F5065" t="s">
        <v>14</v>
      </c>
      <c r="G5065" t="s">
        <v>51</v>
      </c>
      <c r="H5065" t="s">
        <v>52</v>
      </c>
      <c r="I5065">
        <v>12416.53</v>
      </c>
      <c r="J5065">
        <v>10529.92</v>
      </c>
      <c r="K5065" t="s">
        <v>17</v>
      </c>
      <c r="L5065" t="b">
        <v>0</v>
      </c>
      <c r="N5065" s="2" t="b">
        <f t="shared" si="456"/>
        <v>1</v>
      </c>
      <c r="O5065" t="str">
        <f t="shared" ref="O5065:O5067" si="458">IF(AND(E5054="HR",K5054="EXPENSE"),I5054&lt;J5054,"")</f>
        <v/>
      </c>
      <c r="Q5065" t="str">
        <f t="shared" si="457"/>
        <v/>
      </c>
    </row>
    <row r="5066" spans="1:17" hidden="1">
      <c r="A5066" t="s">
        <v>5171</v>
      </c>
      <c r="B5066" s="1">
        <v>45598</v>
      </c>
      <c r="C5066">
        <v>2024</v>
      </c>
      <c r="D5066">
        <v>11</v>
      </c>
      <c r="E5066" t="s">
        <v>47</v>
      </c>
      <c r="F5066" t="s">
        <v>28</v>
      </c>
      <c r="G5066" t="s">
        <v>77</v>
      </c>
      <c r="H5066" t="s">
        <v>147</v>
      </c>
      <c r="I5066">
        <v>7078.4</v>
      </c>
      <c r="J5066">
        <v>5921.2</v>
      </c>
      <c r="K5066" t="s">
        <v>17</v>
      </c>
      <c r="L5066" t="b">
        <v>0</v>
      </c>
      <c r="N5066" s="2" t="b">
        <f t="shared" si="456"/>
        <v>1</v>
      </c>
      <c r="O5066" t="str">
        <f t="shared" si="458"/>
        <v/>
      </c>
      <c r="Q5066" t="str">
        <f t="shared" si="457"/>
        <v/>
      </c>
    </row>
    <row r="5067" spans="1:17" hidden="1">
      <c r="A5067" t="s">
        <v>5172</v>
      </c>
      <c r="B5067" s="1">
        <v>45598</v>
      </c>
      <c r="C5067">
        <v>2024</v>
      </c>
      <c r="D5067">
        <v>11</v>
      </c>
      <c r="E5067" t="s">
        <v>47</v>
      </c>
      <c r="F5067" t="s">
        <v>24</v>
      </c>
      <c r="G5067" t="s">
        <v>51</v>
      </c>
      <c r="H5067" t="s">
        <v>52</v>
      </c>
      <c r="I5067">
        <v>14207.54</v>
      </c>
      <c r="J5067">
        <v>11791.32</v>
      </c>
      <c r="K5067" t="s">
        <v>17</v>
      </c>
      <c r="L5067" t="b">
        <v>0</v>
      </c>
      <c r="N5067" s="2" t="b">
        <f t="shared" si="456"/>
        <v>1</v>
      </c>
      <c r="O5067" t="b">
        <f t="shared" si="458"/>
        <v>0</v>
      </c>
      <c r="Q5067" t="str">
        <f t="shared" si="457"/>
        <v/>
      </c>
    </row>
    <row r="5068" spans="1:17" hidden="1">
      <c r="A5068" t="s">
        <v>5173</v>
      </c>
      <c r="B5068" s="1">
        <v>45598</v>
      </c>
      <c r="C5068">
        <v>2024</v>
      </c>
      <c r="D5068">
        <v>11</v>
      </c>
      <c r="E5068" t="s">
        <v>19</v>
      </c>
      <c r="F5068" t="s">
        <v>14</v>
      </c>
      <c r="G5068" t="s">
        <v>20</v>
      </c>
      <c r="H5068" t="s">
        <v>136</v>
      </c>
      <c r="I5068">
        <v>7128.76</v>
      </c>
      <c r="J5068">
        <v>7600.88</v>
      </c>
      <c r="K5068" t="s">
        <v>17</v>
      </c>
      <c r="L5068" t="b">
        <v>0</v>
      </c>
      <c r="N5068" s="2" t="str">
        <f t="shared" si="456"/>
        <v/>
      </c>
      <c r="Q5068" t="str">
        <f t="shared" si="457"/>
        <v/>
      </c>
    </row>
    <row r="5069" spans="1:17" hidden="1">
      <c r="A5069" t="s">
        <v>5174</v>
      </c>
      <c r="B5069" s="1">
        <v>45598</v>
      </c>
      <c r="C5069">
        <v>2024</v>
      </c>
      <c r="D5069">
        <v>11</v>
      </c>
      <c r="E5069" t="s">
        <v>23</v>
      </c>
      <c r="F5069" t="s">
        <v>24</v>
      </c>
      <c r="G5069" t="s">
        <v>25</v>
      </c>
      <c r="H5069" t="s">
        <v>35</v>
      </c>
      <c r="I5069">
        <v>4389.18</v>
      </c>
      <c r="J5069">
        <v>4135.38</v>
      </c>
      <c r="K5069" t="s">
        <v>17</v>
      </c>
      <c r="L5069" t="b">
        <v>0</v>
      </c>
      <c r="N5069" s="2" t="str">
        <f t="shared" si="456"/>
        <v/>
      </c>
      <c r="Q5069" t="str">
        <f t="shared" si="457"/>
        <v/>
      </c>
    </row>
    <row r="5070" spans="1:17" hidden="1">
      <c r="A5070" t="s">
        <v>5175</v>
      </c>
      <c r="B5070" s="1">
        <v>45599</v>
      </c>
      <c r="C5070">
        <v>2024</v>
      </c>
      <c r="D5070">
        <v>11</v>
      </c>
      <c r="E5070" t="s">
        <v>13</v>
      </c>
      <c r="F5070" t="s">
        <v>28</v>
      </c>
      <c r="G5070" t="s">
        <v>108</v>
      </c>
      <c r="H5070" t="s">
        <v>126</v>
      </c>
      <c r="I5070">
        <v>2691.84</v>
      </c>
      <c r="J5070">
        <v>2804.43</v>
      </c>
      <c r="K5070" t="s">
        <v>17</v>
      </c>
      <c r="L5070" t="b">
        <v>0</v>
      </c>
      <c r="N5070" s="2" t="str">
        <f t="shared" si="456"/>
        <v/>
      </c>
      <c r="Q5070" t="str">
        <f t="shared" si="457"/>
        <v/>
      </c>
    </row>
    <row r="5071" spans="1:17" hidden="1">
      <c r="A5071" t="s">
        <v>5176</v>
      </c>
      <c r="B5071" s="1">
        <v>45599</v>
      </c>
      <c r="C5071">
        <v>2024</v>
      </c>
      <c r="D5071">
        <v>11</v>
      </c>
      <c r="E5071" t="s">
        <v>47</v>
      </c>
      <c r="F5071" t="s">
        <v>14</v>
      </c>
      <c r="G5071" t="s">
        <v>51</v>
      </c>
      <c r="H5071" t="s">
        <v>189</v>
      </c>
      <c r="I5071">
        <v>8709.44</v>
      </c>
      <c r="J5071">
        <v>7412.72</v>
      </c>
      <c r="K5071" t="s">
        <v>17</v>
      </c>
      <c r="L5071" t="b">
        <v>0</v>
      </c>
      <c r="N5071" s="2" t="b">
        <f t="shared" si="456"/>
        <v>1</v>
      </c>
      <c r="O5071" t="str">
        <f>IF(AND(E5060="HR",K5060="EXPENSE"),I5060&lt;J5060,"")</f>
        <v/>
      </c>
      <c r="Q5071" t="str">
        <f t="shared" si="457"/>
        <v/>
      </c>
    </row>
    <row r="5072" spans="1:17" hidden="1">
      <c r="A5072" t="s">
        <v>5177</v>
      </c>
      <c r="B5072" s="1">
        <v>45599</v>
      </c>
      <c r="C5072">
        <v>2024</v>
      </c>
      <c r="D5072">
        <v>11</v>
      </c>
      <c r="E5072" t="s">
        <v>23</v>
      </c>
      <c r="F5072" t="s">
        <v>28</v>
      </c>
      <c r="G5072" t="s">
        <v>25</v>
      </c>
      <c r="H5072" t="s">
        <v>35</v>
      </c>
      <c r="I5072">
        <v>4318.0600000000004</v>
      </c>
      <c r="J5072">
        <v>4420.4799999999996</v>
      </c>
      <c r="K5072" t="s">
        <v>17</v>
      </c>
      <c r="L5072" t="b">
        <v>0</v>
      </c>
      <c r="N5072" s="2" t="str">
        <f t="shared" si="456"/>
        <v/>
      </c>
      <c r="Q5072" t="str">
        <f t="shared" si="457"/>
        <v/>
      </c>
    </row>
    <row r="5073" spans="1:17" hidden="1">
      <c r="A5073" t="s">
        <v>5178</v>
      </c>
      <c r="B5073" s="1">
        <v>45599</v>
      </c>
      <c r="C5073">
        <v>2024</v>
      </c>
      <c r="D5073">
        <v>11</v>
      </c>
      <c r="E5073" t="s">
        <v>37</v>
      </c>
      <c r="F5073" t="s">
        <v>28</v>
      </c>
      <c r="G5073" t="s">
        <v>38</v>
      </c>
      <c r="H5073" t="s">
        <v>118</v>
      </c>
      <c r="I5073">
        <v>4212.2</v>
      </c>
      <c r="J5073">
        <v>4456.03</v>
      </c>
      <c r="K5073" t="s">
        <v>17</v>
      </c>
      <c r="L5073" t="b">
        <v>0</v>
      </c>
      <c r="N5073" s="2" t="str">
        <f t="shared" si="456"/>
        <v/>
      </c>
      <c r="Q5073" t="str">
        <f t="shared" si="457"/>
        <v/>
      </c>
    </row>
    <row r="5074" spans="1:17" hidden="1">
      <c r="A5074" t="s">
        <v>5179</v>
      </c>
      <c r="B5074" s="1">
        <v>45599</v>
      </c>
      <c r="C5074">
        <v>2024</v>
      </c>
      <c r="D5074">
        <v>11</v>
      </c>
      <c r="E5074" t="s">
        <v>37</v>
      </c>
      <c r="F5074" t="s">
        <v>14</v>
      </c>
      <c r="G5074" t="s">
        <v>83</v>
      </c>
      <c r="H5074" t="s">
        <v>84</v>
      </c>
      <c r="I5074">
        <v>410507.05</v>
      </c>
      <c r="J5074">
        <v>389981.7</v>
      </c>
      <c r="K5074" t="s">
        <v>85</v>
      </c>
      <c r="L5074" t="b">
        <v>0</v>
      </c>
      <c r="N5074" s="2" t="str">
        <f t="shared" si="456"/>
        <v/>
      </c>
      <c r="Q5074" t="str">
        <f t="shared" si="457"/>
        <v/>
      </c>
    </row>
    <row r="5075" spans="1:17" hidden="1">
      <c r="A5075" t="s">
        <v>5180</v>
      </c>
      <c r="B5075" s="1">
        <v>45600</v>
      </c>
      <c r="C5075">
        <v>2024</v>
      </c>
      <c r="D5075">
        <v>11</v>
      </c>
      <c r="E5075" t="s">
        <v>13</v>
      </c>
      <c r="F5075" t="s">
        <v>28</v>
      </c>
      <c r="G5075" t="s">
        <v>68</v>
      </c>
      <c r="H5075" t="s">
        <v>69</v>
      </c>
      <c r="I5075">
        <v>4165.88</v>
      </c>
      <c r="J5075">
        <v>4481.93</v>
      </c>
      <c r="K5075" t="s">
        <v>17</v>
      </c>
      <c r="L5075" t="b">
        <v>0</v>
      </c>
      <c r="N5075" s="2" t="str">
        <f t="shared" si="456"/>
        <v/>
      </c>
      <c r="Q5075" t="str">
        <f t="shared" si="457"/>
        <v/>
      </c>
    </row>
    <row r="5076" spans="1:17" hidden="1">
      <c r="A5076" t="s">
        <v>5181</v>
      </c>
      <c r="B5076" s="1">
        <v>45600</v>
      </c>
      <c r="C5076">
        <v>2024</v>
      </c>
      <c r="D5076">
        <v>11</v>
      </c>
      <c r="E5076" t="s">
        <v>47</v>
      </c>
      <c r="F5076" t="s">
        <v>24</v>
      </c>
      <c r="G5076" t="s">
        <v>51</v>
      </c>
      <c r="H5076" t="s">
        <v>189</v>
      </c>
      <c r="I5076">
        <v>12741.89</v>
      </c>
      <c r="J5076">
        <v>11066.95</v>
      </c>
      <c r="K5076" t="s">
        <v>17</v>
      </c>
      <c r="L5076" t="b">
        <v>0</v>
      </c>
      <c r="N5076" s="2" t="b">
        <f t="shared" si="456"/>
        <v>1</v>
      </c>
      <c r="O5076" t="str">
        <f>IF(AND(E5065="HR",K5065="EXPENSE"),I5065&lt;J5065,"")</f>
        <v/>
      </c>
      <c r="Q5076" t="str">
        <f t="shared" si="457"/>
        <v/>
      </c>
    </row>
    <row r="5077" spans="1:17" hidden="1">
      <c r="A5077" t="s">
        <v>5182</v>
      </c>
      <c r="B5077" s="1">
        <v>45600</v>
      </c>
      <c r="C5077">
        <v>2024</v>
      </c>
      <c r="D5077">
        <v>11</v>
      </c>
      <c r="E5077" t="s">
        <v>23</v>
      </c>
      <c r="F5077" t="s">
        <v>28</v>
      </c>
      <c r="G5077" t="s">
        <v>30</v>
      </c>
      <c r="H5077" t="s">
        <v>106</v>
      </c>
      <c r="I5077">
        <v>4456.47</v>
      </c>
      <c r="J5077">
        <v>4527.97</v>
      </c>
      <c r="K5077" t="s">
        <v>17</v>
      </c>
      <c r="L5077" t="b">
        <v>0</v>
      </c>
      <c r="N5077" s="2" t="str">
        <f t="shared" si="456"/>
        <v/>
      </c>
      <c r="Q5077" t="str">
        <f t="shared" si="457"/>
        <v/>
      </c>
    </row>
    <row r="5078" spans="1:17" hidden="1">
      <c r="A5078" t="s">
        <v>5183</v>
      </c>
      <c r="B5078" s="1">
        <v>45600</v>
      </c>
      <c r="C5078">
        <v>2024</v>
      </c>
      <c r="D5078">
        <v>11</v>
      </c>
      <c r="E5078" t="s">
        <v>23</v>
      </c>
      <c r="F5078" t="s">
        <v>28</v>
      </c>
      <c r="G5078" t="s">
        <v>59</v>
      </c>
      <c r="H5078" t="s">
        <v>155</v>
      </c>
      <c r="I5078">
        <v>4914.8</v>
      </c>
      <c r="J5078">
        <v>5157.17</v>
      </c>
      <c r="K5078" t="s">
        <v>17</v>
      </c>
      <c r="L5078" t="b">
        <v>0</v>
      </c>
      <c r="N5078" s="2" t="str">
        <f t="shared" si="456"/>
        <v/>
      </c>
      <c r="Q5078" t="str">
        <f t="shared" si="457"/>
        <v/>
      </c>
    </row>
    <row r="5079" spans="1:17" hidden="1">
      <c r="A5079" t="s">
        <v>5184</v>
      </c>
      <c r="B5079" s="1">
        <v>45600</v>
      </c>
      <c r="C5079">
        <v>2024</v>
      </c>
      <c r="D5079">
        <v>11</v>
      </c>
      <c r="E5079" t="s">
        <v>23</v>
      </c>
      <c r="F5079" t="s">
        <v>24</v>
      </c>
      <c r="G5079" t="s">
        <v>59</v>
      </c>
      <c r="H5079" t="s">
        <v>155</v>
      </c>
      <c r="I5079">
        <v>5228.2700000000004</v>
      </c>
      <c r="J5079">
        <v>4898.83</v>
      </c>
      <c r="K5079" t="s">
        <v>17</v>
      </c>
      <c r="L5079" t="b">
        <v>0</v>
      </c>
      <c r="N5079" s="2" t="str">
        <f t="shared" si="456"/>
        <v/>
      </c>
      <c r="Q5079" t="str">
        <f t="shared" si="457"/>
        <v/>
      </c>
    </row>
    <row r="5080" spans="1:17" hidden="1">
      <c r="A5080" t="s">
        <v>5185</v>
      </c>
      <c r="B5080" s="1">
        <v>45600</v>
      </c>
      <c r="C5080">
        <v>2024</v>
      </c>
      <c r="D5080">
        <v>11</v>
      </c>
      <c r="E5080" t="s">
        <v>37</v>
      </c>
      <c r="F5080" t="s">
        <v>28</v>
      </c>
      <c r="G5080" t="s">
        <v>41</v>
      </c>
      <c r="H5080" t="s">
        <v>42</v>
      </c>
      <c r="I5080">
        <v>3567.51</v>
      </c>
      <c r="J5080">
        <v>3755.18</v>
      </c>
      <c r="K5080" t="s">
        <v>17</v>
      </c>
      <c r="L5080" t="b">
        <v>0</v>
      </c>
      <c r="N5080" s="2" t="str">
        <f t="shared" si="456"/>
        <v/>
      </c>
      <c r="Q5080" t="str">
        <f t="shared" si="457"/>
        <v/>
      </c>
    </row>
    <row r="5081" spans="1:17" hidden="1">
      <c r="A5081" t="s">
        <v>5186</v>
      </c>
      <c r="B5081" s="1">
        <v>45600</v>
      </c>
      <c r="C5081">
        <v>2024</v>
      </c>
      <c r="D5081">
        <v>11</v>
      </c>
      <c r="E5081" t="s">
        <v>37</v>
      </c>
      <c r="F5081" t="s">
        <v>24</v>
      </c>
      <c r="G5081" t="s">
        <v>62</v>
      </c>
      <c r="H5081" t="s">
        <v>66</v>
      </c>
      <c r="I5081">
        <v>6603.6</v>
      </c>
      <c r="J5081">
        <v>6328.53</v>
      </c>
      <c r="K5081" t="s">
        <v>17</v>
      </c>
      <c r="L5081" t="b">
        <v>0</v>
      </c>
      <c r="N5081" s="2" t="str">
        <f t="shared" si="456"/>
        <v/>
      </c>
      <c r="Q5081" t="str">
        <f t="shared" si="457"/>
        <v/>
      </c>
    </row>
    <row r="5082" spans="1:17" hidden="1">
      <c r="A5082" t="s">
        <v>5187</v>
      </c>
      <c r="B5082" s="1">
        <v>45601</v>
      </c>
      <c r="C5082">
        <v>2024</v>
      </c>
      <c r="D5082">
        <v>11</v>
      </c>
      <c r="E5082" t="s">
        <v>13</v>
      </c>
      <c r="F5082" t="s">
        <v>28</v>
      </c>
      <c r="G5082" t="s">
        <v>102</v>
      </c>
      <c r="H5082" t="s">
        <v>145</v>
      </c>
      <c r="I5082">
        <v>2606.04</v>
      </c>
      <c r="J5082">
        <v>2673.21</v>
      </c>
      <c r="K5082" t="s">
        <v>17</v>
      </c>
      <c r="L5082" t="b">
        <v>0</v>
      </c>
      <c r="N5082" s="2" t="str">
        <f t="shared" si="456"/>
        <v/>
      </c>
      <c r="Q5082" t="str">
        <f t="shared" si="457"/>
        <v/>
      </c>
    </row>
    <row r="5083" spans="1:17" hidden="1">
      <c r="A5083" t="s">
        <v>5188</v>
      </c>
      <c r="B5083" s="1">
        <v>45601</v>
      </c>
      <c r="C5083">
        <v>2024</v>
      </c>
      <c r="D5083">
        <v>11</v>
      </c>
      <c r="E5083" t="s">
        <v>47</v>
      </c>
      <c r="F5083" t="s">
        <v>28</v>
      </c>
      <c r="G5083" t="s">
        <v>91</v>
      </c>
      <c r="H5083" t="s">
        <v>249</v>
      </c>
      <c r="I5083">
        <v>9182.92</v>
      </c>
      <c r="J5083">
        <v>7958.53</v>
      </c>
      <c r="K5083" t="s">
        <v>17</v>
      </c>
      <c r="L5083" t="b">
        <v>0</v>
      </c>
      <c r="N5083" s="2" t="b">
        <f t="shared" si="456"/>
        <v>1</v>
      </c>
      <c r="O5083" t="str">
        <f t="shared" ref="O5083:O5084" si="459">IF(AND(E5072="HR",K5072="EXPENSE"),I5072&lt;J5072,"")</f>
        <v/>
      </c>
      <c r="Q5083" t="str">
        <f t="shared" si="457"/>
        <v/>
      </c>
    </row>
    <row r="5084" spans="1:17" hidden="1">
      <c r="A5084" t="s">
        <v>5189</v>
      </c>
      <c r="B5084" s="1">
        <v>45601</v>
      </c>
      <c r="C5084">
        <v>2024</v>
      </c>
      <c r="D5084">
        <v>11</v>
      </c>
      <c r="E5084" t="s">
        <v>47</v>
      </c>
      <c r="F5084" t="s">
        <v>24</v>
      </c>
      <c r="G5084" t="s">
        <v>77</v>
      </c>
      <c r="H5084" t="s">
        <v>130</v>
      </c>
      <c r="I5084">
        <v>12686.24</v>
      </c>
      <c r="J5084">
        <v>10632.38</v>
      </c>
      <c r="K5084" t="s">
        <v>17</v>
      </c>
      <c r="L5084" t="b">
        <v>0</v>
      </c>
      <c r="N5084" s="2" t="b">
        <f t="shared" si="456"/>
        <v>1</v>
      </c>
      <c r="O5084" t="str">
        <f t="shared" si="459"/>
        <v/>
      </c>
      <c r="Q5084" t="str">
        <f t="shared" si="457"/>
        <v/>
      </c>
    </row>
    <row r="5085" spans="1:17" hidden="1">
      <c r="A5085" t="s">
        <v>5190</v>
      </c>
      <c r="B5085" s="1">
        <v>45601</v>
      </c>
      <c r="C5085">
        <v>2024</v>
      </c>
      <c r="D5085">
        <v>11</v>
      </c>
      <c r="E5085" t="s">
        <v>19</v>
      </c>
      <c r="F5085" t="s">
        <v>14</v>
      </c>
      <c r="G5085" t="s">
        <v>132</v>
      </c>
      <c r="H5085" t="s">
        <v>171</v>
      </c>
      <c r="I5085">
        <v>5680.14</v>
      </c>
      <c r="J5085">
        <v>5642.64</v>
      </c>
      <c r="K5085" t="s">
        <v>17</v>
      </c>
      <c r="L5085" t="b">
        <v>0</v>
      </c>
      <c r="N5085" s="2" t="str">
        <f t="shared" si="456"/>
        <v/>
      </c>
      <c r="Q5085" t="str">
        <f t="shared" si="457"/>
        <v/>
      </c>
    </row>
    <row r="5086" spans="1:17" hidden="1">
      <c r="A5086" t="s">
        <v>5191</v>
      </c>
      <c r="B5086" s="1">
        <v>45601</v>
      </c>
      <c r="C5086">
        <v>2024</v>
      </c>
      <c r="D5086">
        <v>11</v>
      </c>
      <c r="E5086" t="s">
        <v>19</v>
      </c>
      <c r="F5086" t="s">
        <v>28</v>
      </c>
      <c r="G5086" t="s">
        <v>54</v>
      </c>
      <c r="H5086" t="s">
        <v>163</v>
      </c>
      <c r="I5086">
        <v>9631.9</v>
      </c>
      <c r="J5086">
        <v>10130.81</v>
      </c>
      <c r="K5086" t="s">
        <v>17</v>
      </c>
      <c r="L5086" t="b">
        <v>0</v>
      </c>
      <c r="N5086" s="2" t="str">
        <f t="shared" si="456"/>
        <v/>
      </c>
      <c r="Q5086" t="str">
        <f t="shared" si="457"/>
        <v/>
      </c>
    </row>
    <row r="5087" spans="1:17" hidden="1">
      <c r="A5087" t="s">
        <v>5192</v>
      </c>
      <c r="B5087" s="1">
        <v>45601</v>
      </c>
      <c r="C5087">
        <v>2024</v>
      </c>
      <c r="D5087">
        <v>11</v>
      </c>
      <c r="E5087" t="s">
        <v>19</v>
      </c>
      <c r="F5087" t="s">
        <v>24</v>
      </c>
      <c r="G5087" t="s">
        <v>20</v>
      </c>
      <c r="H5087" t="s">
        <v>136</v>
      </c>
      <c r="I5087">
        <v>2387.16</v>
      </c>
      <c r="J5087">
        <v>2413.4299999999998</v>
      </c>
      <c r="K5087" t="s">
        <v>17</v>
      </c>
      <c r="L5087" t="b">
        <v>0</v>
      </c>
      <c r="N5087" s="2" t="str">
        <f t="shared" si="456"/>
        <v/>
      </c>
      <c r="Q5087" t="str">
        <f t="shared" si="457"/>
        <v/>
      </c>
    </row>
    <row r="5088" spans="1:17" hidden="1">
      <c r="A5088" t="s">
        <v>5193</v>
      </c>
      <c r="B5088" s="1">
        <v>45601</v>
      </c>
      <c r="C5088">
        <v>2024</v>
      </c>
      <c r="D5088">
        <v>11</v>
      </c>
      <c r="E5088" t="s">
        <v>19</v>
      </c>
      <c r="F5088" t="s">
        <v>24</v>
      </c>
      <c r="G5088" t="s">
        <v>80</v>
      </c>
      <c r="H5088" t="s">
        <v>150</v>
      </c>
      <c r="I5088">
        <v>5486.29</v>
      </c>
      <c r="J5088">
        <v>5403.65</v>
      </c>
      <c r="K5088" t="s">
        <v>17</v>
      </c>
      <c r="L5088" t="b">
        <v>0</v>
      </c>
      <c r="N5088" s="2" t="str">
        <f t="shared" si="456"/>
        <v/>
      </c>
      <c r="Q5088" t="str">
        <f t="shared" si="457"/>
        <v/>
      </c>
    </row>
    <row r="5089" spans="1:17" hidden="1">
      <c r="A5089" t="s">
        <v>5194</v>
      </c>
      <c r="B5089" s="1">
        <v>45601</v>
      </c>
      <c r="C5089">
        <v>2024</v>
      </c>
      <c r="D5089">
        <v>11</v>
      </c>
      <c r="E5089" t="s">
        <v>23</v>
      </c>
      <c r="F5089" t="s">
        <v>14</v>
      </c>
      <c r="G5089" t="s">
        <v>25</v>
      </c>
      <c r="H5089" t="s">
        <v>35</v>
      </c>
      <c r="I5089">
        <v>5645.12</v>
      </c>
      <c r="J5089">
        <v>6062.25</v>
      </c>
      <c r="K5089" t="s">
        <v>17</v>
      </c>
      <c r="L5089" t="b">
        <v>0</v>
      </c>
      <c r="N5089" s="2" t="str">
        <f t="shared" si="456"/>
        <v/>
      </c>
      <c r="Q5089" t="str">
        <f t="shared" si="457"/>
        <v/>
      </c>
    </row>
    <row r="5090" spans="1:17" hidden="1">
      <c r="A5090" t="s">
        <v>5195</v>
      </c>
      <c r="B5090" s="1">
        <v>45601</v>
      </c>
      <c r="C5090">
        <v>2024</v>
      </c>
      <c r="D5090">
        <v>11</v>
      </c>
      <c r="E5090" t="s">
        <v>37</v>
      </c>
      <c r="F5090" t="s">
        <v>14</v>
      </c>
      <c r="G5090" t="s">
        <v>62</v>
      </c>
      <c r="H5090" t="s">
        <v>360</v>
      </c>
      <c r="I5090">
        <v>6098.32</v>
      </c>
      <c r="J5090">
        <v>6122.4</v>
      </c>
      <c r="K5090" t="s">
        <v>17</v>
      </c>
      <c r="L5090" t="b">
        <v>0</v>
      </c>
      <c r="N5090" s="2" t="str">
        <f t="shared" si="456"/>
        <v/>
      </c>
      <c r="Q5090" t="str">
        <f t="shared" si="457"/>
        <v/>
      </c>
    </row>
    <row r="5091" spans="1:17" hidden="1">
      <c r="A5091" t="s">
        <v>5196</v>
      </c>
      <c r="B5091" s="1">
        <v>45602</v>
      </c>
      <c r="C5091">
        <v>2024</v>
      </c>
      <c r="D5091">
        <v>11</v>
      </c>
      <c r="E5091" t="s">
        <v>13</v>
      </c>
      <c r="F5091" t="s">
        <v>28</v>
      </c>
      <c r="G5091" t="s">
        <v>68</v>
      </c>
      <c r="H5091" t="s">
        <v>69</v>
      </c>
      <c r="I5091">
        <v>3532.02</v>
      </c>
      <c r="J5091">
        <v>3580.2</v>
      </c>
      <c r="K5091" t="s">
        <v>17</v>
      </c>
      <c r="L5091" t="b">
        <v>0</v>
      </c>
      <c r="N5091" s="2" t="str">
        <f t="shared" si="456"/>
        <v/>
      </c>
      <c r="Q5091" t="str">
        <f t="shared" si="457"/>
        <v/>
      </c>
    </row>
    <row r="5092" spans="1:17" hidden="1">
      <c r="A5092" t="s">
        <v>5197</v>
      </c>
      <c r="B5092" s="1">
        <v>45602</v>
      </c>
      <c r="C5092">
        <v>2024</v>
      </c>
      <c r="D5092">
        <v>11</v>
      </c>
      <c r="E5092" t="s">
        <v>13</v>
      </c>
      <c r="F5092" t="s">
        <v>24</v>
      </c>
      <c r="G5092" t="s">
        <v>15</v>
      </c>
      <c r="H5092" t="s">
        <v>16</v>
      </c>
      <c r="I5092">
        <v>5018.1000000000004</v>
      </c>
      <c r="J5092">
        <v>4981.5200000000004</v>
      </c>
      <c r="K5092" t="s">
        <v>17</v>
      </c>
      <c r="L5092" t="b">
        <v>0</v>
      </c>
      <c r="N5092" s="2" t="str">
        <f t="shared" si="456"/>
        <v/>
      </c>
      <c r="Q5092" t="str">
        <f t="shared" si="457"/>
        <v/>
      </c>
    </row>
    <row r="5093" spans="1:17" hidden="1">
      <c r="A5093" t="s">
        <v>5198</v>
      </c>
      <c r="B5093" s="1">
        <v>45602</v>
      </c>
      <c r="C5093">
        <v>2024</v>
      </c>
      <c r="D5093">
        <v>11</v>
      </c>
      <c r="E5093" t="s">
        <v>47</v>
      </c>
      <c r="F5093" t="s">
        <v>14</v>
      </c>
      <c r="G5093" t="s">
        <v>48</v>
      </c>
      <c r="H5093" t="s">
        <v>49</v>
      </c>
      <c r="I5093">
        <v>13789.87</v>
      </c>
      <c r="J5093">
        <v>11609.62</v>
      </c>
      <c r="K5093" t="s">
        <v>17</v>
      </c>
      <c r="L5093" t="b">
        <v>0</v>
      </c>
      <c r="N5093" s="2" t="b">
        <f t="shared" si="456"/>
        <v>1</v>
      </c>
      <c r="O5093" t="b">
        <f>IF(AND(E5082="HR",K5082="EXPENSE"),I5082&lt;J5082,"")</f>
        <v>1</v>
      </c>
      <c r="Q5093" t="str">
        <f t="shared" si="457"/>
        <v/>
      </c>
    </row>
    <row r="5094" spans="1:17" hidden="1">
      <c r="A5094" t="s">
        <v>5199</v>
      </c>
      <c r="B5094" s="1">
        <v>45602</v>
      </c>
      <c r="C5094">
        <v>2024</v>
      </c>
      <c r="D5094">
        <v>11</v>
      </c>
      <c r="E5094" t="s">
        <v>19</v>
      </c>
      <c r="F5094" t="s">
        <v>24</v>
      </c>
      <c r="G5094" t="s">
        <v>20</v>
      </c>
      <c r="H5094" t="s">
        <v>21</v>
      </c>
      <c r="I5094">
        <v>4980.4399999999996</v>
      </c>
      <c r="J5094">
        <v>5399.19</v>
      </c>
      <c r="K5094" t="s">
        <v>17</v>
      </c>
      <c r="L5094" t="b">
        <v>0</v>
      </c>
      <c r="N5094" s="2" t="str">
        <f t="shared" si="456"/>
        <v/>
      </c>
      <c r="Q5094" t="str">
        <f t="shared" si="457"/>
        <v/>
      </c>
    </row>
    <row r="5095" spans="1:17" hidden="1">
      <c r="A5095" t="s">
        <v>5200</v>
      </c>
      <c r="B5095" s="1">
        <v>45602</v>
      </c>
      <c r="C5095">
        <v>2024</v>
      </c>
      <c r="D5095">
        <v>11</v>
      </c>
      <c r="E5095" t="s">
        <v>19</v>
      </c>
      <c r="F5095" t="s">
        <v>24</v>
      </c>
      <c r="G5095" t="s">
        <v>54</v>
      </c>
      <c r="H5095" t="s">
        <v>163</v>
      </c>
      <c r="I5095">
        <v>3523.38</v>
      </c>
      <c r="J5095">
        <v>3790.58</v>
      </c>
      <c r="K5095" t="s">
        <v>17</v>
      </c>
      <c r="L5095" t="b">
        <v>0</v>
      </c>
      <c r="N5095" s="2" t="str">
        <f t="shared" si="456"/>
        <v/>
      </c>
      <c r="Q5095" t="str">
        <f t="shared" si="457"/>
        <v/>
      </c>
    </row>
    <row r="5096" spans="1:17" hidden="1">
      <c r="A5096" t="s">
        <v>5201</v>
      </c>
      <c r="B5096" s="1">
        <v>45602</v>
      </c>
      <c r="C5096">
        <v>2024</v>
      </c>
      <c r="D5096">
        <v>11</v>
      </c>
      <c r="E5096" t="s">
        <v>23</v>
      </c>
      <c r="F5096" t="s">
        <v>14</v>
      </c>
      <c r="G5096" t="s">
        <v>30</v>
      </c>
      <c r="H5096" t="s">
        <v>33</v>
      </c>
      <c r="I5096">
        <v>8323.27</v>
      </c>
      <c r="J5096">
        <v>8005.74</v>
      </c>
      <c r="K5096" t="s">
        <v>17</v>
      </c>
      <c r="L5096" t="b">
        <v>0</v>
      </c>
      <c r="N5096" s="2" t="str">
        <f t="shared" si="456"/>
        <v/>
      </c>
      <c r="Q5096" t="str">
        <f t="shared" si="457"/>
        <v/>
      </c>
    </row>
    <row r="5097" spans="1:17" hidden="1">
      <c r="A5097" t="s">
        <v>5202</v>
      </c>
      <c r="B5097" s="1">
        <v>45602</v>
      </c>
      <c r="C5097">
        <v>2024</v>
      </c>
      <c r="D5097">
        <v>11</v>
      </c>
      <c r="E5097" t="s">
        <v>23</v>
      </c>
      <c r="F5097" t="s">
        <v>28</v>
      </c>
      <c r="G5097" t="s">
        <v>30</v>
      </c>
      <c r="H5097" t="s">
        <v>106</v>
      </c>
      <c r="I5097">
        <v>5072.58</v>
      </c>
      <c r="J5097">
        <v>4947.79</v>
      </c>
      <c r="K5097" t="s">
        <v>17</v>
      </c>
      <c r="L5097" t="b">
        <v>0</v>
      </c>
      <c r="N5097" s="2" t="str">
        <f t="shared" si="456"/>
        <v/>
      </c>
      <c r="Q5097" t="str">
        <f t="shared" si="457"/>
        <v/>
      </c>
    </row>
    <row r="5098" spans="1:17" hidden="1">
      <c r="A5098" t="s">
        <v>5203</v>
      </c>
      <c r="B5098" s="1">
        <v>45602</v>
      </c>
      <c r="C5098">
        <v>2024</v>
      </c>
      <c r="D5098">
        <v>11</v>
      </c>
      <c r="E5098" t="s">
        <v>23</v>
      </c>
      <c r="F5098" t="s">
        <v>24</v>
      </c>
      <c r="G5098" t="s">
        <v>59</v>
      </c>
      <c r="H5098" t="s">
        <v>60</v>
      </c>
      <c r="I5098">
        <v>3594.5</v>
      </c>
      <c r="J5098">
        <v>3263.04</v>
      </c>
      <c r="K5098" t="s">
        <v>17</v>
      </c>
      <c r="L5098" t="b">
        <v>0</v>
      </c>
      <c r="N5098" s="2" t="str">
        <f t="shared" si="456"/>
        <v/>
      </c>
      <c r="Q5098" t="str">
        <f t="shared" si="457"/>
        <v/>
      </c>
    </row>
    <row r="5099" spans="1:17" hidden="1">
      <c r="A5099" t="s">
        <v>5204</v>
      </c>
      <c r="B5099" s="1">
        <v>45602</v>
      </c>
      <c r="C5099">
        <v>2024</v>
      </c>
      <c r="D5099">
        <v>11</v>
      </c>
      <c r="E5099" t="s">
        <v>23</v>
      </c>
      <c r="F5099" t="s">
        <v>24</v>
      </c>
      <c r="G5099" t="s">
        <v>59</v>
      </c>
      <c r="H5099" t="s">
        <v>155</v>
      </c>
      <c r="I5099">
        <v>4667.68</v>
      </c>
      <c r="J5099">
        <v>4423.7700000000004</v>
      </c>
      <c r="K5099" t="s">
        <v>17</v>
      </c>
      <c r="L5099" t="b">
        <v>0</v>
      </c>
      <c r="N5099" s="2" t="str">
        <f t="shared" si="456"/>
        <v/>
      </c>
      <c r="Q5099" t="str">
        <f t="shared" si="457"/>
        <v/>
      </c>
    </row>
    <row r="5100" spans="1:17" hidden="1">
      <c r="A5100" t="s">
        <v>5205</v>
      </c>
      <c r="B5100" s="1">
        <v>45602</v>
      </c>
      <c r="C5100">
        <v>2024</v>
      </c>
      <c r="D5100">
        <v>11</v>
      </c>
      <c r="E5100" t="s">
        <v>23</v>
      </c>
      <c r="F5100" t="s">
        <v>24</v>
      </c>
      <c r="G5100" t="s">
        <v>59</v>
      </c>
      <c r="H5100" t="s">
        <v>155</v>
      </c>
      <c r="I5100">
        <v>5281.76</v>
      </c>
      <c r="J5100">
        <v>5436.62</v>
      </c>
      <c r="K5100" t="s">
        <v>17</v>
      </c>
      <c r="L5100" t="b">
        <v>0</v>
      </c>
      <c r="N5100" s="2" t="str">
        <f t="shared" si="456"/>
        <v/>
      </c>
      <c r="Q5100" t="str">
        <f t="shared" si="457"/>
        <v/>
      </c>
    </row>
    <row r="5101" spans="1:17" hidden="1">
      <c r="A5101" t="s">
        <v>5206</v>
      </c>
      <c r="B5101" s="1">
        <v>45603</v>
      </c>
      <c r="C5101">
        <v>2024</v>
      </c>
      <c r="D5101">
        <v>11</v>
      </c>
      <c r="E5101" t="s">
        <v>13</v>
      </c>
      <c r="F5101" t="s">
        <v>14</v>
      </c>
      <c r="G5101" t="s">
        <v>68</v>
      </c>
      <c r="H5101" t="s">
        <v>69</v>
      </c>
      <c r="I5101">
        <v>4314.6400000000003</v>
      </c>
      <c r="J5101">
        <v>4708.59</v>
      </c>
      <c r="K5101" t="s">
        <v>17</v>
      </c>
      <c r="L5101" t="b">
        <v>0</v>
      </c>
      <c r="N5101" s="2" t="str">
        <f t="shared" si="456"/>
        <v/>
      </c>
      <c r="Q5101" t="str">
        <f t="shared" si="457"/>
        <v/>
      </c>
    </row>
    <row r="5102" spans="1:17" hidden="1">
      <c r="A5102" t="s">
        <v>5207</v>
      </c>
      <c r="B5102" s="1">
        <v>45603</v>
      </c>
      <c r="C5102">
        <v>2024</v>
      </c>
      <c r="D5102">
        <v>11</v>
      </c>
      <c r="E5102" t="s">
        <v>13</v>
      </c>
      <c r="F5102" t="s">
        <v>14</v>
      </c>
      <c r="G5102" t="s">
        <v>15</v>
      </c>
      <c r="H5102" t="s">
        <v>16</v>
      </c>
      <c r="I5102">
        <v>3549.77</v>
      </c>
      <c r="J5102">
        <v>3234.44</v>
      </c>
      <c r="K5102" t="s">
        <v>17</v>
      </c>
      <c r="L5102" t="b">
        <v>0</v>
      </c>
      <c r="N5102" s="2" t="str">
        <f t="shared" si="456"/>
        <v/>
      </c>
      <c r="Q5102" t="str">
        <f t="shared" si="457"/>
        <v/>
      </c>
    </row>
    <row r="5103" spans="1:17" hidden="1">
      <c r="A5103" t="s">
        <v>5208</v>
      </c>
      <c r="B5103" s="1">
        <v>45603</v>
      </c>
      <c r="C5103">
        <v>2024</v>
      </c>
      <c r="D5103">
        <v>11</v>
      </c>
      <c r="E5103" t="s">
        <v>19</v>
      </c>
      <c r="F5103" t="s">
        <v>14</v>
      </c>
      <c r="G5103" t="s">
        <v>80</v>
      </c>
      <c r="H5103" t="s">
        <v>113</v>
      </c>
      <c r="I5103">
        <v>4400.46</v>
      </c>
      <c r="J5103">
        <v>4181.9799999999996</v>
      </c>
      <c r="K5103" t="s">
        <v>17</v>
      </c>
      <c r="L5103" t="b">
        <v>0</v>
      </c>
      <c r="N5103" s="2" t="str">
        <f t="shared" si="456"/>
        <v/>
      </c>
      <c r="Q5103" t="str">
        <f t="shared" si="457"/>
        <v/>
      </c>
    </row>
    <row r="5104" spans="1:17" hidden="1">
      <c r="A5104" t="s">
        <v>5209</v>
      </c>
      <c r="B5104" s="1">
        <v>45603</v>
      </c>
      <c r="C5104">
        <v>2024</v>
      </c>
      <c r="D5104">
        <v>11</v>
      </c>
      <c r="E5104" t="s">
        <v>19</v>
      </c>
      <c r="F5104" t="s">
        <v>24</v>
      </c>
      <c r="G5104" t="s">
        <v>20</v>
      </c>
      <c r="H5104" t="s">
        <v>174</v>
      </c>
      <c r="I5104">
        <v>6634.54</v>
      </c>
      <c r="J5104">
        <v>7007.03</v>
      </c>
      <c r="K5104" t="s">
        <v>17</v>
      </c>
      <c r="L5104" t="b">
        <v>0</v>
      </c>
      <c r="N5104" s="2" t="str">
        <f t="shared" si="456"/>
        <v/>
      </c>
      <c r="Q5104" t="str">
        <f t="shared" si="457"/>
        <v/>
      </c>
    </row>
    <row r="5105" spans="1:17" hidden="1">
      <c r="A5105" t="s">
        <v>5210</v>
      </c>
      <c r="B5105" s="1">
        <v>45603</v>
      </c>
      <c r="C5105">
        <v>2024</v>
      </c>
      <c r="D5105">
        <v>11</v>
      </c>
      <c r="E5105" t="s">
        <v>23</v>
      </c>
      <c r="F5105" t="s">
        <v>28</v>
      </c>
      <c r="G5105" t="s">
        <v>141</v>
      </c>
      <c r="H5105" t="s">
        <v>142</v>
      </c>
      <c r="I5105">
        <v>5298.09</v>
      </c>
      <c r="J5105">
        <v>4782.5200000000004</v>
      </c>
      <c r="K5105" t="s">
        <v>17</v>
      </c>
      <c r="L5105" t="b">
        <v>0</v>
      </c>
      <c r="N5105" s="2" t="str">
        <f t="shared" si="456"/>
        <v/>
      </c>
      <c r="Q5105" t="str">
        <f t="shared" si="457"/>
        <v/>
      </c>
    </row>
    <row r="5106" spans="1:17" hidden="1">
      <c r="A5106" t="s">
        <v>5211</v>
      </c>
      <c r="B5106" s="1">
        <v>45603</v>
      </c>
      <c r="C5106">
        <v>2024</v>
      </c>
      <c r="D5106">
        <v>11</v>
      </c>
      <c r="E5106" t="s">
        <v>37</v>
      </c>
      <c r="F5106" t="s">
        <v>24</v>
      </c>
      <c r="G5106" t="s">
        <v>41</v>
      </c>
      <c r="H5106" t="s">
        <v>42</v>
      </c>
      <c r="I5106">
        <v>6831.38</v>
      </c>
      <c r="J5106">
        <v>7236.59</v>
      </c>
      <c r="K5106" t="s">
        <v>17</v>
      </c>
      <c r="L5106" t="b">
        <v>0</v>
      </c>
      <c r="N5106" s="2" t="str">
        <f t="shared" si="456"/>
        <v/>
      </c>
      <c r="Q5106" t="str">
        <f t="shared" si="457"/>
        <v/>
      </c>
    </row>
    <row r="5107" spans="1:17" hidden="1">
      <c r="A5107" t="s">
        <v>5212</v>
      </c>
      <c r="B5107" s="1">
        <v>45603</v>
      </c>
      <c r="C5107">
        <v>2024</v>
      </c>
      <c r="D5107">
        <v>11</v>
      </c>
      <c r="E5107" t="s">
        <v>37</v>
      </c>
      <c r="F5107" t="s">
        <v>28</v>
      </c>
      <c r="G5107" t="s">
        <v>83</v>
      </c>
      <c r="H5107" t="s">
        <v>84</v>
      </c>
      <c r="I5107">
        <v>250437.78</v>
      </c>
      <c r="J5107">
        <v>237915.89</v>
      </c>
      <c r="K5107" t="s">
        <v>85</v>
      </c>
      <c r="L5107" t="b">
        <v>0</v>
      </c>
      <c r="N5107" s="2" t="str">
        <f t="shared" si="456"/>
        <v/>
      </c>
      <c r="Q5107" t="str">
        <f t="shared" si="457"/>
        <v/>
      </c>
    </row>
    <row r="5108" spans="1:17" hidden="1">
      <c r="A5108" t="s">
        <v>5213</v>
      </c>
      <c r="B5108" s="1">
        <v>45604</v>
      </c>
      <c r="C5108">
        <v>2024</v>
      </c>
      <c r="D5108">
        <v>11</v>
      </c>
      <c r="E5108" t="s">
        <v>13</v>
      </c>
      <c r="F5108" t="s">
        <v>28</v>
      </c>
      <c r="G5108" t="s">
        <v>108</v>
      </c>
      <c r="H5108" t="s">
        <v>123</v>
      </c>
      <c r="I5108">
        <v>3450.6</v>
      </c>
      <c r="J5108">
        <v>3306.82</v>
      </c>
      <c r="K5108" t="s">
        <v>17</v>
      </c>
      <c r="L5108" t="b">
        <v>0</v>
      </c>
      <c r="N5108" s="2" t="str">
        <f t="shared" si="456"/>
        <v/>
      </c>
      <c r="Q5108" t="str">
        <f t="shared" si="457"/>
        <v/>
      </c>
    </row>
    <row r="5109" spans="1:17" hidden="1">
      <c r="A5109" t="s">
        <v>5214</v>
      </c>
      <c r="B5109" s="1">
        <v>45604</v>
      </c>
      <c r="C5109">
        <v>2024</v>
      </c>
      <c r="D5109">
        <v>11</v>
      </c>
      <c r="E5109" t="s">
        <v>13</v>
      </c>
      <c r="F5109" t="s">
        <v>28</v>
      </c>
      <c r="G5109" t="s">
        <v>102</v>
      </c>
      <c r="H5109" t="s">
        <v>103</v>
      </c>
      <c r="I5109">
        <v>3713.75</v>
      </c>
      <c r="J5109">
        <v>3574.49</v>
      </c>
      <c r="K5109" t="s">
        <v>17</v>
      </c>
      <c r="L5109" t="b">
        <v>0</v>
      </c>
      <c r="N5109" s="2" t="str">
        <f t="shared" si="456"/>
        <v/>
      </c>
      <c r="Q5109" t="str">
        <f t="shared" si="457"/>
        <v/>
      </c>
    </row>
    <row r="5110" spans="1:17" hidden="1">
      <c r="A5110" t="s">
        <v>5215</v>
      </c>
      <c r="B5110" s="1">
        <v>45604</v>
      </c>
      <c r="C5110">
        <v>2024</v>
      </c>
      <c r="D5110">
        <v>11</v>
      </c>
      <c r="E5110" t="s">
        <v>47</v>
      </c>
      <c r="F5110" t="s">
        <v>24</v>
      </c>
      <c r="G5110" t="s">
        <v>51</v>
      </c>
      <c r="H5110" t="s">
        <v>189</v>
      </c>
      <c r="I5110">
        <v>12530.73</v>
      </c>
      <c r="J5110">
        <v>10356.61</v>
      </c>
      <c r="K5110" t="s">
        <v>17</v>
      </c>
      <c r="L5110" t="b">
        <v>0</v>
      </c>
      <c r="N5110" s="2" t="b">
        <f t="shared" si="456"/>
        <v>1</v>
      </c>
      <c r="O5110" t="str">
        <f t="shared" ref="O5110:O5112" si="460">IF(AND(E5099="HR",K5099="EXPENSE"),I5099&lt;J5099,"")</f>
        <v/>
      </c>
      <c r="Q5110" t="str">
        <f t="shared" si="457"/>
        <v/>
      </c>
    </row>
    <row r="5111" spans="1:17" hidden="1">
      <c r="A5111" t="s">
        <v>5216</v>
      </c>
      <c r="B5111" s="1">
        <v>45604</v>
      </c>
      <c r="C5111">
        <v>2024</v>
      </c>
      <c r="D5111">
        <v>11</v>
      </c>
      <c r="E5111" t="s">
        <v>47</v>
      </c>
      <c r="F5111" t="s">
        <v>24</v>
      </c>
      <c r="G5111" t="s">
        <v>51</v>
      </c>
      <c r="H5111" t="s">
        <v>189</v>
      </c>
      <c r="I5111">
        <v>10267.290000000001</v>
      </c>
      <c r="J5111">
        <v>8557.09</v>
      </c>
      <c r="K5111" t="s">
        <v>17</v>
      </c>
      <c r="L5111" t="b">
        <v>0</v>
      </c>
      <c r="N5111" s="2" t="b">
        <f t="shared" si="456"/>
        <v>1</v>
      </c>
      <c r="O5111" t="str">
        <f t="shared" si="460"/>
        <v/>
      </c>
      <c r="Q5111" t="str">
        <f t="shared" si="457"/>
        <v/>
      </c>
    </row>
    <row r="5112" spans="1:17" hidden="1">
      <c r="A5112" t="s">
        <v>5217</v>
      </c>
      <c r="B5112" s="1">
        <v>45604</v>
      </c>
      <c r="C5112">
        <v>2024</v>
      </c>
      <c r="D5112">
        <v>11</v>
      </c>
      <c r="E5112" t="s">
        <v>47</v>
      </c>
      <c r="F5112" t="s">
        <v>24</v>
      </c>
      <c r="G5112" t="s">
        <v>48</v>
      </c>
      <c r="H5112" t="s">
        <v>189</v>
      </c>
      <c r="I5112">
        <v>9672.99</v>
      </c>
      <c r="J5112">
        <v>8328.0499999999993</v>
      </c>
      <c r="K5112" t="s">
        <v>17</v>
      </c>
      <c r="L5112" t="b">
        <v>0</v>
      </c>
      <c r="N5112" s="2" t="b">
        <f t="shared" si="456"/>
        <v>1</v>
      </c>
      <c r="O5112" t="b">
        <f t="shared" si="460"/>
        <v>1</v>
      </c>
      <c r="Q5112" t="str">
        <f t="shared" si="457"/>
        <v/>
      </c>
    </row>
    <row r="5113" spans="1:17" hidden="1">
      <c r="A5113" t="s">
        <v>5218</v>
      </c>
      <c r="B5113" s="1">
        <v>45604</v>
      </c>
      <c r="C5113">
        <v>2024</v>
      </c>
      <c r="D5113">
        <v>11</v>
      </c>
      <c r="E5113" t="s">
        <v>23</v>
      </c>
      <c r="F5113" t="s">
        <v>14</v>
      </c>
      <c r="G5113" t="s">
        <v>25</v>
      </c>
      <c r="H5113" t="s">
        <v>35</v>
      </c>
      <c r="I5113">
        <v>4477.2</v>
      </c>
      <c r="J5113">
        <v>4821.7700000000004</v>
      </c>
      <c r="K5113" t="s">
        <v>17</v>
      </c>
      <c r="L5113" t="b">
        <v>0</v>
      </c>
      <c r="N5113" s="2" t="str">
        <f t="shared" si="456"/>
        <v/>
      </c>
      <c r="Q5113" t="str">
        <f t="shared" si="457"/>
        <v/>
      </c>
    </row>
    <row r="5114" spans="1:17" hidden="1">
      <c r="A5114" t="s">
        <v>5219</v>
      </c>
      <c r="B5114" s="1">
        <v>45604</v>
      </c>
      <c r="C5114">
        <v>2024</v>
      </c>
      <c r="D5114">
        <v>11</v>
      </c>
      <c r="E5114" t="s">
        <v>23</v>
      </c>
      <c r="F5114" t="s">
        <v>28</v>
      </c>
      <c r="G5114" t="s">
        <v>59</v>
      </c>
      <c r="H5114" t="s">
        <v>60</v>
      </c>
      <c r="I5114">
        <v>6366.64</v>
      </c>
      <c r="J5114">
        <v>6799.39</v>
      </c>
      <c r="K5114" t="s">
        <v>17</v>
      </c>
      <c r="L5114" t="b">
        <v>0</v>
      </c>
      <c r="N5114" s="2" t="str">
        <f t="shared" si="456"/>
        <v/>
      </c>
      <c r="Q5114" t="str">
        <f t="shared" si="457"/>
        <v/>
      </c>
    </row>
    <row r="5115" spans="1:17" hidden="1">
      <c r="A5115" t="s">
        <v>5220</v>
      </c>
      <c r="B5115" s="1">
        <v>45604</v>
      </c>
      <c r="C5115">
        <v>2024</v>
      </c>
      <c r="D5115">
        <v>11</v>
      </c>
      <c r="E5115" t="s">
        <v>23</v>
      </c>
      <c r="F5115" t="s">
        <v>24</v>
      </c>
      <c r="G5115" t="s">
        <v>30</v>
      </c>
      <c r="H5115" t="s">
        <v>33</v>
      </c>
      <c r="I5115">
        <v>5063.55</v>
      </c>
      <c r="J5115">
        <v>4742.99</v>
      </c>
      <c r="K5115" t="s">
        <v>17</v>
      </c>
      <c r="L5115" t="b">
        <v>0</v>
      </c>
      <c r="N5115" s="2" t="str">
        <f t="shared" si="456"/>
        <v/>
      </c>
      <c r="Q5115" t="str">
        <f t="shared" si="457"/>
        <v/>
      </c>
    </row>
    <row r="5116" spans="1:17" hidden="1">
      <c r="A5116" t="s">
        <v>5221</v>
      </c>
      <c r="B5116" s="1">
        <v>45604</v>
      </c>
      <c r="C5116">
        <v>2024</v>
      </c>
      <c r="D5116">
        <v>11</v>
      </c>
      <c r="E5116" t="s">
        <v>37</v>
      </c>
      <c r="F5116" t="s">
        <v>14</v>
      </c>
      <c r="G5116" t="s">
        <v>38</v>
      </c>
      <c r="H5116" t="s">
        <v>39</v>
      </c>
      <c r="I5116">
        <v>3593.63</v>
      </c>
      <c r="J5116">
        <v>3263.33</v>
      </c>
      <c r="K5116" t="s">
        <v>17</v>
      </c>
      <c r="L5116" t="b">
        <v>0</v>
      </c>
      <c r="N5116" s="2" t="str">
        <f t="shared" si="456"/>
        <v/>
      </c>
      <c r="Q5116" t="str">
        <f t="shared" si="457"/>
        <v/>
      </c>
    </row>
    <row r="5117" spans="1:17" hidden="1">
      <c r="A5117" t="s">
        <v>5222</v>
      </c>
      <c r="B5117" s="1">
        <v>45604</v>
      </c>
      <c r="C5117">
        <v>2024</v>
      </c>
      <c r="D5117">
        <v>11</v>
      </c>
      <c r="E5117" t="s">
        <v>37</v>
      </c>
      <c r="F5117" t="s">
        <v>14</v>
      </c>
      <c r="G5117" t="s">
        <v>62</v>
      </c>
      <c r="H5117" t="s">
        <v>360</v>
      </c>
      <c r="I5117">
        <v>5993.45</v>
      </c>
      <c r="J5117">
        <v>6165.99</v>
      </c>
      <c r="K5117" t="s">
        <v>17</v>
      </c>
      <c r="L5117" t="b">
        <v>0</v>
      </c>
      <c r="N5117" s="2" t="str">
        <f t="shared" si="456"/>
        <v/>
      </c>
      <c r="Q5117" t="str">
        <f t="shared" si="457"/>
        <v/>
      </c>
    </row>
    <row r="5118" spans="1:17" hidden="1">
      <c r="A5118" t="s">
        <v>5223</v>
      </c>
      <c r="B5118" s="1">
        <v>45604</v>
      </c>
      <c r="C5118">
        <v>2024</v>
      </c>
      <c r="D5118">
        <v>11</v>
      </c>
      <c r="E5118" t="s">
        <v>37</v>
      </c>
      <c r="F5118" t="s">
        <v>24</v>
      </c>
      <c r="G5118" t="s">
        <v>38</v>
      </c>
      <c r="H5118" t="s">
        <v>118</v>
      </c>
      <c r="I5118">
        <v>5373.36</v>
      </c>
      <c r="J5118">
        <v>5335.25</v>
      </c>
      <c r="K5118" t="s">
        <v>17</v>
      </c>
      <c r="L5118" t="b">
        <v>0</v>
      </c>
      <c r="N5118" s="2" t="str">
        <f t="shared" si="456"/>
        <v/>
      </c>
      <c r="Q5118" t="str">
        <f t="shared" si="457"/>
        <v/>
      </c>
    </row>
    <row r="5119" spans="1:17" hidden="1">
      <c r="A5119" t="s">
        <v>5224</v>
      </c>
      <c r="B5119" s="1">
        <v>45605</v>
      </c>
      <c r="C5119">
        <v>2024</v>
      </c>
      <c r="D5119">
        <v>11</v>
      </c>
      <c r="E5119" t="s">
        <v>13</v>
      </c>
      <c r="F5119" t="s">
        <v>28</v>
      </c>
      <c r="G5119" t="s">
        <v>15</v>
      </c>
      <c r="H5119" t="s">
        <v>45</v>
      </c>
      <c r="I5119">
        <v>3309.22</v>
      </c>
      <c r="J5119">
        <v>3368.15</v>
      </c>
      <c r="K5119" t="s">
        <v>17</v>
      </c>
      <c r="L5119" t="b">
        <v>0</v>
      </c>
      <c r="N5119" s="2" t="str">
        <f t="shared" si="456"/>
        <v/>
      </c>
      <c r="Q5119" t="str">
        <f t="shared" si="457"/>
        <v/>
      </c>
    </row>
    <row r="5120" spans="1:17" hidden="1">
      <c r="A5120" t="s">
        <v>5225</v>
      </c>
      <c r="B5120" s="1">
        <v>45605</v>
      </c>
      <c r="C5120">
        <v>2024</v>
      </c>
      <c r="D5120">
        <v>11</v>
      </c>
      <c r="E5120" t="s">
        <v>13</v>
      </c>
      <c r="F5120" t="s">
        <v>24</v>
      </c>
      <c r="G5120" t="s">
        <v>102</v>
      </c>
      <c r="H5120" t="s">
        <v>278</v>
      </c>
      <c r="I5120">
        <v>2434.31</v>
      </c>
      <c r="J5120">
        <v>2398.42</v>
      </c>
      <c r="K5120" t="s">
        <v>17</v>
      </c>
      <c r="L5120" t="b">
        <v>0</v>
      </c>
      <c r="N5120" s="2" t="str">
        <f t="shared" si="456"/>
        <v/>
      </c>
      <c r="Q5120" t="str">
        <f t="shared" si="457"/>
        <v/>
      </c>
    </row>
    <row r="5121" spans="1:17" hidden="1">
      <c r="A5121" t="s">
        <v>5226</v>
      </c>
      <c r="B5121" s="1">
        <v>45605</v>
      </c>
      <c r="C5121">
        <v>2024</v>
      </c>
      <c r="D5121">
        <v>11</v>
      </c>
      <c r="E5121" t="s">
        <v>47</v>
      </c>
      <c r="F5121" t="s">
        <v>14</v>
      </c>
      <c r="G5121" t="s">
        <v>91</v>
      </c>
      <c r="H5121" t="s">
        <v>254</v>
      </c>
      <c r="I5121">
        <v>9207.75</v>
      </c>
      <c r="J5121">
        <v>7854.57</v>
      </c>
      <c r="K5121" t="s">
        <v>17</v>
      </c>
      <c r="L5121" t="b">
        <v>0</v>
      </c>
      <c r="N5121" s="2" t="b">
        <f t="shared" si="456"/>
        <v>1</v>
      </c>
      <c r="O5121" t="str">
        <f t="shared" ref="O5121:O5122" si="461">IF(AND(E5110="HR",K5110="EXPENSE"),I5110&lt;J5110,"")</f>
        <v/>
      </c>
      <c r="Q5121" t="str">
        <f t="shared" si="457"/>
        <v/>
      </c>
    </row>
    <row r="5122" spans="1:17" hidden="1">
      <c r="A5122" t="s">
        <v>5227</v>
      </c>
      <c r="B5122" s="1">
        <v>45605</v>
      </c>
      <c r="C5122">
        <v>2024</v>
      </c>
      <c r="D5122">
        <v>11</v>
      </c>
      <c r="E5122" t="s">
        <v>47</v>
      </c>
      <c r="F5122" t="s">
        <v>14</v>
      </c>
      <c r="G5122" t="s">
        <v>77</v>
      </c>
      <c r="H5122" t="s">
        <v>147</v>
      </c>
      <c r="I5122">
        <v>7022.61</v>
      </c>
      <c r="J5122">
        <v>6082.98</v>
      </c>
      <c r="K5122" t="s">
        <v>17</v>
      </c>
      <c r="L5122" t="b">
        <v>0</v>
      </c>
      <c r="N5122" s="2" t="b">
        <f t="shared" si="456"/>
        <v>1</v>
      </c>
      <c r="O5122" t="str">
        <f t="shared" si="461"/>
        <v/>
      </c>
      <c r="Q5122" t="str">
        <f t="shared" si="457"/>
        <v/>
      </c>
    </row>
    <row r="5123" spans="1:17" hidden="1">
      <c r="A5123" t="s">
        <v>5228</v>
      </c>
      <c r="B5123" s="1">
        <v>45605</v>
      </c>
      <c r="C5123">
        <v>2024</v>
      </c>
      <c r="D5123">
        <v>11</v>
      </c>
      <c r="E5123" t="s">
        <v>19</v>
      </c>
      <c r="F5123" t="s">
        <v>28</v>
      </c>
      <c r="G5123" t="s">
        <v>132</v>
      </c>
      <c r="H5123" t="s">
        <v>171</v>
      </c>
      <c r="I5123">
        <v>3499.78</v>
      </c>
      <c r="J5123">
        <v>3301.3</v>
      </c>
      <c r="K5123" t="s">
        <v>17</v>
      </c>
      <c r="L5123" t="b">
        <v>0</v>
      </c>
      <c r="N5123" s="2" t="str">
        <f t="shared" ref="N5123:N5186" si="462">IF(AND(E5123="IT",K5123="EXPENSE"),I5123&gt;J5123,"")</f>
        <v/>
      </c>
      <c r="Q5123" t="str">
        <f t="shared" ref="Q5123:Q5166" si="463">IF(L5123=TRUE,OR(H5123="Apex Solutions Inc",H5123="Global Trade Partners",H5123="NovaTech Services"),"")</f>
        <v/>
      </c>
    </row>
    <row r="5124" spans="1:17" hidden="1">
      <c r="A5124" t="s">
        <v>5229</v>
      </c>
      <c r="B5124" s="1">
        <v>45605</v>
      </c>
      <c r="C5124">
        <v>2024</v>
      </c>
      <c r="D5124">
        <v>11</v>
      </c>
      <c r="E5124" t="s">
        <v>19</v>
      </c>
      <c r="F5124" t="s">
        <v>24</v>
      </c>
      <c r="G5124" t="s">
        <v>80</v>
      </c>
      <c r="H5124" t="s">
        <v>150</v>
      </c>
      <c r="I5124">
        <v>4039.6</v>
      </c>
      <c r="J5124">
        <v>3832.33</v>
      </c>
      <c r="K5124" t="s">
        <v>17</v>
      </c>
      <c r="L5124" t="b">
        <v>0</v>
      </c>
      <c r="N5124" s="2" t="str">
        <f t="shared" si="462"/>
        <v/>
      </c>
      <c r="Q5124" t="str">
        <f t="shared" si="463"/>
        <v/>
      </c>
    </row>
    <row r="5125" spans="1:17" hidden="1">
      <c r="A5125" t="s">
        <v>5230</v>
      </c>
      <c r="B5125" s="1">
        <v>45605</v>
      </c>
      <c r="C5125">
        <v>2024</v>
      </c>
      <c r="D5125">
        <v>11</v>
      </c>
      <c r="E5125" t="s">
        <v>19</v>
      </c>
      <c r="F5125" t="s">
        <v>24</v>
      </c>
      <c r="G5125" t="s">
        <v>54</v>
      </c>
      <c r="H5125" t="s">
        <v>55</v>
      </c>
      <c r="I5125">
        <v>6946.08</v>
      </c>
      <c r="J5125">
        <v>6704.45</v>
      </c>
      <c r="K5125" t="s">
        <v>17</v>
      </c>
      <c r="L5125" t="b">
        <v>0</v>
      </c>
      <c r="N5125" s="2" t="str">
        <f t="shared" si="462"/>
        <v/>
      </c>
      <c r="Q5125" t="str">
        <f t="shared" si="463"/>
        <v/>
      </c>
    </row>
    <row r="5126" spans="1:17" hidden="1">
      <c r="A5126" t="s">
        <v>5231</v>
      </c>
      <c r="B5126" s="1">
        <v>45605</v>
      </c>
      <c r="C5126">
        <v>2024</v>
      </c>
      <c r="D5126">
        <v>11</v>
      </c>
      <c r="E5126" t="s">
        <v>23</v>
      </c>
      <c r="F5126" t="s">
        <v>24</v>
      </c>
      <c r="G5126" t="s">
        <v>25</v>
      </c>
      <c r="H5126" t="s">
        <v>95</v>
      </c>
      <c r="I5126">
        <v>6411.04</v>
      </c>
      <c r="J5126">
        <v>5859.94</v>
      </c>
      <c r="K5126" t="s">
        <v>17</v>
      </c>
      <c r="L5126" t="b">
        <v>0</v>
      </c>
      <c r="N5126" s="2" t="str">
        <f t="shared" si="462"/>
        <v/>
      </c>
      <c r="Q5126" t="str">
        <f t="shared" si="463"/>
        <v/>
      </c>
    </row>
    <row r="5127" spans="1:17" hidden="1">
      <c r="A5127" t="s">
        <v>5232</v>
      </c>
      <c r="B5127" s="1">
        <v>45606</v>
      </c>
      <c r="C5127">
        <v>2024</v>
      </c>
      <c r="D5127">
        <v>11</v>
      </c>
      <c r="E5127" t="s">
        <v>13</v>
      </c>
      <c r="F5127" t="s">
        <v>28</v>
      </c>
      <c r="G5127" t="s">
        <v>15</v>
      </c>
      <c r="H5127" t="s">
        <v>45</v>
      </c>
      <c r="I5127">
        <v>4279.67</v>
      </c>
      <c r="J5127">
        <v>4198.8</v>
      </c>
      <c r="K5127" t="s">
        <v>17</v>
      </c>
      <c r="L5127" t="b">
        <v>0</v>
      </c>
      <c r="N5127" s="2" t="str">
        <f t="shared" si="462"/>
        <v/>
      </c>
      <c r="Q5127" t="str">
        <f t="shared" si="463"/>
        <v/>
      </c>
    </row>
    <row r="5128" spans="1:17" hidden="1">
      <c r="A5128" t="s">
        <v>5233</v>
      </c>
      <c r="B5128" s="1">
        <v>45606</v>
      </c>
      <c r="C5128">
        <v>2024</v>
      </c>
      <c r="D5128">
        <v>11</v>
      </c>
      <c r="E5128" t="s">
        <v>47</v>
      </c>
      <c r="F5128" t="s">
        <v>28</v>
      </c>
      <c r="G5128" t="s">
        <v>77</v>
      </c>
      <c r="H5128" t="s">
        <v>147</v>
      </c>
      <c r="I5128">
        <v>5111.8500000000004</v>
      </c>
      <c r="J5128">
        <v>4356.24</v>
      </c>
      <c r="K5128" t="s">
        <v>17</v>
      </c>
      <c r="L5128" t="b">
        <v>0</v>
      </c>
      <c r="N5128" s="2" t="b">
        <f t="shared" si="462"/>
        <v>1</v>
      </c>
      <c r="O5128" t="str">
        <f>IF(AND(E5117="HR",K5117="EXPENSE"),I5117&lt;J5117,"")</f>
        <v/>
      </c>
      <c r="Q5128" t="str">
        <f t="shared" si="463"/>
        <v/>
      </c>
    </row>
    <row r="5129" spans="1:17" hidden="1">
      <c r="A5129" t="s">
        <v>5234</v>
      </c>
      <c r="B5129" s="1">
        <v>45606</v>
      </c>
      <c r="C5129">
        <v>2024</v>
      </c>
      <c r="D5129">
        <v>11</v>
      </c>
      <c r="E5129" t="s">
        <v>19</v>
      </c>
      <c r="F5129" t="s">
        <v>24</v>
      </c>
      <c r="G5129" t="s">
        <v>54</v>
      </c>
      <c r="H5129" t="s">
        <v>57</v>
      </c>
      <c r="I5129">
        <v>4864.37</v>
      </c>
      <c r="J5129">
        <v>4837.58</v>
      </c>
      <c r="K5129" t="s">
        <v>17</v>
      </c>
      <c r="L5129" t="b">
        <v>0</v>
      </c>
      <c r="N5129" s="2" t="str">
        <f t="shared" si="462"/>
        <v/>
      </c>
      <c r="Q5129" t="str">
        <f t="shared" si="463"/>
        <v/>
      </c>
    </row>
    <row r="5130" spans="1:17" hidden="1">
      <c r="A5130" t="s">
        <v>5235</v>
      </c>
      <c r="B5130" s="1">
        <v>45606</v>
      </c>
      <c r="C5130">
        <v>2024</v>
      </c>
      <c r="D5130">
        <v>11</v>
      </c>
      <c r="E5130" t="s">
        <v>19</v>
      </c>
      <c r="F5130" t="s">
        <v>24</v>
      </c>
      <c r="G5130" t="s">
        <v>20</v>
      </c>
      <c r="H5130" t="s">
        <v>136</v>
      </c>
      <c r="I5130">
        <v>4190.8</v>
      </c>
      <c r="J5130">
        <v>4126.2700000000004</v>
      </c>
      <c r="K5130" t="s">
        <v>17</v>
      </c>
      <c r="L5130" t="b">
        <v>0</v>
      </c>
      <c r="N5130" s="2" t="str">
        <f t="shared" si="462"/>
        <v/>
      </c>
      <c r="Q5130" t="str">
        <f t="shared" si="463"/>
        <v/>
      </c>
    </row>
    <row r="5131" spans="1:17" hidden="1">
      <c r="A5131" t="s">
        <v>5236</v>
      </c>
      <c r="B5131" s="1">
        <v>45606</v>
      </c>
      <c r="C5131">
        <v>2024</v>
      </c>
      <c r="D5131">
        <v>11</v>
      </c>
      <c r="E5131" t="s">
        <v>37</v>
      </c>
      <c r="F5131" t="s">
        <v>24</v>
      </c>
      <c r="G5131" t="s">
        <v>38</v>
      </c>
      <c r="H5131" t="s">
        <v>39</v>
      </c>
      <c r="I5131">
        <v>5815.14</v>
      </c>
      <c r="J5131">
        <v>5375.58</v>
      </c>
      <c r="K5131" t="s">
        <v>17</v>
      </c>
      <c r="L5131" t="b">
        <v>0</v>
      </c>
      <c r="N5131" s="2" t="str">
        <f t="shared" si="462"/>
        <v/>
      </c>
      <c r="Q5131" t="str">
        <f t="shared" si="463"/>
        <v/>
      </c>
    </row>
    <row r="5132" spans="1:17" hidden="1">
      <c r="A5132" t="s">
        <v>5237</v>
      </c>
      <c r="B5132" s="1">
        <v>45607</v>
      </c>
      <c r="C5132">
        <v>2024</v>
      </c>
      <c r="D5132">
        <v>11</v>
      </c>
      <c r="E5132" t="s">
        <v>13</v>
      </c>
      <c r="F5132" t="s">
        <v>14</v>
      </c>
      <c r="G5132" t="s">
        <v>102</v>
      </c>
      <c r="H5132" t="s">
        <v>103</v>
      </c>
      <c r="I5132">
        <v>3655.13</v>
      </c>
      <c r="J5132">
        <v>3451.66</v>
      </c>
      <c r="K5132" t="s">
        <v>17</v>
      </c>
      <c r="L5132" t="b">
        <v>0</v>
      </c>
      <c r="N5132" s="2" t="str">
        <f t="shared" si="462"/>
        <v/>
      </c>
      <c r="Q5132" t="str">
        <f t="shared" si="463"/>
        <v/>
      </c>
    </row>
    <row r="5133" spans="1:17" hidden="1">
      <c r="A5133" t="s">
        <v>5238</v>
      </c>
      <c r="B5133" s="1">
        <v>45607</v>
      </c>
      <c r="C5133">
        <v>2024</v>
      </c>
      <c r="D5133">
        <v>11</v>
      </c>
      <c r="E5133" t="s">
        <v>13</v>
      </c>
      <c r="F5133" t="s">
        <v>14</v>
      </c>
      <c r="G5133" t="s">
        <v>102</v>
      </c>
      <c r="H5133" t="s">
        <v>103</v>
      </c>
      <c r="I5133">
        <v>3417.35</v>
      </c>
      <c r="J5133">
        <v>3524.54</v>
      </c>
      <c r="K5133" t="s">
        <v>17</v>
      </c>
      <c r="L5133" t="b">
        <v>0</v>
      </c>
      <c r="N5133" s="2" t="str">
        <f t="shared" si="462"/>
        <v/>
      </c>
      <c r="Q5133" t="str">
        <f t="shared" si="463"/>
        <v/>
      </c>
    </row>
    <row r="5134" spans="1:17" hidden="1">
      <c r="A5134" t="s">
        <v>5239</v>
      </c>
      <c r="B5134" s="1">
        <v>45607</v>
      </c>
      <c r="C5134">
        <v>2024</v>
      </c>
      <c r="D5134">
        <v>11</v>
      </c>
      <c r="E5134" t="s">
        <v>19</v>
      </c>
      <c r="F5134" t="s">
        <v>24</v>
      </c>
      <c r="G5134" t="s">
        <v>80</v>
      </c>
      <c r="H5134" t="s">
        <v>113</v>
      </c>
      <c r="I5134">
        <v>7695.43</v>
      </c>
      <c r="J5134">
        <v>7277.45</v>
      </c>
      <c r="K5134" t="s">
        <v>17</v>
      </c>
      <c r="L5134" t="b">
        <v>0</v>
      </c>
      <c r="N5134" s="2" t="str">
        <f t="shared" si="462"/>
        <v/>
      </c>
      <c r="Q5134" t="str">
        <f t="shared" si="463"/>
        <v/>
      </c>
    </row>
    <row r="5135" spans="1:17" hidden="1">
      <c r="A5135" t="s">
        <v>5240</v>
      </c>
      <c r="B5135" s="1">
        <v>45607</v>
      </c>
      <c r="C5135">
        <v>2024</v>
      </c>
      <c r="D5135">
        <v>11</v>
      </c>
      <c r="E5135" t="s">
        <v>23</v>
      </c>
      <c r="F5135" t="s">
        <v>14</v>
      </c>
      <c r="G5135" t="s">
        <v>30</v>
      </c>
      <c r="H5135" t="s">
        <v>106</v>
      </c>
      <c r="I5135">
        <v>7683.68</v>
      </c>
      <c r="J5135">
        <v>7391.21</v>
      </c>
      <c r="K5135" t="s">
        <v>17</v>
      </c>
      <c r="L5135" t="b">
        <v>0</v>
      </c>
      <c r="N5135" s="2" t="str">
        <f t="shared" si="462"/>
        <v/>
      </c>
      <c r="Q5135" t="str">
        <f t="shared" si="463"/>
        <v/>
      </c>
    </row>
    <row r="5136" spans="1:17" hidden="1">
      <c r="A5136" t="s">
        <v>5241</v>
      </c>
      <c r="B5136" s="1">
        <v>45607</v>
      </c>
      <c r="C5136">
        <v>2024</v>
      </c>
      <c r="D5136">
        <v>11</v>
      </c>
      <c r="E5136" t="s">
        <v>23</v>
      </c>
      <c r="F5136" t="s">
        <v>24</v>
      </c>
      <c r="G5136" t="s">
        <v>59</v>
      </c>
      <c r="H5136" t="s">
        <v>155</v>
      </c>
      <c r="I5136">
        <v>5262.47</v>
      </c>
      <c r="J5136">
        <v>5450.94</v>
      </c>
      <c r="K5136" t="s">
        <v>17</v>
      </c>
      <c r="L5136" t="b">
        <v>0</v>
      </c>
      <c r="N5136" s="2" t="str">
        <f t="shared" si="462"/>
        <v/>
      </c>
      <c r="Q5136" t="str">
        <f t="shared" si="463"/>
        <v/>
      </c>
    </row>
    <row r="5137" spans="1:17" hidden="1">
      <c r="A5137" t="s">
        <v>5242</v>
      </c>
      <c r="B5137" s="1">
        <v>45608</v>
      </c>
      <c r="C5137">
        <v>2024</v>
      </c>
      <c r="D5137">
        <v>11</v>
      </c>
      <c r="E5137" t="s">
        <v>13</v>
      </c>
      <c r="F5137" t="s">
        <v>28</v>
      </c>
      <c r="G5137" t="s">
        <v>68</v>
      </c>
      <c r="H5137" t="s">
        <v>87</v>
      </c>
      <c r="I5137">
        <v>4399.72</v>
      </c>
      <c r="J5137">
        <v>4731</v>
      </c>
      <c r="K5137" t="s">
        <v>17</v>
      </c>
      <c r="L5137" t="b">
        <v>0</v>
      </c>
      <c r="N5137" s="2" t="str">
        <f t="shared" si="462"/>
        <v/>
      </c>
      <c r="Q5137" t="str">
        <f t="shared" si="463"/>
        <v/>
      </c>
    </row>
    <row r="5138" spans="1:17" hidden="1">
      <c r="A5138" t="s">
        <v>5243</v>
      </c>
      <c r="B5138" s="1">
        <v>45608</v>
      </c>
      <c r="C5138">
        <v>2024</v>
      </c>
      <c r="D5138">
        <v>11</v>
      </c>
      <c r="E5138" t="s">
        <v>47</v>
      </c>
      <c r="F5138" t="s">
        <v>14</v>
      </c>
      <c r="G5138" t="s">
        <v>48</v>
      </c>
      <c r="H5138" t="s">
        <v>191</v>
      </c>
      <c r="I5138">
        <v>18912.09</v>
      </c>
      <c r="J5138">
        <v>15833.81</v>
      </c>
      <c r="K5138" t="s">
        <v>17</v>
      </c>
      <c r="L5138" t="b">
        <v>0</v>
      </c>
      <c r="N5138" s="2" t="b">
        <f t="shared" si="462"/>
        <v>1</v>
      </c>
      <c r="O5138" t="b">
        <f t="shared" ref="O5138:O5139" si="464">IF(AND(E5127="HR",K5127="EXPENSE"),I5127&lt;J5127,"")</f>
        <v>0</v>
      </c>
      <c r="Q5138" t="str">
        <f t="shared" si="463"/>
        <v/>
      </c>
    </row>
    <row r="5139" spans="1:17" hidden="1">
      <c r="A5139" t="s">
        <v>5244</v>
      </c>
      <c r="B5139" s="1">
        <v>45608</v>
      </c>
      <c r="C5139">
        <v>2024</v>
      </c>
      <c r="D5139">
        <v>11</v>
      </c>
      <c r="E5139" t="s">
        <v>47</v>
      </c>
      <c r="F5139" t="s">
        <v>28</v>
      </c>
      <c r="G5139" t="s">
        <v>77</v>
      </c>
      <c r="H5139" t="s">
        <v>78</v>
      </c>
      <c r="I5139">
        <v>14213.84</v>
      </c>
      <c r="J5139">
        <v>11748.15</v>
      </c>
      <c r="K5139" t="s">
        <v>17</v>
      </c>
      <c r="L5139" t="b">
        <v>0</v>
      </c>
      <c r="N5139" s="2" t="b">
        <f t="shared" si="462"/>
        <v>1</v>
      </c>
      <c r="O5139" t="str">
        <f t="shared" si="464"/>
        <v/>
      </c>
      <c r="Q5139" t="str">
        <f t="shared" si="463"/>
        <v/>
      </c>
    </row>
    <row r="5140" spans="1:17" hidden="1">
      <c r="A5140" t="s">
        <v>5245</v>
      </c>
      <c r="B5140" s="1">
        <v>45608</v>
      </c>
      <c r="C5140">
        <v>2024</v>
      </c>
      <c r="D5140">
        <v>11</v>
      </c>
      <c r="E5140" t="s">
        <v>19</v>
      </c>
      <c r="F5140" t="s">
        <v>24</v>
      </c>
      <c r="G5140" t="s">
        <v>54</v>
      </c>
      <c r="H5140" t="s">
        <v>163</v>
      </c>
      <c r="I5140">
        <v>6480.9</v>
      </c>
      <c r="J5140">
        <v>6215.67</v>
      </c>
      <c r="K5140" t="s">
        <v>17</v>
      </c>
      <c r="L5140" t="b">
        <v>0</v>
      </c>
      <c r="N5140" s="2" t="str">
        <f t="shared" si="462"/>
        <v/>
      </c>
      <c r="Q5140" t="str">
        <f t="shared" si="463"/>
        <v/>
      </c>
    </row>
    <row r="5141" spans="1:17" hidden="1">
      <c r="A5141" t="s">
        <v>5246</v>
      </c>
      <c r="B5141" s="1">
        <v>45608</v>
      </c>
      <c r="C5141">
        <v>2024</v>
      </c>
      <c r="D5141">
        <v>11</v>
      </c>
      <c r="E5141" t="s">
        <v>37</v>
      </c>
      <c r="F5141" t="s">
        <v>24</v>
      </c>
      <c r="G5141" t="s">
        <v>41</v>
      </c>
      <c r="H5141" t="s">
        <v>42</v>
      </c>
      <c r="I5141">
        <v>5319.83</v>
      </c>
      <c r="J5141">
        <v>5625.25</v>
      </c>
      <c r="K5141" t="s">
        <v>17</v>
      </c>
      <c r="L5141" t="b">
        <v>0</v>
      </c>
      <c r="N5141" s="2" t="str">
        <f t="shared" si="462"/>
        <v/>
      </c>
      <c r="Q5141" t="str">
        <f t="shared" si="463"/>
        <v/>
      </c>
    </row>
    <row r="5142" spans="1:17" hidden="1">
      <c r="A5142" t="s">
        <v>5247</v>
      </c>
      <c r="B5142" s="1">
        <v>45609</v>
      </c>
      <c r="C5142">
        <v>2024</v>
      </c>
      <c r="D5142">
        <v>11</v>
      </c>
      <c r="E5142" t="s">
        <v>13</v>
      </c>
      <c r="F5142" t="s">
        <v>14</v>
      </c>
      <c r="G5142" t="s">
        <v>68</v>
      </c>
      <c r="H5142" t="s">
        <v>87</v>
      </c>
      <c r="I5142">
        <v>4454.74</v>
      </c>
      <c r="J5142">
        <v>4819.6099999999997</v>
      </c>
      <c r="K5142" t="s">
        <v>17</v>
      </c>
      <c r="L5142" t="b">
        <v>0</v>
      </c>
      <c r="N5142" s="2" t="str">
        <f t="shared" si="462"/>
        <v/>
      </c>
      <c r="Q5142" t="str">
        <f t="shared" si="463"/>
        <v/>
      </c>
    </row>
    <row r="5143" spans="1:17" hidden="1">
      <c r="A5143" t="s">
        <v>5248</v>
      </c>
      <c r="B5143" s="1">
        <v>45609</v>
      </c>
      <c r="C5143">
        <v>2024</v>
      </c>
      <c r="D5143">
        <v>11</v>
      </c>
      <c r="E5143" t="s">
        <v>13</v>
      </c>
      <c r="F5143" t="s">
        <v>14</v>
      </c>
      <c r="G5143" t="s">
        <v>108</v>
      </c>
      <c r="H5143" t="s">
        <v>109</v>
      </c>
      <c r="I5143">
        <v>3201.93</v>
      </c>
      <c r="J5143">
        <v>3091.85</v>
      </c>
      <c r="K5143" t="s">
        <v>17</v>
      </c>
      <c r="L5143" t="b">
        <v>0</v>
      </c>
      <c r="N5143" s="2" t="str">
        <f t="shared" si="462"/>
        <v/>
      </c>
      <c r="Q5143" t="str">
        <f t="shared" si="463"/>
        <v/>
      </c>
    </row>
    <row r="5144" spans="1:17" hidden="1">
      <c r="A5144" t="s">
        <v>5249</v>
      </c>
      <c r="B5144" s="1">
        <v>45609</v>
      </c>
      <c r="C5144">
        <v>2024</v>
      </c>
      <c r="D5144">
        <v>11</v>
      </c>
      <c r="E5144" t="s">
        <v>47</v>
      </c>
      <c r="F5144" t="s">
        <v>14</v>
      </c>
      <c r="G5144" t="s">
        <v>77</v>
      </c>
      <c r="H5144" t="s">
        <v>130</v>
      </c>
      <c r="I5144">
        <v>6100.82</v>
      </c>
      <c r="J5144">
        <v>5042.22</v>
      </c>
      <c r="K5144" t="s">
        <v>17</v>
      </c>
      <c r="L5144" t="b">
        <v>0</v>
      </c>
      <c r="N5144" s="2" t="b">
        <f t="shared" si="462"/>
        <v>1</v>
      </c>
      <c r="O5144" t="b">
        <f>IF(AND(E5133="HR",K5133="EXPENSE"),I5133&lt;J5133,"")</f>
        <v>1</v>
      </c>
      <c r="Q5144" t="str">
        <f t="shared" si="463"/>
        <v/>
      </c>
    </row>
    <row r="5145" spans="1:17" hidden="1">
      <c r="A5145" t="s">
        <v>5250</v>
      </c>
      <c r="B5145" s="1">
        <v>45609</v>
      </c>
      <c r="C5145">
        <v>2024</v>
      </c>
      <c r="D5145">
        <v>11</v>
      </c>
      <c r="E5145" t="s">
        <v>19</v>
      </c>
      <c r="F5145" t="s">
        <v>14</v>
      </c>
      <c r="G5145" t="s">
        <v>20</v>
      </c>
      <c r="H5145" t="s">
        <v>174</v>
      </c>
      <c r="I5145">
        <v>5836.67</v>
      </c>
      <c r="J5145">
        <v>5582.24</v>
      </c>
      <c r="K5145" t="s">
        <v>17</v>
      </c>
      <c r="L5145" t="b">
        <v>0</v>
      </c>
      <c r="N5145" s="2" t="str">
        <f t="shared" si="462"/>
        <v/>
      </c>
      <c r="Q5145" t="str">
        <f t="shared" si="463"/>
        <v/>
      </c>
    </row>
    <row r="5146" spans="1:17" hidden="1">
      <c r="A5146" t="s">
        <v>5251</v>
      </c>
      <c r="B5146" s="1">
        <v>45609</v>
      </c>
      <c r="C5146">
        <v>2024</v>
      </c>
      <c r="D5146">
        <v>11</v>
      </c>
      <c r="E5146" t="s">
        <v>23</v>
      </c>
      <c r="F5146" t="s">
        <v>28</v>
      </c>
      <c r="G5146" t="s">
        <v>30</v>
      </c>
      <c r="H5146" t="s">
        <v>31</v>
      </c>
      <c r="I5146">
        <v>5359.35</v>
      </c>
      <c r="J5146">
        <v>5302.36</v>
      </c>
      <c r="K5146" t="s">
        <v>17</v>
      </c>
      <c r="L5146" t="b">
        <v>0</v>
      </c>
      <c r="N5146" s="2" t="str">
        <f t="shared" si="462"/>
        <v/>
      </c>
      <c r="Q5146" t="str">
        <f t="shared" si="463"/>
        <v/>
      </c>
    </row>
    <row r="5147" spans="1:17" hidden="1">
      <c r="A5147" t="s">
        <v>5252</v>
      </c>
      <c r="B5147" s="1">
        <v>45609</v>
      </c>
      <c r="C5147">
        <v>2024</v>
      </c>
      <c r="D5147">
        <v>11</v>
      </c>
      <c r="E5147" t="s">
        <v>23</v>
      </c>
      <c r="F5147" t="s">
        <v>24</v>
      </c>
      <c r="G5147" t="s">
        <v>25</v>
      </c>
      <c r="H5147" t="s">
        <v>26</v>
      </c>
      <c r="I5147">
        <v>1904.15</v>
      </c>
      <c r="J5147">
        <v>2093.69</v>
      </c>
      <c r="K5147" t="s">
        <v>17</v>
      </c>
      <c r="L5147" t="b">
        <v>0</v>
      </c>
      <c r="N5147" s="2" t="str">
        <f t="shared" si="462"/>
        <v/>
      </c>
      <c r="Q5147" t="str">
        <f t="shared" si="463"/>
        <v/>
      </c>
    </row>
    <row r="5148" spans="1:17" hidden="1">
      <c r="A5148" t="s">
        <v>5253</v>
      </c>
      <c r="B5148" s="1">
        <v>45609</v>
      </c>
      <c r="C5148">
        <v>2024</v>
      </c>
      <c r="D5148">
        <v>11</v>
      </c>
      <c r="E5148" t="s">
        <v>37</v>
      </c>
      <c r="F5148" t="s">
        <v>14</v>
      </c>
      <c r="G5148" t="s">
        <v>98</v>
      </c>
      <c r="H5148" t="s">
        <v>185</v>
      </c>
      <c r="I5148">
        <v>2631.77</v>
      </c>
      <c r="J5148">
        <v>2813.42</v>
      </c>
      <c r="K5148" t="s">
        <v>17</v>
      </c>
      <c r="L5148" t="b">
        <v>0</v>
      </c>
      <c r="N5148" s="2" t="str">
        <f t="shared" si="462"/>
        <v/>
      </c>
      <c r="Q5148" t="str">
        <f t="shared" si="463"/>
        <v/>
      </c>
    </row>
    <row r="5149" spans="1:17" hidden="1">
      <c r="A5149" t="s">
        <v>5254</v>
      </c>
      <c r="B5149" s="1">
        <v>45609</v>
      </c>
      <c r="C5149">
        <v>2024</v>
      </c>
      <c r="D5149">
        <v>11</v>
      </c>
      <c r="E5149" t="s">
        <v>37</v>
      </c>
      <c r="F5149" t="s">
        <v>14</v>
      </c>
      <c r="G5149" t="s">
        <v>98</v>
      </c>
      <c r="H5149" t="s">
        <v>99</v>
      </c>
      <c r="I5149">
        <v>4799.95</v>
      </c>
      <c r="J5149">
        <v>4898.0200000000004</v>
      </c>
      <c r="K5149" t="s">
        <v>17</v>
      </c>
      <c r="L5149" t="b">
        <v>0</v>
      </c>
      <c r="N5149" s="2" t="str">
        <f t="shared" si="462"/>
        <v/>
      </c>
      <c r="Q5149" t="str">
        <f t="shared" si="463"/>
        <v/>
      </c>
    </row>
    <row r="5150" spans="1:17" hidden="1">
      <c r="A5150" t="s">
        <v>5255</v>
      </c>
      <c r="B5150" s="1">
        <v>45609</v>
      </c>
      <c r="C5150">
        <v>2024</v>
      </c>
      <c r="D5150">
        <v>11</v>
      </c>
      <c r="E5150" t="s">
        <v>37</v>
      </c>
      <c r="F5150" t="s">
        <v>14</v>
      </c>
      <c r="G5150" t="s">
        <v>38</v>
      </c>
      <c r="H5150" t="s">
        <v>39</v>
      </c>
      <c r="I5150">
        <v>3034.71</v>
      </c>
      <c r="J5150">
        <v>2732.1</v>
      </c>
      <c r="K5150" t="s">
        <v>17</v>
      </c>
      <c r="L5150" t="b">
        <v>0</v>
      </c>
      <c r="N5150" s="2" t="str">
        <f t="shared" si="462"/>
        <v/>
      </c>
      <c r="Q5150" t="str">
        <f t="shared" si="463"/>
        <v/>
      </c>
    </row>
    <row r="5151" spans="1:17" hidden="1">
      <c r="A5151" t="s">
        <v>5256</v>
      </c>
      <c r="B5151" s="1">
        <v>45610</v>
      </c>
      <c r="C5151">
        <v>2024</v>
      </c>
      <c r="D5151">
        <v>11</v>
      </c>
      <c r="E5151" t="s">
        <v>13</v>
      </c>
      <c r="F5151" t="s">
        <v>24</v>
      </c>
      <c r="G5151" t="s">
        <v>102</v>
      </c>
      <c r="H5151" t="s">
        <v>145</v>
      </c>
      <c r="I5151">
        <v>3754.47</v>
      </c>
      <c r="J5151">
        <v>3676.11</v>
      </c>
      <c r="K5151" t="s">
        <v>17</v>
      </c>
      <c r="L5151" t="b">
        <v>0</v>
      </c>
      <c r="N5151" s="2" t="str">
        <f t="shared" si="462"/>
        <v/>
      </c>
      <c r="Q5151" t="str">
        <f t="shared" si="463"/>
        <v/>
      </c>
    </row>
    <row r="5152" spans="1:17" hidden="1">
      <c r="A5152" t="s">
        <v>5257</v>
      </c>
      <c r="B5152" s="1">
        <v>45610</v>
      </c>
      <c r="C5152">
        <v>2024</v>
      </c>
      <c r="D5152">
        <v>11</v>
      </c>
      <c r="E5152" t="s">
        <v>13</v>
      </c>
      <c r="F5152" t="s">
        <v>24</v>
      </c>
      <c r="G5152" t="s">
        <v>68</v>
      </c>
      <c r="H5152" t="s">
        <v>213</v>
      </c>
      <c r="I5152">
        <v>4535.51</v>
      </c>
      <c r="J5152">
        <v>4716.01</v>
      </c>
      <c r="K5152" t="s">
        <v>17</v>
      </c>
      <c r="L5152" t="b">
        <v>0</v>
      </c>
      <c r="N5152" s="2" t="str">
        <f t="shared" si="462"/>
        <v/>
      </c>
      <c r="Q5152" t="str">
        <f t="shared" si="463"/>
        <v/>
      </c>
    </row>
    <row r="5153" spans="1:17" hidden="1">
      <c r="A5153" t="s">
        <v>5258</v>
      </c>
      <c r="B5153" s="1">
        <v>45610</v>
      </c>
      <c r="C5153">
        <v>2024</v>
      </c>
      <c r="D5153">
        <v>11</v>
      </c>
      <c r="E5153" t="s">
        <v>47</v>
      </c>
      <c r="F5153" t="s">
        <v>14</v>
      </c>
      <c r="G5153" t="s">
        <v>91</v>
      </c>
      <c r="H5153" t="s">
        <v>92</v>
      </c>
      <c r="I5153">
        <v>11962.87</v>
      </c>
      <c r="J5153">
        <v>10389.629999999999</v>
      </c>
      <c r="K5153" t="s">
        <v>17</v>
      </c>
      <c r="L5153" t="b">
        <v>0</v>
      </c>
      <c r="N5153" s="2" t="b">
        <f t="shared" si="462"/>
        <v>1</v>
      </c>
      <c r="O5153" t="b">
        <f t="shared" ref="O5153:O5156" si="465">IF(AND(E5142="HR",K5142="EXPENSE"),I5142&lt;J5142,"")</f>
        <v>1</v>
      </c>
      <c r="Q5153" t="str">
        <f t="shared" si="463"/>
        <v/>
      </c>
    </row>
    <row r="5154" spans="1:17" hidden="1">
      <c r="A5154" t="s">
        <v>5259</v>
      </c>
      <c r="B5154" s="1">
        <v>45610</v>
      </c>
      <c r="C5154">
        <v>2024</v>
      </c>
      <c r="D5154">
        <v>11</v>
      </c>
      <c r="E5154" t="s">
        <v>47</v>
      </c>
      <c r="F5154" t="s">
        <v>14</v>
      </c>
      <c r="G5154" t="s">
        <v>91</v>
      </c>
      <c r="H5154" t="s">
        <v>249</v>
      </c>
      <c r="I5154">
        <v>11025.78</v>
      </c>
      <c r="J5154">
        <v>9178.02</v>
      </c>
      <c r="K5154" t="s">
        <v>17</v>
      </c>
      <c r="L5154" t="b">
        <v>0</v>
      </c>
      <c r="N5154" s="2" t="b">
        <f t="shared" si="462"/>
        <v>1</v>
      </c>
      <c r="O5154" t="b">
        <f t="shared" si="465"/>
        <v>0</v>
      </c>
      <c r="Q5154" t="str">
        <f t="shared" si="463"/>
        <v/>
      </c>
    </row>
    <row r="5155" spans="1:17" hidden="1">
      <c r="A5155" t="s">
        <v>5260</v>
      </c>
      <c r="B5155" s="1">
        <v>45610</v>
      </c>
      <c r="C5155">
        <v>2024</v>
      </c>
      <c r="D5155">
        <v>11</v>
      </c>
      <c r="E5155" t="s">
        <v>47</v>
      </c>
      <c r="F5155" t="s">
        <v>28</v>
      </c>
      <c r="G5155" t="s">
        <v>77</v>
      </c>
      <c r="H5155" t="s">
        <v>147</v>
      </c>
      <c r="I5155">
        <v>12489.12</v>
      </c>
      <c r="J5155">
        <v>10276.209999999999</v>
      </c>
      <c r="K5155" t="s">
        <v>17</v>
      </c>
      <c r="L5155" t="b">
        <v>0</v>
      </c>
      <c r="N5155" s="2" t="b">
        <f t="shared" si="462"/>
        <v>1</v>
      </c>
      <c r="O5155" t="str">
        <f t="shared" si="465"/>
        <v/>
      </c>
      <c r="Q5155" t="str">
        <f t="shared" si="463"/>
        <v/>
      </c>
    </row>
    <row r="5156" spans="1:17" hidden="1">
      <c r="A5156" t="s">
        <v>5261</v>
      </c>
      <c r="B5156" s="1">
        <v>45610</v>
      </c>
      <c r="C5156">
        <v>2024</v>
      </c>
      <c r="D5156">
        <v>11</v>
      </c>
      <c r="E5156" t="s">
        <v>47</v>
      </c>
      <c r="F5156" t="s">
        <v>24</v>
      </c>
      <c r="G5156" t="s">
        <v>51</v>
      </c>
      <c r="H5156" t="s">
        <v>189</v>
      </c>
      <c r="I5156">
        <v>8604.2099999999991</v>
      </c>
      <c r="J5156">
        <v>7248.14</v>
      </c>
      <c r="K5156" t="s">
        <v>17</v>
      </c>
      <c r="L5156" t="b">
        <v>0</v>
      </c>
      <c r="N5156" s="2" t="b">
        <f t="shared" si="462"/>
        <v>1</v>
      </c>
      <c r="O5156" t="str">
        <f t="shared" si="465"/>
        <v/>
      </c>
      <c r="Q5156" t="str">
        <f t="shared" si="463"/>
        <v/>
      </c>
    </row>
    <row r="5157" spans="1:17" hidden="1">
      <c r="A5157" t="s">
        <v>5262</v>
      </c>
      <c r="B5157" s="1">
        <v>45610</v>
      </c>
      <c r="C5157">
        <v>2024</v>
      </c>
      <c r="D5157">
        <v>11</v>
      </c>
      <c r="E5157" t="s">
        <v>19</v>
      </c>
      <c r="F5157" t="s">
        <v>14</v>
      </c>
      <c r="G5157" t="s">
        <v>20</v>
      </c>
      <c r="H5157" t="s">
        <v>21</v>
      </c>
      <c r="I5157">
        <v>5577.51</v>
      </c>
      <c r="J5157">
        <v>5834.69</v>
      </c>
      <c r="K5157" t="s">
        <v>17</v>
      </c>
      <c r="L5157" t="b">
        <v>0</v>
      </c>
      <c r="N5157" s="2" t="str">
        <f t="shared" si="462"/>
        <v/>
      </c>
      <c r="Q5157" t="str">
        <f t="shared" si="463"/>
        <v/>
      </c>
    </row>
    <row r="5158" spans="1:17" hidden="1">
      <c r="A5158" t="s">
        <v>5263</v>
      </c>
      <c r="B5158" s="1">
        <v>45610</v>
      </c>
      <c r="C5158">
        <v>2024</v>
      </c>
      <c r="D5158">
        <v>11</v>
      </c>
      <c r="E5158" t="s">
        <v>19</v>
      </c>
      <c r="F5158" t="s">
        <v>28</v>
      </c>
      <c r="G5158" t="s">
        <v>54</v>
      </c>
      <c r="H5158" t="s">
        <v>57</v>
      </c>
      <c r="I5158">
        <v>6537.68</v>
      </c>
      <c r="J5158">
        <v>6130.92</v>
      </c>
      <c r="K5158" t="s">
        <v>17</v>
      </c>
      <c r="L5158" t="b">
        <v>0</v>
      </c>
      <c r="N5158" s="2" t="str">
        <f t="shared" si="462"/>
        <v/>
      </c>
      <c r="Q5158" t="str">
        <f t="shared" si="463"/>
        <v/>
      </c>
    </row>
    <row r="5159" spans="1:17" hidden="1">
      <c r="A5159" t="s">
        <v>5264</v>
      </c>
      <c r="B5159" s="1">
        <v>45610</v>
      </c>
      <c r="C5159">
        <v>2024</v>
      </c>
      <c r="D5159">
        <v>11</v>
      </c>
      <c r="E5159" t="s">
        <v>37</v>
      </c>
      <c r="F5159" t="s">
        <v>28</v>
      </c>
      <c r="G5159" t="s">
        <v>41</v>
      </c>
      <c r="H5159" t="s">
        <v>42</v>
      </c>
      <c r="I5159">
        <v>4082.48</v>
      </c>
      <c r="J5159">
        <v>3906.86</v>
      </c>
      <c r="K5159" t="s">
        <v>17</v>
      </c>
      <c r="L5159" t="b">
        <v>0</v>
      </c>
      <c r="N5159" s="2" t="str">
        <f t="shared" si="462"/>
        <v/>
      </c>
      <c r="Q5159" t="str">
        <f t="shared" si="463"/>
        <v/>
      </c>
    </row>
    <row r="5160" spans="1:17" hidden="1">
      <c r="A5160" t="s">
        <v>5265</v>
      </c>
      <c r="B5160" s="1">
        <v>45611</v>
      </c>
      <c r="C5160">
        <v>2024</v>
      </c>
      <c r="D5160">
        <v>11</v>
      </c>
      <c r="E5160" t="s">
        <v>19</v>
      </c>
      <c r="F5160" t="s">
        <v>28</v>
      </c>
      <c r="G5160" t="s">
        <v>54</v>
      </c>
      <c r="H5160" t="s">
        <v>55</v>
      </c>
      <c r="I5160">
        <v>7366.64</v>
      </c>
      <c r="J5160">
        <v>6724.08</v>
      </c>
      <c r="K5160" t="s">
        <v>17</v>
      </c>
      <c r="L5160" t="b">
        <v>0</v>
      </c>
      <c r="N5160" s="2" t="str">
        <f t="shared" si="462"/>
        <v/>
      </c>
      <c r="Q5160" t="str">
        <f t="shared" si="463"/>
        <v/>
      </c>
    </row>
    <row r="5161" spans="1:17" hidden="1">
      <c r="A5161" t="s">
        <v>5266</v>
      </c>
      <c r="B5161" s="1">
        <v>45611</v>
      </c>
      <c r="C5161">
        <v>2024</v>
      </c>
      <c r="D5161">
        <v>11</v>
      </c>
      <c r="E5161" t="s">
        <v>19</v>
      </c>
      <c r="F5161" t="s">
        <v>28</v>
      </c>
      <c r="G5161" t="s">
        <v>132</v>
      </c>
      <c r="H5161" t="s">
        <v>133</v>
      </c>
      <c r="I5161">
        <v>11173.48</v>
      </c>
      <c r="J5161">
        <v>11014.93</v>
      </c>
      <c r="K5161" t="s">
        <v>17</v>
      </c>
      <c r="L5161" t="b">
        <v>0</v>
      </c>
      <c r="N5161" s="2" t="str">
        <f t="shared" si="462"/>
        <v/>
      </c>
      <c r="Q5161" t="str">
        <f t="shared" si="463"/>
        <v/>
      </c>
    </row>
    <row r="5162" spans="1:17" hidden="1">
      <c r="A5162" t="s">
        <v>5267</v>
      </c>
      <c r="B5162" s="1">
        <v>45611</v>
      </c>
      <c r="C5162">
        <v>2024</v>
      </c>
      <c r="D5162">
        <v>11</v>
      </c>
      <c r="E5162" t="s">
        <v>23</v>
      </c>
      <c r="F5162" t="s">
        <v>14</v>
      </c>
      <c r="G5162" t="s">
        <v>59</v>
      </c>
      <c r="H5162" t="s">
        <v>155</v>
      </c>
      <c r="I5162">
        <v>4405.8999999999996</v>
      </c>
      <c r="J5162">
        <v>4603.1000000000004</v>
      </c>
      <c r="K5162" t="s">
        <v>17</v>
      </c>
      <c r="L5162" t="b">
        <v>0</v>
      </c>
      <c r="N5162" s="2" t="str">
        <f t="shared" si="462"/>
        <v/>
      </c>
      <c r="Q5162" t="str">
        <f t="shared" si="463"/>
        <v/>
      </c>
    </row>
    <row r="5163" spans="1:17" hidden="1">
      <c r="A5163" t="s">
        <v>5268</v>
      </c>
      <c r="B5163" s="1">
        <v>45611</v>
      </c>
      <c r="C5163">
        <v>2024</v>
      </c>
      <c r="D5163">
        <v>11</v>
      </c>
      <c r="E5163" t="s">
        <v>23</v>
      </c>
      <c r="F5163" t="s">
        <v>14</v>
      </c>
      <c r="G5163" t="s">
        <v>59</v>
      </c>
      <c r="H5163" t="s">
        <v>155</v>
      </c>
      <c r="I5163">
        <v>7688.1</v>
      </c>
      <c r="J5163">
        <v>7314.64</v>
      </c>
      <c r="K5163" t="s">
        <v>17</v>
      </c>
      <c r="L5163" t="b">
        <v>0</v>
      </c>
      <c r="N5163" s="2" t="str">
        <f t="shared" si="462"/>
        <v/>
      </c>
      <c r="Q5163" t="str">
        <f t="shared" si="463"/>
        <v/>
      </c>
    </row>
    <row r="5164" spans="1:17" hidden="1">
      <c r="A5164" t="s">
        <v>5269</v>
      </c>
      <c r="B5164" s="1">
        <v>45611</v>
      </c>
      <c r="C5164">
        <v>2024</v>
      </c>
      <c r="D5164">
        <v>11</v>
      </c>
      <c r="E5164" t="s">
        <v>23</v>
      </c>
      <c r="F5164" t="s">
        <v>14</v>
      </c>
      <c r="G5164" t="s">
        <v>25</v>
      </c>
      <c r="H5164" t="s">
        <v>35</v>
      </c>
      <c r="I5164">
        <v>5753.05</v>
      </c>
      <c r="J5164">
        <v>5917.79</v>
      </c>
      <c r="K5164" t="s">
        <v>17</v>
      </c>
      <c r="L5164" t="b">
        <v>0</v>
      </c>
      <c r="N5164" s="2" t="str">
        <f t="shared" si="462"/>
        <v/>
      </c>
      <c r="Q5164" t="str">
        <f t="shared" si="463"/>
        <v/>
      </c>
    </row>
    <row r="5165" spans="1:17" hidden="1">
      <c r="A5165" t="s">
        <v>5270</v>
      </c>
      <c r="B5165" s="1">
        <v>45611</v>
      </c>
      <c r="C5165">
        <v>2024</v>
      </c>
      <c r="D5165">
        <v>11</v>
      </c>
      <c r="E5165" t="s">
        <v>37</v>
      </c>
      <c r="F5165" t="s">
        <v>14</v>
      </c>
      <c r="G5165" t="s">
        <v>98</v>
      </c>
      <c r="H5165" t="s">
        <v>185</v>
      </c>
      <c r="I5165">
        <v>6167.68</v>
      </c>
      <c r="J5165">
        <v>6478.31</v>
      </c>
      <c r="K5165" t="s">
        <v>17</v>
      </c>
      <c r="L5165" t="b">
        <v>0</v>
      </c>
      <c r="N5165" s="2" t="str">
        <f t="shared" si="462"/>
        <v/>
      </c>
      <c r="Q5165" t="str">
        <f t="shared" si="463"/>
        <v/>
      </c>
    </row>
    <row r="5166" spans="1:17" hidden="1">
      <c r="A5166" t="s">
        <v>5271</v>
      </c>
      <c r="B5166" s="1">
        <v>45612</v>
      </c>
      <c r="C5166">
        <v>2024</v>
      </c>
      <c r="D5166">
        <v>11</v>
      </c>
      <c r="E5166" t="s">
        <v>13</v>
      </c>
      <c r="F5166" t="s">
        <v>14</v>
      </c>
      <c r="G5166" t="s">
        <v>68</v>
      </c>
      <c r="H5166" t="s">
        <v>87</v>
      </c>
      <c r="I5166">
        <v>3328.61</v>
      </c>
      <c r="J5166">
        <v>3118.21</v>
      </c>
      <c r="K5166" t="s">
        <v>17</v>
      </c>
      <c r="L5166" t="b">
        <v>0</v>
      </c>
      <c r="N5166" s="2" t="str">
        <f t="shared" si="462"/>
        <v/>
      </c>
      <c r="Q5166" t="str">
        <f t="shared" si="463"/>
        <v/>
      </c>
    </row>
    <row r="5167" spans="1:17" hidden="1">
      <c r="A5167" t="s">
        <v>5272</v>
      </c>
      <c r="B5167" s="1">
        <v>45612</v>
      </c>
      <c r="C5167">
        <v>2024</v>
      </c>
      <c r="D5167">
        <v>11</v>
      </c>
      <c r="E5167" t="s">
        <v>13</v>
      </c>
      <c r="F5167" t="s">
        <v>14</v>
      </c>
      <c r="G5167" t="s">
        <v>68</v>
      </c>
      <c r="H5167" t="s">
        <v>87</v>
      </c>
      <c r="I5167">
        <v>3916.42</v>
      </c>
      <c r="J5167">
        <v>4144.04</v>
      </c>
      <c r="K5167" t="s">
        <v>17</v>
      </c>
      <c r="L5167" t="b">
        <v>0</v>
      </c>
      <c r="N5167" s="2" t="str">
        <f t="shared" si="462"/>
        <v/>
      </c>
      <c r="Q5167" t="str">
        <f>IF(L5167=TRUE,OR(H5167="Apex Solutions Inc",H5167="Global Trade Partners",H5167="NovaTech Services"),"")</f>
        <v/>
      </c>
    </row>
    <row r="5168" spans="1:17" hidden="1">
      <c r="A5168" t="s">
        <v>5273</v>
      </c>
      <c r="B5168" s="1">
        <v>45612</v>
      </c>
      <c r="C5168">
        <v>2024</v>
      </c>
      <c r="D5168">
        <v>11</v>
      </c>
      <c r="E5168" t="s">
        <v>47</v>
      </c>
      <c r="F5168" t="s">
        <v>14</v>
      </c>
      <c r="G5168" t="s">
        <v>51</v>
      </c>
      <c r="H5168" t="s">
        <v>189</v>
      </c>
      <c r="I5168">
        <v>14423.4</v>
      </c>
      <c r="J5168">
        <v>11912.8</v>
      </c>
      <c r="K5168" t="s">
        <v>17</v>
      </c>
      <c r="L5168" t="b">
        <v>0</v>
      </c>
      <c r="N5168" s="2" t="b">
        <f t="shared" si="462"/>
        <v>1</v>
      </c>
      <c r="O5168" t="str">
        <f t="shared" ref="O5168:O5171" si="466">IF(AND(E5157="HR",K5157="EXPENSE"),I5157&lt;J5157,"")</f>
        <v/>
      </c>
      <c r="Q5168" t="str">
        <f t="shared" ref="Q5168:Q5231" si="467">IF(L5168=TRUE,OR(H5168="Apex Solutions Inc",H5168="Global Trade Partners",H5168="NovaTech Services"),"")</f>
        <v/>
      </c>
    </row>
    <row r="5169" spans="1:17" hidden="1">
      <c r="A5169" t="s">
        <v>5274</v>
      </c>
      <c r="B5169" s="1">
        <v>45612</v>
      </c>
      <c r="C5169">
        <v>2024</v>
      </c>
      <c r="D5169">
        <v>11</v>
      </c>
      <c r="E5169" t="s">
        <v>47</v>
      </c>
      <c r="F5169" t="s">
        <v>24</v>
      </c>
      <c r="G5169" t="s">
        <v>48</v>
      </c>
      <c r="H5169" t="s">
        <v>49</v>
      </c>
      <c r="I5169">
        <v>10450.41</v>
      </c>
      <c r="J5169">
        <v>9002.1299999999992</v>
      </c>
      <c r="K5169" t="s">
        <v>17</v>
      </c>
      <c r="L5169" t="b">
        <v>0</v>
      </c>
      <c r="N5169" s="2" t="b">
        <f t="shared" si="462"/>
        <v>1</v>
      </c>
      <c r="O5169" t="str">
        <f t="shared" si="466"/>
        <v/>
      </c>
      <c r="Q5169" t="str">
        <f t="shared" si="467"/>
        <v/>
      </c>
    </row>
    <row r="5170" spans="1:17" hidden="1">
      <c r="A5170" t="s">
        <v>5275</v>
      </c>
      <c r="B5170" s="1">
        <v>45612</v>
      </c>
      <c r="C5170">
        <v>2024</v>
      </c>
      <c r="D5170">
        <v>11</v>
      </c>
      <c r="E5170" t="s">
        <v>47</v>
      </c>
      <c r="F5170" t="s">
        <v>24</v>
      </c>
      <c r="G5170" t="s">
        <v>48</v>
      </c>
      <c r="H5170" t="s">
        <v>191</v>
      </c>
      <c r="I5170">
        <v>5826.6</v>
      </c>
      <c r="J5170">
        <v>4937.68</v>
      </c>
      <c r="K5170" t="s">
        <v>17</v>
      </c>
      <c r="L5170" t="b">
        <v>0</v>
      </c>
      <c r="N5170" s="2" t="b">
        <f t="shared" si="462"/>
        <v>1</v>
      </c>
      <c r="O5170" t="str">
        <f t="shared" si="466"/>
        <v/>
      </c>
      <c r="Q5170" t="str">
        <f t="shared" si="467"/>
        <v/>
      </c>
    </row>
    <row r="5171" spans="1:17" hidden="1">
      <c r="A5171" t="s">
        <v>5276</v>
      </c>
      <c r="B5171" s="1">
        <v>45612</v>
      </c>
      <c r="C5171">
        <v>2024</v>
      </c>
      <c r="D5171">
        <v>11</v>
      </c>
      <c r="E5171" t="s">
        <v>47</v>
      </c>
      <c r="F5171" t="s">
        <v>24</v>
      </c>
      <c r="G5171" t="s">
        <v>48</v>
      </c>
      <c r="H5171" t="s">
        <v>75</v>
      </c>
      <c r="I5171">
        <v>12024.6</v>
      </c>
      <c r="J5171">
        <v>10307.280000000001</v>
      </c>
      <c r="K5171" t="s">
        <v>17</v>
      </c>
      <c r="L5171" t="b">
        <v>0</v>
      </c>
      <c r="N5171" s="2" t="b">
        <f t="shared" si="462"/>
        <v>1</v>
      </c>
      <c r="O5171" t="str">
        <f t="shared" si="466"/>
        <v/>
      </c>
      <c r="Q5171" t="str">
        <f t="shared" si="467"/>
        <v/>
      </c>
    </row>
    <row r="5172" spans="1:17" hidden="1">
      <c r="A5172" t="s">
        <v>5277</v>
      </c>
      <c r="B5172" s="1">
        <v>45612</v>
      </c>
      <c r="C5172">
        <v>2024</v>
      </c>
      <c r="D5172">
        <v>11</v>
      </c>
      <c r="E5172" t="s">
        <v>23</v>
      </c>
      <c r="F5172" t="s">
        <v>14</v>
      </c>
      <c r="G5172" t="s">
        <v>25</v>
      </c>
      <c r="H5172" t="s">
        <v>26</v>
      </c>
      <c r="I5172">
        <v>5704.99</v>
      </c>
      <c r="J5172">
        <v>5210.5</v>
      </c>
      <c r="K5172" t="s">
        <v>17</v>
      </c>
      <c r="L5172" t="b">
        <v>0</v>
      </c>
      <c r="N5172" s="2" t="str">
        <f t="shared" si="462"/>
        <v/>
      </c>
      <c r="Q5172" t="str">
        <f t="shared" si="467"/>
        <v/>
      </c>
    </row>
    <row r="5173" spans="1:17" hidden="1">
      <c r="A5173" t="s">
        <v>5278</v>
      </c>
      <c r="B5173" s="1">
        <v>45612</v>
      </c>
      <c r="C5173">
        <v>2024</v>
      </c>
      <c r="D5173">
        <v>11</v>
      </c>
      <c r="E5173" t="s">
        <v>23</v>
      </c>
      <c r="F5173" t="s">
        <v>24</v>
      </c>
      <c r="G5173" t="s">
        <v>30</v>
      </c>
      <c r="H5173" t="s">
        <v>31</v>
      </c>
      <c r="I5173">
        <v>2810.31</v>
      </c>
      <c r="J5173">
        <v>3031.89</v>
      </c>
      <c r="K5173" t="s">
        <v>17</v>
      </c>
      <c r="L5173" t="b">
        <v>0</v>
      </c>
      <c r="N5173" s="2" t="str">
        <f t="shared" si="462"/>
        <v/>
      </c>
      <c r="Q5173" t="str">
        <f t="shared" si="467"/>
        <v/>
      </c>
    </row>
    <row r="5174" spans="1:17" hidden="1">
      <c r="A5174" t="s">
        <v>5279</v>
      </c>
      <c r="B5174" s="1">
        <v>45613</v>
      </c>
      <c r="C5174">
        <v>2024</v>
      </c>
      <c r="D5174">
        <v>11</v>
      </c>
      <c r="E5174" t="s">
        <v>47</v>
      </c>
      <c r="F5174" t="s">
        <v>28</v>
      </c>
      <c r="G5174" t="s">
        <v>48</v>
      </c>
      <c r="H5174" t="s">
        <v>189</v>
      </c>
      <c r="I5174">
        <v>10303</v>
      </c>
      <c r="J5174">
        <v>8450.8700000000008</v>
      </c>
      <c r="K5174" t="s">
        <v>17</v>
      </c>
      <c r="L5174" t="b">
        <v>0</v>
      </c>
      <c r="N5174" s="2" t="b">
        <f t="shared" si="462"/>
        <v>1</v>
      </c>
      <c r="O5174" t="str">
        <f>IF(AND(E5163="HR",K5163="EXPENSE"),I5163&lt;J5163,"")</f>
        <v/>
      </c>
      <c r="Q5174" t="str">
        <f t="shared" si="467"/>
        <v/>
      </c>
    </row>
    <row r="5175" spans="1:17" hidden="1">
      <c r="A5175" t="s">
        <v>5280</v>
      </c>
      <c r="B5175" s="1">
        <v>45613</v>
      </c>
      <c r="C5175">
        <v>2024</v>
      </c>
      <c r="D5175">
        <v>11</v>
      </c>
      <c r="E5175" t="s">
        <v>19</v>
      </c>
      <c r="F5175" t="s">
        <v>24</v>
      </c>
      <c r="G5175" t="s">
        <v>20</v>
      </c>
      <c r="H5175" t="s">
        <v>136</v>
      </c>
      <c r="I5175">
        <v>4598.4399999999996</v>
      </c>
      <c r="J5175">
        <v>4158.26</v>
      </c>
      <c r="K5175" t="s">
        <v>17</v>
      </c>
      <c r="L5175" t="b">
        <v>0</v>
      </c>
      <c r="N5175" s="2" t="str">
        <f t="shared" si="462"/>
        <v/>
      </c>
      <c r="Q5175" t="str">
        <f t="shared" si="467"/>
        <v/>
      </c>
    </row>
    <row r="5176" spans="1:17" hidden="1">
      <c r="A5176" t="s">
        <v>5281</v>
      </c>
      <c r="B5176" s="1">
        <v>45613</v>
      </c>
      <c r="C5176">
        <v>2024</v>
      </c>
      <c r="D5176">
        <v>11</v>
      </c>
      <c r="E5176" t="s">
        <v>23</v>
      </c>
      <c r="F5176" t="s">
        <v>24</v>
      </c>
      <c r="G5176" t="s">
        <v>30</v>
      </c>
      <c r="H5176" t="s">
        <v>33</v>
      </c>
      <c r="I5176">
        <v>4495.63</v>
      </c>
      <c r="J5176">
        <v>4820.78</v>
      </c>
      <c r="K5176" t="s">
        <v>17</v>
      </c>
      <c r="L5176" t="b">
        <v>0</v>
      </c>
      <c r="N5176" s="2" t="str">
        <f t="shared" si="462"/>
        <v/>
      </c>
      <c r="Q5176" t="str">
        <f t="shared" si="467"/>
        <v/>
      </c>
    </row>
    <row r="5177" spans="1:17" hidden="1">
      <c r="A5177" t="s">
        <v>5282</v>
      </c>
      <c r="B5177" s="1">
        <v>45613</v>
      </c>
      <c r="C5177">
        <v>2024</v>
      </c>
      <c r="D5177">
        <v>11</v>
      </c>
      <c r="E5177" t="s">
        <v>37</v>
      </c>
      <c r="F5177" t="s">
        <v>14</v>
      </c>
      <c r="G5177" t="s">
        <v>62</v>
      </c>
      <c r="H5177" t="s">
        <v>121</v>
      </c>
      <c r="I5177">
        <v>6166.12</v>
      </c>
      <c r="J5177">
        <v>6136.09</v>
      </c>
      <c r="K5177" t="s">
        <v>17</v>
      </c>
      <c r="L5177" t="b">
        <v>0</v>
      </c>
      <c r="N5177" s="2" t="str">
        <f t="shared" si="462"/>
        <v/>
      </c>
      <c r="Q5177" t="str">
        <f t="shared" si="467"/>
        <v/>
      </c>
    </row>
    <row r="5178" spans="1:17" hidden="1">
      <c r="A5178" t="s">
        <v>5283</v>
      </c>
      <c r="B5178" s="1">
        <v>45613</v>
      </c>
      <c r="C5178">
        <v>2024</v>
      </c>
      <c r="D5178">
        <v>11</v>
      </c>
      <c r="E5178" t="s">
        <v>37</v>
      </c>
      <c r="F5178" t="s">
        <v>28</v>
      </c>
      <c r="G5178" t="s">
        <v>38</v>
      </c>
      <c r="H5178" t="s">
        <v>39</v>
      </c>
      <c r="I5178">
        <v>3394.62</v>
      </c>
      <c r="J5178">
        <v>3468.56</v>
      </c>
      <c r="K5178" t="s">
        <v>17</v>
      </c>
      <c r="L5178" t="b">
        <v>0</v>
      </c>
      <c r="N5178" s="2" t="str">
        <f t="shared" si="462"/>
        <v/>
      </c>
      <c r="Q5178" t="str">
        <f t="shared" si="467"/>
        <v/>
      </c>
    </row>
    <row r="5179" spans="1:17" hidden="1">
      <c r="A5179" t="s">
        <v>5284</v>
      </c>
      <c r="B5179" s="1">
        <v>45614</v>
      </c>
      <c r="C5179">
        <v>2024</v>
      </c>
      <c r="D5179">
        <v>11</v>
      </c>
      <c r="E5179" t="s">
        <v>13</v>
      </c>
      <c r="F5179" t="s">
        <v>14</v>
      </c>
      <c r="G5179" t="s">
        <v>68</v>
      </c>
      <c r="H5179" t="s">
        <v>87</v>
      </c>
      <c r="I5179">
        <v>4498.7</v>
      </c>
      <c r="J5179">
        <v>4134.25</v>
      </c>
      <c r="K5179" t="s">
        <v>17</v>
      </c>
      <c r="L5179" t="b">
        <v>0</v>
      </c>
      <c r="N5179" s="2" t="str">
        <f t="shared" si="462"/>
        <v/>
      </c>
      <c r="Q5179" t="str">
        <f t="shared" si="467"/>
        <v/>
      </c>
    </row>
    <row r="5180" spans="1:17" hidden="1">
      <c r="A5180" t="s">
        <v>5285</v>
      </c>
      <c r="B5180" s="1">
        <v>45614</v>
      </c>
      <c r="C5180">
        <v>2024</v>
      </c>
      <c r="D5180">
        <v>11</v>
      </c>
      <c r="E5180" t="s">
        <v>13</v>
      </c>
      <c r="F5180" t="s">
        <v>28</v>
      </c>
      <c r="G5180" t="s">
        <v>68</v>
      </c>
      <c r="H5180" t="s">
        <v>87</v>
      </c>
      <c r="I5180">
        <v>4899.87</v>
      </c>
      <c r="J5180">
        <v>5385.46</v>
      </c>
      <c r="K5180" t="s">
        <v>17</v>
      </c>
      <c r="L5180" t="b">
        <v>0</v>
      </c>
      <c r="N5180" s="2" t="str">
        <f t="shared" si="462"/>
        <v/>
      </c>
      <c r="Q5180" t="str">
        <f t="shared" si="467"/>
        <v/>
      </c>
    </row>
    <row r="5181" spans="1:17" hidden="1">
      <c r="A5181" t="s">
        <v>5286</v>
      </c>
      <c r="B5181" s="1">
        <v>45614</v>
      </c>
      <c r="C5181">
        <v>2024</v>
      </c>
      <c r="D5181">
        <v>11</v>
      </c>
      <c r="E5181" t="s">
        <v>13</v>
      </c>
      <c r="F5181" t="s">
        <v>24</v>
      </c>
      <c r="G5181" t="s">
        <v>15</v>
      </c>
      <c r="H5181" t="s">
        <v>16</v>
      </c>
      <c r="I5181">
        <v>1768.49</v>
      </c>
      <c r="J5181">
        <v>1940.04</v>
      </c>
      <c r="K5181" t="s">
        <v>17</v>
      </c>
      <c r="L5181" t="b">
        <v>0</v>
      </c>
      <c r="N5181" s="2" t="str">
        <f t="shared" si="462"/>
        <v/>
      </c>
      <c r="Q5181" t="str">
        <f t="shared" si="467"/>
        <v/>
      </c>
    </row>
    <row r="5182" spans="1:17" hidden="1">
      <c r="A5182" t="s">
        <v>5287</v>
      </c>
      <c r="B5182" s="1">
        <v>45614</v>
      </c>
      <c r="C5182">
        <v>2024</v>
      </c>
      <c r="D5182">
        <v>11</v>
      </c>
      <c r="E5182" t="s">
        <v>19</v>
      </c>
      <c r="F5182" t="s">
        <v>14</v>
      </c>
      <c r="G5182" t="s">
        <v>80</v>
      </c>
      <c r="H5182" t="s">
        <v>217</v>
      </c>
      <c r="I5182">
        <v>7280.67</v>
      </c>
      <c r="J5182">
        <v>7767.39</v>
      </c>
      <c r="K5182" t="s">
        <v>17</v>
      </c>
      <c r="L5182" t="b">
        <v>0</v>
      </c>
      <c r="N5182" s="2" t="str">
        <f t="shared" si="462"/>
        <v/>
      </c>
      <c r="Q5182" t="str">
        <f t="shared" si="467"/>
        <v/>
      </c>
    </row>
    <row r="5183" spans="1:17" hidden="1">
      <c r="A5183" t="s">
        <v>5288</v>
      </c>
      <c r="B5183" s="1">
        <v>45614</v>
      </c>
      <c r="C5183">
        <v>2024</v>
      </c>
      <c r="D5183">
        <v>11</v>
      </c>
      <c r="E5183" t="s">
        <v>19</v>
      </c>
      <c r="F5183" t="s">
        <v>28</v>
      </c>
      <c r="G5183" t="s">
        <v>54</v>
      </c>
      <c r="H5183" t="s">
        <v>55</v>
      </c>
      <c r="I5183">
        <v>5674.73</v>
      </c>
      <c r="J5183">
        <v>5511.77</v>
      </c>
      <c r="K5183" t="s">
        <v>17</v>
      </c>
      <c r="L5183" t="b">
        <v>0</v>
      </c>
      <c r="N5183" s="2" t="str">
        <f t="shared" si="462"/>
        <v/>
      </c>
      <c r="Q5183" t="str">
        <f t="shared" si="467"/>
        <v/>
      </c>
    </row>
    <row r="5184" spans="1:17" hidden="1">
      <c r="A5184" t="s">
        <v>5289</v>
      </c>
      <c r="B5184" s="1">
        <v>45614</v>
      </c>
      <c r="C5184">
        <v>2024</v>
      </c>
      <c r="D5184">
        <v>11</v>
      </c>
      <c r="E5184" t="s">
        <v>23</v>
      </c>
      <c r="F5184" t="s">
        <v>28</v>
      </c>
      <c r="G5184" t="s">
        <v>30</v>
      </c>
      <c r="H5184" t="s">
        <v>31</v>
      </c>
      <c r="I5184">
        <v>5734.91</v>
      </c>
      <c r="J5184">
        <v>5396.12</v>
      </c>
      <c r="K5184" t="s">
        <v>17</v>
      </c>
      <c r="L5184" t="b">
        <v>0</v>
      </c>
      <c r="N5184" s="2" t="str">
        <f t="shared" si="462"/>
        <v/>
      </c>
      <c r="Q5184" t="str">
        <f t="shared" si="467"/>
        <v/>
      </c>
    </row>
    <row r="5185" spans="1:17" hidden="1">
      <c r="A5185" t="s">
        <v>5290</v>
      </c>
      <c r="B5185" s="1">
        <v>45614</v>
      </c>
      <c r="C5185">
        <v>2024</v>
      </c>
      <c r="D5185">
        <v>11</v>
      </c>
      <c r="E5185" t="s">
        <v>23</v>
      </c>
      <c r="F5185" t="s">
        <v>24</v>
      </c>
      <c r="G5185" t="s">
        <v>30</v>
      </c>
      <c r="H5185" t="s">
        <v>33</v>
      </c>
      <c r="I5185">
        <v>3924.87</v>
      </c>
      <c r="J5185">
        <v>4265.16</v>
      </c>
      <c r="K5185" t="s">
        <v>17</v>
      </c>
      <c r="L5185" t="b">
        <v>0</v>
      </c>
      <c r="N5185" s="2" t="str">
        <f t="shared" si="462"/>
        <v/>
      </c>
      <c r="Q5185" t="str">
        <f t="shared" si="467"/>
        <v/>
      </c>
    </row>
    <row r="5186" spans="1:17" hidden="1">
      <c r="A5186" t="s">
        <v>5291</v>
      </c>
      <c r="B5186" s="1">
        <v>45615</v>
      </c>
      <c r="C5186">
        <v>2024</v>
      </c>
      <c r="D5186">
        <v>11</v>
      </c>
      <c r="E5186" t="s">
        <v>13</v>
      </c>
      <c r="F5186" t="s">
        <v>28</v>
      </c>
      <c r="G5186" t="s">
        <v>68</v>
      </c>
      <c r="H5186" t="s">
        <v>87</v>
      </c>
      <c r="I5186">
        <v>4803.2299999999996</v>
      </c>
      <c r="J5186">
        <v>4703.26</v>
      </c>
      <c r="K5186" t="s">
        <v>17</v>
      </c>
      <c r="L5186" t="b">
        <v>0</v>
      </c>
      <c r="N5186" s="2" t="str">
        <f t="shared" si="462"/>
        <v/>
      </c>
      <c r="Q5186" t="str">
        <f t="shared" si="467"/>
        <v/>
      </c>
    </row>
    <row r="5187" spans="1:17" hidden="1">
      <c r="A5187" t="s">
        <v>5292</v>
      </c>
      <c r="B5187" s="1">
        <v>45615</v>
      </c>
      <c r="C5187">
        <v>2024</v>
      </c>
      <c r="D5187">
        <v>11</v>
      </c>
      <c r="E5187" t="s">
        <v>13</v>
      </c>
      <c r="F5187" t="s">
        <v>24</v>
      </c>
      <c r="G5187" t="s">
        <v>102</v>
      </c>
      <c r="H5187" t="s">
        <v>278</v>
      </c>
      <c r="I5187">
        <v>4668.55</v>
      </c>
      <c r="J5187">
        <v>4321.33</v>
      </c>
      <c r="K5187" t="s">
        <v>17</v>
      </c>
      <c r="L5187" t="b">
        <v>0</v>
      </c>
      <c r="N5187" s="2" t="str">
        <f t="shared" ref="N5187:N5250" si="468">IF(AND(E5187="IT",K5187="EXPENSE"),I5187&gt;J5187,"")</f>
        <v/>
      </c>
      <c r="Q5187" t="str">
        <f t="shared" si="467"/>
        <v/>
      </c>
    </row>
    <row r="5188" spans="1:17" hidden="1">
      <c r="A5188" t="s">
        <v>5293</v>
      </c>
      <c r="B5188" s="1">
        <v>45615</v>
      </c>
      <c r="C5188">
        <v>2024</v>
      </c>
      <c r="D5188">
        <v>11</v>
      </c>
      <c r="E5188" t="s">
        <v>47</v>
      </c>
      <c r="F5188" t="s">
        <v>28</v>
      </c>
      <c r="G5188" t="s">
        <v>51</v>
      </c>
      <c r="H5188" t="s">
        <v>189</v>
      </c>
      <c r="I5188">
        <v>10097.59</v>
      </c>
      <c r="J5188">
        <v>8496.7199999999993</v>
      </c>
      <c r="K5188" t="s">
        <v>17</v>
      </c>
      <c r="L5188" t="b">
        <v>0</v>
      </c>
      <c r="N5188" s="2" t="b">
        <f t="shared" si="468"/>
        <v>1</v>
      </c>
      <c r="O5188" t="str">
        <f>IF(AND(E5177="HR",K5177="EXPENSE"),I5177&lt;J5177,"")</f>
        <v/>
      </c>
      <c r="Q5188" t="str">
        <f t="shared" si="467"/>
        <v/>
      </c>
    </row>
    <row r="5189" spans="1:17" hidden="1">
      <c r="A5189" t="s">
        <v>5294</v>
      </c>
      <c r="B5189" s="1">
        <v>45615</v>
      </c>
      <c r="C5189">
        <v>2024</v>
      </c>
      <c r="D5189">
        <v>11</v>
      </c>
      <c r="E5189" t="s">
        <v>19</v>
      </c>
      <c r="F5189" t="s">
        <v>14</v>
      </c>
      <c r="G5189" t="s">
        <v>132</v>
      </c>
      <c r="H5189" t="s">
        <v>138</v>
      </c>
      <c r="I5189">
        <v>4425.22</v>
      </c>
      <c r="J5189">
        <v>4792.7299999999996</v>
      </c>
      <c r="K5189" t="s">
        <v>17</v>
      </c>
      <c r="L5189" t="b">
        <v>0</v>
      </c>
      <c r="N5189" s="2" t="str">
        <f t="shared" si="468"/>
        <v/>
      </c>
      <c r="Q5189" t="str">
        <f t="shared" si="467"/>
        <v/>
      </c>
    </row>
    <row r="5190" spans="1:17" hidden="1">
      <c r="A5190" t="s">
        <v>5295</v>
      </c>
      <c r="B5190" s="1">
        <v>45615</v>
      </c>
      <c r="C5190">
        <v>2024</v>
      </c>
      <c r="D5190">
        <v>11</v>
      </c>
      <c r="E5190" t="s">
        <v>23</v>
      </c>
      <c r="F5190" t="s">
        <v>14</v>
      </c>
      <c r="G5190" t="s">
        <v>30</v>
      </c>
      <c r="H5190" t="s">
        <v>31</v>
      </c>
      <c r="I5190">
        <v>6989.88</v>
      </c>
      <c r="J5190">
        <v>7154.9</v>
      </c>
      <c r="K5190" t="s">
        <v>17</v>
      </c>
      <c r="L5190" t="b">
        <v>0</v>
      </c>
      <c r="N5190" s="2" t="str">
        <f t="shared" si="468"/>
        <v/>
      </c>
      <c r="Q5190" t="str">
        <f t="shared" si="467"/>
        <v/>
      </c>
    </row>
    <row r="5191" spans="1:17" hidden="1">
      <c r="A5191" t="s">
        <v>5296</v>
      </c>
      <c r="B5191" s="1">
        <v>45615</v>
      </c>
      <c r="C5191">
        <v>2024</v>
      </c>
      <c r="D5191">
        <v>11</v>
      </c>
      <c r="E5191" t="s">
        <v>37</v>
      </c>
      <c r="F5191" t="s">
        <v>28</v>
      </c>
      <c r="G5191" t="s">
        <v>41</v>
      </c>
      <c r="H5191" t="s">
        <v>42</v>
      </c>
      <c r="I5191">
        <v>4572.8599999999997</v>
      </c>
      <c r="J5191">
        <v>4446.17</v>
      </c>
      <c r="K5191" t="s">
        <v>17</v>
      </c>
      <c r="L5191" t="b">
        <v>0</v>
      </c>
      <c r="N5191" s="2" t="str">
        <f t="shared" si="468"/>
        <v/>
      </c>
      <c r="Q5191" t="str">
        <f t="shared" si="467"/>
        <v/>
      </c>
    </row>
    <row r="5192" spans="1:17" hidden="1">
      <c r="A5192" t="s">
        <v>5297</v>
      </c>
      <c r="B5192" s="1">
        <v>45615</v>
      </c>
      <c r="C5192">
        <v>2024</v>
      </c>
      <c r="D5192">
        <v>11</v>
      </c>
      <c r="E5192" t="s">
        <v>37</v>
      </c>
      <c r="F5192" t="s">
        <v>28</v>
      </c>
      <c r="G5192" t="s">
        <v>41</v>
      </c>
      <c r="H5192" t="s">
        <v>42</v>
      </c>
      <c r="I5192">
        <v>4468.84</v>
      </c>
      <c r="J5192">
        <v>4282.01</v>
      </c>
      <c r="K5192" t="s">
        <v>17</v>
      </c>
      <c r="L5192" t="b">
        <v>0</v>
      </c>
      <c r="N5192" s="2" t="str">
        <f t="shared" si="468"/>
        <v/>
      </c>
      <c r="Q5192" t="str">
        <f t="shared" si="467"/>
        <v/>
      </c>
    </row>
    <row r="5193" spans="1:17" hidden="1">
      <c r="A5193" t="s">
        <v>5298</v>
      </c>
      <c r="B5193" s="1">
        <v>45615</v>
      </c>
      <c r="C5193">
        <v>2024</v>
      </c>
      <c r="D5193">
        <v>11</v>
      </c>
      <c r="E5193" t="s">
        <v>37</v>
      </c>
      <c r="F5193" t="s">
        <v>28</v>
      </c>
      <c r="G5193" t="s">
        <v>41</v>
      </c>
      <c r="H5193" t="s">
        <v>42</v>
      </c>
      <c r="I5193">
        <v>4212.3999999999996</v>
      </c>
      <c r="J5193">
        <v>4460.38</v>
      </c>
      <c r="K5193" t="s">
        <v>17</v>
      </c>
      <c r="L5193" t="b">
        <v>0</v>
      </c>
      <c r="N5193" s="2" t="str">
        <f t="shared" si="468"/>
        <v/>
      </c>
      <c r="Q5193" t="str">
        <f t="shared" si="467"/>
        <v/>
      </c>
    </row>
    <row r="5194" spans="1:17" hidden="1">
      <c r="A5194" t="s">
        <v>5299</v>
      </c>
      <c r="B5194" s="1">
        <v>45615</v>
      </c>
      <c r="C5194">
        <v>2024</v>
      </c>
      <c r="D5194">
        <v>11</v>
      </c>
      <c r="E5194" t="s">
        <v>37</v>
      </c>
      <c r="F5194" t="s">
        <v>24</v>
      </c>
      <c r="G5194" t="s">
        <v>98</v>
      </c>
      <c r="H5194" t="s">
        <v>99</v>
      </c>
      <c r="I5194">
        <v>5531.65</v>
      </c>
      <c r="J5194">
        <v>6025.08</v>
      </c>
      <c r="K5194" t="s">
        <v>17</v>
      </c>
      <c r="L5194" t="b">
        <v>0</v>
      </c>
      <c r="N5194" s="2" t="str">
        <f t="shared" si="468"/>
        <v/>
      </c>
      <c r="Q5194" t="str">
        <f t="shared" si="467"/>
        <v/>
      </c>
    </row>
    <row r="5195" spans="1:17" hidden="1">
      <c r="A5195" t="s">
        <v>5300</v>
      </c>
      <c r="B5195" s="1">
        <v>45615</v>
      </c>
      <c r="C5195">
        <v>2024</v>
      </c>
      <c r="D5195">
        <v>11</v>
      </c>
      <c r="E5195" t="s">
        <v>37</v>
      </c>
      <c r="F5195" t="s">
        <v>24</v>
      </c>
      <c r="G5195" t="s">
        <v>41</v>
      </c>
      <c r="H5195" t="s">
        <v>42</v>
      </c>
      <c r="I5195">
        <v>8914.6299999999992</v>
      </c>
      <c r="J5195">
        <v>8219.33</v>
      </c>
      <c r="K5195" t="s">
        <v>17</v>
      </c>
      <c r="L5195" t="b">
        <v>0</v>
      </c>
      <c r="N5195" s="2" t="str">
        <f t="shared" si="468"/>
        <v/>
      </c>
      <c r="Q5195" t="str">
        <f t="shared" si="467"/>
        <v/>
      </c>
    </row>
    <row r="5196" spans="1:17" hidden="1">
      <c r="A5196" t="s">
        <v>5301</v>
      </c>
      <c r="B5196" s="1">
        <v>45616</v>
      </c>
      <c r="C5196">
        <v>2024</v>
      </c>
      <c r="D5196">
        <v>11</v>
      </c>
      <c r="E5196" t="s">
        <v>13</v>
      </c>
      <c r="F5196" t="s">
        <v>28</v>
      </c>
      <c r="G5196" t="s">
        <v>15</v>
      </c>
      <c r="H5196" t="s">
        <v>16</v>
      </c>
      <c r="I5196">
        <v>3813.23</v>
      </c>
      <c r="J5196">
        <v>3702.75</v>
      </c>
      <c r="K5196" t="s">
        <v>17</v>
      </c>
      <c r="L5196" t="b">
        <v>0</v>
      </c>
      <c r="N5196" s="2" t="str">
        <f t="shared" si="468"/>
        <v/>
      </c>
      <c r="Q5196" t="str">
        <f t="shared" si="467"/>
        <v/>
      </c>
    </row>
    <row r="5197" spans="1:17" hidden="1">
      <c r="A5197" t="s">
        <v>5302</v>
      </c>
      <c r="B5197" s="1">
        <v>45616</v>
      </c>
      <c r="C5197">
        <v>2024</v>
      </c>
      <c r="D5197">
        <v>11</v>
      </c>
      <c r="E5197" t="s">
        <v>13</v>
      </c>
      <c r="F5197" t="s">
        <v>28</v>
      </c>
      <c r="G5197" t="s">
        <v>108</v>
      </c>
      <c r="H5197" t="s">
        <v>109</v>
      </c>
      <c r="I5197">
        <v>2742.74</v>
      </c>
      <c r="J5197">
        <v>2875.27</v>
      </c>
      <c r="K5197" t="s">
        <v>17</v>
      </c>
      <c r="L5197" t="b">
        <v>0</v>
      </c>
      <c r="N5197" s="2" t="str">
        <f t="shared" si="468"/>
        <v/>
      </c>
      <c r="Q5197" t="str">
        <f t="shared" si="467"/>
        <v/>
      </c>
    </row>
    <row r="5198" spans="1:17" hidden="1">
      <c r="A5198" t="s">
        <v>5303</v>
      </c>
      <c r="B5198" s="1">
        <v>45616</v>
      </c>
      <c r="C5198">
        <v>2024</v>
      </c>
      <c r="D5198">
        <v>11</v>
      </c>
      <c r="E5198" t="s">
        <v>47</v>
      </c>
      <c r="F5198" t="s">
        <v>28</v>
      </c>
      <c r="G5198" t="s">
        <v>91</v>
      </c>
      <c r="H5198" t="s">
        <v>92</v>
      </c>
      <c r="I5198">
        <v>10288.42</v>
      </c>
      <c r="J5198">
        <v>8492.1</v>
      </c>
      <c r="K5198" t="s">
        <v>17</v>
      </c>
      <c r="L5198" t="b">
        <v>0</v>
      </c>
      <c r="N5198" s="2" t="b">
        <f t="shared" si="468"/>
        <v>1</v>
      </c>
      <c r="O5198" t="b">
        <f t="shared" ref="O5198:O5199" si="469">IF(AND(E5187="HR",K5187="EXPENSE"),I5187&lt;J5187,"")</f>
        <v>0</v>
      </c>
      <c r="Q5198" t="str">
        <f t="shared" si="467"/>
        <v/>
      </c>
    </row>
    <row r="5199" spans="1:17" hidden="1">
      <c r="A5199" t="s">
        <v>5304</v>
      </c>
      <c r="B5199" s="1">
        <v>45616</v>
      </c>
      <c r="C5199">
        <v>2024</v>
      </c>
      <c r="D5199">
        <v>11</v>
      </c>
      <c r="E5199" t="s">
        <v>47</v>
      </c>
      <c r="F5199" t="s">
        <v>24</v>
      </c>
      <c r="G5199" t="s">
        <v>91</v>
      </c>
      <c r="H5199" t="s">
        <v>92</v>
      </c>
      <c r="I5199">
        <v>13789.36</v>
      </c>
      <c r="J5199">
        <v>11446.63</v>
      </c>
      <c r="K5199" t="s">
        <v>17</v>
      </c>
      <c r="L5199" t="b">
        <v>0</v>
      </c>
      <c r="N5199" s="2" t="b">
        <f t="shared" si="468"/>
        <v>1</v>
      </c>
      <c r="O5199" t="str">
        <f t="shared" si="469"/>
        <v/>
      </c>
      <c r="Q5199" t="str">
        <f t="shared" si="467"/>
        <v/>
      </c>
    </row>
    <row r="5200" spans="1:17" hidden="1">
      <c r="A5200" t="s">
        <v>5305</v>
      </c>
      <c r="B5200" s="1">
        <v>45616</v>
      </c>
      <c r="C5200">
        <v>2024</v>
      </c>
      <c r="D5200">
        <v>11</v>
      </c>
      <c r="E5200" t="s">
        <v>19</v>
      </c>
      <c r="F5200" t="s">
        <v>24</v>
      </c>
      <c r="G5200" t="s">
        <v>132</v>
      </c>
      <c r="H5200" t="s">
        <v>171</v>
      </c>
      <c r="I5200">
        <v>5318.39</v>
      </c>
      <c r="J5200">
        <v>5816.89</v>
      </c>
      <c r="K5200" t="s">
        <v>17</v>
      </c>
      <c r="L5200" t="b">
        <v>0</v>
      </c>
      <c r="N5200" s="2" t="str">
        <f t="shared" si="468"/>
        <v/>
      </c>
      <c r="Q5200" t="str">
        <f t="shared" si="467"/>
        <v/>
      </c>
    </row>
    <row r="5201" spans="1:17" hidden="1">
      <c r="A5201" t="s">
        <v>5306</v>
      </c>
      <c r="B5201" s="1">
        <v>45616</v>
      </c>
      <c r="C5201">
        <v>2024</v>
      </c>
      <c r="D5201">
        <v>11</v>
      </c>
      <c r="E5201" t="s">
        <v>23</v>
      </c>
      <c r="F5201" t="s">
        <v>28</v>
      </c>
      <c r="G5201" t="s">
        <v>25</v>
      </c>
      <c r="H5201" t="s">
        <v>35</v>
      </c>
      <c r="I5201">
        <v>7619.61</v>
      </c>
      <c r="J5201">
        <v>7015.37</v>
      </c>
      <c r="K5201" t="s">
        <v>17</v>
      </c>
      <c r="L5201" t="b">
        <v>0</v>
      </c>
      <c r="N5201" s="2" t="str">
        <f t="shared" si="468"/>
        <v/>
      </c>
      <c r="Q5201" t="str">
        <f t="shared" si="467"/>
        <v/>
      </c>
    </row>
    <row r="5202" spans="1:17" hidden="1">
      <c r="A5202" t="s">
        <v>5307</v>
      </c>
      <c r="B5202" s="1">
        <v>45616</v>
      </c>
      <c r="C5202">
        <v>2024</v>
      </c>
      <c r="D5202">
        <v>11</v>
      </c>
      <c r="E5202" t="s">
        <v>23</v>
      </c>
      <c r="F5202" t="s">
        <v>28</v>
      </c>
      <c r="G5202" t="s">
        <v>59</v>
      </c>
      <c r="H5202" t="s">
        <v>155</v>
      </c>
      <c r="I5202">
        <v>5114.43</v>
      </c>
      <c r="J5202">
        <v>5315.47</v>
      </c>
      <c r="K5202" t="s">
        <v>17</v>
      </c>
      <c r="L5202" t="b">
        <v>0</v>
      </c>
      <c r="N5202" s="2" t="str">
        <f t="shared" si="468"/>
        <v/>
      </c>
      <c r="Q5202" t="str">
        <f t="shared" si="467"/>
        <v/>
      </c>
    </row>
    <row r="5203" spans="1:17" hidden="1">
      <c r="A5203" t="s">
        <v>5308</v>
      </c>
      <c r="B5203" s="1">
        <v>45616</v>
      </c>
      <c r="C5203">
        <v>2024</v>
      </c>
      <c r="D5203">
        <v>11</v>
      </c>
      <c r="E5203" t="s">
        <v>23</v>
      </c>
      <c r="F5203" t="s">
        <v>28</v>
      </c>
      <c r="G5203" t="s">
        <v>141</v>
      </c>
      <c r="H5203" t="s">
        <v>209</v>
      </c>
      <c r="I5203">
        <v>6559.64</v>
      </c>
      <c r="J5203">
        <v>7113.07</v>
      </c>
      <c r="K5203" t="s">
        <v>17</v>
      </c>
      <c r="L5203" t="b">
        <v>0</v>
      </c>
      <c r="N5203" s="2" t="str">
        <f t="shared" si="468"/>
        <v/>
      </c>
      <c r="Q5203" t="str">
        <f t="shared" si="467"/>
        <v/>
      </c>
    </row>
    <row r="5204" spans="1:17" hidden="1">
      <c r="A5204" t="s">
        <v>5309</v>
      </c>
      <c r="B5204" s="1">
        <v>45616</v>
      </c>
      <c r="C5204">
        <v>2024</v>
      </c>
      <c r="D5204">
        <v>11</v>
      </c>
      <c r="E5204" t="s">
        <v>23</v>
      </c>
      <c r="F5204" t="s">
        <v>24</v>
      </c>
      <c r="G5204" t="s">
        <v>141</v>
      </c>
      <c r="H5204" t="s">
        <v>153</v>
      </c>
      <c r="I5204">
        <v>3367.91</v>
      </c>
      <c r="J5204">
        <v>3420.05</v>
      </c>
      <c r="K5204" t="s">
        <v>17</v>
      </c>
      <c r="L5204" t="b">
        <v>0</v>
      </c>
      <c r="N5204" s="2" t="str">
        <f t="shared" si="468"/>
        <v/>
      </c>
      <c r="Q5204" t="str">
        <f t="shared" si="467"/>
        <v/>
      </c>
    </row>
    <row r="5205" spans="1:17" hidden="1">
      <c r="A5205" t="s">
        <v>5310</v>
      </c>
      <c r="B5205" s="1">
        <v>45616</v>
      </c>
      <c r="C5205">
        <v>2024</v>
      </c>
      <c r="D5205">
        <v>11</v>
      </c>
      <c r="E5205" t="s">
        <v>37</v>
      </c>
      <c r="F5205" t="s">
        <v>28</v>
      </c>
      <c r="G5205" t="s">
        <v>41</v>
      </c>
      <c r="H5205" t="s">
        <v>42</v>
      </c>
      <c r="I5205">
        <v>4154.2700000000004</v>
      </c>
      <c r="J5205">
        <v>3878.9</v>
      </c>
      <c r="K5205" t="s">
        <v>17</v>
      </c>
      <c r="L5205" t="b">
        <v>0</v>
      </c>
      <c r="N5205" s="2" t="str">
        <f t="shared" si="468"/>
        <v/>
      </c>
      <c r="Q5205" t="str">
        <f t="shared" si="467"/>
        <v/>
      </c>
    </row>
    <row r="5206" spans="1:17" hidden="1">
      <c r="A5206" t="s">
        <v>5311</v>
      </c>
      <c r="B5206" s="1">
        <v>45616</v>
      </c>
      <c r="C5206">
        <v>2024</v>
      </c>
      <c r="D5206">
        <v>11</v>
      </c>
      <c r="E5206" t="s">
        <v>37</v>
      </c>
      <c r="F5206" t="s">
        <v>28</v>
      </c>
      <c r="G5206" t="s">
        <v>41</v>
      </c>
      <c r="H5206" t="s">
        <v>42</v>
      </c>
      <c r="I5206">
        <v>3423.76</v>
      </c>
      <c r="J5206">
        <v>3729.75</v>
      </c>
      <c r="K5206" t="s">
        <v>17</v>
      </c>
      <c r="L5206" t="b">
        <v>0</v>
      </c>
      <c r="N5206" s="2" t="str">
        <f t="shared" si="468"/>
        <v/>
      </c>
      <c r="Q5206" t="str">
        <f t="shared" si="467"/>
        <v/>
      </c>
    </row>
    <row r="5207" spans="1:17" hidden="1">
      <c r="A5207" t="s">
        <v>5312</v>
      </c>
      <c r="B5207" s="1">
        <v>45617</v>
      </c>
      <c r="C5207">
        <v>2024</v>
      </c>
      <c r="D5207">
        <v>11</v>
      </c>
      <c r="E5207" t="s">
        <v>13</v>
      </c>
      <c r="F5207" t="s">
        <v>14</v>
      </c>
      <c r="G5207" t="s">
        <v>102</v>
      </c>
      <c r="H5207" t="s">
        <v>278</v>
      </c>
      <c r="I5207">
        <v>3314.85</v>
      </c>
      <c r="J5207">
        <v>3208.92</v>
      </c>
      <c r="K5207" t="s">
        <v>17</v>
      </c>
      <c r="L5207" t="b">
        <v>0</v>
      </c>
      <c r="N5207" s="2" t="str">
        <f t="shared" si="468"/>
        <v/>
      </c>
      <c r="Q5207" t="str">
        <f t="shared" si="467"/>
        <v/>
      </c>
    </row>
    <row r="5208" spans="1:17" hidden="1">
      <c r="A5208" t="s">
        <v>5313</v>
      </c>
      <c r="B5208" s="1">
        <v>45617</v>
      </c>
      <c r="C5208">
        <v>2024</v>
      </c>
      <c r="D5208">
        <v>11</v>
      </c>
      <c r="E5208" t="s">
        <v>13</v>
      </c>
      <c r="F5208" t="s">
        <v>24</v>
      </c>
      <c r="G5208" t="s">
        <v>15</v>
      </c>
      <c r="H5208" t="s">
        <v>16</v>
      </c>
      <c r="I5208">
        <v>6175.17</v>
      </c>
      <c r="J5208">
        <v>6163.39</v>
      </c>
      <c r="K5208" t="s">
        <v>17</v>
      </c>
      <c r="L5208" t="b">
        <v>0</v>
      </c>
      <c r="N5208" s="2" t="str">
        <f t="shared" si="468"/>
        <v/>
      </c>
      <c r="Q5208" t="str">
        <f t="shared" si="467"/>
        <v/>
      </c>
    </row>
    <row r="5209" spans="1:17" hidden="1">
      <c r="A5209" t="s">
        <v>5314</v>
      </c>
      <c r="B5209" s="1">
        <v>45617</v>
      </c>
      <c r="C5209">
        <v>2024</v>
      </c>
      <c r="D5209">
        <v>11</v>
      </c>
      <c r="E5209" t="s">
        <v>19</v>
      </c>
      <c r="F5209" t="s">
        <v>14</v>
      </c>
      <c r="G5209" t="s">
        <v>132</v>
      </c>
      <c r="H5209" t="s">
        <v>138</v>
      </c>
      <c r="I5209">
        <v>3384.75</v>
      </c>
      <c r="J5209">
        <v>3358.13</v>
      </c>
      <c r="K5209" t="s">
        <v>17</v>
      </c>
      <c r="L5209" t="b">
        <v>0</v>
      </c>
      <c r="N5209" s="2" t="str">
        <f t="shared" si="468"/>
        <v/>
      </c>
      <c r="Q5209" t="str">
        <f t="shared" si="467"/>
        <v/>
      </c>
    </row>
    <row r="5210" spans="1:17" hidden="1">
      <c r="A5210" t="s">
        <v>5315</v>
      </c>
      <c r="B5210" s="1">
        <v>45617</v>
      </c>
      <c r="C5210">
        <v>2024</v>
      </c>
      <c r="D5210">
        <v>11</v>
      </c>
      <c r="E5210" t="s">
        <v>37</v>
      </c>
      <c r="F5210" t="s">
        <v>14</v>
      </c>
      <c r="G5210" t="s">
        <v>38</v>
      </c>
      <c r="H5210" t="s">
        <v>39</v>
      </c>
      <c r="I5210">
        <v>6945.52</v>
      </c>
      <c r="J5210">
        <v>6963.21</v>
      </c>
      <c r="K5210" t="s">
        <v>17</v>
      </c>
      <c r="L5210" t="b">
        <v>0</v>
      </c>
      <c r="N5210" s="2" t="str">
        <f t="shared" si="468"/>
        <v/>
      </c>
      <c r="Q5210" t="str">
        <f t="shared" si="467"/>
        <v/>
      </c>
    </row>
    <row r="5211" spans="1:17" hidden="1">
      <c r="A5211" t="s">
        <v>5316</v>
      </c>
      <c r="B5211" s="1">
        <v>45617</v>
      </c>
      <c r="C5211">
        <v>2024</v>
      </c>
      <c r="D5211">
        <v>11</v>
      </c>
      <c r="E5211" t="s">
        <v>37</v>
      </c>
      <c r="F5211" t="s">
        <v>28</v>
      </c>
      <c r="G5211" t="s">
        <v>38</v>
      </c>
      <c r="H5211" t="s">
        <v>39</v>
      </c>
      <c r="I5211">
        <v>3846.39</v>
      </c>
      <c r="J5211">
        <v>3892.52</v>
      </c>
      <c r="K5211" t="s">
        <v>17</v>
      </c>
      <c r="L5211" t="b">
        <v>0</v>
      </c>
      <c r="N5211" s="2" t="str">
        <f t="shared" si="468"/>
        <v/>
      </c>
      <c r="Q5211" t="str">
        <f t="shared" si="467"/>
        <v/>
      </c>
    </row>
    <row r="5212" spans="1:17" hidden="1">
      <c r="A5212" t="s">
        <v>5317</v>
      </c>
      <c r="B5212" s="1">
        <v>45617</v>
      </c>
      <c r="C5212">
        <v>2024</v>
      </c>
      <c r="D5212">
        <v>11</v>
      </c>
      <c r="E5212" t="s">
        <v>37</v>
      </c>
      <c r="F5212" t="s">
        <v>28</v>
      </c>
      <c r="G5212" t="s">
        <v>38</v>
      </c>
      <c r="H5212" t="s">
        <v>118</v>
      </c>
      <c r="I5212">
        <v>5055.22</v>
      </c>
      <c r="J5212">
        <v>5007.84</v>
      </c>
      <c r="K5212" t="s">
        <v>17</v>
      </c>
      <c r="L5212" t="b">
        <v>0</v>
      </c>
      <c r="N5212" s="2" t="str">
        <f t="shared" si="468"/>
        <v/>
      </c>
      <c r="Q5212" t="str">
        <f t="shared" si="467"/>
        <v/>
      </c>
    </row>
    <row r="5213" spans="1:17" hidden="1">
      <c r="A5213" t="s">
        <v>5318</v>
      </c>
      <c r="B5213" s="1">
        <v>45617</v>
      </c>
      <c r="C5213">
        <v>2024</v>
      </c>
      <c r="D5213">
        <v>11</v>
      </c>
      <c r="E5213" t="s">
        <v>37</v>
      </c>
      <c r="F5213" t="s">
        <v>24</v>
      </c>
      <c r="G5213" t="s">
        <v>62</v>
      </c>
      <c r="H5213" t="s">
        <v>121</v>
      </c>
      <c r="I5213">
        <v>6243.43</v>
      </c>
      <c r="J5213">
        <v>6211.88</v>
      </c>
      <c r="K5213" t="s">
        <v>17</v>
      </c>
      <c r="L5213" t="b">
        <v>0</v>
      </c>
      <c r="N5213" s="2" t="str">
        <f t="shared" si="468"/>
        <v/>
      </c>
      <c r="Q5213" t="str">
        <f t="shared" si="467"/>
        <v/>
      </c>
    </row>
    <row r="5214" spans="1:17" hidden="1">
      <c r="A5214" t="s">
        <v>5319</v>
      </c>
      <c r="B5214" s="1">
        <v>45617</v>
      </c>
      <c r="C5214">
        <v>2024</v>
      </c>
      <c r="D5214">
        <v>11</v>
      </c>
      <c r="E5214" t="s">
        <v>37</v>
      </c>
      <c r="F5214" t="s">
        <v>24</v>
      </c>
      <c r="G5214" t="s">
        <v>98</v>
      </c>
      <c r="H5214" t="s">
        <v>185</v>
      </c>
      <c r="I5214">
        <v>4507.43</v>
      </c>
      <c r="J5214">
        <v>4764.6499999999996</v>
      </c>
      <c r="K5214" t="s">
        <v>17</v>
      </c>
      <c r="L5214" t="b">
        <v>0</v>
      </c>
      <c r="N5214" s="2" t="str">
        <f t="shared" si="468"/>
        <v/>
      </c>
      <c r="Q5214" t="str">
        <f t="shared" si="467"/>
        <v/>
      </c>
    </row>
    <row r="5215" spans="1:17" hidden="1">
      <c r="A5215" t="s">
        <v>5320</v>
      </c>
      <c r="B5215" s="1">
        <v>45618</v>
      </c>
      <c r="C5215">
        <v>2024</v>
      </c>
      <c r="D5215">
        <v>11</v>
      </c>
      <c r="E5215" t="s">
        <v>47</v>
      </c>
      <c r="F5215" t="s">
        <v>28</v>
      </c>
      <c r="G5215" t="s">
        <v>51</v>
      </c>
      <c r="H5215" t="s">
        <v>72</v>
      </c>
      <c r="I5215">
        <v>12130.97</v>
      </c>
      <c r="J5215">
        <v>10431.75</v>
      </c>
      <c r="K5215" t="s">
        <v>17</v>
      </c>
      <c r="L5215" t="b">
        <v>0</v>
      </c>
      <c r="N5215" s="2" t="b">
        <f t="shared" si="468"/>
        <v>1</v>
      </c>
      <c r="O5215" t="str">
        <f>IF(AND(E5204="HR",K5204="EXPENSE"),I5204&lt;J5204,"")</f>
        <v/>
      </c>
      <c r="Q5215" t="str">
        <f t="shared" si="467"/>
        <v/>
      </c>
    </row>
    <row r="5216" spans="1:17" hidden="1">
      <c r="A5216" t="s">
        <v>5321</v>
      </c>
      <c r="B5216" s="1">
        <v>45618</v>
      </c>
      <c r="C5216">
        <v>2024</v>
      </c>
      <c r="D5216">
        <v>11</v>
      </c>
      <c r="E5216" t="s">
        <v>19</v>
      </c>
      <c r="F5216" t="s">
        <v>28</v>
      </c>
      <c r="G5216" t="s">
        <v>80</v>
      </c>
      <c r="H5216" t="s">
        <v>113</v>
      </c>
      <c r="I5216">
        <v>5340.18</v>
      </c>
      <c r="J5216">
        <v>5396.72</v>
      </c>
      <c r="K5216" t="s">
        <v>17</v>
      </c>
      <c r="L5216" t="b">
        <v>0</v>
      </c>
      <c r="N5216" s="2" t="str">
        <f t="shared" si="468"/>
        <v/>
      </c>
      <c r="Q5216" t="str">
        <f t="shared" si="467"/>
        <v/>
      </c>
    </row>
    <row r="5217" spans="1:17" hidden="1">
      <c r="A5217" t="s">
        <v>5322</v>
      </c>
      <c r="B5217" s="1">
        <v>45618</v>
      </c>
      <c r="C5217">
        <v>2024</v>
      </c>
      <c r="D5217">
        <v>11</v>
      </c>
      <c r="E5217" t="s">
        <v>23</v>
      </c>
      <c r="F5217" t="s">
        <v>14</v>
      </c>
      <c r="G5217" t="s">
        <v>141</v>
      </c>
      <c r="H5217" t="s">
        <v>209</v>
      </c>
      <c r="I5217">
        <v>7502.79</v>
      </c>
      <c r="J5217">
        <v>7526.88</v>
      </c>
      <c r="K5217" t="s">
        <v>17</v>
      </c>
      <c r="L5217" t="b">
        <v>0</v>
      </c>
      <c r="N5217" s="2" t="str">
        <f t="shared" si="468"/>
        <v/>
      </c>
      <c r="Q5217" t="str">
        <f t="shared" si="467"/>
        <v/>
      </c>
    </row>
    <row r="5218" spans="1:17" hidden="1">
      <c r="A5218" t="s">
        <v>5323</v>
      </c>
      <c r="B5218" s="1">
        <v>45618</v>
      </c>
      <c r="C5218">
        <v>2024</v>
      </c>
      <c r="D5218">
        <v>11</v>
      </c>
      <c r="E5218" t="s">
        <v>37</v>
      </c>
      <c r="F5218" t="s">
        <v>28</v>
      </c>
      <c r="G5218" t="s">
        <v>38</v>
      </c>
      <c r="H5218" t="s">
        <v>118</v>
      </c>
      <c r="I5218">
        <v>3876.96</v>
      </c>
      <c r="J5218">
        <v>3733.7</v>
      </c>
      <c r="K5218" t="s">
        <v>17</v>
      </c>
      <c r="L5218" t="b">
        <v>0</v>
      </c>
      <c r="N5218" s="2" t="str">
        <f t="shared" si="468"/>
        <v/>
      </c>
      <c r="Q5218" t="str">
        <f t="shared" si="467"/>
        <v/>
      </c>
    </row>
    <row r="5219" spans="1:17" hidden="1">
      <c r="A5219" t="s">
        <v>5324</v>
      </c>
      <c r="B5219" s="1">
        <v>45619</v>
      </c>
      <c r="C5219">
        <v>2024</v>
      </c>
      <c r="D5219">
        <v>11</v>
      </c>
      <c r="E5219" t="s">
        <v>47</v>
      </c>
      <c r="F5219" t="s">
        <v>14</v>
      </c>
      <c r="G5219" t="s">
        <v>91</v>
      </c>
      <c r="H5219" t="s">
        <v>128</v>
      </c>
      <c r="I5219">
        <v>12180.28</v>
      </c>
      <c r="J5219">
        <v>10311.629999999999</v>
      </c>
      <c r="K5219" t="s">
        <v>17</v>
      </c>
      <c r="L5219" t="b">
        <v>0</v>
      </c>
      <c r="N5219" s="2" t="b">
        <f t="shared" si="468"/>
        <v>1</v>
      </c>
      <c r="O5219" t="b">
        <f t="shared" ref="O5219:O5221" si="470">IF(AND(E5208="HR",K5208="EXPENSE"),I5208&lt;J5208,"")</f>
        <v>0</v>
      </c>
      <c r="Q5219" t="str">
        <f t="shared" si="467"/>
        <v/>
      </c>
    </row>
    <row r="5220" spans="1:17" hidden="1">
      <c r="A5220" t="s">
        <v>5325</v>
      </c>
      <c r="B5220" s="1">
        <v>45619</v>
      </c>
      <c r="C5220">
        <v>2024</v>
      </c>
      <c r="D5220">
        <v>11</v>
      </c>
      <c r="E5220" t="s">
        <v>47</v>
      </c>
      <c r="F5220" t="s">
        <v>28</v>
      </c>
      <c r="G5220" t="s">
        <v>51</v>
      </c>
      <c r="H5220" t="s">
        <v>189</v>
      </c>
      <c r="I5220">
        <v>12583.35</v>
      </c>
      <c r="J5220">
        <v>10703.97</v>
      </c>
      <c r="K5220" t="s">
        <v>17</v>
      </c>
      <c r="L5220" t="b">
        <v>0</v>
      </c>
      <c r="N5220" s="2" t="b">
        <f t="shared" si="468"/>
        <v>1</v>
      </c>
      <c r="O5220" t="str">
        <f t="shared" si="470"/>
        <v/>
      </c>
      <c r="Q5220" t="str">
        <f t="shared" si="467"/>
        <v/>
      </c>
    </row>
    <row r="5221" spans="1:17" hidden="1">
      <c r="A5221" t="s">
        <v>5326</v>
      </c>
      <c r="B5221" s="1">
        <v>45619</v>
      </c>
      <c r="C5221">
        <v>2024</v>
      </c>
      <c r="D5221">
        <v>11</v>
      </c>
      <c r="E5221" t="s">
        <v>47</v>
      </c>
      <c r="F5221" t="s">
        <v>24</v>
      </c>
      <c r="G5221" t="s">
        <v>48</v>
      </c>
      <c r="H5221" t="s">
        <v>49</v>
      </c>
      <c r="I5221">
        <v>9581.33</v>
      </c>
      <c r="J5221">
        <v>7886.25</v>
      </c>
      <c r="K5221" t="s">
        <v>17</v>
      </c>
      <c r="L5221" t="b">
        <v>0</v>
      </c>
      <c r="N5221" s="2" t="b">
        <f t="shared" si="468"/>
        <v>1</v>
      </c>
      <c r="O5221" t="str">
        <f t="shared" si="470"/>
        <v/>
      </c>
      <c r="Q5221" t="str">
        <f t="shared" si="467"/>
        <v/>
      </c>
    </row>
    <row r="5222" spans="1:17" hidden="1">
      <c r="A5222" t="s">
        <v>5327</v>
      </c>
      <c r="B5222" s="1">
        <v>45619</v>
      </c>
      <c r="C5222">
        <v>2024</v>
      </c>
      <c r="D5222">
        <v>11</v>
      </c>
      <c r="E5222" t="s">
        <v>19</v>
      </c>
      <c r="F5222" t="s">
        <v>14</v>
      </c>
      <c r="G5222" t="s">
        <v>132</v>
      </c>
      <c r="H5222" t="s">
        <v>133</v>
      </c>
      <c r="I5222">
        <v>6639.72</v>
      </c>
      <c r="J5222">
        <v>6762.76</v>
      </c>
      <c r="K5222" t="s">
        <v>17</v>
      </c>
      <c r="L5222" t="b">
        <v>0</v>
      </c>
      <c r="N5222" s="2" t="str">
        <f t="shared" si="468"/>
        <v/>
      </c>
      <c r="Q5222" t="str">
        <f t="shared" si="467"/>
        <v/>
      </c>
    </row>
    <row r="5223" spans="1:17" hidden="1">
      <c r="A5223" t="s">
        <v>5328</v>
      </c>
      <c r="B5223" s="1">
        <v>45619</v>
      </c>
      <c r="C5223">
        <v>2024</v>
      </c>
      <c r="D5223">
        <v>11</v>
      </c>
      <c r="E5223" t="s">
        <v>23</v>
      </c>
      <c r="F5223" t="s">
        <v>28</v>
      </c>
      <c r="G5223" t="s">
        <v>30</v>
      </c>
      <c r="H5223" t="s">
        <v>31</v>
      </c>
      <c r="I5223">
        <v>4427.0600000000004</v>
      </c>
      <c r="J5223">
        <v>4208.8100000000004</v>
      </c>
      <c r="K5223" t="s">
        <v>17</v>
      </c>
      <c r="L5223" t="b">
        <v>0</v>
      </c>
      <c r="N5223" s="2" t="str">
        <f t="shared" si="468"/>
        <v/>
      </c>
      <c r="Q5223" t="str">
        <f t="shared" si="467"/>
        <v/>
      </c>
    </row>
    <row r="5224" spans="1:17" hidden="1">
      <c r="A5224" t="s">
        <v>5329</v>
      </c>
      <c r="B5224" s="1">
        <v>45619</v>
      </c>
      <c r="C5224">
        <v>2024</v>
      </c>
      <c r="D5224">
        <v>11</v>
      </c>
      <c r="E5224" t="s">
        <v>23</v>
      </c>
      <c r="F5224" t="s">
        <v>28</v>
      </c>
      <c r="G5224" t="s">
        <v>30</v>
      </c>
      <c r="H5224" t="s">
        <v>106</v>
      </c>
      <c r="I5224">
        <v>6249.61</v>
      </c>
      <c r="J5224">
        <v>6630.43</v>
      </c>
      <c r="K5224" t="s">
        <v>17</v>
      </c>
      <c r="L5224" t="b">
        <v>0</v>
      </c>
      <c r="N5224" s="2" t="str">
        <f t="shared" si="468"/>
        <v/>
      </c>
      <c r="Q5224" t="str">
        <f t="shared" si="467"/>
        <v/>
      </c>
    </row>
    <row r="5225" spans="1:17" hidden="1">
      <c r="A5225" t="s">
        <v>5330</v>
      </c>
      <c r="B5225" s="1">
        <v>45619</v>
      </c>
      <c r="C5225">
        <v>2024</v>
      </c>
      <c r="D5225">
        <v>11</v>
      </c>
      <c r="E5225" t="s">
        <v>37</v>
      </c>
      <c r="F5225" t="s">
        <v>28</v>
      </c>
      <c r="G5225" t="s">
        <v>62</v>
      </c>
      <c r="H5225" t="s">
        <v>66</v>
      </c>
      <c r="I5225">
        <v>5440.42</v>
      </c>
      <c r="J5225">
        <v>5091.53</v>
      </c>
      <c r="K5225" t="s">
        <v>17</v>
      </c>
      <c r="L5225" t="b">
        <v>0</v>
      </c>
      <c r="N5225" s="2" t="str">
        <f t="shared" si="468"/>
        <v/>
      </c>
      <c r="Q5225" t="str">
        <f t="shared" si="467"/>
        <v/>
      </c>
    </row>
    <row r="5226" spans="1:17" hidden="1">
      <c r="A5226" t="s">
        <v>5331</v>
      </c>
      <c r="B5226" s="1">
        <v>45619</v>
      </c>
      <c r="C5226">
        <v>2024</v>
      </c>
      <c r="D5226">
        <v>11</v>
      </c>
      <c r="E5226" t="s">
        <v>37</v>
      </c>
      <c r="F5226" t="s">
        <v>24</v>
      </c>
      <c r="G5226" t="s">
        <v>41</v>
      </c>
      <c r="H5226" t="s">
        <v>42</v>
      </c>
      <c r="I5226">
        <v>5720.17</v>
      </c>
      <c r="J5226">
        <v>5962.6</v>
      </c>
      <c r="K5226" t="s">
        <v>17</v>
      </c>
      <c r="L5226" t="b">
        <v>0</v>
      </c>
      <c r="N5226" s="2" t="str">
        <f t="shared" si="468"/>
        <v/>
      </c>
      <c r="Q5226" t="str">
        <f t="shared" si="467"/>
        <v/>
      </c>
    </row>
    <row r="5227" spans="1:17" hidden="1">
      <c r="A5227" t="s">
        <v>5332</v>
      </c>
      <c r="B5227" s="1">
        <v>45620</v>
      </c>
      <c r="C5227">
        <v>2024</v>
      </c>
      <c r="D5227">
        <v>11</v>
      </c>
      <c r="E5227" t="s">
        <v>47</v>
      </c>
      <c r="F5227" t="s">
        <v>28</v>
      </c>
      <c r="G5227" t="s">
        <v>77</v>
      </c>
      <c r="H5227" t="s">
        <v>147</v>
      </c>
      <c r="I5227">
        <v>11795.59</v>
      </c>
      <c r="J5227">
        <v>9762.94</v>
      </c>
      <c r="K5227" t="s">
        <v>17</v>
      </c>
      <c r="L5227" t="b">
        <v>0</v>
      </c>
      <c r="N5227" s="2" t="b">
        <f t="shared" si="468"/>
        <v>1</v>
      </c>
      <c r="O5227" t="str">
        <f t="shared" ref="O5227:O5229" si="471">IF(AND(E5216="HR",K5216="EXPENSE"),I5216&lt;J5216,"")</f>
        <v/>
      </c>
      <c r="Q5227" t="str">
        <f t="shared" si="467"/>
        <v/>
      </c>
    </row>
    <row r="5228" spans="1:17" hidden="1">
      <c r="A5228" t="s">
        <v>5333</v>
      </c>
      <c r="B5228" s="1">
        <v>45620</v>
      </c>
      <c r="C5228">
        <v>2024</v>
      </c>
      <c r="D5228">
        <v>11</v>
      </c>
      <c r="E5228" t="s">
        <v>47</v>
      </c>
      <c r="F5228" t="s">
        <v>24</v>
      </c>
      <c r="G5228" t="s">
        <v>77</v>
      </c>
      <c r="H5228" t="s">
        <v>78</v>
      </c>
      <c r="I5228">
        <v>14212.33</v>
      </c>
      <c r="J5228">
        <v>12049.99</v>
      </c>
      <c r="K5228" t="s">
        <v>17</v>
      </c>
      <c r="L5228" t="b">
        <v>0</v>
      </c>
      <c r="N5228" s="2" t="b">
        <f t="shared" si="468"/>
        <v>1</v>
      </c>
      <c r="O5228" t="str">
        <f t="shared" si="471"/>
        <v/>
      </c>
      <c r="Q5228" t="str">
        <f t="shared" si="467"/>
        <v/>
      </c>
    </row>
    <row r="5229" spans="1:17" hidden="1">
      <c r="A5229" t="s">
        <v>5334</v>
      </c>
      <c r="B5229" s="1">
        <v>45620</v>
      </c>
      <c r="C5229">
        <v>2024</v>
      </c>
      <c r="D5229">
        <v>11</v>
      </c>
      <c r="E5229" t="s">
        <v>47</v>
      </c>
      <c r="F5229" t="s">
        <v>24</v>
      </c>
      <c r="G5229" t="s">
        <v>91</v>
      </c>
      <c r="H5229" t="s">
        <v>128</v>
      </c>
      <c r="I5229">
        <v>12330.49</v>
      </c>
      <c r="J5229">
        <v>10509.37</v>
      </c>
      <c r="K5229" t="s">
        <v>17</v>
      </c>
      <c r="L5229" t="b">
        <v>0</v>
      </c>
      <c r="N5229" s="2" t="b">
        <f t="shared" si="468"/>
        <v>1</v>
      </c>
      <c r="O5229" t="str">
        <f t="shared" si="471"/>
        <v/>
      </c>
      <c r="Q5229" t="str">
        <f t="shared" si="467"/>
        <v/>
      </c>
    </row>
    <row r="5230" spans="1:17" hidden="1">
      <c r="A5230" t="s">
        <v>5335</v>
      </c>
      <c r="B5230" s="1">
        <v>45620</v>
      </c>
      <c r="C5230">
        <v>2024</v>
      </c>
      <c r="D5230">
        <v>11</v>
      </c>
      <c r="E5230" t="s">
        <v>19</v>
      </c>
      <c r="F5230" t="s">
        <v>14</v>
      </c>
      <c r="G5230" t="s">
        <v>80</v>
      </c>
      <c r="H5230" t="s">
        <v>81</v>
      </c>
      <c r="I5230">
        <v>4882.1000000000004</v>
      </c>
      <c r="J5230">
        <v>4690.8999999999996</v>
      </c>
      <c r="K5230" t="s">
        <v>17</v>
      </c>
      <c r="L5230" t="b">
        <v>0</v>
      </c>
      <c r="N5230" s="2" t="str">
        <f t="shared" si="468"/>
        <v/>
      </c>
      <c r="Q5230" t="str">
        <f t="shared" si="467"/>
        <v/>
      </c>
    </row>
    <row r="5231" spans="1:17" hidden="1">
      <c r="A5231" t="s">
        <v>5336</v>
      </c>
      <c r="B5231" s="1">
        <v>45620</v>
      </c>
      <c r="C5231">
        <v>2024</v>
      </c>
      <c r="D5231">
        <v>11</v>
      </c>
      <c r="E5231" t="s">
        <v>23</v>
      </c>
      <c r="F5231" t="s">
        <v>14</v>
      </c>
      <c r="G5231" t="s">
        <v>59</v>
      </c>
      <c r="H5231" t="s">
        <v>155</v>
      </c>
      <c r="I5231">
        <v>8059.54</v>
      </c>
      <c r="J5231">
        <v>8786.56</v>
      </c>
      <c r="K5231" t="s">
        <v>17</v>
      </c>
      <c r="L5231" t="b">
        <v>0</v>
      </c>
      <c r="N5231" s="2" t="str">
        <f t="shared" si="468"/>
        <v/>
      </c>
      <c r="Q5231" t="str">
        <f t="shared" si="467"/>
        <v/>
      </c>
    </row>
    <row r="5232" spans="1:17" hidden="1">
      <c r="A5232" t="s">
        <v>5337</v>
      </c>
      <c r="B5232" s="1">
        <v>45620</v>
      </c>
      <c r="C5232">
        <v>2024</v>
      </c>
      <c r="D5232">
        <v>11</v>
      </c>
      <c r="E5232" t="s">
        <v>37</v>
      </c>
      <c r="F5232" t="s">
        <v>14</v>
      </c>
      <c r="G5232" t="s">
        <v>41</v>
      </c>
      <c r="H5232" t="s">
        <v>42</v>
      </c>
      <c r="I5232">
        <v>4847.8900000000003</v>
      </c>
      <c r="J5232">
        <v>5004.0200000000004</v>
      </c>
      <c r="K5232" t="s">
        <v>17</v>
      </c>
      <c r="L5232" t="b">
        <v>0</v>
      </c>
      <c r="N5232" s="2" t="str">
        <f t="shared" si="468"/>
        <v/>
      </c>
      <c r="Q5232" t="str">
        <f t="shared" ref="Q5232:Q5295" si="472">IF(L5232=TRUE,OR(H5232="Apex Solutions Inc",H5232="Global Trade Partners",H5232="NovaTech Services"),"")</f>
        <v/>
      </c>
    </row>
    <row r="5233" spans="1:17" hidden="1">
      <c r="A5233" t="s">
        <v>5338</v>
      </c>
      <c r="B5233" s="1">
        <v>45620</v>
      </c>
      <c r="C5233">
        <v>2024</v>
      </c>
      <c r="D5233">
        <v>11</v>
      </c>
      <c r="E5233" t="s">
        <v>37</v>
      </c>
      <c r="F5233" t="s">
        <v>28</v>
      </c>
      <c r="G5233" t="s">
        <v>62</v>
      </c>
      <c r="H5233" t="s">
        <v>66</v>
      </c>
      <c r="I5233">
        <v>5008.0600000000004</v>
      </c>
      <c r="J5233">
        <v>5196.1400000000003</v>
      </c>
      <c r="K5233" t="s">
        <v>17</v>
      </c>
      <c r="L5233" t="b">
        <v>0</v>
      </c>
      <c r="N5233" s="2" t="str">
        <f t="shared" si="468"/>
        <v/>
      </c>
      <c r="Q5233" t="str">
        <f t="shared" si="472"/>
        <v/>
      </c>
    </row>
    <row r="5234" spans="1:17" hidden="1">
      <c r="A5234" t="s">
        <v>5339</v>
      </c>
      <c r="B5234" s="1">
        <v>45620</v>
      </c>
      <c r="C5234">
        <v>2024</v>
      </c>
      <c r="D5234">
        <v>11</v>
      </c>
      <c r="E5234" t="s">
        <v>37</v>
      </c>
      <c r="F5234" t="s">
        <v>28</v>
      </c>
      <c r="G5234" t="s">
        <v>38</v>
      </c>
      <c r="H5234" t="s">
        <v>227</v>
      </c>
      <c r="I5234">
        <v>3648.9</v>
      </c>
      <c r="J5234">
        <v>3691.61</v>
      </c>
      <c r="K5234" t="s">
        <v>17</v>
      </c>
      <c r="L5234" t="b">
        <v>0</v>
      </c>
      <c r="N5234" s="2" t="str">
        <f t="shared" si="468"/>
        <v/>
      </c>
      <c r="Q5234" t="str">
        <f t="shared" si="472"/>
        <v/>
      </c>
    </row>
    <row r="5235" spans="1:17" hidden="1">
      <c r="A5235" t="s">
        <v>5340</v>
      </c>
      <c r="B5235" s="1">
        <v>45620</v>
      </c>
      <c r="C5235">
        <v>2024</v>
      </c>
      <c r="D5235">
        <v>11</v>
      </c>
      <c r="E5235" t="s">
        <v>37</v>
      </c>
      <c r="F5235" t="s">
        <v>24</v>
      </c>
      <c r="G5235" t="s">
        <v>41</v>
      </c>
      <c r="H5235" t="s">
        <v>42</v>
      </c>
      <c r="I5235">
        <v>5386.26</v>
      </c>
      <c r="J5235">
        <v>5447.55</v>
      </c>
      <c r="K5235" t="s">
        <v>17</v>
      </c>
      <c r="L5235" t="b">
        <v>0</v>
      </c>
      <c r="N5235" s="2" t="str">
        <f t="shared" si="468"/>
        <v/>
      </c>
      <c r="Q5235" t="str">
        <f t="shared" si="472"/>
        <v/>
      </c>
    </row>
    <row r="5236" spans="1:17" hidden="1">
      <c r="A5236" t="s">
        <v>5341</v>
      </c>
      <c r="B5236" s="1">
        <v>45621</v>
      </c>
      <c r="C5236">
        <v>2024</v>
      </c>
      <c r="D5236">
        <v>11</v>
      </c>
      <c r="E5236" t="s">
        <v>47</v>
      </c>
      <c r="F5236" t="s">
        <v>14</v>
      </c>
      <c r="G5236" t="s">
        <v>51</v>
      </c>
      <c r="H5236" t="s">
        <v>189</v>
      </c>
      <c r="I5236">
        <v>9119.49</v>
      </c>
      <c r="J5236">
        <v>7547.37</v>
      </c>
      <c r="K5236" t="s">
        <v>17</v>
      </c>
      <c r="L5236" t="b">
        <v>0</v>
      </c>
      <c r="N5236" s="2" t="b">
        <f t="shared" si="468"/>
        <v>1</v>
      </c>
      <c r="O5236" t="str">
        <f t="shared" ref="O5236:O5237" si="473">IF(AND(E5225="HR",K5225="EXPENSE"),I5225&lt;J5225,"")</f>
        <v/>
      </c>
      <c r="Q5236" t="str">
        <f t="shared" si="472"/>
        <v/>
      </c>
    </row>
    <row r="5237" spans="1:17" hidden="1">
      <c r="A5237" t="s">
        <v>5342</v>
      </c>
      <c r="B5237" s="1">
        <v>45621</v>
      </c>
      <c r="C5237">
        <v>2024</v>
      </c>
      <c r="D5237">
        <v>11</v>
      </c>
      <c r="E5237" t="s">
        <v>47</v>
      </c>
      <c r="F5237" t="s">
        <v>14</v>
      </c>
      <c r="G5237" t="s">
        <v>48</v>
      </c>
      <c r="H5237" t="s">
        <v>189</v>
      </c>
      <c r="I5237">
        <v>17001.580000000002</v>
      </c>
      <c r="J5237">
        <v>14406.29</v>
      </c>
      <c r="K5237" t="s">
        <v>17</v>
      </c>
      <c r="L5237" t="b">
        <v>0</v>
      </c>
      <c r="N5237" s="2" t="b">
        <f t="shared" si="468"/>
        <v>1</v>
      </c>
      <c r="O5237" t="str">
        <f t="shared" si="473"/>
        <v/>
      </c>
      <c r="Q5237" t="str">
        <f t="shared" si="472"/>
        <v/>
      </c>
    </row>
    <row r="5238" spans="1:17" hidden="1">
      <c r="A5238" t="s">
        <v>5343</v>
      </c>
      <c r="B5238" s="1">
        <v>45621</v>
      </c>
      <c r="C5238">
        <v>2024</v>
      </c>
      <c r="D5238">
        <v>11</v>
      </c>
      <c r="E5238" t="s">
        <v>19</v>
      </c>
      <c r="F5238" t="s">
        <v>14</v>
      </c>
      <c r="G5238" t="s">
        <v>80</v>
      </c>
      <c r="H5238" t="s">
        <v>217</v>
      </c>
      <c r="I5238">
        <v>6534.93</v>
      </c>
      <c r="J5238">
        <v>6858.51</v>
      </c>
      <c r="K5238" t="s">
        <v>17</v>
      </c>
      <c r="L5238" t="b">
        <v>0</v>
      </c>
      <c r="N5238" s="2" t="str">
        <f t="shared" si="468"/>
        <v/>
      </c>
      <c r="Q5238" t="str">
        <f t="shared" si="472"/>
        <v/>
      </c>
    </row>
    <row r="5239" spans="1:17" hidden="1">
      <c r="A5239" t="s">
        <v>5344</v>
      </c>
      <c r="B5239" s="1">
        <v>45621</v>
      </c>
      <c r="C5239">
        <v>2024</v>
      </c>
      <c r="D5239">
        <v>11</v>
      </c>
      <c r="E5239" t="s">
        <v>19</v>
      </c>
      <c r="F5239" t="s">
        <v>14</v>
      </c>
      <c r="G5239" t="s">
        <v>132</v>
      </c>
      <c r="H5239" t="s">
        <v>171</v>
      </c>
      <c r="I5239">
        <v>7081.06</v>
      </c>
      <c r="J5239">
        <v>6447.55</v>
      </c>
      <c r="K5239" t="s">
        <v>17</v>
      </c>
      <c r="L5239" t="b">
        <v>0</v>
      </c>
      <c r="N5239" s="2" t="str">
        <f t="shared" si="468"/>
        <v/>
      </c>
      <c r="Q5239" t="str">
        <f t="shared" si="472"/>
        <v/>
      </c>
    </row>
    <row r="5240" spans="1:17" hidden="1">
      <c r="A5240" t="s">
        <v>5345</v>
      </c>
      <c r="B5240" s="1">
        <v>45621</v>
      </c>
      <c r="C5240">
        <v>2024</v>
      </c>
      <c r="D5240">
        <v>11</v>
      </c>
      <c r="E5240" t="s">
        <v>19</v>
      </c>
      <c r="F5240" t="s">
        <v>24</v>
      </c>
      <c r="G5240" t="s">
        <v>54</v>
      </c>
      <c r="H5240" t="s">
        <v>55</v>
      </c>
      <c r="I5240">
        <v>7932.75</v>
      </c>
      <c r="J5240">
        <v>7313.77</v>
      </c>
      <c r="K5240" t="s">
        <v>17</v>
      </c>
      <c r="L5240" t="b">
        <v>0</v>
      </c>
      <c r="N5240" s="2" t="str">
        <f t="shared" si="468"/>
        <v/>
      </c>
      <c r="Q5240" t="str">
        <f t="shared" si="472"/>
        <v/>
      </c>
    </row>
    <row r="5241" spans="1:17" hidden="1">
      <c r="A5241" t="s">
        <v>5346</v>
      </c>
      <c r="B5241" s="1">
        <v>45621</v>
      </c>
      <c r="C5241">
        <v>2024</v>
      </c>
      <c r="D5241">
        <v>11</v>
      </c>
      <c r="E5241" t="s">
        <v>23</v>
      </c>
      <c r="F5241" t="s">
        <v>28</v>
      </c>
      <c r="G5241" t="s">
        <v>30</v>
      </c>
      <c r="H5241" t="s">
        <v>33</v>
      </c>
      <c r="I5241">
        <v>5945.06</v>
      </c>
      <c r="J5241">
        <v>5697.96</v>
      </c>
      <c r="K5241" t="s">
        <v>17</v>
      </c>
      <c r="L5241" t="b">
        <v>0</v>
      </c>
      <c r="N5241" s="2" t="str">
        <f t="shared" si="468"/>
        <v/>
      </c>
      <c r="Q5241" t="str">
        <f t="shared" si="472"/>
        <v/>
      </c>
    </row>
    <row r="5242" spans="1:17" hidden="1">
      <c r="A5242" t="s">
        <v>5347</v>
      </c>
      <c r="B5242" s="1">
        <v>45621</v>
      </c>
      <c r="C5242">
        <v>2024</v>
      </c>
      <c r="D5242">
        <v>11</v>
      </c>
      <c r="E5242" t="s">
        <v>23</v>
      </c>
      <c r="F5242" t="s">
        <v>28</v>
      </c>
      <c r="G5242" t="s">
        <v>25</v>
      </c>
      <c r="H5242" t="s">
        <v>35</v>
      </c>
      <c r="I5242">
        <v>5931.57</v>
      </c>
      <c r="J5242">
        <v>6046.33</v>
      </c>
      <c r="K5242" t="s">
        <v>17</v>
      </c>
      <c r="L5242" t="b">
        <v>0</v>
      </c>
      <c r="N5242" s="2" t="str">
        <f t="shared" si="468"/>
        <v/>
      </c>
      <c r="Q5242" t="str">
        <f t="shared" si="472"/>
        <v/>
      </c>
    </row>
    <row r="5243" spans="1:17" hidden="1">
      <c r="A5243" t="s">
        <v>5348</v>
      </c>
      <c r="B5243" s="1">
        <v>45621</v>
      </c>
      <c r="C5243">
        <v>2024</v>
      </c>
      <c r="D5243">
        <v>11</v>
      </c>
      <c r="E5243" t="s">
        <v>23</v>
      </c>
      <c r="F5243" t="s">
        <v>28</v>
      </c>
      <c r="G5243" t="s">
        <v>59</v>
      </c>
      <c r="H5243" t="s">
        <v>155</v>
      </c>
      <c r="I5243">
        <v>4556.76</v>
      </c>
      <c r="J5243">
        <v>4842.59</v>
      </c>
      <c r="K5243" t="s">
        <v>17</v>
      </c>
      <c r="L5243" t="b">
        <v>0</v>
      </c>
      <c r="N5243" s="2" t="str">
        <f t="shared" si="468"/>
        <v/>
      </c>
      <c r="Q5243" t="str">
        <f t="shared" si="472"/>
        <v/>
      </c>
    </row>
    <row r="5244" spans="1:17" hidden="1">
      <c r="A5244" t="s">
        <v>5349</v>
      </c>
      <c r="B5244" s="1">
        <v>45621</v>
      </c>
      <c r="C5244">
        <v>2024</v>
      </c>
      <c r="D5244">
        <v>11</v>
      </c>
      <c r="E5244" t="s">
        <v>37</v>
      </c>
      <c r="F5244" t="s">
        <v>14</v>
      </c>
      <c r="G5244" t="s">
        <v>98</v>
      </c>
      <c r="H5244" t="s">
        <v>99</v>
      </c>
      <c r="I5244">
        <v>5541.82</v>
      </c>
      <c r="J5244">
        <v>5486.05</v>
      </c>
      <c r="K5244" t="s">
        <v>17</v>
      </c>
      <c r="L5244" t="b">
        <v>0</v>
      </c>
      <c r="N5244" s="2" t="str">
        <f t="shared" si="468"/>
        <v/>
      </c>
      <c r="Q5244" t="str">
        <f t="shared" si="472"/>
        <v/>
      </c>
    </row>
    <row r="5245" spans="1:17" hidden="1">
      <c r="A5245" t="s">
        <v>5350</v>
      </c>
      <c r="B5245" s="1">
        <v>45621</v>
      </c>
      <c r="C5245">
        <v>2024</v>
      </c>
      <c r="D5245">
        <v>11</v>
      </c>
      <c r="E5245" t="s">
        <v>37</v>
      </c>
      <c r="F5245" t="s">
        <v>28</v>
      </c>
      <c r="G5245" t="s">
        <v>98</v>
      </c>
      <c r="H5245" t="s">
        <v>99</v>
      </c>
      <c r="I5245">
        <v>4244.67</v>
      </c>
      <c r="J5245">
        <v>4154.8</v>
      </c>
      <c r="K5245" t="s">
        <v>17</v>
      </c>
      <c r="L5245" t="b">
        <v>0</v>
      </c>
      <c r="N5245" s="2" t="str">
        <f t="shared" si="468"/>
        <v/>
      </c>
      <c r="Q5245" t="str">
        <f t="shared" si="472"/>
        <v/>
      </c>
    </row>
    <row r="5246" spans="1:17" hidden="1">
      <c r="A5246" t="s">
        <v>5351</v>
      </c>
      <c r="B5246" s="1">
        <v>45621</v>
      </c>
      <c r="C5246">
        <v>2024</v>
      </c>
      <c r="D5246">
        <v>11</v>
      </c>
      <c r="E5246" t="s">
        <v>37</v>
      </c>
      <c r="F5246" t="s">
        <v>24</v>
      </c>
      <c r="G5246" t="s">
        <v>83</v>
      </c>
      <c r="H5246" t="s">
        <v>84</v>
      </c>
      <c r="I5246">
        <v>159529.20000000001</v>
      </c>
      <c r="J5246">
        <v>151552.74</v>
      </c>
      <c r="K5246" t="s">
        <v>85</v>
      </c>
      <c r="L5246" t="b">
        <v>0</v>
      </c>
      <c r="N5246" s="2" t="str">
        <f t="shared" si="468"/>
        <v/>
      </c>
      <c r="Q5246" t="str">
        <f t="shared" si="472"/>
        <v/>
      </c>
    </row>
    <row r="5247" spans="1:17" hidden="1">
      <c r="A5247" t="s">
        <v>5352</v>
      </c>
      <c r="B5247" s="1">
        <v>45622</v>
      </c>
      <c r="C5247">
        <v>2024</v>
      </c>
      <c r="D5247">
        <v>11</v>
      </c>
      <c r="E5247" t="s">
        <v>13</v>
      </c>
      <c r="F5247" t="s">
        <v>14</v>
      </c>
      <c r="G5247" t="s">
        <v>68</v>
      </c>
      <c r="H5247" t="s">
        <v>213</v>
      </c>
      <c r="I5247">
        <v>3029.41</v>
      </c>
      <c r="J5247">
        <v>3186.19</v>
      </c>
      <c r="K5247" t="s">
        <v>17</v>
      </c>
      <c r="L5247" t="b">
        <v>0</v>
      </c>
      <c r="N5247" s="2" t="str">
        <f t="shared" si="468"/>
        <v/>
      </c>
      <c r="Q5247" t="str">
        <f t="shared" si="472"/>
        <v/>
      </c>
    </row>
    <row r="5248" spans="1:17" hidden="1">
      <c r="A5248" t="s">
        <v>5353</v>
      </c>
      <c r="B5248" s="1">
        <v>45622</v>
      </c>
      <c r="C5248">
        <v>2024</v>
      </c>
      <c r="D5248">
        <v>11</v>
      </c>
      <c r="E5248" t="s">
        <v>47</v>
      </c>
      <c r="F5248" t="s">
        <v>14</v>
      </c>
      <c r="G5248" t="s">
        <v>48</v>
      </c>
      <c r="H5248" t="s">
        <v>75</v>
      </c>
      <c r="I5248">
        <v>12999.42</v>
      </c>
      <c r="J5248">
        <v>10746.06</v>
      </c>
      <c r="K5248" t="s">
        <v>17</v>
      </c>
      <c r="L5248" t="b">
        <v>0</v>
      </c>
      <c r="N5248" s="2" t="b">
        <f t="shared" si="468"/>
        <v>1</v>
      </c>
      <c r="O5248" t="str">
        <f t="shared" ref="O5248:O5249" si="474">IF(AND(E5237="HR",K5237="EXPENSE"),I5237&lt;J5237,"")</f>
        <v/>
      </c>
      <c r="Q5248" t="str">
        <f t="shared" si="472"/>
        <v/>
      </c>
    </row>
    <row r="5249" spans="1:17" hidden="1">
      <c r="A5249" t="s">
        <v>5354</v>
      </c>
      <c r="B5249" s="1">
        <v>45622</v>
      </c>
      <c r="C5249">
        <v>2024</v>
      </c>
      <c r="D5249">
        <v>11</v>
      </c>
      <c r="E5249" t="s">
        <v>47</v>
      </c>
      <c r="F5249" t="s">
        <v>28</v>
      </c>
      <c r="G5249" t="s">
        <v>51</v>
      </c>
      <c r="H5249" t="s">
        <v>72</v>
      </c>
      <c r="I5249">
        <v>11276.11</v>
      </c>
      <c r="J5249">
        <v>9602.7800000000007</v>
      </c>
      <c r="K5249" t="s">
        <v>17</v>
      </c>
      <c r="L5249" t="b">
        <v>0</v>
      </c>
      <c r="N5249" s="2" t="b">
        <f t="shared" si="468"/>
        <v>1</v>
      </c>
      <c r="O5249" t="str">
        <f t="shared" si="474"/>
        <v/>
      </c>
      <c r="Q5249" t="str">
        <f t="shared" si="472"/>
        <v/>
      </c>
    </row>
    <row r="5250" spans="1:17" hidden="1">
      <c r="A5250" t="s">
        <v>5355</v>
      </c>
      <c r="B5250" s="1">
        <v>45622</v>
      </c>
      <c r="C5250">
        <v>2024</v>
      </c>
      <c r="D5250">
        <v>11</v>
      </c>
      <c r="E5250" t="s">
        <v>19</v>
      </c>
      <c r="F5250" t="s">
        <v>14</v>
      </c>
      <c r="G5250" t="s">
        <v>80</v>
      </c>
      <c r="H5250" t="s">
        <v>81</v>
      </c>
      <c r="I5250">
        <v>4368.8999999999996</v>
      </c>
      <c r="J5250">
        <v>4291.4399999999996</v>
      </c>
      <c r="K5250" t="s">
        <v>17</v>
      </c>
      <c r="L5250" t="b">
        <v>0</v>
      </c>
      <c r="N5250" s="2" t="str">
        <f t="shared" si="468"/>
        <v/>
      </c>
      <c r="Q5250" t="str">
        <f t="shared" si="472"/>
        <v/>
      </c>
    </row>
    <row r="5251" spans="1:17" hidden="1">
      <c r="A5251" t="s">
        <v>5356</v>
      </c>
      <c r="B5251" s="1">
        <v>45622</v>
      </c>
      <c r="C5251">
        <v>2024</v>
      </c>
      <c r="D5251">
        <v>11</v>
      </c>
      <c r="E5251" t="s">
        <v>19</v>
      </c>
      <c r="F5251" t="s">
        <v>28</v>
      </c>
      <c r="G5251" t="s">
        <v>132</v>
      </c>
      <c r="H5251" t="s">
        <v>133</v>
      </c>
      <c r="I5251">
        <v>8558.61</v>
      </c>
      <c r="J5251">
        <v>8699.92</v>
      </c>
      <c r="K5251" t="s">
        <v>17</v>
      </c>
      <c r="L5251" t="b">
        <v>0</v>
      </c>
      <c r="N5251" s="2" t="str">
        <f t="shared" ref="N5251:N5314" si="475">IF(AND(E5251="IT",K5251="EXPENSE"),I5251&gt;J5251,"")</f>
        <v/>
      </c>
      <c r="Q5251" t="str">
        <f t="shared" si="472"/>
        <v/>
      </c>
    </row>
    <row r="5252" spans="1:17" hidden="1">
      <c r="A5252" t="s">
        <v>5357</v>
      </c>
      <c r="B5252" s="1">
        <v>45622</v>
      </c>
      <c r="C5252">
        <v>2024</v>
      </c>
      <c r="D5252">
        <v>11</v>
      </c>
      <c r="E5252" t="s">
        <v>23</v>
      </c>
      <c r="F5252" t="s">
        <v>14</v>
      </c>
      <c r="G5252" t="s">
        <v>59</v>
      </c>
      <c r="H5252" t="s">
        <v>155</v>
      </c>
      <c r="I5252">
        <v>5268.12</v>
      </c>
      <c r="J5252">
        <v>4817.46</v>
      </c>
      <c r="K5252" t="s">
        <v>17</v>
      </c>
      <c r="L5252" t="b">
        <v>0</v>
      </c>
      <c r="N5252" s="2" t="str">
        <f t="shared" si="475"/>
        <v/>
      </c>
      <c r="Q5252" t="str">
        <f t="shared" si="472"/>
        <v/>
      </c>
    </row>
    <row r="5253" spans="1:17" hidden="1">
      <c r="A5253" t="s">
        <v>5358</v>
      </c>
      <c r="B5253" s="1">
        <v>45622</v>
      </c>
      <c r="C5253">
        <v>2024</v>
      </c>
      <c r="D5253">
        <v>11</v>
      </c>
      <c r="E5253" t="s">
        <v>23</v>
      </c>
      <c r="F5253" t="s">
        <v>24</v>
      </c>
      <c r="G5253" t="s">
        <v>59</v>
      </c>
      <c r="H5253" t="s">
        <v>155</v>
      </c>
      <c r="I5253">
        <v>4428.7299999999996</v>
      </c>
      <c r="J5253">
        <v>4341.8599999999997</v>
      </c>
      <c r="K5253" t="s">
        <v>17</v>
      </c>
      <c r="L5253" t="b">
        <v>0</v>
      </c>
      <c r="N5253" s="2" t="str">
        <f t="shared" si="475"/>
        <v/>
      </c>
      <c r="Q5253" t="str">
        <f t="shared" si="472"/>
        <v/>
      </c>
    </row>
    <row r="5254" spans="1:17" hidden="1">
      <c r="A5254" t="s">
        <v>5359</v>
      </c>
      <c r="B5254" s="1">
        <v>45623</v>
      </c>
      <c r="C5254">
        <v>2024</v>
      </c>
      <c r="D5254">
        <v>11</v>
      </c>
      <c r="E5254" t="s">
        <v>13</v>
      </c>
      <c r="F5254" t="s">
        <v>14</v>
      </c>
      <c r="G5254" t="s">
        <v>15</v>
      </c>
      <c r="H5254" t="s">
        <v>16</v>
      </c>
      <c r="I5254">
        <v>4914.3100000000004</v>
      </c>
      <c r="J5254">
        <v>4500.3100000000004</v>
      </c>
      <c r="K5254" t="s">
        <v>17</v>
      </c>
      <c r="L5254" t="b">
        <v>0</v>
      </c>
      <c r="N5254" s="2" t="str">
        <f t="shared" si="475"/>
        <v/>
      </c>
      <c r="Q5254" t="str">
        <f t="shared" si="472"/>
        <v/>
      </c>
    </row>
    <row r="5255" spans="1:17" hidden="1">
      <c r="A5255" t="s">
        <v>5360</v>
      </c>
      <c r="B5255" s="1">
        <v>45623</v>
      </c>
      <c r="C5255">
        <v>2024</v>
      </c>
      <c r="D5255">
        <v>11</v>
      </c>
      <c r="E5255" t="s">
        <v>13</v>
      </c>
      <c r="F5255" t="s">
        <v>24</v>
      </c>
      <c r="G5255" t="s">
        <v>102</v>
      </c>
      <c r="H5255" t="s">
        <v>103</v>
      </c>
      <c r="I5255">
        <v>3535.51</v>
      </c>
      <c r="J5255">
        <v>3643.48</v>
      </c>
      <c r="K5255" t="s">
        <v>17</v>
      </c>
      <c r="L5255" t="b">
        <v>0</v>
      </c>
      <c r="N5255" s="2" t="str">
        <f t="shared" si="475"/>
        <v/>
      </c>
      <c r="Q5255" t="str">
        <f t="shared" si="472"/>
        <v/>
      </c>
    </row>
    <row r="5256" spans="1:17" hidden="1">
      <c r="A5256" t="s">
        <v>5361</v>
      </c>
      <c r="B5256" s="1">
        <v>45623</v>
      </c>
      <c r="C5256">
        <v>2024</v>
      </c>
      <c r="D5256">
        <v>11</v>
      </c>
      <c r="E5256" t="s">
        <v>47</v>
      </c>
      <c r="F5256" t="s">
        <v>14</v>
      </c>
      <c r="G5256" t="s">
        <v>77</v>
      </c>
      <c r="H5256" t="s">
        <v>78</v>
      </c>
      <c r="I5256">
        <v>6958.71</v>
      </c>
      <c r="J5256">
        <v>5939.55</v>
      </c>
      <c r="K5256" t="s">
        <v>17</v>
      </c>
      <c r="L5256" t="b">
        <v>0</v>
      </c>
      <c r="N5256" s="2" t="b">
        <f t="shared" si="475"/>
        <v>1</v>
      </c>
      <c r="O5256" t="str">
        <f>IF(AND(E5245="HR",K5245="EXPENSE"),I5245&lt;J5245,"")</f>
        <v/>
      </c>
      <c r="Q5256" t="str">
        <f t="shared" si="472"/>
        <v/>
      </c>
    </row>
    <row r="5257" spans="1:17" hidden="1">
      <c r="A5257" t="s">
        <v>5362</v>
      </c>
      <c r="B5257" s="1">
        <v>45623</v>
      </c>
      <c r="C5257">
        <v>2024</v>
      </c>
      <c r="D5257">
        <v>11</v>
      </c>
      <c r="E5257" t="s">
        <v>19</v>
      </c>
      <c r="F5257" t="s">
        <v>28</v>
      </c>
      <c r="G5257" t="s">
        <v>20</v>
      </c>
      <c r="H5257" t="s">
        <v>21</v>
      </c>
      <c r="I5257">
        <v>4533.66</v>
      </c>
      <c r="J5257">
        <v>4851.43</v>
      </c>
      <c r="K5257" t="s">
        <v>17</v>
      </c>
      <c r="L5257" t="b">
        <v>0</v>
      </c>
      <c r="N5257" s="2" t="str">
        <f t="shared" si="475"/>
        <v/>
      </c>
      <c r="Q5257" t="str">
        <f t="shared" si="472"/>
        <v/>
      </c>
    </row>
    <row r="5258" spans="1:17" hidden="1">
      <c r="A5258" t="s">
        <v>5363</v>
      </c>
      <c r="B5258" s="1">
        <v>45623</v>
      </c>
      <c r="C5258">
        <v>2024</v>
      </c>
      <c r="D5258">
        <v>11</v>
      </c>
      <c r="E5258" t="s">
        <v>19</v>
      </c>
      <c r="F5258" t="s">
        <v>28</v>
      </c>
      <c r="G5258" t="s">
        <v>20</v>
      </c>
      <c r="H5258" t="s">
        <v>174</v>
      </c>
      <c r="I5258">
        <v>7392.12</v>
      </c>
      <c r="J5258">
        <v>7448.06</v>
      </c>
      <c r="K5258" t="s">
        <v>17</v>
      </c>
      <c r="L5258" t="b">
        <v>0</v>
      </c>
      <c r="N5258" s="2" t="str">
        <f t="shared" si="475"/>
        <v/>
      </c>
      <c r="Q5258" t="str">
        <f t="shared" si="472"/>
        <v/>
      </c>
    </row>
    <row r="5259" spans="1:17" hidden="1">
      <c r="A5259" t="s">
        <v>5364</v>
      </c>
      <c r="B5259" s="1">
        <v>45623</v>
      </c>
      <c r="C5259">
        <v>2024</v>
      </c>
      <c r="D5259">
        <v>11</v>
      </c>
      <c r="E5259" t="s">
        <v>37</v>
      </c>
      <c r="F5259" t="s">
        <v>14</v>
      </c>
      <c r="G5259" t="s">
        <v>98</v>
      </c>
      <c r="H5259" t="s">
        <v>185</v>
      </c>
      <c r="I5259">
        <v>2189.38</v>
      </c>
      <c r="J5259">
        <v>2188.17</v>
      </c>
      <c r="K5259" t="s">
        <v>17</v>
      </c>
      <c r="L5259" t="b">
        <v>0</v>
      </c>
      <c r="N5259" s="2" t="str">
        <f t="shared" si="475"/>
        <v/>
      </c>
      <c r="Q5259" t="str">
        <f t="shared" si="472"/>
        <v/>
      </c>
    </row>
    <row r="5260" spans="1:17" hidden="1">
      <c r="A5260" t="s">
        <v>5365</v>
      </c>
      <c r="B5260" s="1">
        <v>45623</v>
      </c>
      <c r="C5260">
        <v>2024</v>
      </c>
      <c r="D5260">
        <v>11</v>
      </c>
      <c r="E5260" t="s">
        <v>37</v>
      </c>
      <c r="F5260" t="s">
        <v>14</v>
      </c>
      <c r="G5260" t="s">
        <v>41</v>
      </c>
      <c r="H5260" t="s">
        <v>42</v>
      </c>
      <c r="I5260">
        <v>7508.01</v>
      </c>
      <c r="J5260">
        <v>7677.47</v>
      </c>
      <c r="K5260" t="s">
        <v>17</v>
      </c>
      <c r="L5260" t="b">
        <v>0</v>
      </c>
      <c r="N5260" s="2" t="str">
        <f t="shared" si="475"/>
        <v/>
      </c>
      <c r="Q5260" t="str">
        <f t="shared" si="472"/>
        <v/>
      </c>
    </row>
    <row r="5261" spans="1:17" hidden="1">
      <c r="A5261" t="s">
        <v>5366</v>
      </c>
      <c r="B5261" s="1">
        <v>45623</v>
      </c>
      <c r="C5261">
        <v>2024</v>
      </c>
      <c r="D5261">
        <v>11</v>
      </c>
      <c r="E5261" t="s">
        <v>37</v>
      </c>
      <c r="F5261" t="s">
        <v>24</v>
      </c>
      <c r="G5261" t="s">
        <v>62</v>
      </c>
      <c r="H5261" t="s">
        <v>360</v>
      </c>
      <c r="I5261">
        <v>3791.2</v>
      </c>
      <c r="J5261">
        <v>4153</v>
      </c>
      <c r="K5261" t="s">
        <v>17</v>
      </c>
      <c r="L5261" t="b">
        <v>0</v>
      </c>
      <c r="N5261" s="2" t="str">
        <f t="shared" si="475"/>
        <v/>
      </c>
      <c r="Q5261" t="str">
        <f t="shared" si="472"/>
        <v/>
      </c>
    </row>
    <row r="5262" spans="1:17" hidden="1">
      <c r="A5262" t="s">
        <v>5367</v>
      </c>
      <c r="B5262" s="1">
        <v>45624</v>
      </c>
      <c r="C5262">
        <v>2024</v>
      </c>
      <c r="D5262">
        <v>11</v>
      </c>
      <c r="E5262" t="s">
        <v>13</v>
      </c>
      <c r="F5262" t="s">
        <v>14</v>
      </c>
      <c r="G5262" t="s">
        <v>68</v>
      </c>
      <c r="H5262" t="s">
        <v>69</v>
      </c>
      <c r="I5262">
        <v>4778.32</v>
      </c>
      <c r="J5262">
        <v>4456.88</v>
      </c>
      <c r="K5262" t="s">
        <v>17</v>
      </c>
      <c r="L5262" t="b">
        <v>0</v>
      </c>
      <c r="N5262" s="2" t="str">
        <f t="shared" si="475"/>
        <v/>
      </c>
      <c r="Q5262" t="str">
        <f t="shared" si="472"/>
        <v/>
      </c>
    </row>
    <row r="5263" spans="1:17" hidden="1">
      <c r="A5263" t="s">
        <v>5368</v>
      </c>
      <c r="B5263" s="1">
        <v>45624</v>
      </c>
      <c r="C5263">
        <v>2024</v>
      </c>
      <c r="D5263">
        <v>11</v>
      </c>
      <c r="E5263" t="s">
        <v>13</v>
      </c>
      <c r="F5263" t="s">
        <v>28</v>
      </c>
      <c r="G5263" t="s">
        <v>102</v>
      </c>
      <c r="H5263" t="s">
        <v>103</v>
      </c>
      <c r="I5263">
        <v>3668.71</v>
      </c>
      <c r="J5263">
        <v>4010.56</v>
      </c>
      <c r="K5263" t="s">
        <v>17</v>
      </c>
      <c r="L5263" t="b">
        <v>0</v>
      </c>
      <c r="N5263" s="2" t="str">
        <f t="shared" si="475"/>
        <v/>
      </c>
      <c r="Q5263" t="str">
        <f t="shared" si="472"/>
        <v/>
      </c>
    </row>
    <row r="5264" spans="1:17" hidden="1">
      <c r="A5264" t="s">
        <v>5369</v>
      </c>
      <c r="B5264" s="1">
        <v>45624</v>
      </c>
      <c r="C5264">
        <v>2024</v>
      </c>
      <c r="D5264">
        <v>11</v>
      </c>
      <c r="E5264" t="s">
        <v>47</v>
      </c>
      <c r="F5264" t="s">
        <v>14</v>
      </c>
      <c r="G5264" t="s">
        <v>77</v>
      </c>
      <c r="H5264" t="s">
        <v>130</v>
      </c>
      <c r="I5264">
        <v>9574.67</v>
      </c>
      <c r="J5264">
        <v>7893.68</v>
      </c>
      <c r="K5264" t="s">
        <v>17</v>
      </c>
      <c r="L5264" t="b">
        <v>0</v>
      </c>
      <c r="N5264" s="2" t="b">
        <f t="shared" si="475"/>
        <v>1</v>
      </c>
      <c r="O5264" t="str">
        <f t="shared" ref="O5264:O5266" si="476">IF(AND(E5253="HR",K5253="EXPENSE"),I5253&lt;J5253,"")</f>
        <v/>
      </c>
      <c r="Q5264" t="str">
        <f t="shared" si="472"/>
        <v/>
      </c>
    </row>
    <row r="5265" spans="1:17" hidden="1">
      <c r="A5265" t="s">
        <v>5370</v>
      </c>
      <c r="B5265" s="1">
        <v>45624</v>
      </c>
      <c r="C5265">
        <v>2024</v>
      </c>
      <c r="D5265">
        <v>11</v>
      </c>
      <c r="E5265" t="s">
        <v>47</v>
      </c>
      <c r="F5265" t="s">
        <v>24</v>
      </c>
      <c r="G5265" t="s">
        <v>77</v>
      </c>
      <c r="H5265" t="s">
        <v>130</v>
      </c>
      <c r="I5265">
        <v>13694.52</v>
      </c>
      <c r="J5265">
        <v>11729.4</v>
      </c>
      <c r="K5265" t="s">
        <v>17</v>
      </c>
      <c r="L5265" t="b">
        <v>0</v>
      </c>
      <c r="N5265" s="2" t="b">
        <f t="shared" si="475"/>
        <v>1</v>
      </c>
      <c r="O5265" t="b">
        <f t="shared" si="476"/>
        <v>0</v>
      </c>
      <c r="Q5265" t="str">
        <f t="shared" si="472"/>
        <v/>
      </c>
    </row>
    <row r="5266" spans="1:17" hidden="1">
      <c r="A5266" t="s">
        <v>5371</v>
      </c>
      <c r="B5266" s="1">
        <v>45624</v>
      </c>
      <c r="C5266">
        <v>2024</v>
      </c>
      <c r="D5266">
        <v>11</v>
      </c>
      <c r="E5266" t="s">
        <v>47</v>
      </c>
      <c r="F5266" t="s">
        <v>24</v>
      </c>
      <c r="G5266" t="s">
        <v>77</v>
      </c>
      <c r="H5266" t="s">
        <v>147</v>
      </c>
      <c r="I5266">
        <v>10495.04</v>
      </c>
      <c r="J5266">
        <v>9075.33</v>
      </c>
      <c r="K5266" t="s">
        <v>17</v>
      </c>
      <c r="L5266" t="b">
        <v>0</v>
      </c>
      <c r="N5266" s="2" t="b">
        <f t="shared" si="475"/>
        <v>1</v>
      </c>
      <c r="O5266" t="b">
        <f t="shared" si="476"/>
        <v>1</v>
      </c>
      <c r="Q5266" t="str">
        <f t="shared" si="472"/>
        <v/>
      </c>
    </row>
    <row r="5267" spans="1:17" hidden="1">
      <c r="A5267" t="s">
        <v>5372</v>
      </c>
      <c r="B5267" s="1">
        <v>45624</v>
      </c>
      <c r="C5267">
        <v>2024</v>
      </c>
      <c r="D5267">
        <v>11</v>
      </c>
      <c r="E5267" t="s">
        <v>19</v>
      </c>
      <c r="F5267" t="s">
        <v>14</v>
      </c>
      <c r="G5267" t="s">
        <v>80</v>
      </c>
      <c r="H5267" t="s">
        <v>113</v>
      </c>
      <c r="I5267">
        <v>5721.45</v>
      </c>
      <c r="J5267">
        <v>5611.89</v>
      </c>
      <c r="K5267" t="s">
        <v>17</v>
      </c>
      <c r="L5267" t="b">
        <v>0</v>
      </c>
      <c r="N5267" s="2" t="str">
        <f t="shared" si="475"/>
        <v/>
      </c>
      <c r="Q5267" t="str">
        <f t="shared" si="472"/>
        <v/>
      </c>
    </row>
    <row r="5268" spans="1:17" hidden="1">
      <c r="A5268" t="s">
        <v>5373</v>
      </c>
      <c r="B5268" s="1">
        <v>45624</v>
      </c>
      <c r="C5268">
        <v>2024</v>
      </c>
      <c r="D5268">
        <v>11</v>
      </c>
      <c r="E5268" t="s">
        <v>19</v>
      </c>
      <c r="F5268" t="s">
        <v>28</v>
      </c>
      <c r="G5268" t="s">
        <v>54</v>
      </c>
      <c r="H5268" t="s">
        <v>163</v>
      </c>
      <c r="I5268">
        <v>8259.91</v>
      </c>
      <c r="J5268">
        <v>8774.16</v>
      </c>
      <c r="K5268" t="s">
        <v>17</v>
      </c>
      <c r="L5268" t="b">
        <v>0</v>
      </c>
      <c r="N5268" s="2" t="str">
        <f t="shared" si="475"/>
        <v/>
      </c>
      <c r="Q5268" t="str">
        <f t="shared" si="472"/>
        <v/>
      </c>
    </row>
    <row r="5269" spans="1:17" hidden="1">
      <c r="A5269" t="s">
        <v>5374</v>
      </c>
      <c r="B5269" s="1">
        <v>45624</v>
      </c>
      <c r="C5269">
        <v>2024</v>
      </c>
      <c r="D5269">
        <v>11</v>
      </c>
      <c r="E5269" t="s">
        <v>19</v>
      </c>
      <c r="F5269" t="s">
        <v>28</v>
      </c>
      <c r="G5269" t="s">
        <v>132</v>
      </c>
      <c r="H5269" t="s">
        <v>138</v>
      </c>
      <c r="I5269">
        <v>9453.89</v>
      </c>
      <c r="J5269">
        <v>9273.6200000000008</v>
      </c>
      <c r="K5269" t="s">
        <v>17</v>
      </c>
      <c r="L5269" t="b">
        <v>0</v>
      </c>
      <c r="N5269" s="2" t="str">
        <f t="shared" si="475"/>
        <v/>
      </c>
      <c r="Q5269" t="str">
        <f t="shared" si="472"/>
        <v/>
      </c>
    </row>
    <row r="5270" spans="1:17" hidden="1">
      <c r="A5270" t="s">
        <v>5375</v>
      </c>
      <c r="B5270" s="1">
        <v>45624</v>
      </c>
      <c r="C5270">
        <v>2024</v>
      </c>
      <c r="D5270">
        <v>11</v>
      </c>
      <c r="E5270" t="s">
        <v>19</v>
      </c>
      <c r="F5270" t="s">
        <v>28</v>
      </c>
      <c r="G5270" t="s">
        <v>80</v>
      </c>
      <c r="H5270" t="s">
        <v>81</v>
      </c>
      <c r="I5270">
        <v>6859.78</v>
      </c>
      <c r="J5270">
        <v>7481.63</v>
      </c>
      <c r="K5270" t="s">
        <v>17</v>
      </c>
      <c r="L5270" t="b">
        <v>0</v>
      </c>
      <c r="N5270" s="2" t="str">
        <f t="shared" si="475"/>
        <v/>
      </c>
      <c r="Q5270" t="str">
        <f t="shared" si="472"/>
        <v/>
      </c>
    </row>
    <row r="5271" spans="1:17" hidden="1">
      <c r="A5271" t="s">
        <v>5376</v>
      </c>
      <c r="B5271" s="1">
        <v>45624</v>
      </c>
      <c r="C5271">
        <v>2024</v>
      </c>
      <c r="D5271">
        <v>11</v>
      </c>
      <c r="E5271" t="s">
        <v>19</v>
      </c>
      <c r="F5271" t="s">
        <v>24</v>
      </c>
      <c r="G5271" t="s">
        <v>20</v>
      </c>
      <c r="H5271" t="s">
        <v>136</v>
      </c>
      <c r="I5271">
        <v>2824.32</v>
      </c>
      <c r="J5271">
        <v>2921.56</v>
      </c>
      <c r="K5271" t="s">
        <v>17</v>
      </c>
      <c r="L5271" t="b">
        <v>0</v>
      </c>
      <c r="N5271" s="2" t="str">
        <f t="shared" si="475"/>
        <v/>
      </c>
      <c r="Q5271" t="str">
        <f t="shared" si="472"/>
        <v/>
      </c>
    </row>
    <row r="5272" spans="1:17" hidden="1">
      <c r="A5272" t="s">
        <v>5377</v>
      </c>
      <c r="B5272" s="1">
        <v>45624</v>
      </c>
      <c r="C5272">
        <v>2024</v>
      </c>
      <c r="D5272">
        <v>11</v>
      </c>
      <c r="E5272" t="s">
        <v>23</v>
      </c>
      <c r="F5272" t="s">
        <v>24</v>
      </c>
      <c r="G5272" t="s">
        <v>30</v>
      </c>
      <c r="H5272" t="s">
        <v>33</v>
      </c>
      <c r="I5272">
        <v>5199.8100000000004</v>
      </c>
      <c r="J5272">
        <v>4859.87</v>
      </c>
      <c r="K5272" t="s">
        <v>17</v>
      </c>
      <c r="L5272" t="b">
        <v>0</v>
      </c>
      <c r="N5272" s="2" t="str">
        <f t="shared" si="475"/>
        <v/>
      </c>
      <c r="Q5272" t="str">
        <f t="shared" si="472"/>
        <v/>
      </c>
    </row>
    <row r="5273" spans="1:17" hidden="1">
      <c r="A5273" t="s">
        <v>5378</v>
      </c>
      <c r="B5273" s="1">
        <v>45624</v>
      </c>
      <c r="C5273">
        <v>2024</v>
      </c>
      <c r="D5273">
        <v>11</v>
      </c>
      <c r="E5273" t="s">
        <v>37</v>
      </c>
      <c r="F5273" t="s">
        <v>28</v>
      </c>
      <c r="G5273" t="s">
        <v>38</v>
      </c>
      <c r="H5273" t="s">
        <v>39</v>
      </c>
      <c r="I5273">
        <v>5268.15</v>
      </c>
      <c r="J5273">
        <v>5208.93</v>
      </c>
      <c r="K5273" t="s">
        <v>17</v>
      </c>
      <c r="L5273" t="b">
        <v>0</v>
      </c>
      <c r="N5273" s="2" t="str">
        <f t="shared" si="475"/>
        <v/>
      </c>
      <c r="Q5273" t="str">
        <f t="shared" si="472"/>
        <v/>
      </c>
    </row>
    <row r="5274" spans="1:17" hidden="1">
      <c r="A5274" t="s">
        <v>5379</v>
      </c>
      <c r="B5274" s="1">
        <v>45624</v>
      </c>
      <c r="C5274">
        <v>2024</v>
      </c>
      <c r="D5274">
        <v>11</v>
      </c>
      <c r="E5274" t="s">
        <v>37</v>
      </c>
      <c r="F5274" t="s">
        <v>28</v>
      </c>
      <c r="G5274" t="s">
        <v>62</v>
      </c>
      <c r="H5274" t="s">
        <v>66</v>
      </c>
      <c r="I5274">
        <v>3897.12</v>
      </c>
      <c r="J5274">
        <v>4265.21</v>
      </c>
      <c r="K5274" t="s">
        <v>17</v>
      </c>
      <c r="L5274" t="b">
        <v>0</v>
      </c>
      <c r="N5274" s="2" t="str">
        <f t="shared" si="475"/>
        <v/>
      </c>
      <c r="Q5274" t="str">
        <f t="shared" si="472"/>
        <v/>
      </c>
    </row>
    <row r="5275" spans="1:17" hidden="1">
      <c r="A5275" t="s">
        <v>5380</v>
      </c>
      <c r="B5275" s="1">
        <v>45625</v>
      </c>
      <c r="C5275">
        <v>2024</v>
      </c>
      <c r="D5275">
        <v>11</v>
      </c>
      <c r="E5275" t="s">
        <v>13</v>
      </c>
      <c r="F5275" t="s">
        <v>24</v>
      </c>
      <c r="G5275" t="s">
        <v>15</v>
      </c>
      <c r="H5275" t="s">
        <v>89</v>
      </c>
      <c r="I5275">
        <v>3459.17</v>
      </c>
      <c r="J5275">
        <v>3234.68</v>
      </c>
      <c r="K5275" t="s">
        <v>17</v>
      </c>
      <c r="L5275" t="b">
        <v>0</v>
      </c>
      <c r="N5275" s="2" t="str">
        <f t="shared" si="475"/>
        <v/>
      </c>
      <c r="Q5275" t="str">
        <f t="shared" si="472"/>
        <v/>
      </c>
    </row>
    <row r="5276" spans="1:17" hidden="1">
      <c r="A5276" t="s">
        <v>5381</v>
      </c>
      <c r="B5276" s="1">
        <v>45625</v>
      </c>
      <c r="C5276">
        <v>2024</v>
      </c>
      <c r="D5276">
        <v>11</v>
      </c>
      <c r="E5276" t="s">
        <v>13</v>
      </c>
      <c r="F5276" t="s">
        <v>24</v>
      </c>
      <c r="G5276" t="s">
        <v>68</v>
      </c>
      <c r="H5276" t="s">
        <v>213</v>
      </c>
      <c r="I5276">
        <v>6347.36</v>
      </c>
      <c r="J5276">
        <v>5890.06</v>
      </c>
      <c r="K5276" t="s">
        <v>17</v>
      </c>
      <c r="L5276" t="b">
        <v>0</v>
      </c>
      <c r="N5276" s="2" t="str">
        <f t="shared" si="475"/>
        <v/>
      </c>
      <c r="Q5276" t="str">
        <f t="shared" si="472"/>
        <v/>
      </c>
    </row>
    <row r="5277" spans="1:17" hidden="1">
      <c r="A5277" t="s">
        <v>5382</v>
      </c>
      <c r="B5277" s="1">
        <v>45625</v>
      </c>
      <c r="C5277">
        <v>2024</v>
      </c>
      <c r="D5277">
        <v>11</v>
      </c>
      <c r="E5277" t="s">
        <v>47</v>
      </c>
      <c r="F5277" t="s">
        <v>14</v>
      </c>
      <c r="G5277" t="s">
        <v>48</v>
      </c>
      <c r="H5277" t="s">
        <v>75</v>
      </c>
      <c r="I5277">
        <v>14211.1</v>
      </c>
      <c r="J5277">
        <v>11903.25</v>
      </c>
      <c r="K5277" t="s">
        <v>17</v>
      </c>
      <c r="L5277" t="b">
        <v>0</v>
      </c>
      <c r="N5277" s="2" t="b">
        <f t="shared" si="475"/>
        <v>1</v>
      </c>
      <c r="O5277" t="str">
        <f t="shared" ref="O5277:O5280" si="477">IF(AND(E5266="HR",K5266="EXPENSE"),I5266&lt;J5266,"")</f>
        <v/>
      </c>
      <c r="Q5277" t="str">
        <f t="shared" si="472"/>
        <v/>
      </c>
    </row>
    <row r="5278" spans="1:17" hidden="1">
      <c r="A5278" t="s">
        <v>5383</v>
      </c>
      <c r="B5278" s="1">
        <v>45625</v>
      </c>
      <c r="C5278">
        <v>2024</v>
      </c>
      <c r="D5278">
        <v>11</v>
      </c>
      <c r="E5278" t="s">
        <v>47</v>
      </c>
      <c r="F5278" t="s">
        <v>28</v>
      </c>
      <c r="G5278" t="s">
        <v>51</v>
      </c>
      <c r="H5278" t="s">
        <v>52</v>
      </c>
      <c r="I5278">
        <v>10119.4</v>
      </c>
      <c r="J5278">
        <v>8742.06</v>
      </c>
      <c r="K5278" t="s">
        <v>17</v>
      </c>
      <c r="L5278" t="b">
        <v>0</v>
      </c>
      <c r="N5278" s="2" t="b">
        <f t="shared" si="475"/>
        <v>1</v>
      </c>
      <c r="O5278" t="str">
        <f t="shared" si="477"/>
        <v/>
      </c>
      <c r="Q5278" t="str">
        <f t="shared" si="472"/>
        <v/>
      </c>
    </row>
    <row r="5279" spans="1:17" hidden="1">
      <c r="A5279" t="s">
        <v>5384</v>
      </c>
      <c r="B5279" s="1">
        <v>45625</v>
      </c>
      <c r="C5279">
        <v>2024</v>
      </c>
      <c r="D5279">
        <v>11</v>
      </c>
      <c r="E5279" t="s">
        <v>47</v>
      </c>
      <c r="F5279" t="s">
        <v>24</v>
      </c>
      <c r="G5279" t="s">
        <v>48</v>
      </c>
      <c r="H5279" t="s">
        <v>191</v>
      </c>
      <c r="I5279">
        <v>10567.41</v>
      </c>
      <c r="J5279">
        <v>8835.2999999999993</v>
      </c>
      <c r="K5279" t="s">
        <v>17</v>
      </c>
      <c r="L5279" t="b">
        <v>0</v>
      </c>
      <c r="N5279" s="2" t="b">
        <f t="shared" si="475"/>
        <v>1</v>
      </c>
      <c r="O5279" t="str">
        <f t="shared" si="477"/>
        <v/>
      </c>
      <c r="Q5279" t="str">
        <f t="shared" si="472"/>
        <v/>
      </c>
    </row>
    <row r="5280" spans="1:17" hidden="1">
      <c r="A5280" t="s">
        <v>5385</v>
      </c>
      <c r="B5280" s="1">
        <v>45625</v>
      </c>
      <c r="C5280">
        <v>2024</v>
      </c>
      <c r="D5280">
        <v>11</v>
      </c>
      <c r="E5280" t="s">
        <v>47</v>
      </c>
      <c r="F5280" t="s">
        <v>24</v>
      </c>
      <c r="G5280" t="s">
        <v>77</v>
      </c>
      <c r="H5280" t="s">
        <v>130</v>
      </c>
      <c r="I5280">
        <v>11265.61</v>
      </c>
      <c r="J5280">
        <v>9663.25</v>
      </c>
      <c r="K5280" t="s">
        <v>17</v>
      </c>
      <c r="L5280" t="b">
        <v>0</v>
      </c>
      <c r="N5280" s="2" t="b">
        <f t="shared" si="475"/>
        <v>1</v>
      </c>
      <c r="O5280" t="str">
        <f t="shared" si="477"/>
        <v/>
      </c>
      <c r="Q5280" t="str">
        <f t="shared" si="472"/>
        <v/>
      </c>
    </row>
    <row r="5281" spans="1:17">
      <c r="A5281" t="s">
        <v>5386</v>
      </c>
      <c r="B5281" s="1">
        <v>45625</v>
      </c>
      <c r="C5281">
        <v>2024</v>
      </c>
      <c r="D5281">
        <v>11</v>
      </c>
      <c r="E5281" t="s">
        <v>19</v>
      </c>
      <c r="F5281" t="s">
        <v>14</v>
      </c>
      <c r="G5281" t="s">
        <v>54</v>
      </c>
      <c r="H5281" t="s">
        <v>322</v>
      </c>
      <c r="I5281">
        <v>17261.13</v>
      </c>
      <c r="J5281">
        <v>5155.1899999999996</v>
      </c>
      <c r="K5281" t="s">
        <v>17</v>
      </c>
      <c r="L5281" t="b">
        <v>1</v>
      </c>
      <c r="N5281" s="2" t="str">
        <f t="shared" si="475"/>
        <v/>
      </c>
      <c r="Q5281" t="b">
        <f t="shared" si="472"/>
        <v>1</v>
      </c>
    </row>
    <row r="5282" spans="1:17" hidden="1">
      <c r="A5282" t="s">
        <v>5387</v>
      </c>
      <c r="B5282" s="1">
        <v>45625</v>
      </c>
      <c r="C5282">
        <v>2024</v>
      </c>
      <c r="D5282">
        <v>11</v>
      </c>
      <c r="E5282" t="s">
        <v>19</v>
      </c>
      <c r="F5282" t="s">
        <v>14</v>
      </c>
      <c r="G5282" t="s">
        <v>132</v>
      </c>
      <c r="H5282" t="s">
        <v>133</v>
      </c>
      <c r="I5282">
        <v>5464.5</v>
      </c>
      <c r="J5282">
        <v>5889.79</v>
      </c>
      <c r="K5282" t="s">
        <v>17</v>
      </c>
      <c r="L5282" t="b">
        <v>0</v>
      </c>
      <c r="N5282" s="2" t="str">
        <f t="shared" si="475"/>
        <v/>
      </c>
      <c r="Q5282" t="str">
        <f t="shared" si="472"/>
        <v/>
      </c>
    </row>
    <row r="5283" spans="1:17" hidden="1">
      <c r="A5283" t="s">
        <v>5388</v>
      </c>
      <c r="B5283" s="1">
        <v>45625</v>
      </c>
      <c r="C5283">
        <v>2024</v>
      </c>
      <c r="D5283">
        <v>11</v>
      </c>
      <c r="E5283" t="s">
        <v>19</v>
      </c>
      <c r="F5283" t="s">
        <v>24</v>
      </c>
      <c r="G5283" t="s">
        <v>80</v>
      </c>
      <c r="H5283" t="s">
        <v>113</v>
      </c>
      <c r="I5283">
        <v>4836.29</v>
      </c>
      <c r="J5283">
        <v>4828.17</v>
      </c>
      <c r="K5283" t="s">
        <v>17</v>
      </c>
      <c r="L5283" t="b">
        <v>0</v>
      </c>
      <c r="N5283" s="2" t="str">
        <f t="shared" si="475"/>
        <v/>
      </c>
      <c r="Q5283" t="str">
        <f t="shared" si="472"/>
        <v/>
      </c>
    </row>
    <row r="5284" spans="1:17" hidden="1">
      <c r="A5284" t="s">
        <v>5389</v>
      </c>
      <c r="B5284" s="1">
        <v>45625</v>
      </c>
      <c r="C5284">
        <v>2024</v>
      </c>
      <c r="D5284">
        <v>11</v>
      </c>
      <c r="E5284" t="s">
        <v>23</v>
      </c>
      <c r="F5284" t="s">
        <v>14</v>
      </c>
      <c r="G5284" t="s">
        <v>59</v>
      </c>
      <c r="H5284" t="s">
        <v>60</v>
      </c>
      <c r="I5284">
        <v>4293.3900000000003</v>
      </c>
      <c r="J5284">
        <v>4281.03</v>
      </c>
      <c r="K5284" t="s">
        <v>17</v>
      </c>
      <c r="L5284" t="b">
        <v>0</v>
      </c>
      <c r="N5284" s="2" t="str">
        <f t="shared" si="475"/>
        <v/>
      </c>
      <c r="Q5284" t="str">
        <f t="shared" si="472"/>
        <v/>
      </c>
    </row>
    <row r="5285" spans="1:17" hidden="1">
      <c r="A5285" t="s">
        <v>5390</v>
      </c>
      <c r="B5285" s="1">
        <v>45625</v>
      </c>
      <c r="C5285">
        <v>2024</v>
      </c>
      <c r="D5285">
        <v>11</v>
      </c>
      <c r="E5285" t="s">
        <v>23</v>
      </c>
      <c r="F5285" t="s">
        <v>24</v>
      </c>
      <c r="G5285" t="s">
        <v>59</v>
      </c>
      <c r="H5285" t="s">
        <v>155</v>
      </c>
      <c r="I5285">
        <v>6880.08</v>
      </c>
      <c r="J5285">
        <v>6399.49</v>
      </c>
      <c r="K5285" t="s">
        <v>17</v>
      </c>
      <c r="L5285" t="b">
        <v>0</v>
      </c>
      <c r="N5285" s="2" t="str">
        <f t="shared" si="475"/>
        <v/>
      </c>
      <c r="Q5285" t="str">
        <f t="shared" si="472"/>
        <v/>
      </c>
    </row>
    <row r="5286" spans="1:17" hidden="1">
      <c r="A5286" t="s">
        <v>5391</v>
      </c>
      <c r="B5286" s="1">
        <v>45625</v>
      </c>
      <c r="C5286">
        <v>2024</v>
      </c>
      <c r="D5286">
        <v>11</v>
      </c>
      <c r="E5286" t="s">
        <v>37</v>
      </c>
      <c r="F5286" t="s">
        <v>14</v>
      </c>
      <c r="G5286" t="s">
        <v>38</v>
      </c>
      <c r="H5286" t="s">
        <v>39</v>
      </c>
      <c r="I5286">
        <v>4818.71</v>
      </c>
      <c r="J5286">
        <v>4475.21</v>
      </c>
      <c r="K5286" t="s">
        <v>17</v>
      </c>
      <c r="L5286" t="b">
        <v>0</v>
      </c>
      <c r="N5286" s="2" t="str">
        <f t="shared" si="475"/>
        <v/>
      </c>
      <c r="Q5286" t="str">
        <f t="shared" si="472"/>
        <v/>
      </c>
    </row>
    <row r="5287" spans="1:17" hidden="1">
      <c r="A5287" t="s">
        <v>5392</v>
      </c>
      <c r="B5287" s="1">
        <v>45625</v>
      </c>
      <c r="C5287">
        <v>2024</v>
      </c>
      <c r="D5287">
        <v>11</v>
      </c>
      <c r="E5287" t="s">
        <v>37</v>
      </c>
      <c r="F5287" t="s">
        <v>14</v>
      </c>
      <c r="G5287" t="s">
        <v>62</v>
      </c>
      <c r="H5287" t="s">
        <v>121</v>
      </c>
      <c r="I5287">
        <v>6685.87</v>
      </c>
      <c r="J5287">
        <v>6928.96</v>
      </c>
      <c r="K5287" t="s">
        <v>17</v>
      </c>
      <c r="L5287" t="b">
        <v>0</v>
      </c>
      <c r="N5287" s="2" t="str">
        <f t="shared" si="475"/>
        <v/>
      </c>
      <c r="Q5287" t="str">
        <f t="shared" si="472"/>
        <v/>
      </c>
    </row>
    <row r="5288" spans="1:17" hidden="1">
      <c r="A5288" t="s">
        <v>5393</v>
      </c>
      <c r="B5288" s="1">
        <v>45626</v>
      </c>
      <c r="C5288">
        <v>2024</v>
      </c>
      <c r="D5288">
        <v>11</v>
      </c>
      <c r="E5288" t="s">
        <v>13</v>
      </c>
      <c r="F5288" t="s">
        <v>14</v>
      </c>
      <c r="G5288" t="s">
        <v>68</v>
      </c>
      <c r="H5288" t="s">
        <v>69</v>
      </c>
      <c r="I5288">
        <v>4679.3900000000003</v>
      </c>
      <c r="J5288">
        <v>4444.3900000000003</v>
      </c>
      <c r="K5288" t="s">
        <v>17</v>
      </c>
      <c r="L5288" t="b">
        <v>0</v>
      </c>
      <c r="N5288" s="2" t="str">
        <f t="shared" si="475"/>
        <v/>
      </c>
      <c r="Q5288" t="str">
        <f t="shared" si="472"/>
        <v/>
      </c>
    </row>
    <row r="5289" spans="1:17" hidden="1">
      <c r="A5289" t="s">
        <v>5394</v>
      </c>
      <c r="B5289" s="1">
        <v>45626</v>
      </c>
      <c r="C5289">
        <v>2024</v>
      </c>
      <c r="D5289">
        <v>11</v>
      </c>
      <c r="E5289" t="s">
        <v>13</v>
      </c>
      <c r="F5289" t="s">
        <v>28</v>
      </c>
      <c r="G5289" t="s">
        <v>102</v>
      </c>
      <c r="H5289" t="s">
        <v>103</v>
      </c>
      <c r="I5289">
        <v>4413.41</v>
      </c>
      <c r="J5289">
        <v>4761.7700000000004</v>
      </c>
      <c r="K5289" t="s">
        <v>17</v>
      </c>
      <c r="L5289" t="b">
        <v>0</v>
      </c>
      <c r="N5289" s="2" t="str">
        <f t="shared" si="475"/>
        <v/>
      </c>
      <c r="Q5289" t="str">
        <f t="shared" si="472"/>
        <v/>
      </c>
    </row>
    <row r="5290" spans="1:17" hidden="1">
      <c r="A5290" t="s">
        <v>5395</v>
      </c>
      <c r="B5290" s="1">
        <v>45626</v>
      </c>
      <c r="C5290">
        <v>2024</v>
      </c>
      <c r="D5290">
        <v>11</v>
      </c>
      <c r="E5290" t="s">
        <v>47</v>
      </c>
      <c r="F5290" t="s">
        <v>28</v>
      </c>
      <c r="G5290" t="s">
        <v>51</v>
      </c>
      <c r="H5290" t="s">
        <v>189</v>
      </c>
      <c r="I5290">
        <v>14468.76</v>
      </c>
      <c r="J5290">
        <v>11948.93</v>
      </c>
      <c r="K5290" t="s">
        <v>17</v>
      </c>
      <c r="L5290" t="b">
        <v>0</v>
      </c>
      <c r="N5290" s="2" t="b">
        <f t="shared" si="475"/>
        <v>1</v>
      </c>
      <c r="O5290" t="str">
        <f>IF(AND(E5279="HR",K5279="EXPENSE"),I5279&lt;J5279,"")</f>
        <v/>
      </c>
      <c r="Q5290" t="str">
        <f t="shared" si="472"/>
        <v/>
      </c>
    </row>
    <row r="5291" spans="1:17" hidden="1">
      <c r="A5291" t="s">
        <v>5396</v>
      </c>
      <c r="B5291" s="1">
        <v>45626</v>
      </c>
      <c r="C5291">
        <v>2024</v>
      </c>
      <c r="D5291">
        <v>11</v>
      </c>
      <c r="E5291" t="s">
        <v>19</v>
      </c>
      <c r="F5291" t="s">
        <v>24</v>
      </c>
      <c r="G5291" t="s">
        <v>132</v>
      </c>
      <c r="H5291" t="s">
        <v>138</v>
      </c>
      <c r="I5291">
        <v>5788.61</v>
      </c>
      <c r="J5291">
        <v>5364.38</v>
      </c>
      <c r="K5291" t="s">
        <v>17</v>
      </c>
      <c r="L5291" t="b">
        <v>0</v>
      </c>
      <c r="N5291" s="2" t="str">
        <f t="shared" si="475"/>
        <v/>
      </c>
      <c r="Q5291" t="str">
        <f t="shared" si="472"/>
        <v/>
      </c>
    </row>
    <row r="5292" spans="1:17" hidden="1">
      <c r="A5292" t="s">
        <v>5397</v>
      </c>
      <c r="B5292" s="1">
        <v>45626</v>
      </c>
      <c r="C5292">
        <v>2024</v>
      </c>
      <c r="D5292">
        <v>11</v>
      </c>
      <c r="E5292" t="s">
        <v>23</v>
      </c>
      <c r="F5292" t="s">
        <v>14</v>
      </c>
      <c r="G5292" t="s">
        <v>141</v>
      </c>
      <c r="H5292" t="s">
        <v>209</v>
      </c>
      <c r="I5292">
        <v>6175.6</v>
      </c>
      <c r="J5292">
        <v>6062.29</v>
      </c>
      <c r="K5292" t="s">
        <v>17</v>
      </c>
      <c r="L5292" t="b">
        <v>0</v>
      </c>
      <c r="N5292" s="2" t="str">
        <f t="shared" si="475"/>
        <v/>
      </c>
      <c r="Q5292" t="str">
        <f t="shared" si="472"/>
        <v/>
      </c>
    </row>
    <row r="5293" spans="1:17" hidden="1">
      <c r="A5293" t="s">
        <v>5398</v>
      </c>
      <c r="B5293" s="1">
        <v>45627</v>
      </c>
      <c r="C5293">
        <v>2024</v>
      </c>
      <c r="D5293">
        <v>12</v>
      </c>
      <c r="E5293" t="s">
        <v>13</v>
      </c>
      <c r="F5293" t="s">
        <v>14</v>
      </c>
      <c r="G5293" t="s">
        <v>108</v>
      </c>
      <c r="H5293" t="s">
        <v>126</v>
      </c>
      <c r="I5293">
        <v>3416.26</v>
      </c>
      <c r="J5293">
        <v>3175.99</v>
      </c>
      <c r="K5293" t="s">
        <v>17</v>
      </c>
      <c r="L5293" t="b">
        <v>0</v>
      </c>
      <c r="N5293" s="2" t="str">
        <f t="shared" si="475"/>
        <v/>
      </c>
      <c r="Q5293" t="str">
        <f t="shared" si="472"/>
        <v/>
      </c>
    </row>
    <row r="5294" spans="1:17" hidden="1">
      <c r="A5294" t="s">
        <v>5399</v>
      </c>
      <c r="B5294" s="1">
        <v>45627</v>
      </c>
      <c r="C5294">
        <v>2024</v>
      </c>
      <c r="D5294">
        <v>12</v>
      </c>
      <c r="E5294" t="s">
        <v>47</v>
      </c>
      <c r="F5294" t="s">
        <v>24</v>
      </c>
      <c r="G5294" t="s">
        <v>48</v>
      </c>
      <c r="H5294" t="s">
        <v>111</v>
      </c>
      <c r="I5294">
        <v>18430.84</v>
      </c>
      <c r="J5294">
        <v>15694.94</v>
      </c>
      <c r="K5294" t="s">
        <v>17</v>
      </c>
      <c r="L5294" t="b">
        <v>0</v>
      </c>
      <c r="N5294" s="2" t="b">
        <f t="shared" si="475"/>
        <v>1</v>
      </c>
      <c r="O5294" t="str">
        <f>IF(AND(E5283="HR",K5283="EXPENSE"),I5283&lt;J5283,"")</f>
        <v/>
      </c>
      <c r="Q5294" t="str">
        <f t="shared" si="472"/>
        <v/>
      </c>
    </row>
    <row r="5295" spans="1:17">
      <c r="A5295" t="s">
        <v>5400</v>
      </c>
      <c r="B5295" s="1">
        <v>45627</v>
      </c>
      <c r="C5295">
        <v>2024</v>
      </c>
      <c r="D5295">
        <v>12</v>
      </c>
      <c r="E5295" t="s">
        <v>19</v>
      </c>
      <c r="F5295" t="s">
        <v>14</v>
      </c>
      <c r="G5295" t="s">
        <v>54</v>
      </c>
      <c r="H5295" t="s">
        <v>651</v>
      </c>
      <c r="I5295">
        <v>34821.96</v>
      </c>
      <c r="J5295">
        <v>6773.87</v>
      </c>
      <c r="K5295" t="s">
        <v>17</v>
      </c>
      <c r="L5295" t="b">
        <v>1</v>
      </c>
      <c r="N5295" s="2" t="str">
        <f t="shared" si="475"/>
        <v/>
      </c>
      <c r="Q5295" t="b">
        <f t="shared" si="472"/>
        <v>1</v>
      </c>
    </row>
    <row r="5296" spans="1:17" hidden="1">
      <c r="A5296" t="s">
        <v>5401</v>
      </c>
      <c r="B5296" s="1">
        <v>45627</v>
      </c>
      <c r="C5296">
        <v>2024</v>
      </c>
      <c r="D5296">
        <v>12</v>
      </c>
      <c r="E5296" t="s">
        <v>23</v>
      </c>
      <c r="F5296" t="s">
        <v>28</v>
      </c>
      <c r="G5296" t="s">
        <v>59</v>
      </c>
      <c r="H5296" t="s">
        <v>155</v>
      </c>
      <c r="I5296">
        <v>4361.6899999999996</v>
      </c>
      <c r="J5296">
        <v>4382.6899999999996</v>
      </c>
      <c r="K5296" t="s">
        <v>17</v>
      </c>
      <c r="L5296" t="b">
        <v>0</v>
      </c>
      <c r="N5296" s="2" t="str">
        <f t="shared" si="475"/>
        <v/>
      </c>
      <c r="Q5296" t="str">
        <f t="shared" ref="Q5296:Q5359" si="478">IF(L5296=TRUE,OR(H5296="Apex Solutions Inc",H5296="Global Trade Partners",H5296="NovaTech Services"),"")</f>
        <v/>
      </c>
    </row>
    <row r="5297" spans="1:17" hidden="1">
      <c r="A5297" t="s">
        <v>5402</v>
      </c>
      <c r="B5297" s="1">
        <v>45627</v>
      </c>
      <c r="C5297">
        <v>2024</v>
      </c>
      <c r="D5297">
        <v>12</v>
      </c>
      <c r="E5297" t="s">
        <v>23</v>
      </c>
      <c r="F5297" t="s">
        <v>24</v>
      </c>
      <c r="G5297" t="s">
        <v>141</v>
      </c>
      <c r="H5297" t="s">
        <v>153</v>
      </c>
      <c r="I5297">
        <v>4815.8999999999996</v>
      </c>
      <c r="J5297">
        <v>4651.25</v>
      </c>
      <c r="K5297" t="s">
        <v>17</v>
      </c>
      <c r="L5297" t="b">
        <v>0</v>
      </c>
      <c r="N5297" s="2" t="str">
        <f t="shared" si="475"/>
        <v/>
      </c>
      <c r="Q5297" t="str">
        <f t="shared" si="478"/>
        <v/>
      </c>
    </row>
    <row r="5298" spans="1:17" hidden="1">
      <c r="A5298" t="s">
        <v>5403</v>
      </c>
      <c r="B5298" s="1">
        <v>45628</v>
      </c>
      <c r="C5298">
        <v>2024</v>
      </c>
      <c r="D5298">
        <v>12</v>
      </c>
      <c r="E5298" t="s">
        <v>23</v>
      </c>
      <c r="F5298" t="s">
        <v>28</v>
      </c>
      <c r="G5298" t="s">
        <v>141</v>
      </c>
      <c r="H5298" t="s">
        <v>209</v>
      </c>
      <c r="I5298">
        <v>5420.34</v>
      </c>
      <c r="J5298">
        <v>5561.93</v>
      </c>
      <c r="K5298" t="s">
        <v>17</v>
      </c>
      <c r="L5298" t="b">
        <v>0</v>
      </c>
      <c r="N5298" s="2" t="str">
        <f t="shared" si="475"/>
        <v/>
      </c>
      <c r="Q5298" t="str">
        <f t="shared" si="478"/>
        <v/>
      </c>
    </row>
    <row r="5299" spans="1:17" hidden="1">
      <c r="A5299" t="s">
        <v>5404</v>
      </c>
      <c r="B5299" s="1">
        <v>45628</v>
      </c>
      <c r="C5299">
        <v>2024</v>
      </c>
      <c r="D5299">
        <v>12</v>
      </c>
      <c r="E5299" t="s">
        <v>23</v>
      </c>
      <c r="F5299" t="s">
        <v>24</v>
      </c>
      <c r="G5299" t="s">
        <v>141</v>
      </c>
      <c r="H5299" t="s">
        <v>209</v>
      </c>
      <c r="I5299">
        <v>5817.51</v>
      </c>
      <c r="J5299">
        <v>5720.51</v>
      </c>
      <c r="K5299" t="s">
        <v>17</v>
      </c>
      <c r="L5299" t="b">
        <v>0</v>
      </c>
      <c r="N5299" s="2" t="str">
        <f t="shared" si="475"/>
        <v/>
      </c>
      <c r="Q5299" t="str">
        <f t="shared" si="478"/>
        <v/>
      </c>
    </row>
    <row r="5300" spans="1:17" hidden="1">
      <c r="A5300" t="s">
        <v>5405</v>
      </c>
      <c r="B5300" s="1">
        <v>45628</v>
      </c>
      <c r="C5300">
        <v>2024</v>
      </c>
      <c r="D5300">
        <v>12</v>
      </c>
      <c r="E5300" t="s">
        <v>37</v>
      </c>
      <c r="F5300" t="s">
        <v>14</v>
      </c>
      <c r="G5300" t="s">
        <v>38</v>
      </c>
      <c r="H5300" t="s">
        <v>118</v>
      </c>
      <c r="I5300">
        <v>5119.72</v>
      </c>
      <c r="J5300">
        <v>5005.8500000000004</v>
      </c>
      <c r="K5300" t="s">
        <v>17</v>
      </c>
      <c r="L5300" t="b">
        <v>0</v>
      </c>
      <c r="N5300" s="2" t="str">
        <f t="shared" si="475"/>
        <v/>
      </c>
      <c r="Q5300" t="str">
        <f t="shared" si="478"/>
        <v/>
      </c>
    </row>
    <row r="5301" spans="1:17" hidden="1">
      <c r="A5301" t="s">
        <v>5406</v>
      </c>
      <c r="B5301" s="1">
        <v>45628</v>
      </c>
      <c r="C5301">
        <v>2024</v>
      </c>
      <c r="D5301">
        <v>12</v>
      </c>
      <c r="E5301" t="s">
        <v>37</v>
      </c>
      <c r="F5301" t="s">
        <v>28</v>
      </c>
      <c r="G5301" t="s">
        <v>38</v>
      </c>
      <c r="H5301" t="s">
        <v>39</v>
      </c>
      <c r="I5301">
        <v>5250.84</v>
      </c>
      <c r="J5301">
        <v>5687.7</v>
      </c>
      <c r="K5301" t="s">
        <v>17</v>
      </c>
      <c r="L5301" t="b">
        <v>0</v>
      </c>
      <c r="N5301" s="2" t="str">
        <f t="shared" si="475"/>
        <v/>
      </c>
      <c r="Q5301" t="str">
        <f t="shared" si="478"/>
        <v/>
      </c>
    </row>
    <row r="5302" spans="1:17" hidden="1">
      <c r="A5302" t="s">
        <v>5407</v>
      </c>
      <c r="B5302" s="1">
        <v>45628</v>
      </c>
      <c r="C5302">
        <v>2024</v>
      </c>
      <c r="D5302">
        <v>12</v>
      </c>
      <c r="E5302" t="s">
        <v>37</v>
      </c>
      <c r="F5302" t="s">
        <v>28</v>
      </c>
      <c r="G5302" t="s">
        <v>83</v>
      </c>
      <c r="H5302" t="s">
        <v>84</v>
      </c>
      <c r="I5302">
        <v>264129.65000000002</v>
      </c>
      <c r="J5302">
        <v>250923.16</v>
      </c>
      <c r="K5302" t="s">
        <v>85</v>
      </c>
      <c r="L5302" t="b">
        <v>0</v>
      </c>
      <c r="N5302" s="2" t="str">
        <f t="shared" si="475"/>
        <v/>
      </c>
      <c r="Q5302" t="str">
        <f t="shared" si="478"/>
        <v/>
      </c>
    </row>
    <row r="5303" spans="1:17" hidden="1">
      <c r="A5303" t="s">
        <v>5408</v>
      </c>
      <c r="B5303" s="1">
        <v>45629</v>
      </c>
      <c r="C5303">
        <v>2024</v>
      </c>
      <c r="D5303">
        <v>12</v>
      </c>
      <c r="E5303" t="s">
        <v>13</v>
      </c>
      <c r="F5303" t="s">
        <v>28</v>
      </c>
      <c r="G5303" t="s">
        <v>68</v>
      </c>
      <c r="H5303" t="s">
        <v>213</v>
      </c>
      <c r="I5303">
        <v>6183.49</v>
      </c>
      <c r="J5303">
        <v>5673.26</v>
      </c>
      <c r="K5303" t="s">
        <v>17</v>
      </c>
      <c r="L5303" t="b">
        <v>0</v>
      </c>
      <c r="N5303" s="2" t="str">
        <f t="shared" si="475"/>
        <v/>
      </c>
      <c r="Q5303" t="str">
        <f t="shared" si="478"/>
        <v/>
      </c>
    </row>
    <row r="5304" spans="1:17" hidden="1">
      <c r="A5304" t="s">
        <v>5409</v>
      </c>
      <c r="B5304" s="1">
        <v>45629</v>
      </c>
      <c r="C5304">
        <v>2024</v>
      </c>
      <c r="D5304">
        <v>12</v>
      </c>
      <c r="E5304" t="s">
        <v>47</v>
      </c>
      <c r="F5304" t="s">
        <v>28</v>
      </c>
      <c r="G5304" t="s">
        <v>48</v>
      </c>
      <c r="H5304" t="s">
        <v>111</v>
      </c>
      <c r="I5304">
        <v>22914.6</v>
      </c>
      <c r="J5304">
        <v>19847.96</v>
      </c>
      <c r="K5304" t="s">
        <v>17</v>
      </c>
      <c r="L5304" t="b">
        <v>0</v>
      </c>
      <c r="N5304" s="2" t="b">
        <f t="shared" si="475"/>
        <v>1</v>
      </c>
      <c r="O5304" t="b">
        <f>IF(AND(E5293="HR",K5293="EXPENSE"),I5293&lt;J5293,"")</f>
        <v>0</v>
      </c>
      <c r="Q5304" t="str">
        <f t="shared" si="478"/>
        <v/>
      </c>
    </row>
    <row r="5305" spans="1:17" hidden="1">
      <c r="A5305" t="s">
        <v>5410</v>
      </c>
      <c r="B5305" s="1">
        <v>45629</v>
      </c>
      <c r="C5305">
        <v>2024</v>
      </c>
      <c r="D5305">
        <v>12</v>
      </c>
      <c r="E5305" t="s">
        <v>23</v>
      </c>
      <c r="F5305" t="s">
        <v>14</v>
      </c>
      <c r="G5305" t="s">
        <v>30</v>
      </c>
      <c r="H5305" t="s">
        <v>106</v>
      </c>
      <c r="I5305">
        <v>5712.31</v>
      </c>
      <c r="J5305">
        <v>5539.45</v>
      </c>
      <c r="K5305" t="s">
        <v>17</v>
      </c>
      <c r="L5305" t="b">
        <v>0</v>
      </c>
      <c r="N5305" s="2" t="str">
        <f t="shared" si="475"/>
        <v/>
      </c>
      <c r="Q5305" t="str">
        <f t="shared" si="478"/>
        <v/>
      </c>
    </row>
    <row r="5306" spans="1:17" hidden="1">
      <c r="A5306" t="s">
        <v>5411</v>
      </c>
      <c r="B5306" s="1">
        <v>45629</v>
      </c>
      <c r="C5306">
        <v>2024</v>
      </c>
      <c r="D5306">
        <v>12</v>
      </c>
      <c r="E5306" t="s">
        <v>23</v>
      </c>
      <c r="F5306" t="s">
        <v>14</v>
      </c>
      <c r="G5306" t="s">
        <v>30</v>
      </c>
      <c r="H5306" t="s">
        <v>106</v>
      </c>
      <c r="I5306">
        <v>5731.6</v>
      </c>
      <c r="J5306">
        <v>5257.8</v>
      </c>
      <c r="K5306" t="s">
        <v>17</v>
      </c>
      <c r="L5306" t="b">
        <v>0</v>
      </c>
      <c r="N5306" s="2" t="str">
        <f t="shared" si="475"/>
        <v/>
      </c>
      <c r="Q5306" t="str">
        <f t="shared" si="478"/>
        <v/>
      </c>
    </row>
    <row r="5307" spans="1:17" hidden="1">
      <c r="A5307" t="s">
        <v>5412</v>
      </c>
      <c r="B5307" s="1">
        <v>45629</v>
      </c>
      <c r="C5307">
        <v>2024</v>
      </c>
      <c r="D5307">
        <v>12</v>
      </c>
      <c r="E5307" t="s">
        <v>23</v>
      </c>
      <c r="F5307" t="s">
        <v>28</v>
      </c>
      <c r="G5307" t="s">
        <v>25</v>
      </c>
      <c r="H5307" t="s">
        <v>95</v>
      </c>
      <c r="I5307">
        <v>4113.72</v>
      </c>
      <c r="J5307">
        <v>4087.73</v>
      </c>
      <c r="K5307" t="s">
        <v>17</v>
      </c>
      <c r="L5307" t="b">
        <v>0</v>
      </c>
      <c r="N5307" s="2" t="str">
        <f t="shared" si="475"/>
        <v/>
      </c>
      <c r="Q5307" t="str">
        <f t="shared" si="478"/>
        <v/>
      </c>
    </row>
    <row r="5308" spans="1:17" hidden="1">
      <c r="A5308" t="s">
        <v>5413</v>
      </c>
      <c r="B5308" s="1">
        <v>45630</v>
      </c>
      <c r="C5308">
        <v>2024</v>
      </c>
      <c r="D5308">
        <v>12</v>
      </c>
      <c r="E5308" t="s">
        <v>13</v>
      </c>
      <c r="F5308" t="s">
        <v>14</v>
      </c>
      <c r="G5308" t="s">
        <v>108</v>
      </c>
      <c r="H5308" t="s">
        <v>109</v>
      </c>
      <c r="I5308">
        <v>2604.0300000000002</v>
      </c>
      <c r="J5308">
        <v>2800.86</v>
      </c>
      <c r="K5308" t="s">
        <v>17</v>
      </c>
      <c r="L5308" t="b">
        <v>0</v>
      </c>
      <c r="N5308" s="2" t="str">
        <f t="shared" si="475"/>
        <v/>
      </c>
      <c r="Q5308" t="str">
        <f t="shared" si="478"/>
        <v/>
      </c>
    </row>
    <row r="5309" spans="1:17" hidden="1">
      <c r="A5309" t="s">
        <v>5414</v>
      </c>
      <c r="B5309" s="1">
        <v>45630</v>
      </c>
      <c r="C5309">
        <v>2024</v>
      </c>
      <c r="D5309">
        <v>12</v>
      </c>
      <c r="E5309" t="s">
        <v>13</v>
      </c>
      <c r="F5309" t="s">
        <v>28</v>
      </c>
      <c r="G5309" t="s">
        <v>15</v>
      </c>
      <c r="H5309" t="s">
        <v>16</v>
      </c>
      <c r="I5309">
        <v>5756.09</v>
      </c>
      <c r="J5309">
        <v>6319.33</v>
      </c>
      <c r="K5309" t="s">
        <v>17</v>
      </c>
      <c r="L5309" t="b">
        <v>0</v>
      </c>
      <c r="N5309" s="2" t="str">
        <f t="shared" si="475"/>
        <v/>
      </c>
      <c r="Q5309" t="str">
        <f t="shared" si="478"/>
        <v/>
      </c>
    </row>
    <row r="5310" spans="1:17" hidden="1">
      <c r="A5310" t="s">
        <v>5415</v>
      </c>
      <c r="B5310" s="1">
        <v>45630</v>
      </c>
      <c r="C5310">
        <v>2024</v>
      </c>
      <c r="D5310">
        <v>12</v>
      </c>
      <c r="E5310" t="s">
        <v>19</v>
      </c>
      <c r="F5310" t="s">
        <v>14</v>
      </c>
      <c r="G5310" t="s">
        <v>54</v>
      </c>
      <c r="H5310" t="s">
        <v>55</v>
      </c>
      <c r="I5310">
        <v>4821.6499999999996</v>
      </c>
      <c r="J5310">
        <v>4611.04</v>
      </c>
      <c r="K5310" t="s">
        <v>17</v>
      </c>
      <c r="L5310" t="b">
        <v>0</v>
      </c>
      <c r="N5310" s="2" t="str">
        <f t="shared" si="475"/>
        <v/>
      </c>
      <c r="Q5310" t="str">
        <f t="shared" si="478"/>
        <v/>
      </c>
    </row>
    <row r="5311" spans="1:17" hidden="1">
      <c r="A5311" t="s">
        <v>5416</v>
      </c>
      <c r="B5311" s="1">
        <v>45630</v>
      </c>
      <c r="C5311">
        <v>2024</v>
      </c>
      <c r="D5311">
        <v>12</v>
      </c>
      <c r="E5311" t="s">
        <v>23</v>
      </c>
      <c r="F5311" t="s">
        <v>24</v>
      </c>
      <c r="G5311" t="s">
        <v>141</v>
      </c>
      <c r="H5311" t="s">
        <v>153</v>
      </c>
      <c r="I5311">
        <v>5285.9</v>
      </c>
      <c r="J5311">
        <v>5124.93</v>
      </c>
      <c r="K5311" t="s">
        <v>17</v>
      </c>
      <c r="L5311" t="b">
        <v>0</v>
      </c>
      <c r="N5311" s="2" t="str">
        <f t="shared" si="475"/>
        <v/>
      </c>
      <c r="Q5311" t="str">
        <f t="shared" si="478"/>
        <v/>
      </c>
    </row>
    <row r="5312" spans="1:17" hidden="1">
      <c r="A5312" t="s">
        <v>5417</v>
      </c>
      <c r="B5312" s="1">
        <v>45630</v>
      </c>
      <c r="C5312">
        <v>2024</v>
      </c>
      <c r="D5312">
        <v>12</v>
      </c>
      <c r="E5312" t="s">
        <v>37</v>
      </c>
      <c r="F5312" t="s">
        <v>14</v>
      </c>
      <c r="G5312" t="s">
        <v>38</v>
      </c>
      <c r="H5312" t="s">
        <v>39</v>
      </c>
      <c r="I5312">
        <v>4321.92</v>
      </c>
      <c r="J5312">
        <v>4591.5600000000004</v>
      </c>
      <c r="K5312" t="s">
        <v>17</v>
      </c>
      <c r="L5312" t="b">
        <v>0</v>
      </c>
      <c r="N5312" s="2" t="str">
        <f t="shared" si="475"/>
        <v/>
      </c>
      <c r="Q5312" t="str">
        <f t="shared" si="478"/>
        <v/>
      </c>
    </row>
    <row r="5313" spans="1:17" hidden="1">
      <c r="A5313" t="s">
        <v>5418</v>
      </c>
      <c r="B5313" s="1">
        <v>45630</v>
      </c>
      <c r="C5313">
        <v>2024</v>
      </c>
      <c r="D5313">
        <v>12</v>
      </c>
      <c r="E5313" t="s">
        <v>37</v>
      </c>
      <c r="F5313" t="s">
        <v>24</v>
      </c>
      <c r="G5313" t="s">
        <v>98</v>
      </c>
      <c r="H5313" t="s">
        <v>99</v>
      </c>
      <c r="I5313">
        <v>6011.24</v>
      </c>
      <c r="J5313">
        <v>6212.74</v>
      </c>
      <c r="K5313" t="s">
        <v>17</v>
      </c>
      <c r="L5313" t="b">
        <v>0</v>
      </c>
      <c r="N5313" s="2" t="str">
        <f t="shared" si="475"/>
        <v/>
      </c>
      <c r="Q5313" t="str">
        <f t="shared" si="478"/>
        <v/>
      </c>
    </row>
    <row r="5314" spans="1:17" hidden="1">
      <c r="A5314" t="s">
        <v>5419</v>
      </c>
      <c r="B5314" s="1">
        <v>45631</v>
      </c>
      <c r="C5314">
        <v>2024</v>
      </c>
      <c r="D5314">
        <v>12</v>
      </c>
      <c r="E5314" t="s">
        <v>13</v>
      </c>
      <c r="F5314" t="s">
        <v>24</v>
      </c>
      <c r="G5314" t="s">
        <v>108</v>
      </c>
      <c r="H5314" t="s">
        <v>126</v>
      </c>
      <c r="I5314">
        <v>3931.36</v>
      </c>
      <c r="J5314">
        <v>4266.87</v>
      </c>
      <c r="K5314" t="s">
        <v>17</v>
      </c>
      <c r="L5314" t="b">
        <v>0</v>
      </c>
      <c r="N5314" s="2" t="str">
        <f t="shared" si="475"/>
        <v/>
      </c>
      <c r="Q5314" t="str">
        <f t="shared" si="478"/>
        <v/>
      </c>
    </row>
    <row r="5315" spans="1:17" hidden="1">
      <c r="A5315" t="s">
        <v>5420</v>
      </c>
      <c r="B5315" s="1">
        <v>45631</v>
      </c>
      <c r="C5315">
        <v>2024</v>
      </c>
      <c r="D5315">
        <v>12</v>
      </c>
      <c r="E5315" t="s">
        <v>47</v>
      </c>
      <c r="F5315" t="s">
        <v>14</v>
      </c>
      <c r="G5315" t="s">
        <v>51</v>
      </c>
      <c r="H5315" t="s">
        <v>72</v>
      </c>
      <c r="I5315">
        <v>11011.62</v>
      </c>
      <c r="J5315">
        <v>9509.7900000000009</v>
      </c>
      <c r="K5315" t="s">
        <v>17</v>
      </c>
      <c r="L5315" t="b">
        <v>0</v>
      </c>
      <c r="N5315" s="2" t="b">
        <f t="shared" ref="N5315:N5378" si="479">IF(AND(E5315="IT",K5315="EXPENSE"),I5315&gt;J5315,"")</f>
        <v>1</v>
      </c>
      <c r="O5315" t="str">
        <f t="shared" ref="O5315:O5316" si="480">IF(AND(E5304="HR",K5304="EXPENSE"),I5304&lt;J5304,"")</f>
        <v/>
      </c>
      <c r="Q5315" t="str">
        <f t="shared" si="478"/>
        <v/>
      </c>
    </row>
    <row r="5316" spans="1:17" hidden="1">
      <c r="A5316" t="s">
        <v>5421</v>
      </c>
      <c r="B5316" s="1">
        <v>45631</v>
      </c>
      <c r="C5316">
        <v>2024</v>
      </c>
      <c r="D5316">
        <v>12</v>
      </c>
      <c r="E5316" t="s">
        <v>47</v>
      </c>
      <c r="F5316" t="s">
        <v>14</v>
      </c>
      <c r="G5316" t="s">
        <v>51</v>
      </c>
      <c r="H5316" t="s">
        <v>72</v>
      </c>
      <c r="I5316">
        <v>15307.09</v>
      </c>
      <c r="J5316">
        <v>12802.44</v>
      </c>
      <c r="K5316" t="s">
        <v>17</v>
      </c>
      <c r="L5316" t="b">
        <v>0</v>
      </c>
      <c r="N5316" s="2" t="b">
        <f t="shared" si="479"/>
        <v>1</v>
      </c>
      <c r="O5316" t="str">
        <f t="shared" si="480"/>
        <v/>
      </c>
      <c r="Q5316" t="str">
        <f t="shared" si="478"/>
        <v/>
      </c>
    </row>
    <row r="5317" spans="1:17" hidden="1">
      <c r="A5317" t="s">
        <v>5422</v>
      </c>
      <c r="B5317" s="1">
        <v>45631</v>
      </c>
      <c r="C5317">
        <v>2024</v>
      </c>
      <c r="D5317">
        <v>12</v>
      </c>
      <c r="E5317" t="s">
        <v>19</v>
      </c>
      <c r="F5317" t="s">
        <v>14</v>
      </c>
      <c r="G5317" t="s">
        <v>80</v>
      </c>
      <c r="H5317" t="s">
        <v>81</v>
      </c>
      <c r="I5317">
        <v>6094.73</v>
      </c>
      <c r="J5317">
        <v>5713.09</v>
      </c>
      <c r="K5317" t="s">
        <v>17</v>
      </c>
      <c r="L5317" t="b">
        <v>0</v>
      </c>
      <c r="N5317" s="2" t="str">
        <f t="shared" si="479"/>
        <v/>
      </c>
      <c r="Q5317" t="str">
        <f t="shared" si="478"/>
        <v/>
      </c>
    </row>
    <row r="5318" spans="1:17" hidden="1">
      <c r="A5318" t="s">
        <v>5423</v>
      </c>
      <c r="B5318" s="1">
        <v>45631</v>
      </c>
      <c r="C5318">
        <v>2024</v>
      </c>
      <c r="D5318">
        <v>12</v>
      </c>
      <c r="E5318" t="s">
        <v>19</v>
      </c>
      <c r="F5318" t="s">
        <v>24</v>
      </c>
      <c r="G5318" t="s">
        <v>80</v>
      </c>
      <c r="H5318" t="s">
        <v>150</v>
      </c>
      <c r="I5318">
        <v>4849.3</v>
      </c>
      <c r="J5318">
        <v>5171.7700000000004</v>
      </c>
      <c r="K5318" t="s">
        <v>17</v>
      </c>
      <c r="L5318" t="b">
        <v>0</v>
      </c>
      <c r="N5318" s="2" t="str">
        <f t="shared" si="479"/>
        <v/>
      </c>
      <c r="Q5318" t="str">
        <f t="shared" si="478"/>
        <v/>
      </c>
    </row>
    <row r="5319" spans="1:17" hidden="1">
      <c r="A5319" t="s">
        <v>5424</v>
      </c>
      <c r="B5319" s="1">
        <v>45631</v>
      </c>
      <c r="C5319">
        <v>2024</v>
      </c>
      <c r="D5319">
        <v>12</v>
      </c>
      <c r="E5319" t="s">
        <v>23</v>
      </c>
      <c r="F5319" t="s">
        <v>14</v>
      </c>
      <c r="G5319" t="s">
        <v>59</v>
      </c>
      <c r="H5319" t="s">
        <v>155</v>
      </c>
      <c r="I5319">
        <v>7410.29</v>
      </c>
      <c r="J5319">
        <v>7405.29</v>
      </c>
      <c r="K5319" t="s">
        <v>17</v>
      </c>
      <c r="L5319" t="b">
        <v>0</v>
      </c>
      <c r="N5319" s="2" t="str">
        <f t="shared" si="479"/>
        <v/>
      </c>
      <c r="Q5319" t="str">
        <f t="shared" si="478"/>
        <v/>
      </c>
    </row>
    <row r="5320" spans="1:17" hidden="1">
      <c r="A5320" t="s">
        <v>5425</v>
      </c>
      <c r="B5320" s="1">
        <v>45631</v>
      </c>
      <c r="C5320">
        <v>2024</v>
      </c>
      <c r="D5320">
        <v>12</v>
      </c>
      <c r="E5320" t="s">
        <v>23</v>
      </c>
      <c r="F5320" t="s">
        <v>28</v>
      </c>
      <c r="G5320" t="s">
        <v>59</v>
      </c>
      <c r="H5320" t="s">
        <v>155</v>
      </c>
      <c r="I5320">
        <v>4273.95</v>
      </c>
      <c r="J5320">
        <v>4033.78</v>
      </c>
      <c r="K5320" t="s">
        <v>17</v>
      </c>
      <c r="L5320" t="b">
        <v>0</v>
      </c>
      <c r="N5320" s="2" t="str">
        <f t="shared" si="479"/>
        <v/>
      </c>
      <c r="Q5320" t="str">
        <f t="shared" si="478"/>
        <v/>
      </c>
    </row>
    <row r="5321" spans="1:17" hidden="1">
      <c r="A5321" t="s">
        <v>5426</v>
      </c>
      <c r="B5321" s="1">
        <v>45631</v>
      </c>
      <c r="C5321">
        <v>2024</v>
      </c>
      <c r="D5321">
        <v>12</v>
      </c>
      <c r="E5321" t="s">
        <v>23</v>
      </c>
      <c r="F5321" t="s">
        <v>24</v>
      </c>
      <c r="G5321" t="s">
        <v>141</v>
      </c>
      <c r="H5321" t="s">
        <v>142</v>
      </c>
      <c r="I5321">
        <v>4873.8999999999996</v>
      </c>
      <c r="J5321">
        <v>5241.3900000000003</v>
      </c>
      <c r="K5321" t="s">
        <v>17</v>
      </c>
      <c r="L5321" t="b">
        <v>0</v>
      </c>
      <c r="N5321" s="2" t="str">
        <f t="shared" si="479"/>
        <v/>
      </c>
      <c r="Q5321" t="str">
        <f t="shared" si="478"/>
        <v/>
      </c>
    </row>
    <row r="5322" spans="1:17" hidden="1">
      <c r="A5322" t="s">
        <v>5427</v>
      </c>
      <c r="B5322" s="1">
        <v>45631</v>
      </c>
      <c r="C5322">
        <v>2024</v>
      </c>
      <c r="D5322">
        <v>12</v>
      </c>
      <c r="E5322" t="s">
        <v>37</v>
      </c>
      <c r="F5322" t="s">
        <v>28</v>
      </c>
      <c r="G5322" t="s">
        <v>38</v>
      </c>
      <c r="H5322" t="s">
        <v>39</v>
      </c>
      <c r="I5322">
        <v>5576.05</v>
      </c>
      <c r="J5322">
        <v>5967.81</v>
      </c>
      <c r="K5322" t="s">
        <v>17</v>
      </c>
      <c r="L5322" t="b">
        <v>0</v>
      </c>
      <c r="N5322" s="2" t="str">
        <f t="shared" si="479"/>
        <v/>
      </c>
      <c r="Q5322" t="str">
        <f t="shared" si="478"/>
        <v/>
      </c>
    </row>
    <row r="5323" spans="1:17" hidden="1">
      <c r="A5323" t="s">
        <v>5428</v>
      </c>
      <c r="B5323" s="1">
        <v>45631</v>
      </c>
      <c r="C5323">
        <v>2024</v>
      </c>
      <c r="D5323">
        <v>12</v>
      </c>
      <c r="E5323" t="s">
        <v>37</v>
      </c>
      <c r="F5323" t="s">
        <v>28</v>
      </c>
      <c r="G5323" t="s">
        <v>98</v>
      </c>
      <c r="H5323" t="s">
        <v>99</v>
      </c>
      <c r="I5323">
        <v>5228.0600000000004</v>
      </c>
      <c r="J5323">
        <v>4790.96</v>
      </c>
      <c r="K5323" t="s">
        <v>17</v>
      </c>
      <c r="L5323" t="b">
        <v>0</v>
      </c>
      <c r="N5323" s="2" t="str">
        <f t="shared" si="479"/>
        <v/>
      </c>
      <c r="Q5323" t="str">
        <f t="shared" si="478"/>
        <v/>
      </c>
    </row>
    <row r="5324" spans="1:17" hidden="1">
      <c r="A5324" t="s">
        <v>5429</v>
      </c>
      <c r="B5324" s="1">
        <v>45632</v>
      </c>
      <c r="C5324">
        <v>2024</v>
      </c>
      <c r="D5324">
        <v>12</v>
      </c>
      <c r="E5324" t="s">
        <v>13</v>
      </c>
      <c r="F5324" t="s">
        <v>14</v>
      </c>
      <c r="G5324" t="s">
        <v>108</v>
      </c>
      <c r="H5324" t="s">
        <v>109</v>
      </c>
      <c r="I5324">
        <v>2142.92</v>
      </c>
      <c r="J5324">
        <v>1983.95</v>
      </c>
      <c r="K5324" t="s">
        <v>17</v>
      </c>
      <c r="L5324" t="b">
        <v>0</v>
      </c>
      <c r="N5324" s="2" t="str">
        <f t="shared" si="479"/>
        <v/>
      </c>
      <c r="Q5324" t="str">
        <f t="shared" si="478"/>
        <v/>
      </c>
    </row>
    <row r="5325" spans="1:17" hidden="1">
      <c r="A5325" t="s">
        <v>5430</v>
      </c>
      <c r="B5325" s="1">
        <v>45632</v>
      </c>
      <c r="C5325">
        <v>2024</v>
      </c>
      <c r="D5325">
        <v>12</v>
      </c>
      <c r="E5325" t="s">
        <v>19</v>
      </c>
      <c r="F5325" t="s">
        <v>28</v>
      </c>
      <c r="G5325" t="s">
        <v>54</v>
      </c>
      <c r="H5325" t="s">
        <v>55</v>
      </c>
      <c r="I5325">
        <v>5695.51</v>
      </c>
      <c r="J5325">
        <v>5908.32</v>
      </c>
      <c r="K5325" t="s">
        <v>17</v>
      </c>
      <c r="L5325" t="b">
        <v>0</v>
      </c>
      <c r="N5325" s="2" t="str">
        <f t="shared" si="479"/>
        <v/>
      </c>
      <c r="Q5325" t="str">
        <f t="shared" si="478"/>
        <v/>
      </c>
    </row>
    <row r="5326" spans="1:17" hidden="1">
      <c r="A5326" t="s">
        <v>5431</v>
      </c>
      <c r="B5326" s="1">
        <v>45632</v>
      </c>
      <c r="C5326">
        <v>2024</v>
      </c>
      <c r="D5326">
        <v>12</v>
      </c>
      <c r="E5326" t="s">
        <v>19</v>
      </c>
      <c r="F5326" t="s">
        <v>28</v>
      </c>
      <c r="G5326" t="s">
        <v>80</v>
      </c>
      <c r="H5326" t="s">
        <v>81</v>
      </c>
      <c r="I5326">
        <v>6065.23</v>
      </c>
      <c r="J5326">
        <v>6147.51</v>
      </c>
      <c r="K5326" t="s">
        <v>17</v>
      </c>
      <c r="L5326" t="b">
        <v>0</v>
      </c>
      <c r="N5326" s="2" t="str">
        <f t="shared" si="479"/>
        <v/>
      </c>
      <c r="Q5326" t="str">
        <f t="shared" si="478"/>
        <v/>
      </c>
    </row>
    <row r="5327" spans="1:17" hidden="1">
      <c r="A5327" t="s">
        <v>5432</v>
      </c>
      <c r="B5327" s="1">
        <v>45632</v>
      </c>
      <c r="C5327">
        <v>2024</v>
      </c>
      <c r="D5327">
        <v>12</v>
      </c>
      <c r="E5327" t="s">
        <v>19</v>
      </c>
      <c r="F5327" t="s">
        <v>24</v>
      </c>
      <c r="G5327" t="s">
        <v>54</v>
      </c>
      <c r="H5327" t="s">
        <v>57</v>
      </c>
      <c r="I5327">
        <v>4800.51</v>
      </c>
      <c r="J5327">
        <v>4797.0200000000004</v>
      </c>
      <c r="K5327" t="s">
        <v>17</v>
      </c>
      <c r="L5327" t="b">
        <v>0</v>
      </c>
      <c r="N5327" s="2" t="str">
        <f t="shared" si="479"/>
        <v/>
      </c>
      <c r="Q5327" t="str">
        <f t="shared" si="478"/>
        <v/>
      </c>
    </row>
    <row r="5328" spans="1:17" hidden="1">
      <c r="A5328" t="s">
        <v>5433</v>
      </c>
      <c r="B5328" s="1">
        <v>45632</v>
      </c>
      <c r="C5328">
        <v>2024</v>
      </c>
      <c r="D5328">
        <v>12</v>
      </c>
      <c r="E5328" t="s">
        <v>19</v>
      </c>
      <c r="F5328" t="s">
        <v>24</v>
      </c>
      <c r="G5328" t="s">
        <v>54</v>
      </c>
      <c r="H5328" t="s">
        <v>55</v>
      </c>
      <c r="I5328">
        <v>3362.16</v>
      </c>
      <c r="J5328">
        <v>3067.06</v>
      </c>
      <c r="K5328" t="s">
        <v>17</v>
      </c>
      <c r="L5328" t="b">
        <v>0</v>
      </c>
      <c r="N5328" s="2" t="str">
        <f t="shared" si="479"/>
        <v/>
      </c>
      <c r="Q5328" t="str">
        <f t="shared" si="478"/>
        <v/>
      </c>
    </row>
    <row r="5329" spans="1:17" hidden="1">
      <c r="A5329" t="s">
        <v>5434</v>
      </c>
      <c r="B5329" s="1">
        <v>45632</v>
      </c>
      <c r="C5329">
        <v>2024</v>
      </c>
      <c r="D5329">
        <v>12</v>
      </c>
      <c r="E5329" t="s">
        <v>23</v>
      </c>
      <c r="F5329" t="s">
        <v>24</v>
      </c>
      <c r="G5329" t="s">
        <v>25</v>
      </c>
      <c r="H5329" t="s">
        <v>26</v>
      </c>
      <c r="I5329">
        <v>3600.05</v>
      </c>
      <c r="J5329">
        <v>3928.56</v>
      </c>
      <c r="K5329" t="s">
        <v>17</v>
      </c>
      <c r="L5329" t="b">
        <v>0</v>
      </c>
      <c r="N5329" s="2" t="str">
        <f t="shared" si="479"/>
        <v/>
      </c>
      <c r="Q5329" t="str">
        <f t="shared" si="478"/>
        <v/>
      </c>
    </row>
    <row r="5330" spans="1:17" hidden="1">
      <c r="A5330" t="s">
        <v>5435</v>
      </c>
      <c r="B5330" s="1">
        <v>45632</v>
      </c>
      <c r="C5330">
        <v>2024</v>
      </c>
      <c r="D5330">
        <v>12</v>
      </c>
      <c r="E5330" t="s">
        <v>23</v>
      </c>
      <c r="F5330" t="s">
        <v>24</v>
      </c>
      <c r="G5330" t="s">
        <v>25</v>
      </c>
      <c r="H5330" t="s">
        <v>95</v>
      </c>
      <c r="I5330">
        <v>7202.81</v>
      </c>
      <c r="J5330">
        <v>7839.41</v>
      </c>
      <c r="K5330" t="s">
        <v>17</v>
      </c>
      <c r="L5330" t="b">
        <v>0</v>
      </c>
      <c r="N5330" s="2" t="str">
        <f t="shared" si="479"/>
        <v/>
      </c>
      <c r="Q5330" t="str">
        <f t="shared" si="478"/>
        <v/>
      </c>
    </row>
    <row r="5331" spans="1:17" hidden="1">
      <c r="A5331" t="s">
        <v>5436</v>
      </c>
      <c r="B5331" s="1">
        <v>45632</v>
      </c>
      <c r="C5331">
        <v>2024</v>
      </c>
      <c r="D5331">
        <v>12</v>
      </c>
      <c r="E5331" t="s">
        <v>23</v>
      </c>
      <c r="F5331" t="s">
        <v>24</v>
      </c>
      <c r="G5331" t="s">
        <v>25</v>
      </c>
      <c r="H5331" t="s">
        <v>95</v>
      </c>
      <c r="I5331">
        <v>3360.65</v>
      </c>
      <c r="J5331">
        <v>3293.34</v>
      </c>
      <c r="K5331" t="s">
        <v>17</v>
      </c>
      <c r="L5331" t="b">
        <v>0</v>
      </c>
      <c r="N5331" s="2" t="str">
        <f t="shared" si="479"/>
        <v/>
      </c>
      <c r="Q5331" t="str">
        <f t="shared" si="478"/>
        <v/>
      </c>
    </row>
    <row r="5332" spans="1:17" hidden="1">
      <c r="A5332" t="s">
        <v>5437</v>
      </c>
      <c r="B5332" s="1">
        <v>45632</v>
      </c>
      <c r="C5332">
        <v>2024</v>
      </c>
      <c r="D5332">
        <v>12</v>
      </c>
      <c r="E5332" t="s">
        <v>23</v>
      </c>
      <c r="F5332" t="s">
        <v>24</v>
      </c>
      <c r="G5332" t="s">
        <v>59</v>
      </c>
      <c r="H5332" t="s">
        <v>155</v>
      </c>
      <c r="I5332">
        <v>6743.55</v>
      </c>
      <c r="J5332">
        <v>6679</v>
      </c>
      <c r="K5332" t="s">
        <v>17</v>
      </c>
      <c r="L5332" t="b">
        <v>0</v>
      </c>
      <c r="N5332" s="2" t="str">
        <f t="shared" si="479"/>
        <v/>
      </c>
      <c r="Q5332" t="str">
        <f t="shared" si="478"/>
        <v/>
      </c>
    </row>
    <row r="5333" spans="1:17" hidden="1">
      <c r="A5333" t="s">
        <v>5438</v>
      </c>
      <c r="B5333" s="1">
        <v>45633</v>
      </c>
      <c r="C5333">
        <v>2024</v>
      </c>
      <c r="D5333">
        <v>12</v>
      </c>
      <c r="E5333" t="s">
        <v>19</v>
      </c>
      <c r="F5333" t="s">
        <v>14</v>
      </c>
      <c r="G5333" t="s">
        <v>54</v>
      </c>
      <c r="H5333" t="s">
        <v>163</v>
      </c>
      <c r="I5333">
        <v>6203.63</v>
      </c>
      <c r="J5333">
        <v>6445.09</v>
      </c>
      <c r="K5333" t="s">
        <v>17</v>
      </c>
      <c r="L5333" t="b">
        <v>0</v>
      </c>
      <c r="N5333" s="2" t="str">
        <f t="shared" si="479"/>
        <v/>
      </c>
      <c r="Q5333" t="str">
        <f t="shared" si="478"/>
        <v/>
      </c>
    </row>
    <row r="5334" spans="1:17" hidden="1">
      <c r="A5334" t="s">
        <v>5439</v>
      </c>
      <c r="B5334" s="1">
        <v>45633</v>
      </c>
      <c r="C5334">
        <v>2024</v>
      </c>
      <c r="D5334">
        <v>12</v>
      </c>
      <c r="E5334" t="s">
        <v>37</v>
      </c>
      <c r="F5334" t="s">
        <v>24</v>
      </c>
      <c r="G5334" t="s">
        <v>41</v>
      </c>
      <c r="H5334" t="s">
        <v>42</v>
      </c>
      <c r="I5334">
        <v>4376</v>
      </c>
      <c r="J5334">
        <v>4690.9399999999996</v>
      </c>
      <c r="K5334" t="s">
        <v>17</v>
      </c>
      <c r="L5334" t="b">
        <v>0</v>
      </c>
      <c r="N5334" s="2" t="str">
        <f t="shared" si="479"/>
        <v/>
      </c>
      <c r="Q5334" t="str">
        <f t="shared" si="478"/>
        <v/>
      </c>
    </row>
    <row r="5335" spans="1:17" hidden="1">
      <c r="A5335" t="s">
        <v>5440</v>
      </c>
      <c r="B5335" s="1">
        <v>45634</v>
      </c>
      <c r="C5335">
        <v>2024</v>
      </c>
      <c r="D5335">
        <v>12</v>
      </c>
      <c r="E5335" t="s">
        <v>13</v>
      </c>
      <c r="F5335" t="s">
        <v>14</v>
      </c>
      <c r="G5335" t="s">
        <v>68</v>
      </c>
      <c r="H5335" t="s">
        <v>213</v>
      </c>
      <c r="I5335">
        <v>2557.83</v>
      </c>
      <c r="J5335">
        <v>2636.5</v>
      </c>
      <c r="K5335" t="s">
        <v>17</v>
      </c>
      <c r="L5335" t="b">
        <v>0</v>
      </c>
      <c r="N5335" s="2" t="str">
        <f t="shared" si="479"/>
        <v/>
      </c>
      <c r="Q5335" t="str">
        <f t="shared" si="478"/>
        <v/>
      </c>
    </row>
    <row r="5336" spans="1:17" hidden="1">
      <c r="A5336" t="s">
        <v>5441</v>
      </c>
      <c r="B5336" s="1">
        <v>45634</v>
      </c>
      <c r="C5336">
        <v>2024</v>
      </c>
      <c r="D5336">
        <v>12</v>
      </c>
      <c r="E5336" t="s">
        <v>47</v>
      </c>
      <c r="F5336" t="s">
        <v>28</v>
      </c>
      <c r="G5336" t="s">
        <v>48</v>
      </c>
      <c r="H5336" t="s">
        <v>191</v>
      </c>
      <c r="I5336">
        <v>21683.32</v>
      </c>
      <c r="J5336">
        <v>17947.150000000001</v>
      </c>
      <c r="K5336" t="s">
        <v>17</v>
      </c>
      <c r="L5336" t="b">
        <v>0</v>
      </c>
      <c r="N5336" s="2" t="b">
        <f t="shared" si="479"/>
        <v>1</v>
      </c>
      <c r="O5336" t="str">
        <f t="shared" ref="O5336:O5337" si="481">IF(AND(E5325="HR",K5325="EXPENSE"),I5325&lt;J5325,"")</f>
        <v/>
      </c>
      <c r="Q5336" t="str">
        <f t="shared" si="478"/>
        <v/>
      </c>
    </row>
    <row r="5337" spans="1:17" hidden="1">
      <c r="A5337" t="s">
        <v>5442</v>
      </c>
      <c r="B5337" s="1">
        <v>45634</v>
      </c>
      <c r="C5337">
        <v>2024</v>
      </c>
      <c r="D5337">
        <v>12</v>
      </c>
      <c r="E5337" t="s">
        <v>47</v>
      </c>
      <c r="F5337" t="s">
        <v>28</v>
      </c>
      <c r="G5337" t="s">
        <v>91</v>
      </c>
      <c r="H5337" t="s">
        <v>128</v>
      </c>
      <c r="I5337">
        <v>17113.36</v>
      </c>
      <c r="J5337">
        <v>14644.54</v>
      </c>
      <c r="K5337" t="s">
        <v>17</v>
      </c>
      <c r="L5337" t="b">
        <v>0</v>
      </c>
      <c r="N5337" s="2" t="b">
        <f t="shared" si="479"/>
        <v>1</v>
      </c>
      <c r="O5337" t="str">
        <f t="shared" si="481"/>
        <v/>
      </c>
      <c r="Q5337" t="str">
        <f t="shared" si="478"/>
        <v/>
      </c>
    </row>
    <row r="5338" spans="1:17" hidden="1">
      <c r="A5338" t="s">
        <v>5443</v>
      </c>
      <c r="B5338" s="1">
        <v>45634</v>
      </c>
      <c r="C5338">
        <v>2024</v>
      </c>
      <c r="D5338">
        <v>12</v>
      </c>
      <c r="E5338" t="s">
        <v>19</v>
      </c>
      <c r="F5338" t="s">
        <v>14</v>
      </c>
      <c r="G5338" t="s">
        <v>20</v>
      </c>
      <c r="H5338" t="s">
        <v>136</v>
      </c>
      <c r="I5338">
        <v>7212.52</v>
      </c>
      <c r="J5338">
        <v>7273.16</v>
      </c>
      <c r="K5338" t="s">
        <v>17</v>
      </c>
      <c r="L5338" t="b">
        <v>0</v>
      </c>
      <c r="N5338" s="2" t="str">
        <f t="shared" si="479"/>
        <v/>
      </c>
      <c r="Q5338" t="str">
        <f t="shared" si="478"/>
        <v/>
      </c>
    </row>
    <row r="5339" spans="1:17" hidden="1">
      <c r="A5339" t="s">
        <v>5444</v>
      </c>
      <c r="B5339" s="1">
        <v>45634</v>
      </c>
      <c r="C5339">
        <v>2024</v>
      </c>
      <c r="D5339">
        <v>12</v>
      </c>
      <c r="E5339" t="s">
        <v>19</v>
      </c>
      <c r="F5339" t="s">
        <v>24</v>
      </c>
      <c r="G5339" t="s">
        <v>54</v>
      </c>
      <c r="H5339" t="s">
        <v>55</v>
      </c>
      <c r="I5339">
        <v>6509.38</v>
      </c>
      <c r="J5339">
        <v>5878.51</v>
      </c>
      <c r="K5339" t="s">
        <v>17</v>
      </c>
      <c r="L5339" t="b">
        <v>0</v>
      </c>
      <c r="N5339" s="2" t="str">
        <f t="shared" si="479"/>
        <v/>
      </c>
      <c r="Q5339" t="str">
        <f t="shared" si="478"/>
        <v/>
      </c>
    </row>
    <row r="5340" spans="1:17" hidden="1">
      <c r="A5340" t="s">
        <v>5445</v>
      </c>
      <c r="B5340" s="1">
        <v>45634</v>
      </c>
      <c r="C5340">
        <v>2024</v>
      </c>
      <c r="D5340">
        <v>12</v>
      </c>
      <c r="E5340" t="s">
        <v>23</v>
      </c>
      <c r="F5340" t="s">
        <v>28</v>
      </c>
      <c r="G5340" t="s">
        <v>141</v>
      </c>
      <c r="H5340" t="s">
        <v>209</v>
      </c>
      <c r="I5340">
        <v>5915.11</v>
      </c>
      <c r="J5340">
        <v>6405.84</v>
      </c>
      <c r="K5340" t="s">
        <v>17</v>
      </c>
      <c r="L5340" t="b">
        <v>0</v>
      </c>
      <c r="N5340" s="2" t="str">
        <f t="shared" si="479"/>
        <v/>
      </c>
      <c r="Q5340" t="str">
        <f t="shared" si="478"/>
        <v/>
      </c>
    </row>
    <row r="5341" spans="1:17" hidden="1">
      <c r="A5341" t="s">
        <v>5446</v>
      </c>
      <c r="B5341" s="1">
        <v>45634</v>
      </c>
      <c r="C5341">
        <v>2024</v>
      </c>
      <c r="D5341">
        <v>12</v>
      </c>
      <c r="E5341" t="s">
        <v>37</v>
      </c>
      <c r="F5341" t="s">
        <v>24</v>
      </c>
      <c r="G5341" t="s">
        <v>98</v>
      </c>
      <c r="H5341" t="s">
        <v>185</v>
      </c>
      <c r="I5341">
        <v>4425.49</v>
      </c>
      <c r="J5341">
        <v>4153.71</v>
      </c>
      <c r="K5341" t="s">
        <v>17</v>
      </c>
      <c r="L5341" t="b">
        <v>0</v>
      </c>
      <c r="N5341" s="2" t="str">
        <f t="shared" si="479"/>
        <v/>
      </c>
      <c r="Q5341" t="str">
        <f t="shared" si="478"/>
        <v/>
      </c>
    </row>
    <row r="5342" spans="1:17" hidden="1">
      <c r="A5342" t="s">
        <v>5447</v>
      </c>
      <c r="B5342" s="1">
        <v>45635</v>
      </c>
      <c r="C5342">
        <v>2024</v>
      </c>
      <c r="D5342">
        <v>12</v>
      </c>
      <c r="E5342" t="s">
        <v>13</v>
      </c>
      <c r="F5342" t="s">
        <v>28</v>
      </c>
      <c r="G5342" t="s">
        <v>102</v>
      </c>
      <c r="H5342" t="s">
        <v>278</v>
      </c>
      <c r="I5342">
        <v>4172.72</v>
      </c>
      <c r="J5342">
        <v>4486.87</v>
      </c>
      <c r="K5342" t="s">
        <v>17</v>
      </c>
      <c r="L5342" t="b">
        <v>0</v>
      </c>
      <c r="N5342" s="2" t="str">
        <f t="shared" si="479"/>
        <v/>
      </c>
      <c r="Q5342" t="str">
        <f t="shared" si="478"/>
        <v/>
      </c>
    </row>
    <row r="5343" spans="1:17" hidden="1">
      <c r="A5343" t="s">
        <v>5448</v>
      </c>
      <c r="B5343" s="1">
        <v>45635</v>
      </c>
      <c r="C5343">
        <v>2024</v>
      </c>
      <c r="D5343">
        <v>12</v>
      </c>
      <c r="E5343" t="s">
        <v>19</v>
      </c>
      <c r="F5343" t="s">
        <v>28</v>
      </c>
      <c r="G5343" t="s">
        <v>20</v>
      </c>
      <c r="H5343" t="s">
        <v>21</v>
      </c>
      <c r="I5343">
        <v>7755.65</v>
      </c>
      <c r="J5343">
        <v>7156.85</v>
      </c>
      <c r="K5343" t="s">
        <v>17</v>
      </c>
      <c r="L5343" t="b">
        <v>0</v>
      </c>
      <c r="N5343" s="2" t="str">
        <f t="shared" si="479"/>
        <v/>
      </c>
      <c r="Q5343" t="str">
        <f t="shared" si="478"/>
        <v/>
      </c>
    </row>
    <row r="5344" spans="1:17" hidden="1">
      <c r="A5344" t="s">
        <v>5449</v>
      </c>
      <c r="B5344" s="1">
        <v>45635</v>
      </c>
      <c r="C5344">
        <v>2024</v>
      </c>
      <c r="D5344">
        <v>12</v>
      </c>
      <c r="E5344" t="s">
        <v>37</v>
      </c>
      <c r="F5344" t="s">
        <v>28</v>
      </c>
      <c r="G5344" t="s">
        <v>98</v>
      </c>
      <c r="H5344" t="s">
        <v>99</v>
      </c>
      <c r="I5344">
        <v>4883.5</v>
      </c>
      <c r="J5344">
        <v>4434.46</v>
      </c>
      <c r="K5344" t="s">
        <v>17</v>
      </c>
      <c r="L5344" t="b">
        <v>0</v>
      </c>
      <c r="N5344" s="2" t="str">
        <f t="shared" si="479"/>
        <v/>
      </c>
      <c r="Q5344" t="str">
        <f t="shared" si="478"/>
        <v/>
      </c>
    </row>
    <row r="5345" spans="1:17" hidden="1">
      <c r="A5345" t="s">
        <v>5450</v>
      </c>
      <c r="B5345" s="1">
        <v>45636</v>
      </c>
      <c r="C5345">
        <v>2024</v>
      </c>
      <c r="D5345">
        <v>12</v>
      </c>
      <c r="E5345" t="s">
        <v>13</v>
      </c>
      <c r="F5345" t="s">
        <v>14</v>
      </c>
      <c r="G5345" t="s">
        <v>15</v>
      </c>
      <c r="H5345" t="s">
        <v>89</v>
      </c>
      <c r="I5345">
        <v>2410.08</v>
      </c>
      <c r="J5345">
        <v>2224.0700000000002</v>
      </c>
      <c r="K5345" t="s">
        <v>17</v>
      </c>
      <c r="L5345" t="b">
        <v>0</v>
      </c>
      <c r="N5345" s="2" t="str">
        <f t="shared" si="479"/>
        <v/>
      </c>
      <c r="Q5345" t="str">
        <f t="shared" si="478"/>
        <v/>
      </c>
    </row>
    <row r="5346" spans="1:17" hidden="1">
      <c r="A5346" t="s">
        <v>5451</v>
      </c>
      <c r="B5346" s="1">
        <v>45636</v>
      </c>
      <c r="C5346">
        <v>2024</v>
      </c>
      <c r="D5346">
        <v>12</v>
      </c>
      <c r="E5346" t="s">
        <v>13</v>
      </c>
      <c r="F5346" t="s">
        <v>14</v>
      </c>
      <c r="G5346" t="s">
        <v>15</v>
      </c>
      <c r="H5346" t="s">
        <v>16</v>
      </c>
      <c r="I5346">
        <v>2855.4</v>
      </c>
      <c r="J5346">
        <v>3133.41</v>
      </c>
      <c r="K5346" t="s">
        <v>17</v>
      </c>
      <c r="L5346" t="b">
        <v>0</v>
      </c>
      <c r="N5346" s="2" t="str">
        <f t="shared" si="479"/>
        <v/>
      </c>
      <c r="Q5346" t="str">
        <f t="shared" si="478"/>
        <v/>
      </c>
    </row>
    <row r="5347" spans="1:17" hidden="1">
      <c r="A5347" t="s">
        <v>5452</v>
      </c>
      <c r="B5347" s="1">
        <v>45636</v>
      </c>
      <c r="C5347">
        <v>2024</v>
      </c>
      <c r="D5347">
        <v>12</v>
      </c>
      <c r="E5347" t="s">
        <v>13</v>
      </c>
      <c r="F5347" t="s">
        <v>24</v>
      </c>
      <c r="G5347" t="s">
        <v>15</v>
      </c>
      <c r="H5347" t="s">
        <v>45</v>
      </c>
      <c r="I5347">
        <v>5126.47</v>
      </c>
      <c r="J5347">
        <v>5285.63</v>
      </c>
      <c r="K5347" t="s">
        <v>17</v>
      </c>
      <c r="L5347" t="b">
        <v>0</v>
      </c>
      <c r="N5347" s="2" t="str">
        <f t="shared" si="479"/>
        <v/>
      </c>
      <c r="Q5347" t="str">
        <f t="shared" si="478"/>
        <v/>
      </c>
    </row>
    <row r="5348" spans="1:17" hidden="1">
      <c r="A5348" t="s">
        <v>5453</v>
      </c>
      <c r="B5348" s="1">
        <v>45636</v>
      </c>
      <c r="C5348">
        <v>2024</v>
      </c>
      <c r="D5348">
        <v>12</v>
      </c>
      <c r="E5348" t="s">
        <v>23</v>
      </c>
      <c r="F5348" t="s">
        <v>14</v>
      </c>
      <c r="G5348" t="s">
        <v>141</v>
      </c>
      <c r="H5348" t="s">
        <v>142</v>
      </c>
      <c r="I5348">
        <v>4420.12</v>
      </c>
      <c r="J5348">
        <v>4495.3500000000004</v>
      </c>
      <c r="K5348" t="s">
        <v>17</v>
      </c>
      <c r="L5348" t="b">
        <v>0</v>
      </c>
      <c r="N5348" s="2" t="str">
        <f t="shared" si="479"/>
        <v/>
      </c>
      <c r="Q5348" t="str">
        <f t="shared" si="478"/>
        <v/>
      </c>
    </row>
    <row r="5349" spans="1:17" hidden="1">
      <c r="A5349" t="s">
        <v>5454</v>
      </c>
      <c r="B5349" s="1">
        <v>45636</v>
      </c>
      <c r="C5349">
        <v>2024</v>
      </c>
      <c r="D5349">
        <v>12</v>
      </c>
      <c r="E5349" t="s">
        <v>23</v>
      </c>
      <c r="F5349" t="s">
        <v>24</v>
      </c>
      <c r="G5349" t="s">
        <v>141</v>
      </c>
      <c r="H5349" t="s">
        <v>142</v>
      </c>
      <c r="I5349">
        <v>5286.09</v>
      </c>
      <c r="J5349">
        <v>5255.82</v>
      </c>
      <c r="K5349" t="s">
        <v>17</v>
      </c>
      <c r="L5349" t="b">
        <v>0</v>
      </c>
      <c r="N5349" s="2" t="str">
        <f t="shared" si="479"/>
        <v/>
      </c>
      <c r="Q5349" t="str">
        <f t="shared" si="478"/>
        <v/>
      </c>
    </row>
    <row r="5350" spans="1:17" hidden="1">
      <c r="A5350" t="s">
        <v>5455</v>
      </c>
      <c r="B5350" s="1">
        <v>45636</v>
      </c>
      <c r="C5350">
        <v>2024</v>
      </c>
      <c r="D5350">
        <v>12</v>
      </c>
      <c r="E5350" t="s">
        <v>37</v>
      </c>
      <c r="F5350" t="s">
        <v>14</v>
      </c>
      <c r="G5350" t="s">
        <v>41</v>
      </c>
      <c r="H5350" t="s">
        <v>42</v>
      </c>
      <c r="I5350">
        <v>4422.16</v>
      </c>
      <c r="J5350">
        <v>4066.32</v>
      </c>
      <c r="K5350" t="s">
        <v>17</v>
      </c>
      <c r="L5350" t="b">
        <v>0</v>
      </c>
      <c r="N5350" s="2" t="str">
        <f t="shared" si="479"/>
        <v/>
      </c>
      <c r="Q5350" t="str">
        <f t="shared" si="478"/>
        <v/>
      </c>
    </row>
    <row r="5351" spans="1:17" hidden="1">
      <c r="A5351" t="s">
        <v>5456</v>
      </c>
      <c r="B5351" s="1">
        <v>45637</v>
      </c>
      <c r="C5351">
        <v>2024</v>
      </c>
      <c r="D5351">
        <v>12</v>
      </c>
      <c r="E5351" t="s">
        <v>13</v>
      </c>
      <c r="F5351" t="s">
        <v>14</v>
      </c>
      <c r="G5351" t="s">
        <v>15</v>
      </c>
      <c r="H5351" t="s">
        <v>16</v>
      </c>
      <c r="I5351">
        <v>2589.6</v>
      </c>
      <c r="J5351">
        <v>2732.54</v>
      </c>
      <c r="K5351" t="s">
        <v>17</v>
      </c>
      <c r="L5351" t="b">
        <v>0</v>
      </c>
      <c r="N5351" s="2" t="str">
        <f t="shared" si="479"/>
        <v/>
      </c>
      <c r="Q5351" t="str">
        <f t="shared" si="478"/>
        <v/>
      </c>
    </row>
    <row r="5352" spans="1:17" hidden="1">
      <c r="A5352" t="s">
        <v>5457</v>
      </c>
      <c r="B5352" s="1">
        <v>45637</v>
      </c>
      <c r="C5352">
        <v>2024</v>
      </c>
      <c r="D5352">
        <v>12</v>
      </c>
      <c r="E5352" t="s">
        <v>13</v>
      </c>
      <c r="F5352" t="s">
        <v>14</v>
      </c>
      <c r="G5352" t="s">
        <v>108</v>
      </c>
      <c r="H5352" t="s">
        <v>126</v>
      </c>
      <c r="I5352">
        <v>3230.37</v>
      </c>
      <c r="J5352">
        <v>3544.95</v>
      </c>
      <c r="K5352" t="s">
        <v>17</v>
      </c>
      <c r="L5352" t="b">
        <v>0</v>
      </c>
      <c r="N5352" s="2" t="str">
        <f t="shared" si="479"/>
        <v/>
      </c>
      <c r="Q5352" t="str">
        <f t="shared" si="478"/>
        <v/>
      </c>
    </row>
    <row r="5353" spans="1:17" hidden="1">
      <c r="A5353" t="s">
        <v>5458</v>
      </c>
      <c r="B5353" s="1">
        <v>45637</v>
      </c>
      <c r="C5353">
        <v>2024</v>
      </c>
      <c r="D5353">
        <v>12</v>
      </c>
      <c r="E5353" t="s">
        <v>13</v>
      </c>
      <c r="F5353" t="s">
        <v>14</v>
      </c>
      <c r="G5353" t="s">
        <v>102</v>
      </c>
      <c r="H5353" t="s">
        <v>145</v>
      </c>
      <c r="I5353">
        <v>1595.19</v>
      </c>
      <c r="J5353">
        <v>1481.34</v>
      </c>
      <c r="K5353" t="s">
        <v>17</v>
      </c>
      <c r="L5353" t="b">
        <v>0</v>
      </c>
      <c r="N5353" s="2" t="str">
        <f t="shared" si="479"/>
        <v/>
      </c>
      <c r="Q5353" t="str">
        <f t="shared" si="478"/>
        <v/>
      </c>
    </row>
    <row r="5354" spans="1:17" hidden="1">
      <c r="A5354" t="s">
        <v>5459</v>
      </c>
      <c r="B5354" s="1">
        <v>45637</v>
      </c>
      <c r="C5354">
        <v>2024</v>
      </c>
      <c r="D5354">
        <v>12</v>
      </c>
      <c r="E5354" t="s">
        <v>13</v>
      </c>
      <c r="F5354" t="s">
        <v>24</v>
      </c>
      <c r="G5354" t="s">
        <v>15</v>
      </c>
      <c r="H5354" t="s">
        <v>45</v>
      </c>
      <c r="I5354">
        <v>3671.76</v>
      </c>
      <c r="J5354">
        <v>3334.33</v>
      </c>
      <c r="K5354" t="s">
        <v>17</v>
      </c>
      <c r="L5354" t="b">
        <v>0</v>
      </c>
      <c r="N5354" s="2" t="str">
        <f t="shared" si="479"/>
        <v/>
      </c>
      <c r="Q5354" t="str">
        <f t="shared" si="478"/>
        <v/>
      </c>
    </row>
    <row r="5355" spans="1:17" hidden="1">
      <c r="A5355" t="s">
        <v>5460</v>
      </c>
      <c r="B5355" s="1">
        <v>45637</v>
      </c>
      <c r="C5355">
        <v>2024</v>
      </c>
      <c r="D5355">
        <v>12</v>
      </c>
      <c r="E5355" t="s">
        <v>13</v>
      </c>
      <c r="F5355" t="s">
        <v>24</v>
      </c>
      <c r="G5355" t="s">
        <v>108</v>
      </c>
      <c r="H5355" t="s">
        <v>123</v>
      </c>
      <c r="I5355">
        <v>3840.06</v>
      </c>
      <c r="J5355">
        <v>4220.8900000000003</v>
      </c>
      <c r="K5355" t="s">
        <v>17</v>
      </c>
      <c r="L5355" t="b">
        <v>0</v>
      </c>
      <c r="N5355" s="2" t="str">
        <f t="shared" si="479"/>
        <v/>
      </c>
      <c r="Q5355" t="str">
        <f t="shared" si="478"/>
        <v/>
      </c>
    </row>
    <row r="5356" spans="1:17" hidden="1">
      <c r="A5356" t="s">
        <v>5461</v>
      </c>
      <c r="B5356" s="1">
        <v>45637</v>
      </c>
      <c r="C5356">
        <v>2024</v>
      </c>
      <c r="D5356">
        <v>12</v>
      </c>
      <c r="E5356" t="s">
        <v>47</v>
      </c>
      <c r="F5356" t="s">
        <v>28</v>
      </c>
      <c r="G5356" t="s">
        <v>51</v>
      </c>
      <c r="H5356" t="s">
        <v>52</v>
      </c>
      <c r="I5356">
        <v>17650.11</v>
      </c>
      <c r="J5356">
        <v>14829.46</v>
      </c>
      <c r="K5356" t="s">
        <v>17</v>
      </c>
      <c r="L5356" t="b">
        <v>0</v>
      </c>
      <c r="N5356" s="2" t="b">
        <f t="shared" si="479"/>
        <v>1</v>
      </c>
      <c r="O5356" t="b">
        <f t="shared" ref="O5356:O5358" si="482">IF(AND(E5345="HR",K5345="EXPENSE"),I5345&lt;J5345,"")</f>
        <v>0</v>
      </c>
      <c r="Q5356" t="str">
        <f t="shared" si="478"/>
        <v/>
      </c>
    </row>
    <row r="5357" spans="1:17" hidden="1">
      <c r="A5357" t="s">
        <v>5462</v>
      </c>
      <c r="B5357" s="1">
        <v>45637</v>
      </c>
      <c r="C5357">
        <v>2024</v>
      </c>
      <c r="D5357">
        <v>12</v>
      </c>
      <c r="E5357" t="s">
        <v>47</v>
      </c>
      <c r="F5357" t="s">
        <v>24</v>
      </c>
      <c r="G5357" t="s">
        <v>77</v>
      </c>
      <c r="H5357" t="s">
        <v>147</v>
      </c>
      <c r="I5357">
        <v>16288.76</v>
      </c>
      <c r="J5357">
        <v>13622.33</v>
      </c>
      <c r="K5357" t="s">
        <v>17</v>
      </c>
      <c r="L5357" t="b">
        <v>0</v>
      </c>
      <c r="N5357" s="2" t="b">
        <f t="shared" si="479"/>
        <v>1</v>
      </c>
      <c r="O5357" t="b">
        <f t="shared" si="482"/>
        <v>1</v>
      </c>
      <c r="Q5357" t="str">
        <f t="shared" si="478"/>
        <v/>
      </c>
    </row>
    <row r="5358" spans="1:17" hidden="1">
      <c r="A5358" t="s">
        <v>5463</v>
      </c>
      <c r="B5358" s="1">
        <v>45637</v>
      </c>
      <c r="C5358">
        <v>2024</v>
      </c>
      <c r="D5358">
        <v>12</v>
      </c>
      <c r="E5358" t="s">
        <v>47</v>
      </c>
      <c r="F5358" t="s">
        <v>24</v>
      </c>
      <c r="G5358" t="s">
        <v>51</v>
      </c>
      <c r="H5358" t="s">
        <v>72</v>
      </c>
      <c r="I5358">
        <v>16855.27</v>
      </c>
      <c r="J5358">
        <v>13977.23</v>
      </c>
      <c r="K5358" t="s">
        <v>17</v>
      </c>
      <c r="L5358" t="b">
        <v>0</v>
      </c>
      <c r="N5358" s="2" t="b">
        <f t="shared" si="479"/>
        <v>1</v>
      </c>
      <c r="O5358" t="b">
        <f t="shared" si="482"/>
        <v>1</v>
      </c>
      <c r="Q5358" t="str">
        <f t="shared" si="478"/>
        <v/>
      </c>
    </row>
    <row r="5359" spans="1:17" hidden="1">
      <c r="A5359" t="s">
        <v>5464</v>
      </c>
      <c r="B5359" s="1">
        <v>45637</v>
      </c>
      <c r="C5359">
        <v>2024</v>
      </c>
      <c r="D5359">
        <v>12</v>
      </c>
      <c r="E5359" t="s">
        <v>19</v>
      </c>
      <c r="F5359" t="s">
        <v>14</v>
      </c>
      <c r="G5359" t="s">
        <v>20</v>
      </c>
      <c r="H5359" t="s">
        <v>136</v>
      </c>
      <c r="I5359">
        <v>5053.47</v>
      </c>
      <c r="J5359">
        <v>4943.59</v>
      </c>
      <c r="K5359" t="s">
        <v>17</v>
      </c>
      <c r="L5359" t="b">
        <v>0</v>
      </c>
      <c r="N5359" s="2" t="str">
        <f t="shared" si="479"/>
        <v/>
      </c>
      <c r="Q5359" t="str">
        <f t="shared" si="478"/>
        <v/>
      </c>
    </row>
    <row r="5360" spans="1:17" hidden="1">
      <c r="A5360" t="s">
        <v>5465</v>
      </c>
      <c r="B5360" s="1">
        <v>45637</v>
      </c>
      <c r="C5360">
        <v>2024</v>
      </c>
      <c r="D5360">
        <v>12</v>
      </c>
      <c r="E5360" t="s">
        <v>19</v>
      </c>
      <c r="F5360" t="s">
        <v>24</v>
      </c>
      <c r="G5360" t="s">
        <v>54</v>
      </c>
      <c r="H5360" t="s">
        <v>55</v>
      </c>
      <c r="I5360">
        <v>4907.58</v>
      </c>
      <c r="J5360">
        <v>5275.83</v>
      </c>
      <c r="K5360" t="s">
        <v>17</v>
      </c>
      <c r="L5360" t="b">
        <v>0</v>
      </c>
      <c r="N5360" s="2" t="str">
        <f t="shared" si="479"/>
        <v/>
      </c>
      <c r="Q5360" t="str">
        <f t="shared" ref="Q5360:Q5423" si="483">IF(L5360=TRUE,OR(H5360="Apex Solutions Inc",H5360="Global Trade Partners",H5360="NovaTech Services"),"")</f>
        <v/>
      </c>
    </row>
    <row r="5361" spans="1:17" hidden="1">
      <c r="A5361" t="s">
        <v>5466</v>
      </c>
      <c r="B5361" s="1">
        <v>45637</v>
      </c>
      <c r="C5361">
        <v>2024</v>
      </c>
      <c r="D5361">
        <v>12</v>
      </c>
      <c r="E5361" t="s">
        <v>23</v>
      </c>
      <c r="F5361" t="s">
        <v>14</v>
      </c>
      <c r="G5361" t="s">
        <v>59</v>
      </c>
      <c r="H5361" t="s">
        <v>60</v>
      </c>
      <c r="I5361">
        <v>5314.49</v>
      </c>
      <c r="J5361">
        <v>5569.91</v>
      </c>
      <c r="K5361" t="s">
        <v>17</v>
      </c>
      <c r="L5361" t="b">
        <v>0</v>
      </c>
      <c r="N5361" s="2" t="str">
        <f t="shared" si="479"/>
        <v/>
      </c>
      <c r="Q5361" t="str">
        <f t="shared" si="483"/>
        <v/>
      </c>
    </row>
    <row r="5362" spans="1:17" hidden="1">
      <c r="A5362" t="s">
        <v>5467</v>
      </c>
      <c r="B5362" s="1">
        <v>45637</v>
      </c>
      <c r="C5362">
        <v>2024</v>
      </c>
      <c r="D5362">
        <v>12</v>
      </c>
      <c r="E5362" t="s">
        <v>23</v>
      </c>
      <c r="F5362" t="s">
        <v>28</v>
      </c>
      <c r="G5362" t="s">
        <v>25</v>
      </c>
      <c r="H5362" t="s">
        <v>26</v>
      </c>
      <c r="I5362">
        <v>4498.78</v>
      </c>
      <c r="J5362">
        <v>4889.42</v>
      </c>
      <c r="K5362" t="s">
        <v>17</v>
      </c>
      <c r="L5362" t="b">
        <v>0</v>
      </c>
      <c r="N5362" s="2" t="str">
        <f t="shared" si="479"/>
        <v/>
      </c>
      <c r="Q5362" t="str">
        <f t="shared" si="483"/>
        <v/>
      </c>
    </row>
    <row r="5363" spans="1:17" hidden="1">
      <c r="A5363" t="s">
        <v>5468</v>
      </c>
      <c r="B5363" s="1">
        <v>45637</v>
      </c>
      <c r="C5363">
        <v>2024</v>
      </c>
      <c r="D5363">
        <v>12</v>
      </c>
      <c r="E5363" t="s">
        <v>37</v>
      </c>
      <c r="F5363" t="s">
        <v>24</v>
      </c>
      <c r="G5363" t="s">
        <v>41</v>
      </c>
      <c r="H5363" t="s">
        <v>42</v>
      </c>
      <c r="I5363">
        <v>4619.17</v>
      </c>
      <c r="J5363">
        <v>4619.3</v>
      </c>
      <c r="K5363" t="s">
        <v>17</v>
      </c>
      <c r="L5363" t="b">
        <v>0</v>
      </c>
      <c r="N5363" s="2" t="str">
        <f t="shared" si="479"/>
        <v/>
      </c>
      <c r="Q5363" t="str">
        <f t="shared" si="483"/>
        <v/>
      </c>
    </row>
    <row r="5364" spans="1:17" hidden="1">
      <c r="A5364" t="s">
        <v>5469</v>
      </c>
      <c r="B5364" s="1">
        <v>45638</v>
      </c>
      <c r="C5364">
        <v>2024</v>
      </c>
      <c r="D5364">
        <v>12</v>
      </c>
      <c r="E5364" t="s">
        <v>13</v>
      </c>
      <c r="F5364" t="s">
        <v>24</v>
      </c>
      <c r="G5364" t="s">
        <v>102</v>
      </c>
      <c r="H5364" t="s">
        <v>103</v>
      </c>
      <c r="I5364">
        <v>2585.75</v>
      </c>
      <c r="J5364">
        <v>2828.42</v>
      </c>
      <c r="K5364" t="s">
        <v>17</v>
      </c>
      <c r="L5364" t="b">
        <v>0</v>
      </c>
      <c r="N5364" s="2" t="str">
        <f t="shared" si="479"/>
        <v/>
      </c>
      <c r="Q5364" t="str">
        <f t="shared" si="483"/>
        <v/>
      </c>
    </row>
    <row r="5365" spans="1:17" hidden="1">
      <c r="A5365" t="s">
        <v>5470</v>
      </c>
      <c r="B5365" s="1">
        <v>45638</v>
      </c>
      <c r="C5365">
        <v>2024</v>
      </c>
      <c r="D5365">
        <v>12</v>
      </c>
      <c r="E5365" t="s">
        <v>47</v>
      </c>
      <c r="F5365" t="s">
        <v>14</v>
      </c>
      <c r="G5365" t="s">
        <v>51</v>
      </c>
      <c r="H5365" t="s">
        <v>72</v>
      </c>
      <c r="I5365">
        <v>17209.11</v>
      </c>
      <c r="J5365">
        <v>14278.1</v>
      </c>
      <c r="K5365" t="s">
        <v>17</v>
      </c>
      <c r="L5365" t="b">
        <v>0</v>
      </c>
      <c r="N5365" s="2" t="b">
        <f t="shared" si="479"/>
        <v>1</v>
      </c>
      <c r="O5365" t="b">
        <f t="shared" ref="O5365:O5368" si="484">IF(AND(E5354="HR",K5354="EXPENSE"),I5354&lt;J5354,"")</f>
        <v>0</v>
      </c>
      <c r="Q5365" t="str">
        <f t="shared" si="483"/>
        <v/>
      </c>
    </row>
    <row r="5366" spans="1:17" hidden="1">
      <c r="A5366" t="s">
        <v>5471</v>
      </c>
      <c r="B5366" s="1">
        <v>45638</v>
      </c>
      <c r="C5366">
        <v>2024</v>
      </c>
      <c r="D5366">
        <v>12</v>
      </c>
      <c r="E5366" t="s">
        <v>47</v>
      </c>
      <c r="F5366" t="s">
        <v>14</v>
      </c>
      <c r="G5366" t="s">
        <v>91</v>
      </c>
      <c r="H5366" t="s">
        <v>249</v>
      </c>
      <c r="I5366">
        <v>15013.39</v>
      </c>
      <c r="J5366">
        <v>12906.36</v>
      </c>
      <c r="K5366" t="s">
        <v>17</v>
      </c>
      <c r="L5366" t="b">
        <v>0</v>
      </c>
      <c r="N5366" s="2" t="b">
        <f t="shared" si="479"/>
        <v>1</v>
      </c>
      <c r="O5366" t="b">
        <f t="shared" si="484"/>
        <v>1</v>
      </c>
      <c r="Q5366" t="str">
        <f t="shared" si="483"/>
        <v/>
      </c>
    </row>
    <row r="5367" spans="1:17" hidden="1">
      <c r="A5367" t="s">
        <v>5472</v>
      </c>
      <c r="B5367" s="1">
        <v>45638</v>
      </c>
      <c r="C5367">
        <v>2024</v>
      </c>
      <c r="D5367">
        <v>12</v>
      </c>
      <c r="E5367" t="s">
        <v>47</v>
      </c>
      <c r="F5367" t="s">
        <v>28</v>
      </c>
      <c r="G5367" t="s">
        <v>77</v>
      </c>
      <c r="H5367" t="s">
        <v>147</v>
      </c>
      <c r="I5367">
        <v>18893.43</v>
      </c>
      <c r="J5367">
        <v>16085.68</v>
      </c>
      <c r="K5367" t="s">
        <v>17</v>
      </c>
      <c r="L5367" t="b">
        <v>0</v>
      </c>
      <c r="N5367" s="2" t="b">
        <f t="shared" si="479"/>
        <v>1</v>
      </c>
      <c r="O5367" t="str">
        <f t="shared" si="484"/>
        <v/>
      </c>
      <c r="Q5367" t="str">
        <f t="shared" si="483"/>
        <v/>
      </c>
    </row>
    <row r="5368" spans="1:17" hidden="1">
      <c r="A5368" t="s">
        <v>5473</v>
      </c>
      <c r="B5368" s="1">
        <v>45638</v>
      </c>
      <c r="C5368">
        <v>2024</v>
      </c>
      <c r="D5368">
        <v>12</v>
      </c>
      <c r="E5368" t="s">
        <v>47</v>
      </c>
      <c r="F5368" t="s">
        <v>24</v>
      </c>
      <c r="G5368" t="s">
        <v>51</v>
      </c>
      <c r="H5368" t="s">
        <v>72</v>
      </c>
      <c r="I5368">
        <v>15058.4</v>
      </c>
      <c r="J5368">
        <v>12524.2</v>
      </c>
      <c r="K5368" t="s">
        <v>17</v>
      </c>
      <c r="L5368" t="b">
        <v>0</v>
      </c>
      <c r="N5368" s="2" t="b">
        <f t="shared" si="479"/>
        <v>1</v>
      </c>
      <c r="O5368" t="str">
        <f t="shared" si="484"/>
        <v/>
      </c>
      <c r="Q5368" t="str">
        <f t="shared" si="483"/>
        <v/>
      </c>
    </row>
    <row r="5369" spans="1:17" hidden="1">
      <c r="A5369" t="s">
        <v>5474</v>
      </c>
      <c r="B5369" s="1">
        <v>45638</v>
      </c>
      <c r="C5369">
        <v>2024</v>
      </c>
      <c r="D5369">
        <v>12</v>
      </c>
      <c r="E5369" t="s">
        <v>19</v>
      </c>
      <c r="F5369" t="s">
        <v>24</v>
      </c>
      <c r="G5369" t="s">
        <v>132</v>
      </c>
      <c r="H5369" t="s">
        <v>138</v>
      </c>
      <c r="I5369">
        <v>4464.96</v>
      </c>
      <c r="J5369">
        <v>4328.4799999999996</v>
      </c>
      <c r="K5369" t="s">
        <v>17</v>
      </c>
      <c r="L5369" t="b">
        <v>0</v>
      </c>
      <c r="N5369" s="2" t="str">
        <f t="shared" si="479"/>
        <v/>
      </c>
      <c r="Q5369" t="str">
        <f t="shared" si="483"/>
        <v/>
      </c>
    </row>
    <row r="5370" spans="1:17" hidden="1">
      <c r="A5370" t="s">
        <v>5475</v>
      </c>
      <c r="B5370" s="1">
        <v>45638</v>
      </c>
      <c r="C5370">
        <v>2024</v>
      </c>
      <c r="D5370">
        <v>12</v>
      </c>
      <c r="E5370" t="s">
        <v>23</v>
      </c>
      <c r="F5370" t="s">
        <v>28</v>
      </c>
      <c r="G5370" t="s">
        <v>25</v>
      </c>
      <c r="H5370" t="s">
        <v>95</v>
      </c>
      <c r="I5370">
        <v>4394.4799999999996</v>
      </c>
      <c r="J5370">
        <v>4317.05</v>
      </c>
      <c r="K5370" t="s">
        <v>17</v>
      </c>
      <c r="L5370" t="b">
        <v>0</v>
      </c>
      <c r="N5370" s="2" t="str">
        <f t="shared" si="479"/>
        <v/>
      </c>
      <c r="Q5370" t="str">
        <f t="shared" si="483"/>
        <v/>
      </c>
    </row>
    <row r="5371" spans="1:17" hidden="1">
      <c r="A5371" t="s">
        <v>5476</v>
      </c>
      <c r="B5371" s="1">
        <v>45638</v>
      </c>
      <c r="C5371">
        <v>2024</v>
      </c>
      <c r="D5371">
        <v>12</v>
      </c>
      <c r="E5371" t="s">
        <v>23</v>
      </c>
      <c r="F5371" t="s">
        <v>24</v>
      </c>
      <c r="G5371" t="s">
        <v>25</v>
      </c>
      <c r="H5371" t="s">
        <v>26</v>
      </c>
      <c r="I5371">
        <v>5802.98</v>
      </c>
      <c r="J5371">
        <v>5918.62</v>
      </c>
      <c r="K5371" t="s">
        <v>17</v>
      </c>
      <c r="L5371" t="b">
        <v>0</v>
      </c>
      <c r="N5371" s="2" t="str">
        <f t="shared" si="479"/>
        <v/>
      </c>
      <c r="Q5371" t="str">
        <f t="shared" si="483"/>
        <v/>
      </c>
    </row>
    <row r="5372" spans="1:17" hidden="1">
      <c r="A5372" t="s">
        <v>5477</v>
      </c>
      <c r="B5372" s="1">
        <v>45638</v>
      </c>
      <c r="C5372">
        <v>2024</v>
      </c>
      <c r="D5372">
        <v>12</v>
      </c>
      <c r="E5372" t="s">
        <v>37</v>
      </c>
      <c r="F5372" t="s">
        <v>24</v>
      </c>
      <c r="G5372" t="s">
        <v>41</v>
      </c>
      <c r="H5372" t="s">
        <v>42</v>
      </c>
      <c r="I5372">
        <v>3290.84</v>
      </c>
      <c r="J5372">
        <v>3336.24</v>
      </c>
      <c r="K5372" t="s">
        <v>17</v>
      </c>
      <c r="L5372" t="b">
        <v>0</v>
      </c>
      <c r="N5372" s="2" t="str">
        <f t="shared" si="479"/>
        <v/>
      </c>
      <c r="Q5372" t="str">
        <f t="shared" si="483"/>
        <v/>
      </c>
    </row>
    <row r="5373" spans="1:17" hidden="1">
      <c r="A5373" t="s">
        <v>5478</v>
      </c>
      <c r="B5373" s="1">
        <v>45639</v>
      </c>
      <c r="C5373">
        <v>2024</v>
      </c>
      <c r="D5373">
        <v>12</v>
      </c>
      <c r="E5373" t="s">
        <v>13</v>
      </c>
      <c r="F5373" t="s">
        <v>14</v>
      </c>
      <c r="G5373" t="s">
        <v>15</v>
      </c>
      <c r="H5373" t="s">
        <v>45</v>
      </c>
      <c r="I5373">
        <v>3117.13</v>
      </c>
      <c r="J5373">
        <v>2896.36</v>
      </c>
      <c r="K5373" t="s">
        <v>17</v>
      </c>
      <c r="L5373" t="b">
        <v>0</v>
      </c>
      <c r="N5373" s="2" t="str">
        <f t="shared" si="479"/>
        <v/>
      </c>
      <c r="Q5373" t="str">
        <f t="shared" si="483"/>
        <v/>
      </c>
    </row>
    <row r="5374" spans="1:17" hidden="1">
      <c r="A5374" t="s">
        <v>5479</v>
      </c>
      <c r="B5374" s="1">
        <v>45639</v>
      </c>
      <c r="C5374">
        <v>2024</v>
      </c>
      <c r="D5374">
        <v>12</v>
      </c>
      <c r="E5374" t="s">
        <v>13</v>
      </c>
      <c r="F5374" t="s">
        <v>28</v>
      </c>
      <c r="G5374" t="s">
        <v>102</v>
      </c>
      <c r="H5374" t="s">
        <v>145</v>
      </c>
      <c r="I5374">
        <v>4852.71</v>
      </c>
      <c r="J5374">
        <v>5264.45</v>
      </c>
      <c r="K5374" t="s">
        <v>17</v>
      </c>
      <c r="L5374" t="b">
        <v>0</v>
      </c>
      <c r="N5374" s="2" t="str">
        <f t="shared" si="479"/>
        <v/>
      </c>
      <c r="Q5374" t="str">
        <f t="shared" si="483"/>
        <v/>
      </c>
    </row>
    <row r="5375" spans="1:17" hidden="1">
      <c r="A5375" t="s">
        <v>5480</v>
      </c>
      <c r="B5375" s="1">
        <v>45639</v>
      </c>
      <c r="C5375">
        <v>2024</v>
      </c>
      <c r="D5375">
        <v>12</v>
      </c>
      <c r="E5375" t="s">
        <v>13</v>
      </c>
      <c r="F5375" t="s">
        <v>24</v>
      </c>
      <c r="G5375" t="s">
        <v>68</v>
      </c>
      <c r="H5375" t="s">
        <v>87</v>
      </c>
      <c r="I5375">
        <v>5962.45</v>
      </c>
      <c r="J5375">
        <v>6288.46</v>
      </c>
      <c r="K5375" t="s">
        <v>17</v>
      </c>
      <c r="L5375" t="b">
        <v>0</v>
      </c>
      <c r="N5375" s="2" t="str">
        <f t="shared" si="479"/>
        <v/>
      </c>
      <c r="Q5375" t="str">
        <f t="shared" si="483"/>
        <v/>
      </c>
    </row>
    <row r="5376" spans="1:17" hidden="1">
      <c r="A5376" t="s">
        <v>5481</v>
      </c>
      <c r="B5376" s="1">
        <v>45639</v>
      </c>
      <c r="C5376">
        <v>2024</v>
      </c>
      <c r="D5376">
        <v>12</v>
      </c>
      <c r="E5376" t="s">
        <v>47</v>
      </c>
      <c r="F5376" t="s">
        <v>24</v>
      </c>
      <c r="G5376" t="s">
        <v>77</v>
      </c>
      <c r="H5376" t="s">
        <v>78</v>
      </c>
      <c r="I5376">
        <v>24825.040000000001</v>
      </c>
      <c r="J5376">
        <v>21297.26</v>
      </c>
      <c r="K5376" t="s">
        <v>17</v>
      </c>
      <c r="L5376" t="b">
        <v>0</v>
      </c>
      <c r="N5376" s="2" t="b">
        <f t="shared" si="479"/>
        <v>1</v>
      </c>
      <c r="O5376" t="str">
        <f t="shared" ref="O5376:O5377" si="485">IF(AND(E5365="HR",K5365="EXPENSE"),I5365&lt;J5365,"")</f>
        <v/>
      </c>
      <c r="Q5376" t="str">
        <f t="shared" si="483"/>
        <v/>
      </c>
    </row>
    <row r="5377" spans="1:17" hidden="1">
      <c r="A5377" t="s">
        <v>5482</v>
      </c>
      <c r="B5377" s="1">
        <v>45639</v>
      </c>
      <c r="C5377">
        <v>2024</v>
      </c>
      <c r="D5377">
        <v>12</v>
      </c>
      <c r="E5377" t="s">
        <v>47</v>
      </c>
      <c r="F5377" t="s">
        <v>24</v>
      </c>
      <c r="G5377" t="s">
        <v>48</v>
      </c>
      <c r="H5377" t="s">
        <v>191</v>
      </c>
      <c r="I5377">
        <v>11644.64</v>
      </c>
      <c r="J5377">
        <v>10036.530000000001</v>
      </c>
      <c r="K5377" t="s">
        <v>17</v>
      </c>
      <c r="L5377" t="b">
        <v>0</v>
      </c>
      <c r="N5377" s="2" t="b">
        <f t="shared" si="479"/>
        <v>1</v>
      </c>
      <c r="O5377" t="str">
        <f t="shared" si="485"/>
        <v/>
      </c>
      <c r="Q5377" t="str">
        <f t="shared" si="483"/>
        <v/>
      </c>
    </row>
    <row r="5378" spans="1:17" hidden="1">
      <c r="A5378" t="s">
        <v>5483</v>
      </c>
      <c r="B5378" s="1">
        <v>45639</v>
      </c>
      <c r="C5378">
        <v>2024</v>
      </c>
      <c r="D5378">
        <v>12</v>
      </c>
      <c r="E5378" t="s">
        <v>19</v>
      </c>
      <c r="F5378" t="s">
        <v>14</v>
      </c>
      <c r="G5378" t="s">
        <v>132</v>
      </c>
      <c r="H5378" t="s">
        <v>138</v>
      </c>
      <c r="I5378">
        <v>4608.55</v>
      </c>
      <c r="J5378">
        <v>4666.3999999999996</v>
      </c>
      <c r="K5378" t="s">
        <v>17</v>
      </c>
      <c r="L5378" t="b">
        <v>0</v>
      </c>
      <c r="N5378" s="2" t="str">
        <f t="shared" si="479"/>
        <v/>
      </c>
      <c r="Q5378" t="str">
        <f t="shared" si="483"/>
        <v/>
      </c>
    </row>
    <row r="5379" spans="1:17" hidden="1">
      <c r="A5379" t="s">
        <v>5484</v>
      </c>
      <c r="B5379" s="1">
        <v>45639</v>
      </c>
      <c r="C5379">
        <v>2024</v>
      </c>
      <c r="D5379">
        <v>12</v>
      </c>
      <c r="E5379" t="s">
        <v>19</v>
      </c>
      <c r="F5379" t="s">
        <v>24</v>
      </c>
      <c r="G5379" t="s">
        <v>54</v>
      </c>
      <c r="H5379" t="s">
        <v>57</v>
      </c>
      <c r="I5379">
        <v>7622.82</v>
      </c>
      <c r="J5379">
        <v>8338.7099999999991</v>
      </c>
      <c r="K5379" t="s">
        <v>17</v>
      </c>
      <c r="L5379" t="b">
        <v>0</v>
      </c>
      <c r="N5379" s="2" t="str">
        <f t="shared" ref="N5379:N5442" si="486">IF(AND(E5379="IT",K5379="EXPENSE"),I5379&gt;J5379,"")</f>
        <v/>
      </c>
      <c r="Q5379" t="str">
        <f t="shared" si="483"/>
        <v/>
      </c>
    </row>
    <row r="5380" spans="1:17" hidden="1">
      <c r="A5380" t="s">
        <v>5485</v>
      </c>
      <c r="B5380" s="1">
        <v>45639</v>
      </c>
      <c r="C5380">
        <v>2024</v>
      </c>
      <c r="D5380">
        <v>12</v>
      </c>
      <c r="E5380" t="s">
        <v>23</v>
      </c>
      <c r="F5380" t="s">
        <v>14</v>
      </c>
      <c r="G5380" t="s">
        <v>25</v>
      </c>
      <c r="H5380" t="s">
        <v>26</v>
      </c>
      <c r="I5380">
        <v>5914.31</v>
      </c>
      <c r="J5380">
        <v>6471.78</v>
      </c>
      <c r="K5380" t="s">
        <v>17</v>
      </c>
      <c r="L5380" t="b">
        <v>0</v>
      </c>
      <c r="N5380" s="2" t="str">
        <f t="shared" si="486"/>
        <v/>
      </c>
      <c r="Q5380" t="str">
        <f t="shared" si="483"/>
        <v/>
      </c>
    </row>
    <row r="5381" spans="1:17" hidden="1">
      <c r="A5381" t="s">
        <v>5486</v>
      </c>
      <c r="B5381" s="1">
        <v>45639</v>
      </c>
      <c r="C5381">
        <v>2024</v>
      </c>
      <c r="D5381">
        <v>12</v>
      </c>
      <c r="E5381" t="s">
        <v>23</v>
      </c>
      <c r="F5381" t="s">
        <v>14</v>
      </c>
      <c r="G5381" t="s">
        <v>141</v>
      </c>
      <c r="H5381" t="s">
        <v>142</v>
      </c>
      <c r="I5381">
        <v>4132.49</v>
      </c>
      <c r="J5381">
        <v>4027</v>
      </c>
      <c r="K5381" t="s">
        <v>17</v>
      </c>
      <c r="L5381" t="b">
        <v>0</v>
      </c>
      <c r="N5381" s="2" t="str">
        <f t="shared" si="486"/>
        <v/>
      </c>
      <c r="Q5381" t="str">
        <f t="shared" si="483"/>
        <v/>
      </c>
    </row>
    <row r="5382" spans="1:17" hidden="1">
      <c r="A5382" t="s">
        <v>5487</v>
      </c>
      <c r="B5382" s="1">
        <v>45639</v>
      </c>
      <c r="C5382">
        <v>2024</v>
      </c>
      <c r="D5382">
        <v>12</v>
      </c>
      <c r="E5382" t="s">
        <v>37</v>
      </c>
      <c r="F5382" t="s">
        <v>14</v>
      </c>
      <c r="G5382" t="s">
        <v>98</v>
      </c>
      <c r="H5382" t="s">
        <v>185</v>
      </c>
      <c r="I5382">
        <v>4327.63</v>
      </c>
      <c r="J5382">
        <v>4502.04</v>
      </c>
      <c r="K5382" t="s">
        <v>17</v>
      </c>
      <c r="L5382" t="b">
        <v>0</v>
      </c>
      <c r="N5382" s="2" t="str">
        <f t="shared" si="486"/>
        <v/>
      </c>
      <c r="Q5382" t="str">
        <f t="shared" si="483"/>
        <v/>
      </c>
    </row>
    <row r="5383" spans="1:17" hidden="1">
      <c r="A5383" t="s">
        <v>5488</v>
      </c>
      <c r="B5383" s="1">
        <v>45639</v>
      </c>
      <c r="C5383">
        <v>2024</v>
      </c>
      <c r="D5383">
        <v>12</v>
      </c>
      <c r="E5383" t="s">
        <v>37</v>
      </c>
      <c r="F5383" t="s">
        <v>24</v>
      </c>
      <c r="G5383" t="s">
        <v>38</v>
      </c>
      <c r="H5383" t="s">
        <v>227</v>
      </c>
      <c r="I5383">
        <v>5775.63</v>
      </c>
      <c r="J5383">
        <v>5685.93</v>
      </c>
      <c r="K5383" t="s">
        <v>17</v>
      </c>
      <c r="L5383" t="b">
        <v>0</v>
      </c>
      <c r="N5383" s="2" t="str">
        <f t="shared" si="486"/>
        <v/>
      </c>
      <c r="Q5383" t="str">
        <f t="shared" si="483"/>
        <v/>
      </c>
    </row>
    <row r="5384" spans="1:17" hidden="1">
      <c r="A5384" t="s">
        <v>5489</v>
      </c>
      <c r="B5384" s="1">
        <v>45639</v>
      </c>
      <c r="C5384">
        <v>2024</v>
      </c>
      <c r="D5384">
        <v>12</v>
      </c>
      <c r="E5384" t="s">
        <v>37</v>
      </c>
      <c r="F5384" t="s">
        <v>24</v>
      </c>
      <c r="G5384" t="s">
        <v>38</v>
      </c>
      <c r="H5384" t="s">
        <v>39</v>
      </c>
      <c r="I5384">
        <v>5351.16</v>
      </c>
      <c r="J5384">
        <v>5553.8</v>
      </c>
      <c r="K5384" t="s">
        <v>17</v>
      </c>
      <c r="L5384" t="b">
        <v>0</v>
      </c>
      <c r="N5384" s="2" t="str">
        <f t="shared" si="486"/>
        <v/>
      </c>
      <c r="Q5384" t="str">
        <f t="shared" si="483"/>
        <v/>
      </c>
    </row>
    <row r="5385" spans="1:17" hidden="1">
      <c r="A5385" t="s">
        <v>5490</v>
      </c>
      <c r="B5385" s="1">
        <v>45640</v>
      </c>
      <c r="C5385">
        <v>2024</v>
      </c>
      <c r="D5385">
        <v>12</v>
      </c>
      <c r="E5385" t="s">
        <v>13</v>
      </c>
      <c r="F5385" t="s">
        <v>14</v>
      </c>
      <c r="G5385" t="s">
        <v>15</v>
      </c>
      <c r="H5385" t="s">
        <v>89</v>
      </c>
      <c r="I5385">
        <v>2087.37</v>
      </c>
      <c r="J5385">
        <v>1963.99</v>
      </c>
      <c r="K5385" t="s">
        <v>17</v>
      </c>
      <c r="L5385" t="b">
        <v>0</v>
      </c>
      <c r="N5385" s="2" t="str">
        <f t="shared" si="486"/>
        <v/>
      </c>
      <c r="Q5385" t="str">
        <f t="shared" si="483"/>
        <v/>
      </c>
    </row>
    <row r="5386" spans="1:17" hidden="1">
      <c r="A5386" t="s">
        <v>5491</v>
      </c>
      <c r="B5386" s="1">
        <v>45640</v>
      </c>
      <c r="C5386">
        <v>2024</v>
      </c>
      <c r="D5386">
        <v>12</v>
      </c>
      <c r="E5386" t="s">
        <v>13</v>
      </c>
      <c r="F5386" t="s">
        <v>14</v>
      </c>
      <c r="G5386" t="s">
        <v>15</v>
      </c>
      <c r="H5386" t="s">
        <v>89</v>
      </c>
      <c r="I5386">
        <v>2922</v>
      </c>
      <c r="J5386">
        <v>2788.58</v>
      </c>
      <c r="K5386" t="s">
        <v>17</v>
      </c>
      <c r="L5386" t="b">
        <v>0</v>
      </c>
      <c r="N5386" s="2" t="str">
        <f t="shared" si="486"/>
        <v/>
      </c>
      <c r="Q5386" t="str">
        <f t="shared" si="483"/>
        <v/>
      </c>
    </row>
    <row r="5387" spans="1:17" hidden="1">
      <c r="A5387" t="s">
        <v>5492</v>
      </c>
      <c r="B5387" s="1">
        <v>45640</v>
      </c>
      <c r="C5387">
        <v>2024</v>
      </c>
      <c r="D5387">
        <v>12</v>
      </c>
      <c r="E5387" t="s">
        <v>13</v>
      </c>
      <c r="F5387" t="s">
        <v>24</v>
      </c>
      <c r="G5387" t="s">
        <v>68</v>
      </c>
      <c r="H5387" t="s">
        <v>213</v>
      </c>
      <c r="I5387">
        <v>2980.12</v>
      </c>
      <c r="J5387">
        <v>2874.36</v>
      </c>
      <c r="K5387" t="s">
        <v>17</v>
      </c>
      <c r="L5387" t="b">
        <v>0</v>
      </c>
      <c r="N5387" s="2" t="str">
        <f t="shared" si="486"/>
        <v/>
      </c>
      <c r="Q5387" t="str">
        <f t="shared" si="483"/>
        <v/>
      </c>
    </row>
    <row r="5388" spans="1:17" hidden="1">
      <c r="A5388" t="s">
        <v>5493</v>
      </c>
      <c r="B5388" s="1">
        <v>45640</v>
      </c>
      <c r="C5388">
        <v>2024</v>
      </c>
      <c r="D5388">
        <v>12</v>
      </c>
      <c r="E5388" t="s">
        <v>47</v>
      </c>
      <c r="F5388" t="s">
        <v>28</v>
      </c>
      <c r="G5388" t="s">
        <v>77</v>
      </c>
      <c r="H5388" t="s">
        <v>130</v>
      </c>
      <c r="I5388">
        <v>6531.17</v>
      </c>
      <c r="J5388">
        <v>5470.54</v>
      </c>
      <c r="K5388" t="s">
        <v>17</v>
      </c>
      <c r="L5388" t="b">
        <v>0</v>
      </c>
      <c r="N5388" s="2" t="b">
        <f t="shared" si="486"/>
        <v>1</v>
      </c>
      <c r="O5388" t="str">
        <f>IF(AND(E5377="HR",K5377="EXPENSE"),I5377&lt;J5377,"")</f>
        <v/>
      </c>
      <c r="Q5388" t="str">
        <f t="shared" si="483"/>
        <v/>
      </c>
    </row>
    <row r="5389" spans="1:17" hidden="1">
      <c r="A5389" t="s">
        <v>5494</v>
      </c>
      <c r="B5389" s="1">
        <v>45640</v>
      </c>
      <c r="C5389">
        <v>2024</v>
      </c>
      <c r="D5389">
        <v>12</v>
      </c>
      <c r="E5389" t="s">
        <v>19</v>
      </c>
      <c r="F5389" t="s">
        <v>24</v>
      </c>
      <c r="G5389" t="s">
        <v>54</v>
      </c>
      <c r="H5389" t="s">
        <v>55</v>
      </c>
      <c r="I5389">
        <v>6285.71</v>
      </c>
      <c r="J5389">
        <v>5871.39</v>
      </c>
      <c r="K5389" t="s">
        <v>17</v>
      </c>
      <c r="L5389" t="b">
        <v>0</v>
      </c>
      <c r="N5389" s="2" t="str">
        <f t="shared" si="486"/>
        <v/>
      </c>
      <c r="Q5389" t="str">
        <f t="shared" si="483"/>
        <v/>
      </c>
    </row>
    <row r="5390" spans="1:17" hidden="1">
      <c r="A5390" t="s">
        <v>5495</v>
      </c>
      <c r="B5390" s="1">
        <v>45640</v>
      </c>
      <c r="C5390">
        <v>2024</v>
      </c>
      <c r="D5390">
        <v>12</v>
      </c>
      <c r="E5390" t="s">
        <v>23</v>
      </c>
      <c r="F5390" t="s">
        <v>14</v>
      </c>
      <c r="G5390" t="s">
        <v>59</v>
      </c>
      <c r="H5390" t="s">
        <v>60</v>
      </c>
      <c r="I5390">
        <v>4957.08</v>
      </c>
      <c r="J5390">
        <v>4501.1400000000003</v>
      </c>
      <c r="K5390" t="s">
        <v>17</v>
      </c>
      <c r="L5390" t="b">
        <v>0</v>
      </c>
      <c r="N5390" s="2" t="str">
        <f t="shared" si="486"/>
        <v/>
      </c>
      <c r="Q5390" t="str">
        <f t="shared" si="483"/>
        <v/>
      </c>
    </row>
    <row r="5391" spans="1:17" hidden="1">
      <c r="A5391" t="s">
        <v>5496</v>
      </c>
      <c r="B5391" s="1">
        <v>45640</v>
      </c>
      <c r="C5391">
        <v>2024</v>
      </c>
      <c r="D5391">
        <v>12</v>
      </c>
      <c r="E5391" t="s">
        <v>23</v>
      </c>
      <c r="F5391" t="s">
        <v>28</v>
      </c>
      <c r="G5391" t="s">
        <v>25</v>
      </c>
      <c r="H5391" t="s">
        <v>95</v>
      </c>
      <c r="I5391">
        <v>4753.63</v>
      </c>
      <c r="J5391">
        <v>5119.93</v>
      </c>
      <c r="K5391" t="s">
        <v>17</v>
      </c>
      <c r="L5391" t="b">
        <v>0</v>
      </c>
      <c r="N5391" s="2" t="str">
        <f t="shared" si="486"/>
        <v/>
      </c>
      <c r="Q5391" t="str">
        <f t="shared" si="483"/>
        <v/>
      </c>
    </row>
    <row r="5392" spans="1:17" hidden="1">
      <c r="A5392" t="s">
        <v>5497</v>
      </c>
      <c r="B5392" s="1">
        <v>45640</v>
      </c>
      <c r="C5392">
        <v>2024</v>
      </c>
      <c r="D5392">
        <v>12</v>
      </c>
      <c r="E5392" t="s">
        <v>23</v>
      </c>
      <c r="F5392" t="s">
        <v>24</v>
      </c>
      <c r="G5392" t="s">
        <v>59</v>
      </c>
      <c r="H5392" t="s">
        <v>155</v>
      </c>
      <c r="I5392">
        <v>5222.16</v>
      </c>
      <c r="J5392">
        <v>5338.64</v>
      </c>
      <c r="K5392" t="s">
        <v>17</v>
      </c>
      <c r="L5392" t="b">
        <v>0</v>
      </c>
      <c r="N5392" s="2" t="str">
        <f t="shared" si="486"/>
        <v/>
      </c>
      <c r="Q5392" t="str">
        <f t="shared" si="483"/>
        <v/>
      </c>
    </row>
    <row r="5393" spans="1:17" hidden="1">
      <c r="A5393" t="s">
        <v>5498</v>
      </c>
      <c r="B5393" s="1">
        <v>45641</v>
      </c>
      <c r="C5393">
        <v>2024</v>
      </c>
      <c r="D5393">
        <v>12</v>
      </c>
      <c r="E5393" t="s">
        <v>37</v>
      </c>
      <c r="F5393" t="s">
        <v>28</v>
      </c>
      <c r="G5393" t="s">
        <v>38</v>
      </c>
      <c r="H5393" t="s">
        <v>227</v>
      </c>
      <c r="I5393">
        <v>5230.88</v>
      </c>
      <c r="J5393">
        <v>5241.1099999999997</v>
      </c>
      <c r="K5393" t="s">
        <v>17</v>
      </c>
      <c r="L5393" t="b">
        <v>0</v>
      </c>
      <c r="N5393" s="2" t="str">
        <f t="shared" si="486"/>
        <v/>
      </c>
      <c r="Q5393" t="str">
        <f t="shared" si="483"/>
        <v/>
      </c>
    </row>
    <row r="5394" spans="1:17" hidden="1">
      <c r="A5394" t="s">
        <v>5499</v>
      </c>
      <c r="B5394" s="1">
        <v>45641</v>
      </c>
      <c r="C5394">
        <v>2024</v>
      </c>
      <c r="D5394">
        <v>12</v>
      </c>
      <c r="E5394" t="s">
        <v>37</v>
      </c>
      <c r="F5394" t="s">
        <v>28</v>
      </c>
      <c r="G5394" t="s">
        <v>41</v>
      </c>
      <c r="H5394" t="s">
        <v>42</v>
      </c>
      <c r="I5394">
        <v>5600.17</v>
      </c>
      <c r="J5394">
        <v>5236.67</v>
      </c>
      <c r="K5394" t="s">
        <v>17</v>
      </c>
      <c r="L5394" t="b">
        <v>0</v>
      </c>
      <c r="N5394" s="2" t="str">
        <f t="shared" si="486"/>
        <v/>
      </c>
      <c r="Q5394" t="str">
        <f t="shared" si="483"/>
        <v/>
      </c>
    </row>
    <row r="5395" spans="1:17" hidden="1">
      <c r="A5395" t="s">
        <v>5500</v>
      </c>
      <c r="B5395" s="1">
        <v>45642</v>
      </c>
      <c r="C5395">
        <v>2024</v>
      </c>
      <c r="D5395">
        <v>12</v>
      </c>
      <c r="E5395" t="s">
        <v>47</v>
      </c>
      <c r="F5395" t="s">
        <v>14</v>
      </c>
      <c r="G5395" t="s">
        <v>51</v>
      </c>
      <c r="H5395" t="s">
        <v>189</v>
      </c>
      <c r="I5395">
        <v>14925</v>
      </c>
      <c r="J5395">
        <v>12670.65</v>
      </c>
      <c r="K5395" t="s">
        <v>17</v>
      </c>
      <c r="L5395" t="b">
        <v>0</v>
      </c>
      <c r="N5395" s="2" t="b">
        <f t="shared" si="486"/>
        <v>1</v>
      </c>
      <c r="O5395" t="str">
        <f t="shared" ref="O5395:O5396" si="487">IF(AND(E5384="HR",K5384="EXPENSE"),I5384&lt;J5384,"")</f>
        <v/>
      </c>
      <c r="Q5395" t="str">
        <f t="shared" si="483"/>
        <v/>
      </c>
    </row>
    <row r="5396" spans="1:17" hidden="1">
      <c r="A5396" t="s">
        <v>5501</v>
      </c>
      <c r="B5396" s="1">
        <v>45642</v>
      </c>
      <c r="C5396">
        <v>2024</v>
      </c>
      <c r="D5396">
        <v>12</v>
      </c>
      <c r="E5396" t="s">
        <v>47</v>
      </c>
      <c r="F5396" t="s">
        <v>28</v>
      </c>
      <c r="G5396" t="s">
        <v>77</v>
      </c>
      <c r="H5396" t="s">
        <v>147</v>
      </c>
      <c r="I5396">
        <v>14869.27</v>
      </c>
      <c r="J5396">
        <v>12250.29</v>
      </c>
      <c r="K5396" t="s">
        <v>17</v>
      </c>
      <c r="L5396" t="b">
        <v>0</v>
      </c>
      <c r="N5396" s="2" t="b">
        <f t="shared" si="486"/>
        <v>1</v>
      </c>
      <c r="O5396" t="b">
        <f t="shared" si="487"/>
        <v>0</v>
      </c>
      <c r="Q5396" t="str">
        <f t="shared" si="483"/>
        <v/>
      </c>
    </row>
    <row r="5397" spans="1:17" hidden="1">
      <c r="A5397" t="s">
        <v>5502</v>
      </c>
      <c r="B5397" s="1">
        <v>45642</v>
      </c>
      <c r="C5397">
        <v>2024</v>
      </c>
      <c r="D5397">
        <v>12</v>
      </c>
      <c r="E5397" t="s">
        <v>19</v>
      </c>
      <c r="F5397" t="s">
        <v>24</v>
      </c>
      <c r="G5397" t="s">
        <v>54</v>
      </c>
      <c r="H5397" t="s">
        <v>57</v>
      </c>
      <c r="I5397">
        <v>5623.49</v>
      </c>
      <c r="J5397">
        <v>6029.21</v>
      </c>
      <c r="K5397" t="s">
        <v>17</v>
      </c>
      <c r="L5397" t="b">
        <v>0</v>
      </c>
      <c r="N5397" s="2" t="str">
        <f t="shared" si="486"/>
        <v/>
      </c>
      <c r="Q5397" t="str">
        <f t="shared" si="483"/>
        <v/>
      </c>
    </row>
    <row r="5398" spans="1:17" hidden="1">
      <c r="A5398" t="s">
        <v>5503</v>
      </c>
      <c r="B5398" s="1">
        <v>45642</v>
      </c>
      <c r="C5398">
        <v>2024</v>
      </c>
      <c r="D5398">
        <v>12</v>
      </c>
      <c r="E5398" t="s">
        <v>23</v>
      </c>
      <c r="F5398" t="s">
        <v>28</v>
      </c>
      <c r="G5398" t="s">
        <v>141</v>
      </c>
      <c r="H5398" t="s">
        <v>153</v>
      </c>
      <c r="I5398">
        <v>5026.91</v>
      </c>
      <c r="J5398">
        <v>4920.51</v>
      </c>
      <c r="K5398" t="s">
        <v>17</v>
      </c>
      <c r="L5398" t="b">
        <v>0</v>
      </c>
      <c r="N5398" s="2" t="str">
        <f t="shared" si="486"/>
        <v/>
      </c>
      <c r="Q5398" t="str">
        <f t="shared" si="483"/>
        <v/>
      </c>
    </row>
    <row r="5399" spans="1:17" hidden="1">
      <c r="A5399" t="s">
        <v>5504</v>
      </c>
      <c r="B5399" s="1">
        <v>45643</v>
      </c>
      <c r="C5399">
        <v>2024</v>
      </c>
      <c r="D5399">
        <v>12</v>
      </c>
      <c r="E5399" t="s">
        <v>13</v>
      </c>
      <c r="F5399" t="s">
        <v>24</v>
      </c>
      <c r="G5399" t="s">
        <v>68</v>
      </c>
      <c r="H5399" t="s">
        <v>69</v>
      </c>
      <c r="I5399">
        <v>5676.75</v>
      </c>
      <c r="J5399">
        <v>5541.17</v>
      </c>
      <c r="K5399" t="s">
        <v>17</v>
      </c>
      <c r="L5399" t="b">
        <v>0</v>
      </c>
      <c r="N5399" s="2" t="str">
        <f t="shared" si="486"/>
        <v/>
      </c>
      <c r="Q5399" t="str">
        <f t="shared" si="483"/>
        <v/>
      </c>
    </row>
    <row r="5400" spans="1:17" hidden="1">
      <c r="A5400" t="s">
        <v>5505</v>
      </c>
      <c r="B5400" s="1">
        <v>45643</v>
      </c>
      <c r="C5400">
        <v>2024</v>
      </c>
      <c r="D5400">
        <v>12</v>
      </c>
      <c r="E5400" t="s">
        <v>47</v>
      </c>
      <c r="F5400" t="s">
        <v>14</v>
      </c>
      <c r="G5400" t="s">
        <v>51</v>
      </c>
      <c r="H5400" t="s">
        <v>72</v>
      </c>
      <c r="I5400">
        <v>20180.7</v>
      </c>
      <c r="J5400">
        <v>16621.97</v>
      </c>
      <c r="K5400" t="s">
        <v>17</v>
      </c>
      <c r="L5400" t="b">
        <v>0</v>
      </c>
      <c r="N5400" s="2" t="b">
        <f t="shared" si="486"/>
        <v>1</v>
      </c>
      <c r="O5400" t="str">
        <f t="shared" ref="O5400:O5401" si="488">IF(AND(E5389="HR",K5389="EXPENSE"),I5389&lt;J5389,"")</f>
        <v/>
      </c>
      <c r="Q5400" t="str">
        <f t="shared" si="483"/>
        <v/>
      </c>
    </row>
    <row r="5401" spans="1:17" hidden="1">
      <c r="A5401" t="s">
        <v>5506</v>
      </c>
      <c r="B5401" s="1">
        <v>45643</v>
      </c>
      <c r="C5401">
        <v>2024</v>
      </c>
      <c r="D5401">
        <v>12</v>
      </c>
      <c r="E5401" t="s">
        <v>47</v>
      </c>
      <c r="F5401" t="s">
        <v>24</v>
      </c>
      <c r="G5401" t="s">
        <v>91</v>
      </c>
      <c r="H5401" t="s">
        <v>249</v>
      </c>
      <c r="I5401">
        <v>16671.12</v>
      </c>
      <c r="J5401">
        <v>13847.2</v>
      </c>
      <c r="K5401" t="s">
        <v>17</v>
      </c>
      <c r="L5401" t="b">
        <v>0</v>
      </c>
      <c r="N5401" s="2" t="b">
        <f t="shared" si="486"/>
        <v>1</v>
      </c>
      <c r="O5401" t="str">
        <f t="shared" si="488"/>
        <v/>
      </c>
      <c r="Q5401" t="str">
        <f t="shared" si="483"/>
        <v/>
      </c>
    </row>
    <row r="5402" spans="1:17" hidden="1">
      <c r="A5402" t="s">
        <v>5507</v>
      </c>
      <c r="B5402" s="1">
        <v>45643</v>
      </c>
      <c r="C5402">
        <v>2024</v>
      </c>
      <c r="D5402">
        <v>12</v>
      </c>
      <c r="E5402" t="s">
        <v>19</v>
      </c>
      <c r="F5402" t="s">
        <v>24</v>
      </c>
      <c r="G5402" t="s">
        <v>20</v>
      </c>
      <c r="H5402" t="s">
        <v>21</v>
      </c>
      <c r="I5402">
        <v>6474.3</v>
      </c>
      <c r="J5402">
        <v>6370.79</v>
      </c>
      <c r="K5402" t="s">
        <v>17</v>
      </c>
      <c r="L5402" t="b">
        <v>0</v>
      </c>
      <c r="N5402" s="2" t="str">
        <f t="shared" si="486"/>
        <v/>
      </c>
      <c r="Q5402" t="str">
        <f t="shared" si="483"/>
        <v/>
      </c>
    </row>
    <row r="5403" spans="1:17" hidden="1">
      <c r="A5403" t="s">
        <v>5508</v>
      </c>
      <c r="B5403" s="1">
        <v>45643</v>
      </c>
      <c r="C5403">
        <v>2024</v>
      </c>
      <c r="D5403">
        <v>12</v>
      </c>
      <c r="E5403" t="s">
        <v>23</v>
      </c>
      <c r="F5403" t="s">
        <v>24</v>
      </c>
      <c r="G5403" t="s">
        <v>59</v>
      </c>
      <c r="H5403" t="s">
        <v>60</v>
      </c>
      <c r="I5403">
        <v>7368.54</v>
      </c>
      <c r="J5403">
        <v>6854.45</v>
      </c>
      <c r="K5403" t="s">
        <v>17</v>
      </c>
      <c r="L5403" t="b">
        <v>0</v>
      </c>
      <c r="N5403" s="2" t="str">
        <f t="shared" si="486"/>
        <v/>
      </c>
      <c r="Q5403" t="str">
        <f t="shared" si="483"/>
        <v/>
      </c>
    </row>
    <row r="5404" spans="1:17" hidden="1">
      <c r="A5404" t="s">
        <v>5509</v>
      </c>
      <c r="B5404" s="1">
        <v>45643</v>
      </c>
      <c r="C5404">
        <v>2024</v>
      </c>
      <c r="D5404">
        <v>12</v>
      </c>
      <c r="E5404" t="s">
        <v>37</v>
      </c>
      <c r="F5404" t="s">
        <v>14</v>
      </c>
      <c r="G5404" t="s">
        <v>62</v>
      </c>
      <c r="H5404" t="s">
        <v>360</v>
      </c>
      <c r="I5404">
        <v>4970.5</v>
      </c>
      <c r="J5404">
        <v>4928.76</v>
      </c>
      <c r="K5404" t="s">
        <v>17</v>
      </c>
      <c r="L5404" t="b">
        <v>0</v>
      </c>
      <c r="N5404" s="2" t="str">
        <f t="shared" si="486"/>
        <v/>
      </c>
      <c r="Q5404" t="str">
        <f t="shared" si="483"/>
        <v/>
      </c>
    </row>
    <row r="5405" spans="1:17" hidden="1">
      <c r="A5405" t="s">
        <v>5510</v>
      </c>
      <c r="B5405" s="1">
        <v>45644</v>
      </c>
      <c r="C5405">
        <v>2024</v>
      </c>
      <c r="D5405">
        <v>12</v>
      </c>
      <c r="E5405" t="s">
        <v>13</v>
      </c>
      <c r="F5405" t="s">
        <v>28</v>
      </c>
      <c r="G5405" t="s">
        <v>102</v>
      </c>
      <c r="H5405" t="s">
        <v>103</v>
      </c>
      <c r="I5405">
        <v>3679.3</v>
      </c>
      <c r="J5405">
        <v>4034.91</v>
      </c>
      <c r="K5405" t="s">
        <v>17</v>
      </c>
      <c r="L5405" t="b">
        <v>0</v>
      </c>
      <c r="N5405" s="2" t="str">
        <f t="shared" si="486"/>
        <v/>
      </c>
      <c r="Q5405" t="str">
        <f t="shared" si="483"/>
        <v/>
      </c>
    </row>
    <row r="5406" spans="1:17" hidden="1">
      <c r="A5406" t="s">
        <v>5511</v>
      </c>
      <c r="B5406" s="1">
        <v>45644</v>
      </c>
      <c r="C5406">
        <v>2024</v>
      </c>
      <c r="D5406">
        <v>12</v>
      </c>
      <c r="E5406" t="s">
        <v>19</v>
      </c>
      <c r="F5406" t="s">
        <v>28</v>
      </c>
      <c r="G5406" t="s">
        <v>80</v>
      </c>
      <c r="H5406" t="s">
        <v>217</v>
      </c>
      <c r="I5406">
        <v>9925.9</v>
      </c>
      <c r="J5406">
        <v>10243.540000000001</v>
      </c>
      <c r="K5406" t="s">
        <v>17</v>
      </c>
      <c r="L5406" t="b">
        <v>0</v>
      </c>
      <c r="N5406" s="2" t="str">
        <f t="shared" si="486"/>
        <v/>
      </c>
      <c r="Q5406" t="str">
        <f t="shared" si="483"/>
        <v/>
      </c>
    </row>
    <row r="5407" spans="1:17" hidden="1">
      <c r="A5407" t="s">
        <v>5512</v>
      </c>
      <c r="B5407" s="1">
        <v>45644</v>
      </c>
      <c r="C5407">
        <v>2024</v>
      </c>
      <c r="D5407">
        <v>12</v>
      </c>
      <c r="E5407" t="s">
        <v>19</v>
      </c>
      <c r="F5407" t="s">
        <v>28</v>
      </c>
      <c r="G5407" t="s">
        <v>20</v>
      </c>
      <c r="H5407" t="s">
        <v>174</v>
      </c>
      <c r="I5407">
        <v>4455.79</v>
      </c>
      <c r="J5407">
        <v>4684.47</v>
      </c>
      <c r="K5407" t="s">
        <v>17</v>
      </c>
      <c r="L5407" t="b">
        <v>0</v>
      </c>
      <c r="N5407" s="2" t="str">
        <f t="shared" si="486"/>
        <v/>
      </c>
      <c r="Q5407" t="str">
        <f t="shared" si="483"/>
        <v/>
      </c>
    </row>
    <row r="5408" spans="1:17" hidden="1">
      <c r="A5408" t="s">
        <v>5513</v>
      </c>
      <c r="B5408" s="1">
        <v>45644</v>
      </c>
      <c r="C5408">
        <v>2024</v>
      </c>
      <c r="D5408">
        <v>12</v>
      </c>
      <c r="E5408" t="s">
        <v>23</v>
      </c>
      <c r="F5408" t="s">
        <v>14</v>
      </c>
      <c r="G5408" t="s">
        <v>59</v>
      </c>
      <c r="H5408" t="s">
        <v>60</v>
      </c>
      <c r="I5408">
        <v>4125.3599999999997</v>
      </c>
      <c r="J5408">
        <v>4460.3100000000004</v>
      </c>
      <c r="K5408" t="s">
        <v>17</v>
      </c>
      <c r="L5408" t="b">
        <v>0</v>
      </c>
      <c r="N5408" s="2" t="str">
        <f t="shared" si="486"/>
        <v/>
      </c>
      <c r="Q5408" t="str">
        <f t="shared" si="483"/>
        <v/>
      </c>
    </row>
    <row r="5409" spans="1:17" hidden="1">
      <c r="A5409" t="s">
        <v>5514</v>
      </c>
      <c r="B5409" s="1">
        <v>45644</v>
      </c>
      <c r="C5409">
        <v>2024</v>
      </c>
      <c r="D5409">
        <v>12</v>
      </c>
      <c r="E5409" t="s">
        <v>37</v>
      </c>
      <c r="F5409" t="s">
        <v>14</v>
      </c>
      <c r="G5409" t="s">
        <v>98</v>
      </c>
      <c r="H5409" t="s">
        <v>99</v>
      </c>
      <c r="I5409">
        <v>3761.49</v>
      </c>
      <c r="J5409">
        <v>3810.41</v>
      </c>
      <c r="K5409" t="s">
        <v>17</v>
      </c>
      <c r="L5409" t="b">
        <v>0</v>
      </c>
      <c r="N5409" s="2" t="str">
        <f t="shared" si="486"/>
        <v/>
      </c>
      <c r="Q5409" t="str">
        <f t="shared" si="483"/>
        <v/>
      </c>
    </row>
    <row r="5410" spans="1:17" hidden="1">
      <c r="A5410" t="s">
        <v>5515</v>
      </c>
      <c r="B5410" s="1">
        <v>45644</v>
      </c>
      <c r="C5410">
        <v>2024</v>
      </c>
      <c r="D5410">
        <v>12</v>
      </c>
      <c r="E5410" t="s">
        <v>37</v>
      </c>
      <c r="F5410" t="s">
        <v>14</v>
      </c>
      <c r="G5410" t="s">
        <v>98</v>
      </c>
      <c r="H5410" t="s">
        <v>185</v>
      </c>
      <c r="I5410">
        <v>5509.77</v>
      </c>
      <c r="J5410">
        <v>5803.66</v>
      </c>
      <c r="K5410" t="s">
        <v>17</v>
      </c>
      <c r="L5410" t="b">
        <v>0</v>
      </c>
      <c r="N5410" s="2" t="str">
        <f t="shared" si="486"/>
        <v/>
      </c>
      <c r="Q5410" t="str">
        <f t="shared" si="483"/>
        <v/>
      </c>
    </row>
    <row r="5411" spans="1:17" hidden="1">
      <c r="A5411" t="s">
        <v>5516</v>
      </c>
      <c r="B5411" s="1">
        <v>45644</v>
      </c>
      <c r="C5411">
        <v>2024</v>
      </c>
      <c r="D5411">
        <v>12</v>
      </c>
      <c r="E5411" t="s">
        <v>37</v>
      </c>
      <c r="F5411" t="s">
        <v>24</v>
      </c>
      <c r="G5411" t="s">
        <v>98</v>
      </c>
      <c r="H5411" t="s">
        <v>99</v>
      </c>
      <c r="I5411">
        <v>4101.8999999999996</v>
      </c>
      <c r="J5411">
        <v>4321.78</v>
      </c>
      <c r="K5411" t="s">
        <v>17</v>
      </c>
      <c r="L5411" t="b">
        <v>0</v>
      </c>
      <c r="N5411" s="2" t="str">
        <f t="shared" si="486"/>
        <v/>
      </c>
      <c r="Q5411" t="str">
        <f t="shared" si="483"/>
        <v/>
      </c>
    </row>
    <row r="5412" spans="1:17" hidden="1">
      <c r="A5412" t="s">
        <v>5517</v>
      </c>
      <c r="B5412" s="1">
        <v>45645</v>
      </c>
      <c r="C5412">
        <v>2024</v>
      </c>
      <c r="D5412">
        <v>12</v>
      </c>
      <c r="E5412" t="s">
        <v>13</v>
      </c>
      <c r="F5412" t="s">
        <v>28</v>
      </c>
      <c r="G5412" t="s">
        <v>68</v>
      </c>
      <c r="H5412" t="s">
        <v>213</v>
      </c>
      <c r="I5412">
        <v>2581.16</v>
      </c>
      <c r="J5412">
        <v>2751.27</v>
      </c>
      <c r="K5412" t="s">
        <v>17</v>
      </c>
      <c r="L5412" t="b">
        <v>0</v>
      </c>
      <c r="N5412" s="2" t="str">
        <f t="shared" si="486"/>
        <v/>
      </c>
      <c r="Q5412" t="str">
        <f t="shared" si="483"/>
        <v/>
      </c>
    </row>
    <row r="5413" spans="1:17" hidden="1">
      <c r="A5413" t="s">
        <v>5518</v>
      </c>
      <c r="B5413" s="1">
        <v>45645</v>
      </c>
      <c r="C5413">
        <v>2024</v>
      </c>
      <c r="D5413">
        <v>12</v>
      </c>
      <c r="E5413" t="s">
        <v>19</v>
      </c>
      <c r="F5413" t="s">
        <v>14</v>
      </c>
      <c r="G5413" t="s">
        <v>80</v>
      </c>
      <c r="H5413" t="s">
        <v>150</v>
      </c>
      <c r="I5413">
        <v>5483.42</v>
      </c>
      <c r="J5413">
        <v>5723.78</v>
      </c>
      <c r="K5413" t="s">
        <v>17</v>
      </c>
      <c r="L5413" t="b">
        <v>0</v>
      </c>
      <c r="N5413" s="2" t="str">
        <f t="shared" si="486"/>
        <v/>
      </c>
      <c r="Q5413" t="str">
        <f t="shared" si="483"/>
        <v/>
      </c>
    </row>
    <row r="5414" spans="1:17" hidden="1">
      <c r="A5414" t="s">
        <v>5519</v>
      </c>
      <c r="B5414" s="1">
        <v>45645</v>
      </c>
      <c r="C5414">
        <v>2024</v>
      </c>
      <c r="D5414">
        <v>12</v>
      </c>
      <c r="E5414" t="s">
        <v>19</v>
      </c>
      <c r="F5414" t="s">
        <v>24</v>
      </c>
      <c r="G5414" t="s">
        <v>132</v>
      </c>
      <c r="H5414" t="s">
        <v>138</v>
      </c>
      <c r="I5414">
        <v>3000.13</v>
      </c>
      <c r="J5414">
        <v>2854.85</v>
      </c>
      <c r="K5414" t="s">
        <v>17</v>
      </c>
      <c r="L5414" t="b">
        <v>0</v>
      </c>
      <c r="N5414" s="2" t="str">
        <f t="shared" si="486"/>
        <v/>
      </c>
      <c r="Q5414" t="str">
        <f t="shared" si="483"/>
        <v/>
      </c>
    </row>
    <row r="5415" spans="1:17" hidden="1">
      <c r="A5415" t="s">
        <v>5520</v>
      </c>
      <c r="B5415" s="1">
        <v>45645</v>
      </c>
      <c r="C5415">
        <v>2024</v>
      </c>
      <c r="D5415">
        <v>12</v>
      </c>
      <c r="E5415" t="s">
        <v>23</v>
      </c>
      <c r="F5415" t="s">
        <v>14</v>
      </c>
      <c r="G5415" t="s">
        <v>25</v>
      </c>
      <c r="H5415" t="s">
        <v>35</v>
      </c>
      <c r="I5415">
        <v>5732.17</v>
      </c>
      <c r="J5415">
        <v>5782.9</v>
      </c>
      <c r="K5415" t="s">
        <v>17</v>
      </c>
      <c r="L5415" t="b">
        <v>0</v>
      </c>
      <c r="N5415" s="2" t="str">
        <f t="shared" si="486"/>
        <v/>
      </c>
      <c r="Q5415" t="str">
        <f t="shared" si="483"/>
        <v/>
      </c>
    </row>
    <row r="5416" spans="1:17" hidden="1">
      <c r="A5416" t="s">
        <v>5521</v>
      </c>
      <c r="B5416" s="1">
        <v>45645</v>
      </c>
      <c r="C5416">
        <v>2024</v>
      </c>
      <c r="D5416">
        <v>12</v>
      </c>
      <c r="E5416" t="s">
        <v>23</v>
      </c>
      <c r="F5416" t="s">
        <v>28</v>
      </c>
      <c r="G5416" t="s">
        <v>25</v>
      </c>
      <c r="H5416" t="s">
        <v>95</v>
      </c>
      <c r="I5416">
        <v>4763.8599999999997</v>
      </c>
      <c r="J5416">
        <v>4357.3900000000003</v>
      </c>
      <c r="K5416" t="s">
        <v>17</v>
      </c>
      <c r="L5416" t="b">
        <v>0</v>
      </c>
      <c r="N5416" s="2" t="str">
        <f t="shared" si="486"/>
        <v/>
      </c>
      <c r="Q5416" t="str">
        <f t="shared" si="483"/>
        <v/>
      </c>
    </row>
    <row r="5417" spans="1:17" hidden="1">
      <c r="A5417" t="s">
        <v>5522</v>
      </c>
      <c r="B5417" s="1">
        <v>45645</v>
      </c>
      <c r="C5417">
        <v>2024</v>
      </c>
      <c r="D5417">
        <v>12</v>
      </c>
      <c r="E5417" t="s">
        <v>37</v>
      </c>
      <c r="F5417" t="s">
        <v>14</v>
      </c>
      <c r="G5417" t="s">
        <v>98</v>
      </c>
      <c r="H5417" t="s">
        <v>185</v>
      </c>
      <c r="I5417">
        <v>1359.57</v>
      </c>
      <c r="J5417">
        <v>1370.29</v>
      </c>
      <c r="K5417" t="s">
        <v>17</v>
      </c>
      <c r="L5417" t="b">
        <v>0</v>
      </c>
      <c r="N5417" s="2" t="str">
        <f t="shared" si="486"/>
        <v/>
      </c>
      <c r="Q5417" t="str">
        <f t="shared" si="483"/>
        <v/>
      </c>
    </row>
    <row r="5418" spans="1:17" hidden="1">
      <c r="A5418" t="s">
        <v>5523</v>
      </c>
      <c r="B5418" s="1">
        <v>45645</v>
      </c>
      <c r="C5418">
        <v>2024</v>
      </c>
      <c r="D5418">
        <v>12</v>
      </c>
      <c r="E5418" t="s">
        <v>37</v>
      </c>
      <c r="F5418" t="s">
        <v>24</v>
      </c>
      <c r="G5418" t="s">
        <v>98</v>
      </c>
      <c r="H5418" t="s">
        <v>185</v>
      </c>
      <c r="I5418">
        <v>3670.93</v>
      </c>
      <c r="J5418">
        <v>3453.52</v>
      </c>
      <c r="K5418" t="s">
        <v>17</v>
      </c>
      <c r="L5418" t="b">
        <v>0</v>
      </c>
      <c r="N5418" s="2" t="str">
        <f t="shared" si="486"/>
        <v/>
      </c>
      <c r="Q5418" t="str">
        <f t="shared" si="483"/>
        <v/>
      </c>
    </row>
    <row r="5419" spans="1:17" hidden="1">
      <c r="A5419" t="s">
        <v>5524</v>
      </c>
      <c r="B5419" s="1">
        <v>45645</v>
      </c>
      <c r="C5419">
        <v>2024</v>
      </c>
      <c r="D5419">
        <v>12</v>
      </c>
      <c r="E5419" t="s">
        <v>37</v>
      </c>
      <c r="F5419" t="s">
        <v>24</v>
      </c>
      <c r="G5419" t="s">
        <v>98</v>
      </c>
      <c r="H5419" t="s">
        <v>99</v>
      </c>
      <c r="I5419">
        <v>7361.6</v>
      </c>
      <c r="J5419">
        <v>6854.24</v>
      </c>
      <c r="K5419" t="s">
        <v>17</v>
      </c>
      <c r="L5419" t="b">
        <v>0</v>
      </c>
      <c r="N5419" s="2" t="str">
        <f t="shared" si="486"/>
        <v/>
      </c>
      <c r="Q5419" t="str">
        <f t="shared" si="483"/>
        <v/>
      </c>
    </row>
    <row r="5420" spans="1:17" hidden="1">
      <c r="A5420" t="s">
        <v>5525</v>
      </c>
      <c r="B5420" s="1">
        <v>45646</v>
      </c>
      <c r="C5420">
        <v>2024</v>
      </c>
      <c r="D5420">
        <v>12</v>
      </c>
      <c r="E5420" t="s">
        <v>13</v>
      </c>
      <c r="F5420" t="s">
        <v>14</v>
      </c>
      <c r="G5420" t="s">
        <v>108</v>
      </c>
      <c r="H5420" t="s">
        <v>123</v>
      </c>
      <c r="I5420">
        <v>2602.86</v>
      </c>
      <c r="J5420">
        <v>2643.71</v>
      </c>
      <c r="K5420" t="s">
        <v>17</v>
      </c>
      <c r="L5420" t="b">
        <v>0</v>
      </c>
      <c r="N5420" s="2" t="str">
        <f t="shared" si="486"/>
        <v/>
      </c>
      <c r="Q5420" t="str">
        <f t="shared" si="483"/>
        <v/>
      </c>
    </row>
    <row r="5421" spans="1:17" hidden="1">
      <c r="A5421" t="s">
        <v>5526</v>
      </c>
      <c r="B5421" s="1">
        <v>45646</v>
      </c>
      <c r="C5421">
        <v>2024</v>
      </c>
      <c r="D5421">
        <v>12</v>
      </c>
      <c r="E5421" t="s">
        <v>13</v>
      </c>
      <c r="F5421" t="s">
        <v>24</v>
      </c>
      <c r="G5421" t="s">
        <v>108</v>
      </c>
      <c r="H5421" t="s">
        <v>123</v>
      </c>
      <c r="I5421">
        <v>4349.71</v>
      </c>
      <c r="J5421">
        <v>4445.84</v>
      </c>
      <c r="K5421" t="s">
        <v>17</v>
      </c>
      <c r="L5421" t="b">
        <v>0</v>
      </c>
      <c r="N5421" s="2" t="str">
        <f t="shared" si="486"/>
        <v/>
      </c>
      <c r="Q5421" t="str">
        <f t="shared" si="483"/>
        <v/>
      </c>
    </row>
    <row r="5422" spans="1:17" hidden="1">
      <c r="A5422" t="s">
        <v>5527</v>
      </c>
      <c r="B5422" s="1">
        <v>45646</v>
      </c>
      <c r="C5422">
        <v>2024</v>
      </c>
      <c r="D5422">
        <v>12</v>
      </c>
      <c r="E5422" t="s">
        <v>13</v>
      </c>
      <c r="F5422" t="s">
        <v>24</v>
      </c>
      <c r="G5422" t="s">
        <v>102</v>
      </c>
      <c r="H5422" t="s">
        <v>103</v>
      </c>
      <c r="I5422">
        <v>4410.03</v>
      </c>
      <c r="J5422">
        <v>4616.51</v>
      </c>
      <c r="K5422" t="s">
        <v>17</v>
      </c>
      <c r="L5422" t="b">
        <v>0</v>
      </c>
      <c r="N5422" s="2" t="str">
        <f t="shared" si="486"/>
        <v/>
      </c>
      <c r="Q5422" t="str">
        <f t="shared" si="483"/>
        <v/>
      </c>
    </row>
    <row r="5423" spans="1:17" hidden="1">
      <c r="A5423" t="s">
        <v>5528</v>
      </c>
      <c r="B5423" s="1">
        <v>45646</v>
      </c>
      <c r="C5423">
        <v>2024</v>
      </c>
      <c r="D5423">
        <v>12</v>
      </c>
      <c r="E5423" t="s">
        <v>47</v>
      </c>
      <c r="F5423" t="s">
        <v>14</v>
      </c>
      <c r="G5423" t="s">
        <v>77</v>
      </c>
      <c r="H5423" t="s">
        <v>147</v>
      </c>
      <c r="I5423">
        <v>14241.08</v>
      </c>
      <c r="J5423">
        <v>11699.91</v>
      </c>
      <c r="K5423" t="s">
        <v>17</v>
      </c>
      <c r="L5423" t="b">
        <v>0</v>
      </c>
      <c r="N5423" s="2" t="b">
        <f t="shared" si="486"/>
        <v>1</v>
      </c>
      <c r="O5423" t="b">
        <f>IF(AND(E5412="HR",K5412="EXPENSE"),I5412&lt;J5412,"")</f>
        <v>1</v>
      </c>
      <c r="Q5423" t="str">
        <f t="shared" si="483"/>
        <v/>
      </c>
    </row>
    <row r="5424" spans="1:17" hidden="1">
      <c r="A5424" t="s">
        <v>5529</v>
      </c>
      <c r="B5424" s="1">
        <v>45646</v>
      </c>
      <c r="C5424">
        <v>2024</v>
      </c>
      <c r="D5424">
        <v>12</v>
      </c>
      <c r="E5424" t="s">
        <v>19</v>
      </c>
      <c r="F5424" t="s">
        <v>24</v>
      </c>
      <c r="G5424" t="s">
        <v>20</v>
      </c>
      <c r="H5424" t="s">
        <v>21</v>
      </c>
      <c r="I5424">
        <v>6601.66</v>
      </c>
      <c r="J5424">
        <v>7172.4</v>
      </c>
      <c r="K5424" t="s">
        <v>17</v>
      </c>
      <c r="L5424" t="b">
        <v>0</v>
      </c>
      <c r="N5424" s="2" t="str">
        <f t="shared" si="486"/>
        <v/>
      </c>
      <c r="Q5424" t="str">
        <f t="shared" ref="Q5424:Q5487" si="489">IF(L5424=TRUE,OR(H5424="Apex Solutions Inc",H5424="Global Trade Partners",H5424="NovaTech Services"),"")</f>
        <v/>
      </c>
    </row>
    <row r="5425" spans="1:17" hidden="1">
      <c r="A5425" t="s">
        <v>5530</v>
      </c>
      <c r="B5425" s="1">
        <v>45646</v>
      </c>
      <c r="C5425">
        <v>2024</v>
      </c>
      <c r="D5425">
        <v>12</v>
      </c>
      <c r="E5425" t="s">
        <v>23</v>
      </c>
      <c r="F5425" t="s">
        <v>28</v>
      </c>
      <c r="G5425" t="s">
        <v>59</v>
      </c>
      <c r="H5425" t="s">
        <v>155</v>
      </c>
      <c r="I5425">
        <v>4289.2700000000004</v>
      </c>
      <c r="J5425">
        <v>4517.53</v>
      </c>
      <c r="K5425" t="s">
        <v>17</v>
      </c>
      <c r="L5425" t="b">
        <v>0</v>
      </c>
      <c r="N5425" s="2" t="str">
        <f t="shared" si="486"/>
        <v/>
      </c>
      <c r="Q5425" t="str">
        <f t="shared" si="489"/>
        <v/>
      </c>
    </row>
    <row r="5426" spans="1:17" hidden="1">
      <c r="A5426" t="s">
        <v>5531</v>
      </c>
      <c r="B5426" s="1">
        <v>45646</v>
      </c>
      <c r="C5426">
        <v>2024</v>
      </c>
      <c r="D5426">
        <v>12</v>
      </c>
      <c r="E5426" t="s">
        <v>37</v>
      </c>
      <c r="F5426" t="s">
        <v>14</v>
      </c>
      <c r="G5426" t="s">
        <v>98</v>
      </c>
      <c r="H5426" t="s">
        <v>99</v>
      </c>
      <c r="I5426">
        <v>3761.96</v>
      </c>
      <c r="J5426">
        <v>4058.93</v>
      </c>
      <c r="K5426" t="s">
        <v>17</v>
      </c>
      <c r="L5426" t="b">
        <v>0</v>
      </c>
      <c r="N5426" s="2" t="str">
        <f t="shared" si="486"/>
        <v/>
      </c>
      <c r="Q5426" t="str">
        <f t="shared" si="489"/>
        <v/>
      </c>
    </row>
    <row r="5427" spans="1:17" hidden="1">
      <c r="A5427" t="s">
        <v>5532</v>
      </c>
      <c r="B5427" s="1">
        <v>45647</v>
      </c>
      <c r="C5427">
        <v>2024</v>
      </c>
      <c r="D5427">
        <v>12</v>
      </c>
      <c r="E5427" t="s">
        <v>13</v>
      </c>
      <c r="F5427" t="s">
        <v>24</v>
      </c>
      <c r="G5427" t="s">
        <v>15</v>
      </c>
      <c r="H5427" t="s">
        <v>89</v>
      </c>
      <c r="I5427">
        <v>3377.9</v>
      </c>
      <c r="J5427">
        <v>3054.35</v>
      </c>
      <c r="K5427" t="s">
        <v>17</v>
      </c>
      <c r="L5427" t="b">
        <v>0</v>
      </c>
      <c r="N5427" s="2" t="str">
        <f t="shared" si="486"/>
        <v/>
      </c>
      <c r="Q5427" t="str">
        <f t="shared" si="489"/>
        <v/>
      </c>
    </row>
    <row r="5428" spans="1:17" hidden="1">
      <c r="A5428" t="s">
        <v>5533</v>
      </c>
      <c r="B5428" s="1">
        <v>45647</v>
      </c>
      <c r="C5428">
        <v>2024</v>
      </c>
      <c r="D5428">
        <v>12</v>
      </c>
      <c r="E5428" t="s">
        <v>19</v>
      </c>
      <c r="F5428" t="s">
        <v>28</v>
      </c>
      <c r="G5428" t="s">
        <v>20</v>
      </c>
      <c r="H5428" t="s">
        <v>174</v>
      </c>
      <c r="I5428">
        <v>2410.62</v>
      </c>
      <c r="J5428">
        <v>2318.4499999999998</v>
      </c>
      <c r="K5428" t="s">
        <v>17</v>
      </c>
      <c r="L5428" t="b">
        <v>0</v>
      </c>
      <c r="N5428" s="2" t="str">
        <f t="shared" si="486"/>
        <v/>
      </c>
      <c r="Q5428" t="str">
        <f t="shared" si="489"/>
        <v/>
      </c>
    </row>
    <row r="5429" spans="1:17" hidden="1">
      <c r="A5429" t="s">
        <v>5534</v>
      </c>
      <c r="B5429" s="1">
        <v>45647</v>
      </c>
      <c r="C5429">
        <v>2024</v>
      </c>
      <c r="D5429">
        <v>12</v>
      </c>
      <c r="E5429" t="s">
        <v>37</v>
      </c>
      <c r="F5429" t="s">
        <v>14</v>
      </c>
      <c r="G5429" t="s">
        <v>62</v>
      </c>
      <c r="H5429" t="s">
        <v>66</v>
      </c>
      <c r="I5429">
        <v>4123.8900000000003</v>
      </c>
      <c r="J5429">
        <v>3712.92</v>
      </c>
      <c r="K5429" t="s">
        <v>17</v>
      </c>
      <c r="L5429" t="b">
        <v>0</v>
      </c>
      <c r="N5429" s="2" t="str">
        <f t="shared" si="486"/>
        <v/>
      </c>
      <c r="Q5429" t="str">
        <f t="shared" si="489"/>
        <v/>
      </c>
    </row>
    <row r="5430" spans="1:17" hidden="1">
      <c r="A5430" t="s">
        <v>5535</v>
      </c>
      <c r="B5430" s="1">
        <v>45647</v>
      </c>
      <c r="C5430">
        <v>2024</v>
      </c>
      <c r="D5430">
        <v>12</v>
      </c>
      <c r="E5430" t="s">
        <v>37</v>
      </c>
      <c r="F5430" t="s">
        <v>24</v>
      </c>
      <c r="G5430" t="s">
        <v>83</v>
      </c>
      <c r="H5430" t="s">
        <v>84</v>
      </c>
      <c r="I5430">
        <v>155535.14000000001</v>
      </c>
      <c r="J5430">
        <v>147758.38</v>
      </c>
      <c r="K5430" t="s">
        <v>85</v>
      </c>
      <c r="L5430" t="b">
        <v>0</v>
      </c>
      <c r="N5430" s="2" t="str">
        <f t="shared" si="486"/>
        <v/>
      </c>
      <c r="Q5430" t="str">
        <f t="shared" si="489"/>
        <v/>
      </c>
    </row>
    <row r="5431" spans="1:17" hidden="1">
      <c r="A5431" t="s">
        <v>5536</v>
      </c>
      <c r="B5431" s="1">
        <v>45648</v>
      </c>
      <c r="C5431">
        <v>2024</v>
      </c>
      <c r="D5431">
        <v>12</v>
      </c>
      <c r="E5431" t="s">
        <v>13</v>
      </c>
      <c r="F5431" t="s">
        <v>28</v>
      </c>
      <c r="G5431" t="s">
        <v>15</v>
      </c>
      <c r="H5431" t="s">
        <v>89</v>
      </c>
      <c r="I5431">
        <v>5278.6</v>
      </c>
      <c r="J5431">
        <v>4830.6000000000004</v>
      </c>
      <c r="K5431" t="s">
        <v>17</v>
      </c>
      <c r="L5431" t="b">
        <v>0</v>
      </c>
      <c r="N5431" s="2" t="str">
        <f t="shared" si="486"/>
        <v/>
      </c>
      <c r="Q5431" t="str">
        <f t="shared" si="489"/>
        <v/>
      </c>
    </row>
    <row r="5432" spans="1:17" hidden="1">
      <c r="A5432" t="s">
        <v>5537</v>
      </c>
      <c r="B5432" s="1">
        <v>45648</v>
      </c>
      <c r="C5432">
        <v>2024</v>
      </c>
      <c r="D5432">
        <v>12</v>
      </c>
      <c r="E5432" t="s">
        <v>19</v>
      </c>
      <c r="F5432" t="s">
        <v>14</v>
      </c>
      <c r="G5432" t="s">
        <v>132</v>
      </c>
      <c r="H5432" t="s">
        <v>133</v>
      </c>
      <c r="I5432">
        <v>4247.96</v>
      </c>
      <c r="J5432">
        <v>4121.82</v>
      </c>
      <c r="K5432" t="s">
        <v>17</v>
      </c>
      <c r="L5432" t="b">
        <v>0</v>
      </c>
      <c r="N5432" s="2" t="str">
        <f t="shared" si="486"/>
        <v/>
      </c>
      <c r="Q5432" t="str">
        <f t="shared" si="489"/>
        <v/>
      </c>
    </row>
    <row r="5433" spans="1:17" hidden="1">
      <c r="A5433" t="s">
        <v>5538</v>
      </c>
      <c r="B5433" s="1">
        <v>45648</v>
      </c>
      <c r="C5433">
        <v>2024</v>
      </c>
      <c r="D5433">
        <v>12</v>
      </c>
      <c r="E5433" t="s">
        <v>19</v>
      </c>
      <c r="F5433" t="s">
        <v>28</v>
      </c>
      <c r="G5433" t="s">
        <v>80</v>
      </c>
      <c r="H5433" t="s">
        <v>150</v>
      </c>
      <c r="I5433">
        <v>4395.74</v>
      </c>
      <c r="J5433">
        <v>4575.8100000000004</v>
      </c>
      <c r="K5433" t="s">
        <v>17</v>
      </c>
      <c r="L5433" t="b">
        <v>0</v>
      </c>
      <c r="N5433" s="2" t="str">
        <f t="shared" si="486"/>
        <v/>
      </c>
      <c r="Q5433" t="str">
        <f t="shared" si="489"/>
        <v/>
      </c>
    </row>
    <row r="5434" spans="1:17" hidden="1">
      <c r="A5434" t="s">
        <v>5539</v>
      </c>
      <c r="B5434" s="1">
        <v>45648</v>
      </c>
      <c r="C5434">
        <v>2024</v>
      </c>
      <c r="D5434">
        <v>12</v>
      </c>
      <c r="E5434" t="s">
        <v>19</v>
      </c>
      <c r="F5434" t="s">
        <v>24</v>
      </c>
      <c r="G5434" t="s">
        <v>20</v>
      </c>
      <c r="H5434" t="s">
        <v>21</v>
      </c>
      <c r="I5434">
        <v>7079.56</v>
      </c>
      <c r="J5434">
        <v>6511.43</v>
      </c>
      <c r="K5434" t="s">
        <v>17</v>
      </c>
      <c r="L5434" t="b">
        <v>0</v>
      </c>
      <c r="N5434" s="2" t="str">
        <f t="shared" si="486"/>
        <v/>
      </c>
      <c r="Q5434" t="str">
        <f t="shared" si="489"/>
        <v/>
      </c>
    </row>
    <row r="5435" spans="1:17" hidden="1">
      <c r="A5435" t="s">
        <v>5540</v>
      </c>
      <c r="B5435" s="1">
        <v>45648</v>
      </c>
      <c r="C5435">
        <v>2024</v>
      </c>
      <c r="D5435">
        <v>12</v>
      </c>
      <c r="E5435" t="s">
        <v>37</v>
      </c>
      <c r="F5435" t="s">
        <v>14</v>
      </c>
      <c r="G5435" t="s">
        <v>98</v>
      </c>
      <c r="H5435" t="s">
        <v>185</v>
      </c>
      <c r="I5435">
        <v>3989.23</v>
      </c>
      <c r="J5435">
        <v>3685.33</v>
      </c>
      <c r="K5435" t="s">
        <v>17</v>
      </c>
      <c r="L5435" t="b">
        <v>0</v>
      </c>
      <c r="N5435" s="2" t="str">
        <f t="shared" si="486"/>
        <v/>
      </c>
      <c r="Q5435" t="str">
        <f t="shared" si="489"/>
        <v/>
      </c>
    </row>
    <row r="5436" spans="1:17" hidden="1">
      <c r="A5436" t="s">
        <v>5541</v>
      </c>
      <c r="B5436" s="1">
        <v>45649</v>
      </c>
      <c r="C5436">
        <v>2024</v>
      </c>
      <c r="D5436">
        <v>12</v>
      </c>
      <c r="E5436" t="s">
        <v>13</v>
      </c>
      <c r="F5436" t="s">
        <v>28</v>
      </c>
      <c r="G5436" t="s">
        <v>108</v>
      </c>
      <c r="H5436" t="s">
        <v>109</v>
      </c>
      <c r="I5436">
        <v>4762.4799999999996</v>
      </c>
      <c r="J5436">
        <v>5177.4399999999996</v>
      </c>
      <c r="K5436" t="s">
        <v>17</v>
      </c>
      <c r="L5436" t="b">
        <v>0</v>
      </c>
      <c r="N5436" s="2" t="str">
        <f t="shared" si="486"/>
        <v/>
      </c>
      <c r="Q5436" t="str">
        <f t="shared" si="489"/>
        <v/>
      </c>
    </row>
    <row r="5437" spans="1:17" hidden="1">
      <c r="A5437" t="s">
        <v>5542</v>
      </c>
      <c r="B5437" s="1">
        <v>45649</v>
      </c>
      <c r="C5437">
        <v>2024</v>
      </c>
      <c r="D5437">
        <v>12</v>
      </c>
      <c r="E5437" t="s">
        <v>47</v>
      </c>
      <c r="F5437" t="s">
        <v>14</v>
      </c>
      <c r="G5437" t="s">
        <v>51</v>
      </c>
      <c r="H5437" t="s">
        <v>52</v>
      </c>
      <c r="I5437">
        <v>17928.43</v>
      </c>
      <c r="J5437">
        <v>15581.21</v>
      </c>
      <c r="K5437" t="s">
        <v>17</v>
      </c>
      <c r="L5437" t="b">
        <v>0</v>
      </c>
      <c r="N5437" s="2" t="b">
        <f t="shared" si="486"/>
        <v>1</v>
      </c>
      <c r="O5437" t="str">
        <f>IF(AND(E5426="HR",K5426="EXPENSE"),I5426&lt;J5426,"")</f>
        <v/>
      </c>
      <c r="Q5437" t="str">
        <f t="shared" si="489"/>
        <v/>
      </c>
    </row>
    <row r="5438" spans="1:17" hidden="1">
      <c r="A5438" t="s">
        <v>5543</v>
      </c>
      <c r="B5438" s="1">
        <v>45649</v>
      </c>
      <c r="C5438">
        <v>2024</v>
      </c>
      <c r="D5438">
        <v>12</v>
      </c>
      <c r="E5438" t="s">
        <v>19</v>
      </c>
      <c r="F5438" t="s">
        <v>14</v>
      </c>
      <c r="G5438" t="s">
        <v>132</v>
      </c>
      <c r="H5438" t="s">
        <v>133</v>
      </c>
      <c r="I5438">
        <v>3960.04</v>
      </c>
      <c r="J5438">
        <v>4075.69</v>
      </c>
      <c r="K5438" t="s">
        <v>17</v>
      </c>
      <c r="L5438" t="b">
        <v>0</v>
      </c>
      <c r="N5438" s="2" t="str">
        <f t="shared" si="486"/>
        <v/>
      </c>
      <c r="Q5438" t="str">
        <f t="shared" si="489"/>
        <v/>
      </c>
    </row>
    <row r="5439" spans="1:17" hidden="1">
      <c r="A5439" t="s">
        <v>5544</v>
      </c>
      <c r="B5439" s="1">
        <v>45649</v>
      </c>
      <c r="C5439">
        <v>2024</v>
      </c>
      <c r="D5439">
        <v>12</v>
      </c>
      <c r="E5439" t="s">
        <v>19</v>
      </c>
      <c r="F5439" t="s">
        <v>28</v>
      </c>
      <c r="G5439" t="s">
        <v>54</v>
      </c>
      <c r="H5439" t="s">
        <v>163</v>
      </c>
      <c r="I5439">
        <v>4310.83</v>
      </c>
      <c r="J5439">
        <v>3904.58</v>
      </c>
      <c r="K5439" t="s">
        <v>17</v>
      </c>
      <c r="L5439" t="b">
        <v>0</v>
      </c>
      <c r="N5439" s="2" t="str">
        <f t="shared" si="486"/>
        <v/>
      </c>
      <c r="Q5439" t="str">
        <f t="shared" si="489"/>
        <v/>
      </c>
    </row>
    <row r="5440" spans="1:17" hidden="1">
      <c r="A5440" t="s">
        <v>5545</v>
      </c>
      <c r="B5440" s="1">
        <v>45649</v>
      </c>
      <c r="C5440">
        <v>2024</v>
      </c>
      <c r="D5440">
        <v>12</v>
      </c>
      <c r="E5440" t="s">
        <v>19</v>
      </c>
      <c r="F5440" t="s">
        <v>28</v>
      </c>
      <c r="G5440" t="s">
        <v>80</v>
      </c>
      <c r="H5440" t="s">
        <v>81</v>
      </c>
      <c r="I5440">
        <v>7775.6</v>
      </c>
      <c r="J5440">
        <v>7643.15</v>
      </c>
      <c r="K5440" t="s">
        <v>17</v>
      </c>
      <c r="L5440" t="b">
        <v>0</v>
      </c>
      <c r="N5440" s="2" t="str">
        <f t="shared" si="486"/>
        <v/>
      </c>
      <c r="Q5440" t="str">
        <f t="shared" si="489"/>
        <v/>
      </c>
    </row>
    <row r="5441" spans="1:17" hidden="1">
      <c r="A5441" t="s">
        <v>5546</v>
      </c>
      <c r="B5441" s="1">
        <v>45649</v>
      </c>
      <c r="C5441">
        <v>2024</v>
      </c>
      <c r="D5441">
        <v>12</v>
      </c>
      <c r="E5441" t="s">
        <v>19</v>
      </c>
      <c r="F5441" t="s">
        <v>28</v>
      </c>
      <c r="G5441" t="s">
        <v>132</v>
      </c>
      <c r="H5441" t="s">
        <v>171</v>
      </c>
      <c r="I5441">
        <v>4793.8</v>
      </c>
      <c r="J5441">
        <v>4764.32</v>
      </c>
      <c r="K5441" t="s">
        <v>17</v>
      </c>
      <c r="L5441" t="b">
        <v>0</v>
      </c>
      <c r="N5441" s="2" t="str">
        <f t="shared" si="486"/>
        <v/>
      </c>
      <c r="Q5441" t="str">
        <f t="shared" si="489"/>
        <v/>
      </c>
    </row>
    <row r="5442" spans="1:17" hidden="1">
      <c r="A5442" t="s">
        <v>5547</v>
      </c>
      <c r="B5442" s="1">
        <v>45649</v>
      </c>
      <c r="C5442">
        <v>2024</v>
      </c>
      <c r="D5442">
        <v>12</v>
      </c>
      <c r="E5442" t="s">
        <v>23</v>
      </c>
      <c r="F5442" t="s">
        <v>14</v>
      </c>
      <c r="G5442" t="s">
        <v>30</v>
      </c>
      <c r="H5442" t="s">
        <v>33</v>
      </c>
      <c r="I5442">
        <v>4273.95</v>
      </c>
      <c r="J5442">
        <v>3944.28</v>
      </c>
      <c r="K5442" t="s">
        <v>17</v>
      </c>
      <c r="L5442" t="b">
        <v>0</v>
      </c>
      <c r="N5442" s="2" t="str">
        <f t="shared" si="486"/>
        <v/>
      </c>
      <c r="Q5442" t="str">
        <f t="shared" si="489"/>
        <v/>
      </c>
    </row>
    <row r="5443" spans="1:17" hidden="1">
      <c r="A5443" t="s">
        <v>5548</v>
      </c>
      <c r="B5443" s="1">
        <v>45649</v>
      </c>
      <c r="C5443">
        <v>2024</v>
      </c>
      <c r="D5443">
        <v>12</v>
      </c>
      <c r="E5443" t="s">
        <v>23</v>
      </c>
      <c r="F5443" t="s">
        <v>28</v>
      </c>
      <c r="G5443" t="s">
        <v>25</v>
      </c>
      <c r="H5443" t="s">
        <v>95</v>
      </c>
      <c r="I5443">
        <v>2369.4499999999998</v>
      </c>
      <c r="J5443">
        <v>2346.33</v>
      </c>
      <c r="K5443" t="s">
        <v>17</v>
      </c>
      <c r="L5443" t="b">
        <v>0</v>
      </c>
      <c r="N5443" s="2" t="str">
        <f t="shared" ref="N5443:N5506" si="490">IF(AND(E5443="IT",K5443="EXPENSE"),I5443&gt;J5443,"")</f>
        <v/>
      </c>
      <c r="Q5443" t="str">
        <f t="shared" si="489"/>
        <v/>
      </c>
    </row>
    <row r="5444" spans="1:17" hidden="1">
      <c r="A5444" t="s">
        <v>5549</v>
      </c>
      <c r="B5444" s="1">
        <v>45649</v>
      </c>
      <c r="C5444">
        <v>2024</v>
      </c>
      <c r="D5444">
        <v>12</v>
      </c>
      <c r="E5444" t="s">
        <v>37</v>
      </c>
      <c r="F5444" t="s">
        <v>28</v>
      </c>
      <c r="G5444" t="s">
        <v>41</v>
      </c>
      <c r="H5444" t="s">
        <v>42</v>
      </c>
      <c r="I5444">
        <v>5644.37</v>
      </c>
      <c r="J5444">
        <v>5251.15</v>
      </c>
      <c r="K5444" t="s">
        <v>17</v>
      </c>
      <c r="L5444" t="b">
        <v>0</v>
      </c>
      <c r="N5444" s="2" t="str">
        <f t="shared" si="490"/>
        <v/>
      </c>
      <c r="Q5444" t="str">
        <f t="shared" si="489"/>
        <v/>
      </c>
    </row>
    <row r="5445" spans="1:17" hidden="1">
      <c r="A5445" t="s">
        <v>5550</v>
      </c>
      <c r="B5445" s="1">
        <v>45649</v>
      </c>
      <c r="C5445">
        <v>2024</v>
      </c>
      <c r="D5445">
        <v>12</v>
      </c>
      <c r="E5445" t="s">
        <v>37</v>
      </c>
      <c r="F5445" t="s">
        <v>24</v>
      </c>
      <c r="G5445" t="s">
        <v>41</v>
      </c>
      <c r="H5445" t="s">
        <v>42</v>
      </c>
      <c r="I5445">
        <v>5969.59</v>
      </c>
      <c r="J5445">
        <v>5377.99</v>
      </c>
      <c r="K5445" t="s">
        <v>17</v>
      </c>
      <c r="L5445" t="b">
        <v>0</v>
      </c>
      <c r="N5445" s="2" t="str">
        <f t="shared" si="490"/>
        <v/>
      </c>
      <c r="Q5445" t="str">
        <f t="shared" si="489"/>
        <v/>
      </c>
    </row>
    <row r="5446" spans="1:17" hidden="1">
      <c r="A5446" t="s">
        <v>5551</v>
      </c>
      <c r="B5446" s="1">
        <v>45650</v>
      </c>
      <c r="C5446">
        <v>2024</v>
      </c>
      <c r="D5446">
        <v>12</v>
      </c>
      <c r="E5446" t="s">
        <v>13</v>
      </c>
      <c r="F5446" t="s">
        <v>14</v>
      </c>
      <c r="G5446" t="s">
        <v>15</v>
      </c>
      <c r="H5446" t="s">
        <v>16</v>
      </c>
      <c r="I5446">
        <v>3206.71</v>
      </c>
      <c r="J5446">
        <v>2939.98</v>
      </c>
      <c r="K5446" t="s">
        <v>17</v>
      </c>
      <c r="L5446" t="b">
        <v>0</v>
      </c>
      <c r="N5446" s="2" t="str">
        <f t="shared" si="490"/>
        <v/>
      </c>
      <c r="Q5446" t="str">
        <f t="shared" si="489"/>
        <v/>
      </c>
    </row>
    <row r="5447" spans="1:17" hidden="1">
      <c r="A5447" t="s">
        <v>5552</v>
      </c>
      <c r="B5447" s="1">
        <v>45650</v>
      </c>
      <c r="C5447">
        <v>2024</v>
      </c>
      <c r="D5447">
        <v>12</v>
      </c>
      <c r="E5447" t="s">
        <v>13</v>
      </c>
      <c r="F5447" t="s">
        <v>14</v>
      </c>
      <c r="G5447" t="s">
        <v>68</v>
      </c>
      <c r="H5447" t="s">
        <v>69</v>
      </c>
      <c r="I5447">
        <v>1996.08</v>
      </c>
      <c r="J5447">
        <v>1851.6</v>
      </c>
      <c r="K5447" t="s">
        <v>17</v>
      </c>
      <c r="L5447" t="b">
        <v>0</v>
      </c>
      <c r="N5447" s="2" t="str">
        <f t="shared" si="490"/>
        <v/>
      </c>
      <c r="Q5447" t="str">
        <f t="shared" si="489"/>
        <v/>
      </c>
    </row>
    <row r="5448" spans="1:17" hidden="1">
      <c r="A5448" t="s">
        <v>5553</v>
      </c>
      <c r="B5448" s="1">
        <v>45650</v>
      </c>
      <c r="C5448">
        <v>2024</v>
      </c>
      <c r="D5448">
        <v>12</v>
      </c>
      <c r="E5448" t="s">
        <v>47</v>
      </c>
      <c r="F5448" t="s">
        <v>24</v>
      </c>
      <c r="G5448" t="s">
        <v>48</v>
      </c>
      <c r="H5448" t="s">
        <v>75</v>
      </c>
      <c r="I5448">
        <v>25596.66</v>
      </c>
      <c r="J5448">
        <v>22007.23</v>
      </c>
      <c r="K5448" t="s">
        <v>17</v>
      </c>
      <c r="L5448" t="b">
        <v>0</v>
      </c>
      <c r="N5448" s="2" t="b">
        <f t="shared" si="490"/>
        <v>1</v>
      </c>
      <c r="O5448" t="str">
        <f>IF(AND(E5437="HR",K5437="EXPENSE"),I5437&lt;J5437,"")</f>
        <v/>
      </c>
      <c r="Q5448" t="str">
        <f t="shared" si="489"/>
        <v/>
      </c>
    </row>
    <row r="5449" spans="1:17" hidden="1">
      <c r="A5449" t="s">
        <v>5554</v>
      </c>
      <c r="B5449" s="1">
        <v>45650</v>
      </c>
      <c r="C5449">
        <v>2024</v>
      </c>
      <c r="D5449">
        <v>12</v>
      </c>
      <c r="E5449" t="s">
        <v>19</v>
      </c>
      <c r="F5449" t="s">
        <v>24</v>
      </c>
      <c r="G5449" t="s">
        <v>132</v>
      </c>
      <c r="H5449" t="s">
        <v>133</v>
      </c>
      <c r="I5449">
        <v>4762.67</v>
      </c>
      <c r="J5449">
        <v>4622.1400000000003</v>
      </c>
      <c r="K5449" t="s">
        <v>17</v>
      </c>
      <c r="L5449" t="b">
        <v>0</v>
      </c>
      <c r="N5449" s="2" t="str">
        <f t="shared" si="490"/>
        <v/>
      </c>
      <c r="Q5449" t="str">
        <f t="shared" si="489"/>
        <v/>
      </c>
    </row>
    <row r="5450" spans="1:17" hidden="1">
      <c r="A5450" t="s">
        <v>5555</v>
      </c>
      <c r="B5450" s="1">
        <v>45650</v>
      </c>
      <c r="C5450">
        <v>2024</v>
      </c>
      <c r="D5450">
        <v>12</v>
      </c>
      <c r="E5450" t="s">
        <v>19</v>
      </c>
      <c r="F5450" t="s">
        <v>24</v>
      </c>
      <c r="G5450" t="s">
        <v>20</v>
      </c>
      <c r="H5450" t="s">
        <v>174</v>
      </c>
      <c r="I5450">
        <v>6366.87</v>
      </c>
      <c r="J5450">
        <v>5828.6</v>
      </c>
      <c r="K5450" t="s">
        <v>17</v>
      </c>
      <c r="L5450" t="b">
        <v>0</v>
      </c>
      <c r="N5450" s="2" t="str">
        <f t="shared" si="490"/>
        <v/>
      </c>
      <c r="Q5450" t="str">
        <f t="shared" si="489"/>
        <v/>
      </c>
    </row>
    <row r="5451" spans="1:17" hidden="1">
      <c r="A5451" t="s">
        <v>5556</v>
      </c>
      <c r="B5451" s="1">
        <v>45650</v>
      </c>
      <c r="C5451">
        <v>2024</v>
      </c>
      <c r="D5451">
        <v>12</v>
      </c>
      <c r="E5451" t="s">
        <v>23</v>
      </c>
      <c r="F5451" t="s">
        <v>14</v>
      </c>
      <c r="G5451" t="s">
        <v>25</v>
      </c>
      <c r="H5451" t="s">
        <v>26</v>
      </c>
      <c r="I5451">
        <v>4387.03</v>
      </c>
      <c r="J5451">
        <v>4677.57</v>
      </c>
      <c r="K5451" t="s">
        <v>17</v>
      </c>
      <c r="L5451" t="b">
        <v>0</v>
      </c>
      <c r="N5451" s="2" t="str">
        <f t="shared" si="490"/>
        <v/>
      </c>
      <c r="Q5451" t="str">
        <f t="shared" si="489"/>
        <v/>
      </c>
    </row>
    <row r="5452" spans="1:17" hidden="1">
      <c r="A5452" t="s">
        <v>5557</v>
      </c>
      <c r="B5452" s="1">
        <v>45650</v>
      </c>
      <c r="C5452">
        <v>2024</v>
      </c>
      <c r="D5452">
        <v>12</v>
      </c>
      <c r="E5452" t="s">
        <v>23</v>
      </c>
      <c r="F5452" t="s">
        <v>28</v>
      </c>
      <c r="G5452" t="s">
        <v>25</v>
      </c>
      <c r="H5452" t="s">
        <v>95</v>
      </c>
      <c r="I5452">
        <v>4603.17</v>
      </c>
      <c r="J5452">
        <v>4335.95</v>
      </c>
      <c r="K5452" t="s">
        <v>17</v>
      </c>
      <c r="L5452" t="b">
        <v>0</v>
      </c>
      <c r="N5452" s="2" t="str">
        <f t="shared" si="490"/>
        <v/>
      </c>
      <c r="Q5452" t="str">
        <f t="shared" si="489"/>
        <v/>
      </c>
    </row>
    <row r="5453" spans="1:17" hidden="1">
      <c r="A5453" t="s">
        <v>5558</v>
      </c>
      <c r="B5453" s="1">
        <v>45650</v>
      </c>
      <c r="C5453">
        <v>2024</v>
      </c>
      <c r="D5453">
        <v>12</v>
      </c>
      <c r="E5453" t="s">
        <v>23</v>
      </c>
      <c r="F5453" t="s">
        <v>24</v>
      </c>
      <c r="G5453" t="s">
        <v>59</v>
      </c>
      <c r="H5453" t="s">
        <v>60</v>
      </c>
      <c r="I5453">
        <v>6012.81</v>
      </c>
      <c r="J5453">
        <v>5804.88</v>
      </c>
      <c r="K5453" t="s">
        <v>17</v>
      </c>
      <c r="L5453" t="b">
        <v>0</v>
      </c>
      <c r="N5453" s="2" t="str">
        <f t="shared" si="490"/>
        <v/>
      </c>
      <c r="Q5453" t="str">
        <f t="shared" si="489"/>
        <v/>
      </c>
    </row>
    <row r="5454" spans="1:17" hidden="1">
      <c r="A5454" t="s">
        <v>5559</v>
      </c>
      <c r="B5454" s="1">
        <v>45650</v>
      </c>
      <c r="C5454">
        <v>2024</v>
      </c>
      <c r="D5454">
        <v>12</v>
      </c>
      <c r="E5454" t="s">
        <v>37</v>
      </c>
      <c r="F5454" t="s">
        <v>14</v>
      </c>
      <c r="G5454" t="s">
        <v>62</v>
      </c>
      <c r="H5454" t="s">
        <v>63</v>
      </c>
      <c r="I5454">
        <v>5638.18</v>
      </c>
      <c r="J5454">
        <v>6049.41</v>
      </c>
      <c r="K5454" t="s">
        <v>17</v>
      </c>
      <c r="L5454" t="b">
        <v>0</v>
      </c>
      <c r="N5454" s="2" t="str">
        <f t="shared" si="490"/>
        <v/>
      </c>
      <c r="Q5454" t="str">
        <f t="shared" si="489"/>
        <v/>
      </c>
    </row>
    <row r="5455" spans="1:17" hidden="1">
      <c r="A5455" t="s">
        <v>5560</v>
      </c>
      <c r="B5455" s="1">
        <v>45650</v>
      </c>
      <c r="C5455">
        <v>2024</v>
      </c>
      <c r="D5455">
        <v>12</v>
      </c>
      <c r="E5455" t="s">
        <v>37</v>
      </c>
      <c r="F5455" t="s">
        <v>28</v>
      </c>
      <c r="G5455" t="s">
        <v>38</v>
      </c>
      <c r="H5455" t="s">
        <v>227</v>
      </c>
      <c r="I5455">
        <v>5529.71</v>
      </c>
      <c r="J5455">
        <v>5456.02</v>
      </c>
      <c r="K5455" t="s">
        <v>17</v>
      </c>
      <c r="L5455" t="b">
        <v>0</v>
      </c>
      <c r="N5455" s="2" t="str">
        <f t="shared" si="490"/>
        <v/>
      </c>
      <c r="Q5455" t="str">
        <f t="shared" si="489"/>
        <v/>
      </c>
    </row>
    <row r="5456" spans="1:17" hidden="1">
      <c r="A5456" t="s">
        <v>5561</v>
      </c>
      <c r="B5456" s="1">
        <v>45650</v>
      </c>
      <c r="C5456">
        <v>2024</v>
      </c>
      <c r="D5456">
        <v>12</v>
      </c>
      <c r="E5456" t="s">
        <v>37</v>
      </c>
      <c r="F5456" t="s">
        <v>28</v>
      </c>
      <c r="G5456" t="s">
        <v>98</v>
      </c>
      <c r="H5456" t="s">
        <v>99</v>
      </c>
      <c r="I5456">
        <v>5661.6</v>
      </c>
      <c r="J5456">
        <v>5948.34</v>
      </c>
      <c r="K5456" t="s">
        <v>17</v>
      </c>
      <c r="L5456" t="b">
        <v>0</v>
      </c>
      <c r="N5456" s="2" t="str">
        <f t="shared" si="490"/>
        <v/>
      </c>
      <c r="Q5456" t="str">
        <f t="shared" si="489"/>
        <v/>
      </c>
    </row>
    <row r="5457" spans="1:17" hidden="1">
      <c r="A5457" t="s">
        <v>5562</v>
      </c>
      <c r="B5457" s="1">
        <v>45650</v>
      </c>
      <c r="C5457">
        <v>2024</v>
      </c>
      <c r="D5457">
        <v>12</v>
      </c>
      <c r="E5457" t="s">
        <v>37</v>
      </c>
      <c r="F5457" t="s">
        <v>28</v>
      </c>
      <c r="G5457" t="s">
        <v>41</v>
      </c>
      <c r="H5457" t="s">
        <v>42</v>
      </c>
      <c r="I5457">
        <v>4206.08</v>
      </c>
      <c r="J5457">
        <v>4583.6899999999996</v>
      </c>
      <c r="K5457" t="s">
        <v>17</v>
      </c>
      <c r="L5457" t="b">
        <v>0</v>
      </c>
      <c r="N5457" s="2" t="str">
        <f t="shared" si="490"/>
        <v/>
      </c>
      <c r="Q5457" t="str">
        <f t="shared" si="489"/>
        <v/>
      </c>
    </row>
    <row r="5458" spans="1:17" hidden="1">
      <c r="A5458" t="s">
        <v>5563</v>
      </c>
      <c r="B5458" s="1">
        <v>45651</v>
      </c>
      <c r="C5458">
        <v>2024</v>
      </c>
      <c r="D5458">
        <v>12</v>
      </c>
      <c r="E5458" t="s">
        <v>13</v>
      </c>
      <c r="F5458" t="s">
        <v>28</v>
      </c>
      <c r="G5458" t="s">
        <v>102</v>
      </c>
      <c r="H5458" t="s">
        <v>103</v>
      </c>
      <c r="I5458">
        <v>4921.43</v>
      </c>
      <c r="J5458">
        <v>4729.08</v>
      </c>
      <c r="K5458" t="s">
        <v>17</v>
      </c>
      <c r="L5458" t="b">
        <v>0</v>
      </c>
      <c r="N5458" s="2" t="str">
        <f t="shared" si="490"/>
        <v/>
      </c>
      <c r="Q5458" t="str">
        <f t="shared" si="489"/>
        <v/>
      </c>
    </row>
    <row r="5459" spans="1:17" hidden="1">
      <c r="A5459" t="s">
        <v>5564</v>
      </c>
      <c r="B5459" s="1">
        <v>45651</v>
      </c>
      <c r="C5459">
        <v>2024</v>
      </c>
      <c r="D5459">
        <v>12</v>
      </c>
      <c r="E5459" t="s">
        <v>47</v>
      </c>
      <c r="F5459" t="s">
        <v>28</v>
      </c>
      <c r="G5459" t="s">
        <v>91</v>
      </c>
      <c r="H5459" t="s">
        <v>254</v>
      </c>
      <c r="I5459">
        <v>11875.59</v>
      </c>
      <c r="J5459">
        <v>10069.780000000001</v>
      </c>
      <c r="K5459" t="s">
        <v>17</v>
      </c>
      <c r="L5459" t="b">
        <v>0</v>
      </c>
      <c r="N5459" s="2" t="b">
        <f t="shared" si="490"/>
        <v>1</v>
      </c>
      <c r="O5459" t="str">
        <f t="shared" ref="O5459:O5460" si="491">IF(AND(E5448="HR",K5448="EXPENSE"),I5448&lt;J5448,"")</f>
        <v/>
      </c>
      <c r="Q5459" t="str">
        <f t="shared" si="489"/>
        <v/>
      </c>
    </row>
    <row r="5460" spans="1:17" hidden="1">
      <c r="A5460" t="s">
        <v>5565</v>
      </c>
      <c r="B5460" s="1">
        <v>45651</v>
      </c>
      <c r="C5460">
        <v>2024</v>
      </c>
      <c r="D5460">
        <v>12</v>
      </c>
      <c r="E5460" t="s">
        <v>47</v>
      </c>
      <c r="F5460" t="s">
        <v>28</v>
      </c>
      <c r="G5460" t="s">
        <v>51</v>
      </c>
      <c r="H5460" t="s">
        <v>52</v>
      </c>
      <c r="I5460">
        <v>18176.439999999999</v>
      </c>
      <c r="J5460">
        <v>15532.53</v>
      </c>
      <c r="K5460" t="s">
        <v>17</v>
      </c>
      <c r="L5460" t="b">
        <v>0</v>
      </c>
      <c r="N5460" s="2" t="b">
        <f t="shared" si="490"/>
        <v>1</v>
      </c>
      <c r="O5460" t="str">
        <f t="shared" si="491"/>
        <v/>
      </c>
      <c r="Q5460" t="str">
        <f t="shared" si="489"/>
        <v/>
      </c>
    </row>
    <row r="5461" spans="1:17" hidden="1">
      <c r="A5461" t="s">
        <v>5566</v>
      </c>
      <c r="B5461" s="1">
        <v>45651</v>
      </c>
      <c r="C5461">
        <v>2024</v>
      </c>
      <c r="D5461">
        <v>12</v>
      </c>
      <c r="E5461" t="s">
        <v>19</v>
      </c>
      <c r="F5461" t="s">
        <v>28</v>
      </c>
      <c r="G5461" t="s">
        <v>132</v>
      </c>
      <c r="H5461" t="s">
        <v>138</v>
      </c>
      <c r="I5461">
        <v>6162.36</v>
      </c>
      <c r="J5461">
        <v>6334.15</v>
      </c>
      <c r="K5461" t="s">
        <v>17</v>
      </c>
      <c r="L5461" t="b">
        <v>0</v>
      </c>
      <c r="N5461" s="2" t="str">
        <f t="shared" si="490"/>
        <v/>
      </c>
      <c r="Q5461" t="str">
        <f t="shared" si="489"/>
        <v/>
      </c>
    </row>
    <row r="5462" spans="1:17" hidden="1">
      <c r="A5462" t="s">
        <v>5567</v>
      </c>
      <c r="B5462" s="1">
        <v>45651</v>
      </c>
      <c r="C5462">
        <v>2024</v>
      </c>
      <c r="D5462">
        <v>12</v>
      </c>
      <c r="E5462" t="s">
        <v>23</v>
      </c>
      <c r="F5462" t="s">
        <v>24</v>
      </c>
      <c r="G5462" t="s">
        <v>59</v>
      </c>
      <c r="H5462" t="s">
        <v>60</v>
      </c>
      <c r="I5462">
        <v>3685.08</v>
      </c>
      <c r="J5462">
        <v>3526.54</v>
      </c>
      <c r="K5462" t="s">
        <v>17</v>
      </c>
      <c r="L5462" t="b">
        <v>0</v>
      </c>
      <c r="N5462" s="2" t="str">
        <f t="shared" si="490"/>
        <v/>
      </c>
      <c r="Q5462" t="str">
        <f t="shared" si="489"/>
        <v/>
      </c>
    </row>
    <row r="5463" spans="1:17" hidden="1">
      <c r="A5463" t="s">
        <v>5568</v>
      </c>
      <c r="B5463" s="1">
        <v>45651</v>
      </c>
      <c r="C5463">
        <v>2024</v>
      </c>
      <c r="D5463">
        <v>12</v>
      </c>
      <c r="E5463" t="s">
        <v>23</v>
      </c>
      <c r="F5463" t="s">
        <v>24</v>
      </c>
      <c r="G5463" t="s">
        <v>25</v>
      </c>
      <c r="H5463" t="s">
        <v>35</v>
      </c>
      <c r="I5463">
        <v>2426.84</v>
      </c>
      <c r="J5463">
        <v>2459.1999999999998</v>
      </c>
      <c r="K5463" t="s">
        <v>17</v>
      </c>
      <c r="L5463" t="b">
        <v>0</v>
      </c>
      <c r="N5463" s="2" t="str">
        <f t="shared" si="490"/>
        <v/>
      </c>
      <c r="Q5463" t="str">
        <f t="shared" si="489"/>
        <v/>
      </c>
    </row>
    <row r="5464" spans="1:17" hidden="1">
      <c r="A5464" t="s">
        <v>5569</v>
      </c>
      <c r="B5464" s="1">
        <v>45651</v>
      </c>
      <c r="C5464">
        <v>2024</v>
      </c>
      <c r="D5464">
        <v>12</v>
      </c>
      <c r="E5464" t="s">
        <v>37</v>
      </c>
      <c r="F5464" t="s">
        <v>14</v>
      </c>
      <c r="G5464" t="s">
        <v>83</v>
      </c>
      <c r="H5464" t="s">
        <v>84</v>
      </c>
      <c r="I5464">
        <v>406373.68</v>
      </c>
      <c r="J5464">
        <v>386054.99</v>
      </c>
      <c r="K5464" t="s">
        <v>85</v>
      </c>
      <c r="L5464" t="b">
        <v>0</v>
      </c>
      <c r="N5464" s="2" t="str">
        <f t="shared" si="490"/>
        <v/>
      </c>
      <c r="Q5464" t="str">
        <f t="shared" si="489"/>
        <v/>
      </c>
    </row>
    <row r="5465" spans="1:17" hidden="1">
      <c r="A5465" t="s">
        <v>5570</v>
      </c>
      <c r="B5465" s="1">
        <v>45652</v>
      </c>
      <c r="C5465">
        <v>2024</v>
      </c>
      <c r="D5465">
        <v>12</v>
      </c>
      <c r="E5465" t="s">
        <v>13</v>
      </c>
      <c r="F5465" t="s">
        <v>24</v>
      </c>
      <c r="G5465" t="s">
        <v>68</v>
      </c>
      <c r="H5465" t="s">
        <v>87</v>
      </c>
      <c r="I5465">
        <v>5026.0600000000004</v>
      </c>
      <c r="J5465">
        <v>5080.93</v>
      </c>
      <c r="K5465" t="s">
        <v>17</v>
      </c>
      <c r="L5465" t="b">
        <v>0</v>
      </c>
      <c r="N5465" s="2" t="str">
        <f t="shared" si="490"/>
        <v/>
      </c>
      <c r="Q5465" t="str">
        <f t="shared" si="489"/>
        <v/>
      </c>
    </row>
    <row r="5466" spans="1:17" hidden="1">
      <c r="A5466" t="s">
        <v>5571</v>
      </c>
      <c r="B5466" s="1">
        <v>45652</v>
      </c>
      <c r="C5466">
        <v>2024</v>
      </c>
      <c r="D5466">
        <v>12</v>
      </c>
      <c r="E5466" t="s">
        <v>47</v>
      </c>
      <c r="F5466" t="s">
        <v>28</v>
      </c>
      <c r="G5466" t="s">
        <v>77</v>
      </c>
      <c r="H5466" t="s">
        <v>147</v>
      </c>
      <c r="I5466">
        <v>19005.66</v>
      </c>
      <c r="J5466">
        <v>15628.39</v>
      </c>
      <c r="K5466" t="s">
        <v>17</v>
      </c>
      <c r="L5466" t="b">
        <v>0</v>
      </c>
      <c r="N5466" s="2" t="b">
        <f t="shared" si="490"/>
        <v>1</v>
      </c>
      <c r="O5466" t="str">
        <f t="shared" ref="O5466:O5468" si="492">IF(AND(E5455="HR",K5455="EXPENSE"),I5455&lt;J5455,"")</f>
        <v/>
      </c>
      <c r="Q5466" t="str">
        <f t="shared" si="489"/>
        <v/>
      </c>
    </row>
    <row r="5467" spans="1:17" hidden="1">
      <c r="A5467" t="s">
        <v>5572</v>
      </c>
      <c r="B5467" s="1">
        <v>45652</v>
      </c>
      <c r="C5467">
        <v>2024</v>
      </c>
      <c r="D5467">
        <v>12</v>
      </c>
      <c r="E5467" t="s">
        <v>47</v>
      </c>
      <c r="F5467" t="s">
        <v>28</v>
      </c>
      <c r="G5467" t="s">
        <v>48</v>
      </c>
      <c r="H5467" t="s">
        <v>75</v>
      </c>
      <c r="I5467">
        <v>15996.51</v>
      </c>
      <c r="J5467">
        <v>13431.32</v>
      </c>
      <c r="K5467" t="s">
        <v>17</v>
      </c>
      <c r="L5467" t="b">
        <v>0</v>
      </c>
      <c r="N5467" s="2" t="b">
        <f t="shared" si="490"/>
        <v>1</v>
      </c>
      <c r="O5467" t="str">
        <f t="shared" si="492"/>
        <v/>
      </c>
      <c r="Q5467" t="str">
        <f t="shared" si="489"/>
        <v/>
      </c>
    </row>
    <row r="5468" spans="1:17" hidden="1">
      <c r="A5468" t="s">
        <v>5573</v>
      </c>
      <c r="B5468" s="1">
        <v>45652</v>
      </c>
      <c r="C5468">
        <v>2024</v>
      </c>
      <c r="D5468">
        <v>12</v>
      </c>
      <c r="E5468" t="s">
        <v>47</v>
      </c>
      <c r="F5468" t="s">
        <v>24</v>
      </c>
      <c r="G5468" t="s">
        <v>91</v>
      </c>
      <c r="H5468" t="s">
        <v>254</v>
      </c>
      <c r="I5468">
        <v>13411.05</v>
      </c>
      <c r="J5468">
        <v>11322.73</v>
      </c>
      <c r="K5468" t="s">
        <v>17</v>
      </c>
      <c r="L5468" t="b">
        <v>0</v>
      </c>
      <c r="N5468" s="2" t="b">
        <f t="shared" si="490"/>
        <v>1</v>
      </c>
      <c r="O5468" t="str">
        <f t="shared" si="492"/>
        <v/>
      </c>
      <c r="Q5468" t="str">
        <f t="shared" si="489"/>
        <v/>
      </c>
    </row>
    <row r="5469" spans="1:17" hidden="1">
      <c r="A5469" t="s">
        <v>5574</v>
      </c>
      <c r="B5469" s="1">
        <v>45652</v>
      </c>
      <c r="C5469">
        <v>2024</v>
      </c>
      <c r="D5469">
        <v>12</v>
      </c>
      <c r="E5469" t="s">
        <v>19</v>
      </c>
      <c r="F5469" t="s">
        <v>24</v>
      </c>
      <c r="G5469" t="s">
        <v>54</v>
      </c>
      <c r="H5469" t="s">
        <v>163</v>
      </c>
      <c r="I5469">
        <v>5513.52</v>
      </c>
      <c r="J5469">
        <v>5483.43</v>
      </c>
      <c r="K5469" t="s">
        <v>17</v>
      </c>
      <c r="L5469" t="b">
        <v>0</v>
      </c>
      <c r="N5469" s="2" t="str">
        <f t="shared" si="490"/>
        <v/>
      </c>
      <c r="Q5469" t="str">
        <f t="shared" si="489"/>
        <v/>
      </c>
    </row>
    <row r="5470" spans="1:17" hidden="1">
      <c r="A5470" t="s">
        <v>5575</v>
      </c>
      <c r="B5470" s="1">
        <v>45652</v>
      </c>
      <c r="C5470">
        <v>2024</v>
      </c>
      <c r="D5470">
        <v>12</v>
      </c>
      <c r="E5470" t="s">
        <v>23</v>
      </c>
      <c r="F5470" t="s">
        <v>28</v>
      </c>
      <c r="G5470" t="s">
        <v>25</v>
      </c>
      <c r="H5470" t="s">
        <v>35</v>
      </c>
      <c r="I5470">
        <v>5688.4</v>
      </c>
      <c r="J5470">
        <v>5968.57</v>
      </c>
      <c r="K5470" t="s">
        <v>17</v>
      </c>
      <c r="L5470" t="b">
        <v>0</v>
      </c>
      <c r="N5470" s="2" t="str">
        <f t="shared" si="490"/>
        <v/>
      </c>
      <c r="Q5470" t="str">
        <f t="shared" si="489"/>
        <v/>
      </c>
    </row>
    <row r="5471" spans="1:17" hidden="1">
      <c r="A5471" t="s">
        <v>5576</v>
      </c>
      <c r="B5471" s="1">
        <v>45652</v>
      </c>
      <c r="C5471">
        <v>2024</v>
      </c>
      <c r="D5471">
        <v>12</v>
      </c>
      <c r="E5471" t="s">
        <v>37</v>
      </c>
      <c r="F5471" t="s">
        <v>28</v>
      </c>
      <c r="G5471" t="s">
        <v>62</v>
      </c>
      <c r="H5471" t="s">
        <v>360</v>
      </c>
      <c r="I5471">
        <v>7094.59</v>
      </c>
      <c r="J5471">
        <v>7544.57</v>
      </c>
      <c r="K5471" t="s">
        <v>17</v>
      </c>
      <c r="L5471" t="b">
        <v>0</v>
      </c>
      <c r="N5471" s="2" t="str">
        <f t="shared" si="490"/>
        <v/>
      </c>
      <c r="Q5471" t="str">
        <f t="shared" si="489"/>
        <v/>
      </c>
    </row>
    <row r="5472" spans="1:17" hidden="1">
      <c r="A5472" t="s">
        <v>5577</v>
      </c>
      <c r="B5472" s="1">
        <v>45653</v>
      </c>
      <c r="C5472">
        <v>2024</v>
      </c>
      <c r="D5472">
        <v>12</v>
      </c>
      <c r="E5472" t="s">
        <v>19</v>
      </c>
      <c r="F5472" t="s">
        <v>14</v>
      </c>
      <c r="G5472" t="s">
        <v>20</v>
      </c>
      <c r="H5472" t="s">
        <v>136</v>
      </c>
      <c r="I5472">
        <v>6844.98</v>
      </c>
      <c r="J5472">
        <v>6575.94</v>
      </c>
      <c r="K5472" t="s">
        <v>17</v>
      </c>
      <c r="L5472" t="b">
        <v>0</v>
      </c>
      <c r="N5472" s="2" t="str">
        <f t="shared" si="490"/>
        <v/>
      </c>
      <c r="Q5472" t="str">
        <f t="shared" si="489"/>
        <v/>
      </c>
    </row>
    <row r="5473" spans="1:17" hidden="1">
      <c r="A5473" t="s">
        <v>5578</v>
      </c>
      <c r="B5473" s="1">
        <v>45653</v>
      </c>
      <c r="C5473">
        <v>2024</v>
      </c>
      <c r="D5473">
        <v>12</v>
      </c>
      <c r="E5473" t="s">
        <v>19</v>
      </c>
      <c r="F5473" t="s">
        <v>14</v>
      </c>
      <c r="G5473" t="s">
        <v>54</v>
      </c>
      <c r="H5473" t="s">
        <v>57</v>
      </c>
      <c r="I5473">
        <v>7642.84</v>
      </c>
      <c r="J5473">
        <v>7423.1</v>
      </c>
      <c r="K5473" t="s">
        <v>17</v>
      </c>
      <c r="L5473" t="b">
        <v>0</v>
      </c>
      <c r="N5473" s="2" t="str">
        <f t="shared" si="490"/>
        <v/>
      </c>
      <c r="Q5473" t="str">
        <f t="shared" si="489"/>
        <v/>
      </c>
    </row>
    <row r="5474" spans="1:17" hidden="1">
      <c r="A5474" t="s">
        <v>5579</v>
      </c>
      <c r="B5474" s="1">
        <v>45653</v>
      </c>
      <c r="C5474">
        <v>2024</v>
      </c>
      <c r="D5474">
        <v>12</v>
      </c>
      <c r="E5474" t="s">
        <v>19</v>
      </c>
      <c r="F5474" t="s">
        <v>28</v>
      </c>
      <c r="G5474" t="s">
        <v>80</v>
      </c>
      <c r="H5474" t="s">
        <v>217</v>
      </c>
      <c r="I5474">
        <v>8209.84</v>
      </c>
      <c r="J5474">
        <v>8522.7199999999993</v>
      </c>
      <c r="K5474" t="s">
        <v>17</v>
      </c>
      <c r="L5474" t="b">
        <v>0</v>
      </c>
      <c r="N5474" s="2" t="str">
        <f t="shared" si="490"/>
        <v/>
      </c>
      <c r="Q5474" t="str">
        <f t="shared" si="489"/>
        <v/>
      </c>
    </row>
    <row r="5475" spans="1:17" hidden="1">
      <c r="A5475" t="s">
        <v>5580</v>
      </c>
      <c r="B5475" s="1">
        <v>45653</v>
      </c>
      <c r="C5475">
        <v>2024</v>
      </c>
      <c r="D5475">
        <v>12</v>
      </c>
      <c r="E5475" t="s">
        <v>19</v>
      </c>
      <c r="F5475" t="s">
        <v>28</v>
      </c>
      <c r="G5475" t="s">
        <v>54</v>
      </c>
      <c r="H5475" t="s">
        <v>57</v>
      </c>
      <c r="I5475">
        <v>6154.45</v>
      </c>
      <c r="J5475">
        <v>6613.41</v>
      </c>
      <c r="K5475" t="s">
        <v>17</v>
      </c>
      <c r="L5475" t="b">
        <v>0</v>
      </c>
      <c r="N5475" s="2" t="str">
        <f t="shared" si="490"/>
        <v/>
      </c>
      <c r="Q5475" t="str">
        <f t="shared" si="489"/>
        <v/>
      </c>
    </row>
    <row r="5476" spans="1:17" hidden="1">
      <c r="A5476" t="s">
        <v>5581</v>
      </c>
      <c r="B5476" s="1">
        <v>45653</v>
      </c>
      <c r="C5476">
        <v>2024</v>
      </c>
      <c r="D5476">
        <v>12</v>
      </c>
      <c r="E5476" t="s">
        <v>23</v>
      </c>
      <c r="F5476" t="s">
        <v>28</v>
      </c>
      <c r="G5476" t="s">
        <v>141</v>
      </c>
      <c r="H5476" t="s">
        <v>142</v>
      </c>
      <c r="I5476">
        <v>4252.37</v>
      </c>
      <c r="J5476">
        <v>4023.72</v>
      </c>
      <c r="K5476" t="s">
        <v>17</v>
      </c>
      <c r="L5476" t="b">
        <v>0</v>
      </c>
      <c r="N5476" s="2" t="str">
        <f t="shared" si="490"/>
        <v/>
      </c>
      <c r="Q5476" t="str">
        <f t="shared" si="489"/>
        <v/>
      </c>
    </row>
    <row r="5477" spans="1:17" hidden="1">
      <c r="A5477" t="s">
        <v>5582</v>
      </c>
      <c r="B5477" s="1">
        <v>45653</v>
      </c>
      <c r="C5477">
        <v>2024</v>
      </c>
      <c r="D5477">
        <v>12</v>
      </c>
      <c r="E5477" t="s">
        <v>23</v>
      </c>
      <c r="F5477" t="s">
        <v>24</v>
      </c>
      <c r="G5477" t="s">
        <v>30</v>
      </c>
      <c r="H5477" t="s">
        <v>106</v>
      </c>
      <c r="I5477">
        <v>4702.1499999999996</v>
      </c>
      <c r="J5477">
        <v>4724.4399999999996</v>
      </c>
      <c r="K5477" t="s">
        <v>17</v>
      </c>
      <c r="L5477" t="b">
        <v>0</v>
      </c>
      <c r="N5477" s="2" t="str">
        <f t="shared" si="490"/>
        <v/>
      </c>
      <c r="Q5477" t="str">
        <f t="shared" si="489"/>
        <v/>
      </c>
    </row>
    <row r="5478" spans="1:17" hidden="1">
      <c r="A5478" t="s">
        <v>5583</v>
      </c>
      <c r="B5478" s="1">
        <v>45653</v>
      </c>
      <c r="C5478">
        <v>2024</v>
      </c>
      <c r="D5478">
        <v>12</v>
      </c>
      <c r="E5478" t="s">
        <v>37</v>
      </c>
      <c r="F5478" t="s">
        <v>14</v>
      </c>
      <c r="G5478" t="s">
        <v>41</v>
      </c>
      <c r="H5478" t="s">
        <v>42</v>
      </c>
      <c r="I5478">
        <v>4908.1499999999996</v>
      </c>
      <c r="J5478">
        <v>5128.03</v>
      </c>
      <c r="K5478" t="s">
        <v>17</v>
      </c>
      <c r="L5478" t="b">
        <v>0</v>
      </c>
      <c r="N5478" s="2" t="str">
        <f t="shared" si="490"/>
        <v/>
      </c>
      <c r="Q5478" t="str">
        <f t="shared" si="489"/>
        <v/>
      </c>
    </row>
    <row r="5479" spans="1:17" hidden="1">
      <c r="A5479" t="s">
        <v>5584</v>
      </c>
      <c r="B5479" s="1">
        <v>45653</v>
      </c>
      <c r="C5479">
        <v>2024</v>
      </c>
      <c r="D5479">
        <v>12</v>
      </c>
      <c r="E5479" t="s">
        <v>37</v>
      </c>
      <c r="F5479" t="s">
        <v>14</v>
      </c>
      <c r="G5479" t="s">
        <v>62</v>
      </c>
      <c r="H5479" t="s">
        <v>66</v>
      </c>
      <c r="I5479">
        <v>2579.14</v>
      </c>
      <c r="J5479">
        <v>2830.04</v>
      </c>
      <c r="K5479" t="s">
        <v>17</v>
      </c>
      <c r="L5479" t="b">
        <v>0</v>
      </c>
      <c r="N5479" s="2" t="str">
        <f t="shared" si="490"/>
        <v/>
      </c>
      <c r="Q5479" t="str">
        <f t="shared" si="489"/>
        <v/>
      </c>
    </row>
    <row r="5480" spans="1:17" hidden="1">
      <c r="A5480" t="s">
        <v>5585</v>
      </c>
      <c r="B5480" s="1">
        <v>45654</v>
      </c>
      <c r="C5480">
        <v>2024</v>
      </c>
      <c r="D5480">
        <v>12</v>
      </c>
      <c r="E5480" t="s">
        <v>47</v>
      </c>
      <c r="F5480" t="s">
        <v>14</v>
      </c>
      <c r="G5480" t="s">
        <v>91</v>
      </c>
      <c r="H5480" t="s">
        <v>249</v>
      </c>
      <c r="I5480">
        <v>10518.14</v>
      </c>
      <c r="J5480">
        <v>8739.09</v>
      </c>
      <c r="K5480" t="s">
        <v>17</v>
      </c>
      <c r="L5480" t="b">
        <v>0</v>
      </c>
      <c r="N5480" s="2" t="b">
        <f t="shared" si="490"/>
        <v>1</v>
      </c>
      <c r="O5480" t="str">
        <f>IF(AND(E5469="HR",K5469="EXPENSE"),I5469&lt;J5469,"")</f>
        <v/>
      </c>
      <c r="Q5480" t="str">
        <f t="shared" si="489"/>
        <v/>
      </c>
    </row>
    <row r="5481" spans="1:17" hidden="1">
      <c r="A5481" t="s">
        <v>5586</v>
      </c>
      <c r="B5481" s="1">
        <v>45654</v>
      </c>
      <c r="C5481">
        <v>2024</v>
      </c>
      <c r="D5481">
        <v>12</v>
      </c>
      <c r="E5481" t="s">
        <v>19</v>
      </c>
      <c r="F5481" t="s">
        <v>28</v>
      </c>
      <c r="G5481" t="s">
        <v>132</v>
      </c>
      <c r="H5481" t="s">
        <v>133</v>
      </c>
      <c r="I5481">
        <v>6631.72</v>
      </c>
      <c r="J5481">
        <v>6351.8</v>
      </c>
      <c r="K5481" t="s">
        <v>17</v>
      </c>
      <c r="L5481" t="b">
        <v>0</v>
      </c>
      <c r="N5481" s="2" t="str">
        <f t="shared" si="490"/>
        <v/>
      </c>
      <c r="Q5481" t="str">
        <f t="shared" si="489"/>
        <v/>
      </c>
    </row>
    <row r="5482" spans="1:17" hidden="1">
      <c r="A5482" t="s">
        <v>5587</v>
      </c>
      <c r="B5482" s="1">
        <v>45654</v>
      </c>
      <c r="C5482">
        <v>2024</v>
      </c>
      <c r="D5482">
        <v>12</v>
      </c>
      <c r="E5482" t="s">
        <v>23</v>
      </c>
      <c r="F5482" t="s">
        <v>28</v>
      </c>
      <c r="G5482" t="s">
        <v>141</v>
      </c>
      <c r="H5482" t="s">
        <v>209</v>
      </c>
      <c r="I5482">
        <v>4144.3</v>
      </c>
      <c r="J5482">
        <v>4422.1400000000003</v>
      </c>
      <c r="K5482" t="s">
        <v>17</v>
      </c>
      <c r="L5482" t="b">
        <v>0</v>
      </c>
      <c r="N5482" s="2" t="str">
        <f t="shared" si="490"/>
        <v/>
      </c>
      <c r="Q5482" t="str">
        <f t="shared" si="489"/>
        <v/>
      </c>
    </row>
    <row r="5483" spans="1:17" hidden="1">
      <c r="A5483" t="s">
        <v>5588</v>
      </c>
      <c r="B5483" s="1">
        <v>45654</v>
      </c>
      <c r="C5483">
        <v>2024</v>
      </c>
      <c r="D5483">
        <v>12</v>
      </c>
      <c r="E5483" t="s">
        <v>23</v>
      </c>
      <c r="F5483" t="s">
        <v>28</v>
      </c>
      <c r="G5483" t="s">
        <v>30</v>
      </c>
      <c r="H5483" t="s">
        <v>106</v>
      </c>
      <c r="I5483">
        <v>4940.34</v>
      </c>
      <c r="J5483">
        <v>4832.3500000000004</v>
      </c>
      <c r="K5483" t="s">
        <v>17</v>
      </c>
      <c r="L5483" t="b">
        <v>0</v>
      </c>
      <c r="N5483" s="2" t="str">
        <f t="shared" si="490"/>
        <v/>
      </c>
      <c r="Q5483" t="str">
        <f t="shared" si="489"/>
        <v/>
      </c>
    </row>
    <row r="5484" spans="1:17" hidden="1">
      <c r="A5484" t="s">
        <v>5589</v>
      </c>
      <c r="B5484" s="1">
        <v>45654</v>
      </c>
      <c r="C5484">
        <v>2024</v>
      </c>
      <c r="D5484">
        <v>12</v>
      </c>
      <c r="E5484" t="s">
        <v>37</v>
      </c>
      <c r="F5484" t="s">
        <v>14</v>
      </c>
      <c r="G5484" t="s">
        <v>41</v>
      </c>
      <c r="H5484" t="s">
        <v>42</v>
      </c>
      <c r="I5484">
        <v>4360.4799999999996</v>
      </c>
      <c r="J5484">
        <v>3985.12</v>
      </c>
      <c r="K5484" t="s">
        <v>17</v>
      </c>
      <c r="L5484" t="b">
        <v>0</v>
      </c>
      <c r="N5484" s="2" t="str">
        <f t="shared" si="490"/>
        <v/>
      </c>
      <c r="Q5484" t="str">
        <f t="shared" si="489"/>
        <v/>
      </c>
    </row>
    <row r="5485" spans="1:17" hidden="1">
      <c r="A5485" t="s">
        <v>5590</v>
      </c>
      <c r="B5485" s="1">
        <v>45654</v>
      </c>
      <c r="C5485">
        <v>2024</v>
      </c>
      <c r="D5485">
        <v>12</v>
      </c>
      <c r="E5485" t="s">
        <v>37</v>
      </c>
      <c r="F5485" t="s">
        <v>14</v>
      </c>
      <c r="G5485" t="s">
        <v>41</v>
      </c>
      <c r="H5485" t="s">
        <v>42</v>
      </c>
      <c r="I5485">
        <v>5360.66</v>
      </c>
      <c r="J5485">
        <v>5384.05</v>
      </c>
      <c r="K5485" t="s">
        <v>17</v>
      </c>
      <c r="L5485" t="b">
        <v>0</v>
      </c>
      <c r="N5485" s="2" t="str">
        <f t="shared" si="490"/>
        <v/>
      </c>
      <c r="Q5485" t="str">
        <f t="shared" si="489"/>
        <v/>
      </c>
    </row>
    <row r="5486" spans="1:17" hidden="1">
      <c r="A5486" t="s">
        <v>5591</v>
      </c>
      <c r="B5486" s="1">
        <v>45655</v>
      </c>
      <c r="C5486">
        <v>2024</v>
      </c>
      <c r="D5486">
        <v>12</v>
      </c>
      <c r="E5486" t="s">
        <v>13</v>
      </c>
      <c r="F5486" t="s">
        <v>14</v>
      </c>
      <c r="G5486" t="s">
        <v>68</v>
      </c>
      <c r="H5486" t="s">
        <v>87</v>
      </c>
      <c r="I5486">
        <v>2386.98</v>
      </c>
      <c r="J5486">
        <v>2326.09</v>
      </c>
      <c r="K5486" t="s">
        <v>17</v>
      </c>
      <c r="L5486" t="b">
        <v>0</v>
      </c>
      <c r="N5486" s="2" t="str">
        <f t="shared" si="490"/>
        <v/>
      </c>
      <c r="Q5486" t="str">
        <f t="shared" si="489"/>
        <v/>
      </c>
    </row>
    <row r="5487" spans="1:17" hidden="1">
      <c r="A5487" t="s">
        <v>5592</v>
      </c>
      <c r="B5487" s="1">
        <v>45655</v>
      </c>
      <c r="C5487">
        <v>2024</v>
      </c>
      <c r="D5487">
        <v>12</v>
      </c>
      <c r="E5487" t="s">
        <v>13</v>
      </c>
      <c r="F5487" t="s">
        <v>28</v>
      </c>
      <c r="G5487" t="s">
        <v>108</v>
      </c>
      <c r="H5487" t="s">
        <v>126</v>
      </c>
      <c r="I5487">
        <v>5011.74</v>
      </c>
      <c r="J5487">
        <v>5272.86</v>
      </c>
      <c r="K5487" t="s">
        <v>17</v>
      </c>
      <c r="L5487" t="b">
        <v>0</v>
      </c>
      <c r="N5487" s="2" t="str">
        <f t="shared" si="490"/>
        <v/>
      </c>
      <c r="Q5487" t="str">
        <f t="shared" si="489"/>
        <v/>
      </c>
    </row>
    <row r="5488" spans="1:17" hidden="1">
      <c r="A5488" t="s">
        <v>5593</v>
      </c>
      <c r="B5488" s="1">
        <v>45655</v>
      </c>
      <c r="C5488">
        <v>2024</v>
      </c>
      <c r="D5488">
        <v>12</v>
      </c>
      <c r="E5488" t="s">
        <v>13</v>
      </c>
      <c r="F5488" t="s">
        <v>28</v>
      </c>
      <c r="G5488" t="s">
        <v>15</v>
      </c>
      <c r="H5488" t="s">
        <v>16</v>
      </c>
      <c r="I5488">
        <v>5380.5</v>
      </c>
      <c r="J5488">
        <v>5718.94</v>
      </c>
      <c r="K5488" t="s">
        <v>17</v>
      </c>
      <c r="L5488" t="b">
        <v>0</v>
      </c>
      <c r="N5488" s="2" t="str">
        <f t="shared" si="490"/>
        <v/>
      </c>
      <c r="Q5488" t="str">
        <f t="shared" ref="Q5488:Q5551" si="493">IF(L5488=TRUE,OR(H5488="Apex Solutions Inc",H5488="Global Trade Partners",H5488="NovaTech Services"),"")</f>
        <v/>
      </c>
    </row>
    <row r="5489" spans="1:17" hidden="1">
      <c r="A5489" t="s">
        <v>5594</v>
      </c>
      <c r="B5489" s="1">
        <v>45655</v>
      </c>
      <c r="C5489">
        <v>2024</v>
      </c>
      <c r="D5489">
        <v>12</v>
      </c>
      <c r="E5489" t="s">
        <v>13</v>
      </c>
      <c r="F5489" t="s">
        <v>24</v>
      </c>
      <c r="G5489" t="s">
        <v>68</v>
      </c>
      <c r="H5489" t="s">
        <v>87</v>
      </c>
      <c r="I5489">
        <v>4337.1000000000004</v>
      </c>
      <c r="J5489">
        <v>4516.57</v>
      </c>
      <c r="K5489" t="s">
        <v>17</v>
      </c>
      <c r="L5489" t="b">
        <v>0</v>
      </c>
      <c r="N5489" s="2" t="str">
        <f t="shared" si="490"/>
        <v/>
      </c>
      <c r="Q5489" t="str">
        <f t="shared" si="493"/>
        <v/>
      </c>
    </row>
    <row r="5490" spans="1:17" hidden="1">
      <c r="A5490" t="s">
        <v>5595</v>
      </c>
      <c r="B5490" s="1">
        <v>45655</v>
      </c>
      <c r="C5490">
        <v>2024</v>
      </c>
      <c r="D5490">
        <v>12</v>
      </c>
      <c r="E5490" t="s">
        <v>47</v>
      </c>
      <c r="F5490" t="s">
        <v>14</v>
      </c>
      <c r="G5490" t="s">
        <v>48</v>
      </c>
      <c r="H5490" t="s">
        <v>111</v>
      </c>
      <c r="I5490">
        <v>19084.82</v>
      </c>
      <c r="J5490">
        <v>16585.810000000001</v>
      </c>
      <c r="K5490" t="s">
        <v>17</v>
      </c>
      <c r="L5490" t="b">
        <v>0</v>
      </c>
      <c r="N5490" s="2" t="b">
        <f t="shared" si="490"/>
        <v>1</v>
      </c>
      <c r="O5490" t="str">
        <f t="shared" ref="O5490:O5491" si="494">IF(AND(E5479="HR",K5479="EXPENSE"),I5479&lt;J5479,"")</f>
        <v/>
      </c>
      <c r="Q5490" t="str">
        <f t="shared" si="493"/>
        <v/>
      </c>
    </row>
    <row r="5491" spans="1:17" hidden="1">
      <c r="A5491" t="s">
        <v>5596</v>
      </c>
      <c r="B5491" s="1">
        <v>45655</v>
      </c>
      <c r="C5491">
        <v>2024</v>
      </c>
      <c r="D5491">
        <v>12</v>
      </c>
      <c r="E5491" t="s">
        <v>47</v>
      </c>
      <c r="F5491" t="s">
        <v>24</v>
      </c>
      <c r="G5491" t="s">
        <v>48</v>
      </c>
      <c r="H5491" t="s">
        <v>191</v>
      </c>
      <c r="I5491">
        <v>25552.82</v>
      </c>
      <c r="J5491">
        <v>20988.11</v>
      </c>
      <c r="K5491" t="s">
        <v>17</v>
      </c>
      <c r="L5491" t="b">
        <v>0</v>
      </c>
      <c r="N5491" s="2" t="b">
        <f t="shared" si="490"/>
        <v>1</v>
      </c>
      <c r="O5491" t="str">
        <f t="shared" si="494"/>
        <v/>
      </c>
      <c r="Q5491" t="str">
        <f t="shared" si="493"/>
        <v/>
      </c>
    </row>
    <row r="5492" spans="1:17" hidden="1">
      <c r="A5492" t="s">
        <v>5597</v>
      </c>
      <c r="B5492" s="1">
        <v>45655</v>
      </c>
      <c r="C5492">
        <v>2024</v>
      </c>
      <c r="D5492">
        <v>12</v>
      </c>
      <c r="E5492" t="s">
        <v>19</v>
      </c>
      <c r="F5492" t="s">
        <v>14</v>
      </c>
      <c r="G5492" t="s">
        <v>80</v>
      </c>
      <c r="H5492" t="s">
        <v>150</v>
      </c>
      <c r="I5492">
        <v>5634.15</v>
      </c>
      <c r="J5492">
        <v>6148.66</v>
      </c>
      <c r="K5492" t="s">
        <v>17</v>
      </c>
      <c r="L5492" t="b">
        <v>0</v>
      </c>
      <c r="N5492" s="2" t="str">
        <f t="shared" si="490"/>
        <v/>
      </c>
      <c r="Q5492" t="str">
        <f t="shared" si="493"/>
        <v/>
      </c>
    </row>
    <row r="5493" spans="1:17" hidden="1">
      <c r="A5493" t="s">
        <v>5598</v>
      </c>
      <c r="B5493" s="1">
        <v>45655</v>
      </c>
      <c r="C5493">
        <v>2024</v>
      </c>
      <c r="D5493">
        <v>12</v>
      </c>
      <c r="E5493" t="s">
        <v>19</v>
      </c>
      <c r="F5493" t="s">
        <v>14</v>
      </c>
      <c r="G5493" t="s">
        <v>80</v>
      </c>
      <c r="H5493" t="s">
        <v>150</v>
      </c>
      <c r="I5493">
        <v>5664.53</v>
      </c>
      <c r="J5493">
        <v>6112.07</v>
      </c>
      <c r="K5493" t="s">
        <v>17</v>
      </c>
      <c r="L5493" t="b">
        <v>0</v>
      </c>
      <c r="N5493" s="2" t="str">
        <f t="shared" si="490"/>
        <v/>
      </c>
      <c r="Q5493" t="str">
        <f t="shared" si="493"/>
        <v/>
      </c>
    </row>
    <row r="5494" spans="1:17" hidden="1">
      <c r="A5494" t="s">
        <v>5599</v>
      </c>
      <c r="B5494" s="1">
        <v>45655</v>
      </c>
      <c r="C5494">
        <v>2024</v>
      </c>
      <c r="D5494">
        <v>12</v>
      </c>
      <c r="E5494" t="s">
        <v>19</v>
      </c>
      <c r="F5494" t="s">
        <v>24</v>
      </c>
      <c r="G5494" t="s">
        <v>80</v>
      </c>
      <c r="H5494" t="s">
        <v>150</v>
      </c>
      <c r="I5494">
        <v>2753.88</v>
      </c>
      <c r="J5494">
        <v>2731.25</v>
      </c>
      <c r="K5494" t="s">
        <v>17</v>
      </c>
      <c r="L5494" t="b">
        <v>0</v>
      </c>
      <c r="N5494" s="2" t="str">
        <f t="shared" si="490"/>
        <v/>
      </c>
      <c r="Q5494" t="str">
        <f t="shared" si="493"/>
        <v/>
      </c>
    </row>
    <row r="5495" spans="1:17" hidden="1">
      <c r="A5495" t="s">
        <v>5600</v>
      </c>
      <c r="B5495" s="1">
        <v>45655</v>
      </c>
      <c r="C5495">
        <v>2024</v>
      </c>
      <c r="D5495">
        <v>12</v>
      </c>
      <c r="E5495" t="s">
        <v>37</v>
      </c>
      <c r="F5495" t="s">
        <v>28</v>
      </c>
      <c r="G5495" t="s">
        <v>41</v>
      </c>
      <c r="H5495" t="s">
        <v>42</v>
      </c>
      <c r="I5495">
        <v>5011.9799999999996</v>
      </c>
      <c r="J5495">
        <v>5342.05</v>
      </c>
      <c r="K5495" t="s">
        <v>17</v>
      </c>
      <c r="L5495" t="b">
        <v>0</v>
      </c>
      <c r="N5495" s="2" t="str">
        <f t="shared" si="490"/>
        <v/>
      </c>
      <c r="Q5495" t="str">
        <f t="shared" si="493"/>
        <v/>
      </c>
    </row>
    <row r="5496" spans="1:17" hidden="1">
      <c r="A5496" t="s">
        <v>5601</v>
      </c>
      <c r="B5496" s="1">
        <v>45655</v>
      </c>
      <c r="C5496">
        <v>2024</v>
      </c>
      <c r="D5496">
        <v>12</v>
      </c>
      <c r="E5496" t="s">
        <v>37</v>
      </c>
      <c r="F5496" t="s">
        <v>24</v>
      </c>
      <c r="G5496" t="s">
        <v>98</v>
      </c>
      <c r="H5496" t="s">
        <v>99</v>
      </c>
      <c r="I5496">
        <v>4940.0200000000004</v>
      </c>
      <c r="J5496">
        <v>5234.38</v>
      </c>
      <c r="K5496" t="s">
        <v>17</v>
      </c>
      <c r="L5496" t="b">
        <v>0</v>
      </c>
      <c r="N5496" s="2" t="str">
        <f t="shared" si="490"/>
        <v/>
      </c>
      <c r="Q5496" t="str">
        <f t="shared" si="493"/>
        <v/>
      </c>
    </row>
    <row r="5497" spans="1:17" hidden="1">
      <c r="A5497" t="s">
        <v>5602</v>
      </c>
      <c r="B5497" s="1">
        <v>45655</v>
      </c>
      <c r="C5497">
        <v>2024</v>
      </c>
      <c r="D5497">
        <v>12</v>
      </c>
      <c r="E5497" t="s">
        <v>37</v>
      </c>
      <c r="F5497" t="s">
        <v>24</v>
      </c>
      <c r="G5497" t="s">
        <v>41</v>
      </c>
      <c r="H5497" t="s">
        <v>42</v>
      </c>
      <c r="I5497">
        <v>7337.67</v>
      </c>
      <c r="J5497">
        <v>6706.2</v>
      </c>
      <c r="K5497" t="s">
        <v>17</v>
      </c>
      <c r="L5497" t="b">
        <v>0</v>
      </c>
      <c r="N5497" s="2" t="str">
        <f t="shared" si="490"/>
        <v/>
      </c>
      <c r="Q5497" t="str">
        <f t="shared" si="493"/>
        <v/>
      </c>
    </row>
    <row r="5498" spans="1:17" hidden="1">
      <c r="A5498" t="s">
        <v>5603</v>
      </c>
      <c r="B5498" s="1">
        <v>45656</v>
      </c>
      <c r="C5498">
        <v>2024</v>
      </c>
      <c r="D5498">
        <v>12</v>
      </c>
      <c r="E5498" t="s">
        <v>13</v>
      </c>
      <c r="F5498" t="s">
        <v>14</v>
      </c>
      <c r="G5498" t="s">
        <v>108</v>
      </c>
      <c r="H5498" t="s">
        <v>123</v>
      </c>
      <c r="I5498">
        <v>3071.56</v>
      </c>
      <c r="J5498">
        <v>3016.79</v>
      </c>
      <c r="K5498" t="s">
        <v>17</v>
      </c>
      <c r="L5498" t="b">
        <v>0</v>
      </c>
      <c r="N5498" s="2" t="str">
        <f t="shared" si="490"/>
        <v/>
      </c>
      <c r="Q5498" t="str">
        <f t="shared" si="493"/>
        <v/>
      </c>
    </row>
    <row r="5499" spans="1:17" hidden="1">
      <c r="A5499" t="s">
        <v>5604</v>
      </c>
      <c r="B5499" s="1">
        <v>45656</v>
      </c>
      <c r="C5499">
        <v>2024</v>
      </c>
      <c r="D5499">
        <v>12</v>
      </c>
      <c r="E5499" t="s">
        <v>13</v>
      </c>
      <c r="F5499" t="s">
        <v>24</v>
      </c>
      <c r="G5499" t="s">
        <v>15</v>
      </c>
      <c r="H5499" t="s">
        <v>89</v>
      </c>
      <c r="I5499">
        <v>3232.76</v>
      </c>
      <c r="J5499">
        <v>3251.88</v>
      </c>
      <c r="K5499" t="s">
        <v>17</v>
      </c>
      <c r="L5499" t="b">
        <v>0</v>
      </c>
      <c r="N5499" s="2" t="str">
        <f t="shared" si="490"/>
        <v/>
      </c>
      <c r="Q5499" t="str">
        <f t="shared" si="493"/>
        <v/>
      </c>
    </row>
    <row r="5500" spans="1:17" hidden="1">
      <c r="A5500" t="s">
        <v>5605</v>
      </c>
      <c r="B5500" s="1">
        <v>45656</v>
      </c>
      <c r="C5500">
        <v>2024</v>
      </c>
      <c r="D5500">
        <v>12</v>
      </c>
      <c r="E5500" t="s">
        <v>47</v>
      </c>
      <c r="F5500" t="s">
        <v>14</v>
      </c>
      <c r="G5500" t="s">
        <v>48</v>
      </c>
      <c r="H5500" t="s">
        <v>191</v>
      </c>
      <c r="I5500">
        <v>13483.15</v>
      </c>
      <c r="J5500">
        <v>11669.44</v>
      </c>
      <c r="K5500" t="s">
        <v>17</v>
      </c>
      <c r="L5500" t="b">
        <v>0</v>
      </c>
      <c r="N5500" s="2" t="b">
        <f t="shared" si="490"/>
        <v>1</v>
      </c>
      <c r="O5500" t="b">
        <f t="shared" ref="O5500:O5501" si="495">IF(AND(E5489="HR",K5489="EXPENSE"),I5489&lt;J5489,"")</f>
        <v>1</v>
      </c>
      <c r="Q5500" t="str">
        <f t="shared" si="493"/>
        <v/>
      </c>
    </row>
    <row r="5501" spans="1:17" hidden="1">
      <c r="A5501" t="s">
        <v>5606</v>
      </c>
      <c r="B5501" s="1">
        <v>45656</v>
      </c>
      <c r="C5501">
        <v>2024</v>
      </c>
      <c r="D5501">
        <v>12</v>
      </c>
      <c r="E5501" t="s">
        <v>47</v>
      </c>
      <c r="F5501" t="s">
        <v>14</v>
      </c>
      <c r="G5501" t="s">
        <v>91</v>
      </c>
      <c r="H5501" t="s">
        <v>254</v>
      </c>
      <c r="I5501">
        <v>16817.189999999999</v>
      </c>
      <c r="J5501">
        <v>13952.36</v>
      </c>
      <c r="K5501" t="s">
        <v>17</v>
      </c>
      <c r="L5501" t="b">
        <v>0</v>
      </c>
      <c r="N5501" s="2" t="b">
        <f t="shared" si="490"/>
        <v>1</v>
      </c>
      <c r="O5501" t="str">
        <f t="shared" si="495"/>
        <v/>
      </c>
      <c r="Q5501" t="str">
        <f t="shared" si="493"/>
        <v/>
      </c>
    </row>
    <row r="5502" spans="1:17" hidden="1">
      <c r="A5502" t="s">
        <v>5607</v>
      </c>
      <c r="B5502" s="1">
        <v>45656</v>
      </c>
      <c r="C5502">
        <v>2024</v>
      </c>
      <c r="D5502">
        <v>12</v>
      </c>
      <c r="E5502" t="s">
        <v>19</v>
      </c>
      <c r="F5502" t="s">
        <v>14</v>
      </c>
      <c r="G5502" t="s">
        <v>54</v>
      </c>
      <c r="H5502" t="s">
        <v>55</v>
      </c>
      <c r="I5502">
        <v>6165.74</v>
      </c>
      <c r="J5502">
        <v>6398.64</v>
      </c>
      <c r="K5502" t="s">
        <v>17</v>
      </c>
      <c r="L5502" t="b">
        <v>0</v>
      </c>
      <c r="N5502" s="2" t="str">
        <f t="shared" si="490"/>
        <v/>
      </c>
      <c r="Q5502" t="str">
        <f t="shared" si="493"/>
        <v/>
      </c>
    </row>
    <row r="5503" spans="1:17" hidden="1">
      <c r="A5503" t="s">
        <v>5608</v>
      </c>
      <c r="B5503" s="1">
        <v>45656</v>
      </c>
      <c r="C5503">
        <v>2024</v>
      </c>
      <c r="D5503">
        <v>12</v>
      </c>
      <c r="E5503" t="s">
        <v>19</v>
      </c>
      <c r="F5503" t="s">
        <v>14</v>
      </c>
      <c r="G5503" t="s">
        <v>20</v>
      </c>
      <c r="H5503" t="s">
        <v>21</v>
      </c>
      <c r="I5503">
        <v>6951.96</v>
      </c>
      <c r="J5503">
        <v>6603.46</v>
      </c>
      <c r="K5503" t="s">
        <v>17</v>
      </c>
      <c r="L5503" t="b">
        <v>0</v>
      </c>
      <c r="N5503" s="2" t="str">
        <f t="shared" si="490"/>
        <v/>
      </c>
      <c r="Q5503" t="str">
        <f t="shared" si="493"/>
        <v/>
      </c>
    </row>
    <row r="5504" spans="1:17" hidden="1">
      <c r="A5504" t="s">
        <v>5609</v>
      </c>
      <c r="B5504" s="1">
        <v>45656</v>
      </c>
      <c r="C5504">
        <v>2024</v>
      </c>
      <c r="D5504">
        <v>12</v>
      </c>
      <c r="E5504" t="s">
        <v>19</v>
      </c>
      <c r="F5504" t="s">
        <v>24</v>
      </c>
      <c r="G5504" t="s">
        <v>54</v>
      </c>
      <c r="H5504" t="s">
        <v>163</v>
      </c>
      <c r="I5504">
        <v>6001.44</v>
      </c>
      <c r="J5504">
        <v>6453.11</v>
      </c>
      <c r="K5504" t="s">
        <v>17</v>
      </c>
      <c r="L5504" t="b">
        <v>0</v>
      </c>
      <c r="N5504" s="2" t="str">
        <f t="shared" si="490"/>
        <v/>
      </c>
      <c r="Q5504" t="str">
        <f t="shared" si="493"/>
        <v/>
      </c>
    </row>
    <row r="5505" spans="1:17" hidden="1">
      <c r="A5505" t="s">
        <v>5610</v>
      </c>
      <c r="B5505" s="1">
        <v>45656</v>
      </c>
      <c r="C5505">
        <v>2024</v>
      </c>
      <c r="D5505">
        <v>12</v>
      </c>
      <c r="E5505" t="s">
        <v>23</v>
      </c>
      <c r="F5505" t="s">
        <v>14</v>
      </c>
      <c r="G5505" t="s">
        <v>59</v>
      </c>
      <c r="H5505" t="s">
        <v>155</v>
      </c>
      <c r="I5505">
        <v>6535.17</v>
      </c>
      <c r="J5505">
        <v>7180.01</v>
      </c>
      <c r="K5505" t="s">
        <v>17</v>
      </c>
      <c r="L5505" t="b">
        <v>0</v>
      </c>
      <c r="N5505" s="2" t="str">
        <f t="shared" si="490"/>
        <v/>
      </c>
      <c r="Q5505" t="str">
        <f t="shared" si="493"/>
        <v/>
      </c>
    </row>
    <row r="5506" spans="1:17" hidden="1">
      <c r="A5506" t="s">
        <v>5611</v>
      </c>
      <c r="B5506" s="1">
        <v>45656</v>
      </c>
      <c r="C5506">
        <v>2024</v>
      </c>
      <c r="D5506">
        <v>12</v>
      </c>
      <c r="E5506" t="s">
        <v>23</v>
      </c>
      <c r="F5506" t="s">
        <v>28</v>
      </c>
      <c r="G5506" t="s">
        <v>141</v>
      </c>
      <c r="H5506" t="s">
        <v>209</v>
      </c>
      <c r="I5506">
        <v>3886.44</v>
      </c>
      <c r="J5506">
        <v>4079.64</v>
      </c>
      <c r="K5506" t="s">
        <v>17</v>
      </c>
      <c r="L5506" t="b">
        <v>0</v>
      </c>
      <c r="N5506" s="2" t="str">
        <f t="shared" si="490"/>
        <v/>
      </c>
      <c r="Q5506" t="str">
        <f t="shared" si="493"/>
        <v/>
      </c>
    </row>
    <row r="5507" spans="1:17" hidden="1">
      <c r="A5507" t="s">
        <v>5612</v>
      </c>
      <c r="B5507" s="1">
        <v>45656</v>
      </c>
      <c r="C5507">
        <v>2024</v>
      </c>
      <c r="D5507">
        <v>12</v>
      </c>
      <c r="E5507" t="s">
        <v>37</v>
      </c>
      <c r="F5507" t="s">
        <v>14</v>
      </c>
      <c r="G5507" t="s">
        <v>41</v>
      </c>
      <c r="H5507" t="s">
        <v>42</v>
      </c>
      <c r="I5507">
        <v>4745.92</v>
      </c>
      <c r="J5507">
        <v>4465.84</v>
      </c>
      <c r="K5507" t="s">
        <v>17</v>
      </c>
      <c r="L5507" t="b">
        <v>0</v>
      </c>
      <c r="N5507" s="2" t="str">
        <f t="shared" ref="N5507:N5570" si="496">IF(AND(E5507="IT",K5507="EXPENSE"),I5507&gt;J5507,"")</f>
        <v/>
      </c>
      <c r="Q5507" t="str">
        <f t="shared" si="493"/>
        <v/>
      </c>
    </row>
    <row r="5508" spans="1:17" hidden="1">
      <c r="A5508" t="s">
        <v>5613</v>
      </c>
      <c r="B5508" s="1">
        <v>45656</v>
      </c>
      <c r="C5508">
        <v>2024</v>
      </c>
      <c r="D5508">
        <v>12</v>
      </c>
      <c r="E5508" t="s">
        <v>37</v>
      </c>
      <c r="F5508" t="s">
        <v>24</v>
      </c>
      <c r="G5508" t="s">
        <v>98</v>
      </c>
      <c r="H5508" t="s">
        <v>99</v>
      </c>
      <c r="I5508">
        <v>5979.33</v>
      </c>
      <c r="J5508">
        <v>5396.52</v>
      </c>
      <c r="K5508" t="s">
        <v>17</v>
      </c>
      <c r="L5508" t="b">
        <v>0</v>
      </c>
      <c r="N5508" s="2" t="str">
        <f t="shared" si="496"/>
        <v/>
      </c>
      <c r="Q5508" t="str">
        <f t="shared" si="493"/>
        <v/>
      </c>
    </row>
    <row r="5509" spans="1:17" hidden="1">
      <c r="A5509" t="s">
        <v>5614</v>
      </c>
      <c r="B5509" s="1">
        <v>45657</v>
      </c>
      <c r="C5509">
        <v>2024</v>
      </c>
      <c r="D5509">
        <v>12</v>
      </c>
      <c r="E5509" t="s">
        <v>13</v>
      </c>
      <c r="F5509" t="s">
        <v>28</v>
      </c>
      <c r="G5509" t="s">
        <v>108</v>
      </c>
      <c r="H5509" t="s">
        <v>123</v>
      </c>
      <c r="I5509">
        <v>3002.35</v>
      </c>
      <c r="J5509">
        <v>2707.25</v>
      </c>
      <c r="K5509" t="s">
        <v>17</v>
      </c>
      <c r="L5509" t="b">
        <v>0</v>
      </c>
      <c r="N5509" s="2" t="str">
        <f t="shared" si="496"/>
        <v/>
      </c>
      <c r="Q5509" t="str">
        <f t="shared" si="493"/>
        <v/>
      </c>
    </row>
    <row r="5510" spans="1:17" hidden="1">
      <c r="A5510" t="s">
        <v>5615</v>
      </c>
      <c r="B5510" s="1">
        <v>45657</v>
      </c>
      <c r="C5510">
        <v>2024</v>
      </c>
      <c r="D5510">
        <v>12</v>
      </c>
      <c r="E5510" t="s">
        <v>47</v>
      </c>
      <c r="F5510" t="s">
        <v>14</v>
      </c>
      <c r="G5510" t="s">
        <v>77</v>
      </c>
      <c r="H5510" t="s">
        <v>130</v>
      </c>
      <c r="I5510">
        <v>15677.47</v>
      </c>
      <c r="J5510">
        <v>13229.39</v>
      </c>
      <c r="K5510" t="s">
        <v>17</v>
      </c>
      <c r="L5510" t="b">
        <v>0</v>
      </c>
      <c r="N5510" s="2" t="b">
        <f t="shared" si="496"/>
        <v>1</v>
      </c>
      <c r="O5510" t="b">
        <f t="shared" ref="O5510:O5513" si="497">IF(AND(E5499="HR",K5499="EXPENSE"),I5499&lt;J5499,"")</f>
        <v>1</v>
      </c>
      <c r="Q5510" t="str">
        <f t="shared" si="493"/>
        <v/>
      </c>
    </row>
    <row r="5511" spans="1:17" hidden="1">
      <c r="A5511" t="s">
        <v>5616</v>
      </c>
      <c r="B5511" s="1">
        <v>45657</v>
      </c>
      <c r="C5511">
        <v>2024</v>
      </c>
      <c r="D5511">
        <v>12</v>
      </c>
      <c r="E5511" t="s">
        <v>47</v>
      </c>
      <c r="F5511" t="s">
        <v>28</v>
      </c>
      <c r="G5511" t="s">
        <v>51</v>
      </c>
      <c r="H5511" t="s">
        <v>52</v>
      </c>
      <c r="I5511">
        <v>20254.939999999999</v>
      </c>
      <c r="J5511">
        <v>17585.18</v>
      </c>
      <c r="K5511" t="s">
        <v>17</v>
      </c>
      <c r="L5511" t="b">
        <v>0</v>
      </c>
      <c r="N5511" s="2" t="b">
        <f t="shared" si="496"/>
        <v>1</v>
      </c>
      <c r="O5511" t="str">
        <f t="shared" si="497"/>
        <v/>
      </c>
      <c r="Q5511" t="str">
        <f t="shared" si="493"/>
        <v/>
      </c>
    </row>
    <row r="5512" spans="1:17" hidden="1">
      <c r="A5512" t="s">
        <v>5617</v>
      </c>
      <c r="B5512" s="1">
        <v>45657</v>
      </c>
      <c r="C5512">
        <v>2024</v>
      </c>
      <c r="D5512">
        <v>12</v>
      </c>
      <c r="E5512" t="s">
        <v>47</v>
      </c>
      <c r="F5512" t="s">
        <v>24</v>
      </c>
      <c r="G5512" t="s">
        <v>48</v>
      </c>
      <c r="H5512" t="s">
        <v>189</v>
      </c>
      <c r="I5512">
        <v>23792.91</v>
      </c>
      <c r="J5512">
        <v>20061.43</v>
      </c>
      <c r="K5512" t="s">
        <v>17</v>
      </c>
      <c r="L5512" t="b">
        <v>0</v>
      </c>
      <c r="N5512" s="2" t="b">
        <f t="shared" si="496"/>
        <v>1</v>
      </c>
      <c r="O5512" t="str">
        <f t="shared" si="497"/>
        <v/>
      </c>
      <c r="Q5512" t="str">
        <f t="shared" si="493"/>
        <v/>
      </c>
    </row>
    <row r="5513" spans="1:17" hidden="1">
      <c r="A5513" t="s">
        <v>5618</v>
      </c>
      <c r="B5513" s="1">
        <v>45657</v>
      </c>
      <c r="C5513">
        <v>2024</v>
      </c>
      <c r="D5513">
        <v>12</v>
      </c>
      <c r="E5513" t="s">
        <v>47</v>
      </c>
      <c r="F5513" t="s">
        <v>24</v>
      </c>
      <c r="G5513" t="s">
        <v>51</v>
      </c>
      <c r="H5513" t="s">
        <v>52</v>
      </c>
      <c r="I5513">
        <v>22679.96</v>
      </c>
      <c r="J5513">
        <v>19338</v>
      </c>
      <c r="K5513" t="s">
        <v>17</v>
      </c>
      <c r="L5513" t="b">
        <v>0</v>
      </c>
      <c r="N5513" s="2" t="b">
        <f t="shared" si="496"/>
        <v>1</v>
      </c>
      <c r="O5513" t="str">
        <f t="shared" si="497"/>
        <v/>
      </c>
      <c r="Q5513" t="str">
        <f t="shared" si="493"/>
        <v/>
      </c>
    </row>
    <row r="5514" spans="1:17" hidden="1">
      <c r="A5514" t="s">
        <v>5619</v>
      </c>
      <c r="B5514" s="1">
        <v>45657</v>
      </c>
      <c r="C5514">
        <v>2024</v>
      </c>
      <c r="D5514">
        <v>12</v>
      </c>
      <c r="E5514" t="s">
        <v>19</v>
      </c>
      <c r="F5514" t="s">
        <v>14</v>
      </c>
      <c r="G5514" t="s">
        <v>132</v>
      </c>
      <c r="H5514" t="s">
        <v>138</v>
      </c>
      <c r="I5514">
        <v>3936.92</v>
      </c>
      <c r="J5514">
        <v>3593.08</v>
      </c>
      <c r="K5514" t="s">
        <v>17</v>
      </c>
      <c r="L5514" t="b">
        <v>0</v>
      </c>
      <c r="N5514" s="2" t="str">
        <f t="shared" si="496"/>
        <v/>
      </c>
      <c r="Q5514" t="str">
        <f t="shared" si="493"/>
        <v/>
      </c>
    </row>
    <row r="5515" spans="1:17" hidden="1">
      <c r="A5515" t="s">
        <v>5620</v>
      </c>
      <c r="B5515" s="1">
        <v>45657</v>
      </c>
      <c r="C5515">
        <v>2024</v>
      </c>
      <c r="D5515">
        <v>12</v>
      </c>
      <c r="E5515" t="s">
        <v>19</v>
      </c>
      <c r="F5515" t="s">
        <v>28</v>
      </c>
      <c r="G5515" t="s">
        <v>132</v>
      </c>
      <c r="H5515" t="s">
        <v>138</v>
      </c>
      <c r="I5515">
        <v>8431.26</v>
      </c>
      <c r="J5515">
        <v>8494.25</v>
      </c>
      <c r="K5515" t="s">
        <v>17</v>
      </c>
      <c r="L5515" t="b">
        <v>0</v>
      </c>
      <c r="N5515" s="2" t="str">
        <f t="shared" si="496"/>
        <v/>
      </c>
      <c r="Q5515" t="str">
        <f t="shared" si="493"/>
        <v/>
      </c>
    </row>
    <row r="5516" spans="1:17" hidden="1">
      <c r="A5516" t="s">
        <v>5621</v>
      </c>
      <c r="B5516" s="1">
        <v>45657</v>
      </c>
      <c r="C5516">
        <v>2024</v>
      </c>
      <c r="D5516">
        <v>12</v>
      </c>
      <c r="E5516" t="s">
        <v>23</v>
      </c>
      <c r="F5516" t="s">
        <v>14</v>
      </c>
      <c r="G5516" t="s">
        <v>59</v>
      </c>
      <c r="H5516" t="s">
        <v>155</v>
      </c>
      <c r="I5516">
        <v>7258.59</v>
      </c>
      <c r="J5516">
        <v>7963.31</v>
      </c>
      <c r="K5516" t="s">
        <v>17</v>
      </c>
      <c r="L5516" t="b">
        <v>0</v>
      </c>
      <c r="N5516" s="2" t="str">
        <f t="shared" si="496"/>
        <v/>
      </c>
      <c r="Q5516" t="str">
        <f t="shared" si="493"/>
        <v/>
      </c>
    </row>
    <row r="5517" spans="1:17" hidden="1">
      <c r="A5517" t="s">
        <v>5622</v>
      </c>
      <c r="B5517" s="1">
        <v>45657</v>
      </c>
      <c r="C5517">
        <v>2024</v>
      </c>
      <c r="D5517">
        <v>12</v>
      </c>
      <c r="E5517" t="s">
        <v>37</v>
      </c>
      <c r="F5517" t="s">
        <v>28</v>
      </c>
      <c r="G5517" t="s">
        <v>38</v>
      </c>
      <c r="H5517" t="s">
        <v>39</v>
      </c>
      <c r="I5517">
        <v>7014.33</v>
      </c>
      <c r="J5517">
        <v>6977.05</v>
      </c>
      <c r="K5517" t="s">
        <v>17</v>
      </c>
      <c r="L5517" t="b">
        <v>0</v>
      </c>
      <c r="N5517" s="2" t="str">
        <f t="shared" si="496"/>
        <v/>
      </c>
      <c r="Q5517" t="str">
        <f t="shared" si="493"/>
        <v/>
      </c>
    </row>
    <row r="5518" spans="1:17" hidden="1">
      <c r="A5518" t="s">
        <v>5623</v>
      </c>
      <c r="B5518" s="1">
        <v>45657</v>
      </c>
      <c r="C5518">
        <v>2024</v>
      </c>
      <c r="D5518">
        <v>12</v>
      </c>
      <c r="E5518" t="s">
        <v>37</v>
      </c>
      <c r="F5518" t="s">
        <v>28</v>
      </c>
      <c r="G5518" t="s">
        <v>41</v>
      </c>
      <c r="H5518" t="s">
        <v>42</v>
      </c>
      <c r="I5518">
        <v>6267.02</v>
      </c>
      <c r="J5518">
        <v>5716.5</v>
      </c>
      <c r="K5518" t="s">
        <v>17</v>
      </c>
      <c r="L5518" t="b">
        <v>0</v>
      </c>
      <c r="N5518" s="2" t="str">
        <f t="shared" si="496"/>
        <v/>
      </c>
      <c r="Q5518" t="str">
        <f t="shared" si="493"/>
        <v/>
      </c>
    </row>
    <row r="5519" spans="1:17" hidden="1">
      <c r="A5519" t="s">
        <v>5624</v>
      </c>
      <c r="B5519" s="1">
        <v>45657</v>
      </c>
      <c r="C5519">
        <v>2024</v>
      </c>
      <c r="D5519">
        <v>12</v>
      </c>
      <c r="E5519" t="s">
        <v>37</v>
      </c>
      <c r="F5519" t="s">
        <v>24</v>
      </c>
      <c r="G5519" t="s">
        <v>41</v>
      </c>
      <c r="H5519" t="s">
        <v>42</v>
      </c>
      <c r="I5519">
        <v>5885.33</v>
      </c>
      <c r="J5519">
        <v>6254.5</v>
      </c>
      <c r="K5519" t="s">
        <v>17</v>
      </c>
      <c r="L5519" t="b">
        <v>0</v>
      </c>
      <c r="N5519" s="2" t="str">
        <f t="shared" si="496"/>
        <v/>
      </c>
      <c r="Q5519" t="str">
        <f t="shared" si="493"/>
        <v/>
      </c>
    </row>
    <row r="5520" spans="1:17" hidden="1">
      <c r="A5520" t="s">
        <v>5625</v>
      </c>
      <c r="B5520" s="1">
        <v>45658</v>
      </c>
      <c r="C5520">
        <v>2025</v>
      </c>
      <c r="D5520">
        <v>1</v>
      </c>
      <c r="E5520" t="s">
        <v>13</v>
      </c>
      <c r="F5520" t="s">
        <v>14</v>
      </c>
      <c r="G5520" t="s">
        <v>102</v>
      </c>
      <c r="H5520" t="s">
        <v>278</v>
      </c>
      <c r="I5520">
        <v>4203</v>
      </c>
      <c r="J5520">
        <v>3887.29</v>
      </c>
      <c r="K5520" t="s">
        <v>17</v>
      </c>
      <c r="L5520" t="b">
        <v>0</v>
      </c>
      <c r="N5520" s="2" t="str">
        <f t="shared" si="496"/>
        <v/>
      </c>
      <c r="Q5520" t="str">
        <f t="shared" si="493"/>
        <v/>
      </c>
    </row>
    <row r="5521" spans="1:17" hidden="1">
      <c r="A5521" t="s">
        <v>5626</v>
      </c>
      <c r="B5521" s="1">
        <v>45658</v>
      </c>
      <c r="C5521">
        <v>2025</v>
      </c>
      <c r="D5521">
        <v>1</v>
      </c>
      <c r="E5521" t="s">
        <v>13</v>
      </c>
      <c r="F5521" t="s">
        <v>28</v>
      </c>
      <c r="G5521" t="s">
        <v>68</v>
      </c>
      <c r="H5521" t="s">
        <v>213</v>
      </c>
      <c r="I5521">
        <v>3472.42</v>
      </c>
      <c r="J5521">
        <v>3424.96</v>
      </c>
      <c r="K5521" t="s">
        <v>17</v>
      </c>
      <c r="L5521" t="b">
        <v>0</v>
      </c>
      <c r="N5521" s="2" t="str">
        <f t="shared" si="496"/>
        <v/>
      </c>
      <c r="Q5521" t="str">
        <f t="shared" si="493"/>
        <v/>
      </c>
    </row>
    <row r="5522" spans="1:17" hidden="1">
      <c r="A5522" t="s">
        <v>5627</v>
      </c>
      <c r="B5522" s="1">
        <v>45658</v>
      </c>
      <c r="C5522">
        <v>2025</v>
      </c>
      <c r="D5522">
        <v>1</v>
      </c>
      <c r="E5522" t="s">
        <v>47</v>
      </c>
      <c r="F5522" t="s">
        <v>24</v>
      </c>
      <c r="G5522" t="s">
        <v>77</v>
      </c>
      <c r="H5522" t="s">
        <v>147</v>
      </c>
      <c r="I5522">
        <v>16156.45</v>
      </c>
      <c r="J5522">
        <v>13710.98</v>
      </c>
      <c r="K5522" t="s">
        <v>17</v>
      </c>
      <c r="L5522" t="b">
        <v>0</v>
      </c>
      <c r="N5522" s="2" t="b">
        <f t="shared" si="496"/>
        <v>1</v>
      </c>
      <c r="O5522" t="str">
        <f>IF(AND(E5511="HR",K5511="EXPENSE"),I5511&lt;J5511,"")</f>
        <v/>
      </c>
      <c r="Q5522" t="str">
        <f t="shared" si="493"/>
        <v/>
      </c>
    </row>
    <row r="5523" spans="1:17" hidden="1">
      <c r="A5523" t="s">
        <v>5628</v>
      </c>
      <c r="B5523" s="1">
        <v>45658</v>
      </c>
      <c r="C5523">
        <v>2025</v>
      </c>
      <c r="D5523">
        <v>1</v>
      </c>
      <c r="E5523" t="s">
        <v>19</v>
      </c>
      <c r="F5523" t="s">
        <v>14</v>
      </c>
      <c r="G5523" t="s">
        <v>20</v>
      </c>
      <c r="H5523" t="s">
        <v>136</v>
      </c>
      <c r="I5523">
        <v>7078.41</v>
      </c>
      <c r="J5523">
        <v>7690.59</v>
      </c>
      <c r="K5523" t="s">
        <v>17</v>
      </c>
      <c r="L5523" t="b">
        <v>0</v>
      </c>
      <c r="N5523" s="2" t="str">
        <f t="shared" si="496"/>
        <v/>
      </c>
      <c r="Q5523" t="str">
        <f t="shared" si="493"/>
        <v/>
      </c>
    </row>
    <row r="5524" spans="1:17" hidden="1">
      <c r="A5524" t="s">
        <v>5629</v>
      </c>
      <c r="B5524" s="1">
        <v>45658</v>
      </c>
      <c r="C5524">
        <v>2025</v>
      </c>
      <c r="D5524">
        <v>1</v>
      </c>
      <c r="E5524" t="s">
        <v>23</v>
      </c>
      <c r="F5524" t="s">
        <v>14</v>
      </c>
      <c r="G5524" t="s">
        <v>141</v>
      </c>
      <c r="H5524" t="s">
        <v>153</v>
      </c>
      <c r="I5524">
        <v>5133.22</v>
      </c>
      <c r="J5524">
        <v>5218.43</v>
      </c>
      <c r="K5524" t="s">
        <v>17</v>
      </c>
      <c r="L5524" t="b">
        <v>0</v>
      </c>
      <c r="N5524" s="2" t="str">
        <f t="shared" si="496"/>
        <v/>
      </c>
      <c r="Q5524" t="str">
        <f t="shared" si="493"/>
        <v/>
      </c>
    </row>
    <row r="5525" spans="1:17" hidden="1">
      <c r="A5525" t="s">
        <v>5630</v>
      </c>
      <c r="B5525" s="1">
        <v>45658</v>
      </c>
      <c r="C5525">
        <v>2025</v>
      </c>
      <c r="D5525">
        <v>1</v>
      </c>
      <c r="E5525" t="s">
        <v>23</v>
      </c>
      <c r="F5525" t="s">
        <v>28</v>
      </c>
      <c r="G5525" t="s">
        <v>25</v>
      </c>
      <c r="H5525" t="s">
        <v>95</v>
      </c>
      <c r="I5525">
        <v>4880.3500000000004</v>
      </c>
      <c r="J5525">
        <v>4947.74</v>
      </c>
      <c r="K5525" t="s">
        <v>17</v>
      </c>
      <c r="L5525" t="b">
        <v>0</v>
      </c>
      <c r="N5525" s="2" t="str">
        <f t="shared" si="496"/>
        <v/>
      </c>
      <c r="Q5525" t="str">
        <f t="shared" si="493"/>
        <v/>
      </c>
    </row>
    <row r="5526" spans="1:17" hidden="1">
      <c r="A5526" t="s">
        <v>5631</v>
      </c>
      <c r="B5526" s="1">
        <v>45658</v>
      </c>
      <c r="C5526">
        <v>2025</v>
      </c>
      <c r="D5526">
        <v>1</v>
      </c>
      <c r="E5526" t="s">
        <v>23</v>
      </c>
      <c r="F5526" t="s">
        <v>28</v>
      </c>
      <c r="G5526" t="s">
        <v>59</v>
      </c>
      <c r="H5526" t="s">
        <v>60</v>
      </c>
      <c r="I5526">
        <v>7292.64</v>
      </c>
      <c r="J5526">
        <v>7062.75</v>
      </c>
      <c r="K5526" t="s">
        <v>17</v>
      </c>
      <c r="L5526" t="b">
        <v>0</v>
      </c>
      <c r="N5526" s="2" t="str">
        <f t="shared" si="496"/>
        <v/>
      </c>
      <c r="Q5526" t="str">
        <f t="shared" si="493"/>
        <v/>
      </c>
    </row>
    <row r="5527" spans="1:17" hidden="1">
      <c r="A5527" t="s">
        <v>5632</v>
      </c>
      <c r="B5527" s="1">
        <v>45658</v>
      </c>
      <c r="C5527">
        <v>2025</v>
      </c>
      <c r="D5527">
        <v>1</v>
      </c>
      <c r="E5527" t="s">
        <v>23</v>
      </c>
      <c r="F5527" t="s">
        <v>24</v>
      </c>
      <c r="G5527" t="s">
        <v>59</v>
      </c>
      <c r="H5527" t="s">
        <v>60</v>
      </c>
      <c r="I5527">
        <v>5574.47</v>
      </c>
      <c r="J5527">
        <v>5252.23</v>
      </c>
      <c r="K5527" t="s">
        <v>17</v>
      </c>
      <c r="L5527" t="b">
        <v>0</v>
      </c>
      <c r="N5527" s="2" t="str">
        <f t="shared" si="496"/>
        <v/>
      </c>
      <c r="Q5527" t="str">
        <f t="shared" si="493"/>
        <v/>
      </c>
    </row>
    <row r="5528" spans="1:17" hidden="1">
      <c r="A5528" t="s">
        <v>5633</v>
      </c>
      <c r="B5528" s="1">
        <v>45658</v>
      </c>
      <c r="C5528">
        <v>2025</v>
      </c>
      <c r="D5528">
        <v>1</v>
      </c>
      <c r="E5528" t="s">
        <v>23</v>
      </c>
      <c r="F5528" t="s">
        <v>24</v>
      </c>
      <c r="G5528" t="s">
        <v>30</v>
      </c>
      <c r="H5528" t="s">
        <v>33</v>
      </c>
      <c r="I5528">
        <v>3958.57</v>
      </c>
      <c r="J5528">
        <v>4316.03</v>
      </c>
      <c r="K5528" t="s">
        <v>17</v>
      </c>
      <c r="L5528" t="b">
        <v>0</v>
      </c>
      <c r="N5528" s="2" t="str">
        <f t="shared" si="496"/>
        <v/>
      </c>
      <c r="Q5528" t="str">
        <f t="shared" si="493"/>
        <v/>
      </c>
    </row>
    <row r="5529" spans="1:17" hidden="1">
      <c r="A5529" t="s">
        <v>5634</v>
      </c>
      <c r="B5529" s="1">
        <v>45658</v>
      </c>
      <c r="C5529">
        <v>2025</v>
      </c>
      <c r="D5529">
        <v>1</v>
      </c>
      <c r="E5529" t="s">
        <v>37</v>
      </c>
      <c r="F5529" t="s">
        <v>14</v>
      </c>
      <c r="G5529" t="s">
        <v>41</v>
      </c>
      <c r="H5529" t="s">
        <v>42</v>
      </c>
      <c r="I5529">
        <v>5892.69</v>
      </c>
      <c r="J5529">
        <v>6230.48</v>
      </c>
      <c r="K5529" t="s">
        <v>17</v>
      </c>
      <c r="L5529" t="b">
        <v>0</v>
      </c>
      <c r="N5529" s="2" t="str">
        <f t="shared" si="496"/>
        <v/>
      </c>
      <c r="Q5529" t="str">
        <f t="shared" si="493"/>
        <v/>
      </c>
    </row>
    <row r="5530" spans="1:17" hidden="1">
      <c r="A5530" t="s">
        <v>5635</v>
      </c>
      <c r="B5530" s="1">
        <v>45658</v>
      </c>
      <c r="C5530">
        <v>2025</v>
      </c>
      <c r="D5530">
        <v>1</v>
      </c>
      <c r="E5530" t="s">
        <v>37</v>
      </c>
      <c r="F5530" t="s">
        <v>14</v>
      </c>
      <c r="G5530" t="s">
        <v>38</v>
      </c>
      <c r="H5530" t="s">
        <v>118</v>
      </c>
      <c r="I5530">
        <v>4806.1499999999996</v>
      </c>
      <c r="J5530">
        <v>4675.8999999999996</v>
      </c>
      <c r="K5530" t="s">
        <v>17</v>
      </c>
      <c r="L5530" t="b">
        <v>0</v>
      </c>
      <c r="N5530" s="2" t="str">
        <f t="shared" si="496"/>
        <v/>
      </c>
      <c r="Q5530" t="str">
        <f t="shared" si="493"/>
        <v/>
      </c>
    </row>
    <row r="5531" spans="1:17" hidden="1">
      <c r="A5531" t="s">
        <v>5636</v>
      </c>
      <c r="B5531" s="1">
        <v>45658</v>
      </c>
      <c r="C5531">
        <v>2025</v>
      </c>
      <c r="D5531">
        <v>1</v>
      </c>
      <c r="E5531" t="s">
        <v>37</v>
      </c>
      <c r="F5531" t="s">
        <v>24</v>
      </c>
      <c r="G5531" t="s">
        <v>62</v>
      </c>
      <c r="H5531" t="s">
        <v>121</v>
      </c>
      <c r="I5531">
        <v>6616.19</v>
      </c>
      <c r="J5531">
        <v>6573.7</v>
      </c>
      <c r="K5531" t="s">
        <v>17</v>
      </c>
      <c r="L5531" t="b">
        <v>0</v>
      </c>
      <c r="N5531" s="2" t="str">
        <f t="shared" si="496"/>
        <v/>
      </c>
      <c r="Q5531" t="str">
        <f t="shared" si="493"/>
        <v/>
      </c>
    </row>
    <row r="5532" spans="1:17" hidden="1">
      <c r="A5532" t="s">
        <v>5637</v>
      </c>
      <c r="B5532" s="1">
        <v>45659</v>
      </c>
      <c r="C5532">
        <v>2025</v>
      </c>
      <c r="D5532">
        <v>1</v>
      </c>
      <c r="E5532" t="s">
        <v>13</v>
      </c>
      <c r="F5532" t="s">
        <v>14</v>
      </c>
      <c r="G5532" t="s">
        <v>108</v>
      </c>
      <c r="H5532" t="s">
        <v>109</v>
      </c>
      <c r="I5532">
        <v>3231.56</v>
      </c>
      <c r="J5532">
        <v>3161.84</v>
      </c>
      <c r="K5532" t="s">
        <v>17</v>
      </c>
      <c r="L5532" t="b">
        <v>0</v>
      </c>
      <c r="N5532" s="2" t="str">
        <f t="shared" si="496"/>
        <v/>
      </c>
      <c r="Q5532" t="str">
        <f t="shared" si="493"/>
        <v/>
      </c>
    </row>
    <row r="5533" spans="1:17" hidden="1">
      <c r="A5533" t="s">
        <v>5638</v>
      </c>
      <c r="B5533" s="1">
        <v>45659</v>
      </c>
      <c r="C5533">
        <v>2025</v>
      </c>
      <c r="D5533">
        <v>1</v>
      </c>
      <c r="E5533" t="s">
        <v>13</v>
      </c>
      <c r="F5533" t="s">
        <v>14</v>
      </c>
      <c r="G5533" t="s">
        <v>15</v>
      </c>
      <c r="H5533" t="s">
        <v>89</v>
      </c>
      <c r="I5533">
        <v>5952.05</v>
      </c>
      <c r="J5533">
        <v>5508.73</v>
      </c>
      <c r="K5533" t="s">
        <v>17</v>
      </c>
      <c r="L5533" t="b">
        <v>0</v>
      </c>
      <c r="N5533" s="2" t="str">
        <f t="shared" si="496"/>
        <v/>
      </c>
      <c r="Q5533" t="str">
        <f t="shared" si="493"/>
        <v/>
      </c>
    </row>
    <row r="5534" spans="1:17" hidden="1">
      <c r="A5534" t="s">
        <v>5639</v>
      </c>
      <c r="B5534" s="1">
        <v>45659</v>
      </c>
      <c r="C5534">
        <v>2025</v>
      </c>
      <c r="D5534">
        <v>1</v>
      </c>
      <c r="E5534" t="s">
        <v>19</v>
      </c>
      <c r="F5534" t="s">
        <v>24</v>
      </c>
      <c r="G5534" t="s">
        <v>54</v>
      </c>
      <c r="H5534" t="s">
        <v>163</v>
      </c>
      <c r="I5534">
        <v>4434.62</v>
      </c>
      <c r="J5534">
        <v>4725.58</v>
      </c>
      <c r="K5534" t="s">
        <v>17</v>
      </c>
      <c r="L5534" t="b">
        <v>0</v>
      </c>
      <c r="N5534" s="2" t="str">
        <f t="shared" si="496"/>
        <v/>
      </c>
      <c r="Q5534" t="str">
        <f t="shared" si="493"/>
        <v/>
      </c>
    </row>
    <row r="5535" spans="1:17" hidden="1">
      <c r="A5535" t="s">
        <v>5640</v>
      </c>
      <c r="B5535" s="1">
        <v>45659</v>
      </c>
      <c r="C5535">
        <v>2025</v>
      </c>
      <c r="D5535">
        <v>1</v>
      </c>
      <c r="E5535" t="s">
        <v>37</v>
      </c>
      <c r="F5535" t="s">
        <v>14</v>
      </c>
      <c r="G5535" t="s">
        <v>62</v>
      </c>
      <c r="H5535" t="s">
        <v>66</v>
      </c>
      <c r="I5535">
        <v>4505.08</v>
      </c>
      <c r="J5535">
        <v>4686.7299999999996</v>
      </c>
      <c r="K5535" t="s">
        <v>17</v>
      </c>
      <c r="L5535" t="b">
        <v>0</v>
      </c>
      <c r="N5535" s="2" t="str">
        <f t="shared" si="496"/>
        <v/>
      </c>
      <c r="Q5535" t="str">
        <f t="shared" si="493"/>
        <v/>
      </c>
    </row>
    <row r="5536" spans="1:17" hidden="1">
      <c r="A5536" t="s">
        <v>5641</v>
      </c>
      <c r="B5536" s="1">
        <v>45659</v>
      </c>
      <c r="C5536">
        <v>2025</v>
      </c>
      <c r="D5536">
        <v>1</v>
      </c>
      <c r="E5536" t="s">
        <v>37</v>
      </c>
      <c r="F5536" t="s">
        <v>14</v>
      </c>
      <c r="G5536" t="s">
        <v>98</v>
      </c>
      <c r="H5536" t="s">
        <v>99</v>
      </c>
      <c r="I5536">
        <v>2255.23</v>
      </c>
      <c r="J5536">
        <v>2372.6</v>
      </c>
      <c r="K5536" t="s">
        <v>17</v>
      </c>
      <c r="L5536" t="b">
        <v>0</v>
      </c>
      <c r="N5536" s="2" t="str">
        <f t="shared" si="496"/>
        <v/>
      </c>
      <c r="Q5536" t="str">
        <f t="shared" si="493"/>
        <v/>
      </c>
    </row>
    <row r="5537" spans="1:17" hidden="1">
      <c r="A5537" t="s">
        <v>5642</v>
      </c>
      <c r="B5537" s="1">
        <v>45659</v>
      </c>
      <c r="C5537">
        <v>2025</v>
      </c>
      <c r="D5537">
        <v>1</v>
      </c>
      <c r="E5537" t="s">
        <v>37</v>
      </c>
      <c r="F5537" t="s">
        <v>14</v>
      </c>
      <c r="G5537" t="s">
        <v>41</v>
      </c>
      <c r="H5537" t="s">
        <v>42</v>
      </c>
      <c r="I5537">
        <v>4440.07</v>
      </c>
      <c r="J5537">
        <v>4350.74</v>
      </c>
      <c r="K5537" t="s">
        <v>17</v>
      </c>
      <c r="L5537" t="b">
        <v>0</v>
      </c>
      <c r="N5537" s="2" t="str">
        <f t="shared" si="496"/>
        <v/>
      </c>
      <c r="Q5537" t="str">
        <f t="shared" si="493"/>
        <v/>
      </c>
    </row>
    <row r="5538" spans="1:17" hidden="1">
      <c r="A5538" t="s">
        <v>5643</v>
      </c>
      <c r="B5538" s="1">
        <v>45660</v>
      </c>
      <c r="C5538">
        <v>2025</v>
      </c>
      <c r="D5538">
        <v>1</v>
      </c>
      <c r="E5538" t="s">
        <v>13</v>
      </c>
      <c r="F5538" t="s">
        <v>28</v>
      </c>
      <c r="G5538" t="s">
        <v>108</v>
      </c>
      <c r="H5538" t="s">
        <v>126</v>
      </c>
      <c r="I5538">
        <v>3422.74</v>
      </c>
      <c r="J5538">
        <v>3424.93</v>
      </c>
      <c r="K5538" t="s">
        <v>17</v>
      </c>
      <c r="L5538" t="b">
        <v>0</v>
      </c>
      <c r="N5538" s="2" t="str">
        <f t="shared" si="496"/>
        <v/>
      </c>
      <c r="Q5538" t="str">
        <f t="shared" si="493"/>
        <v/>
      </c>
    </row>
    <row r="5539" spans="1:17" hidden="1">
      <c r="A5539" t="s">
        <v>5644</v>
      </c>
      <c r="B5539" s="1">
        <v>45660</v>
      </c>
      <c r="C5539">
        <v>2025</v>
      </c>
      <c r="D5539">
        <v>1</v>
      </c>
      <c r="E5539" t="s">
        <v>13</v>
      </c>
      <c r="F5539" t="s">
        <v>28</v>
      </c>
      <c r="G5539" t="s">
        <v>15</v>
      </c>
      <c r="H5539" t="s">
        <v>89</v>
      </c>
      <c r="I5539">
        <v>1793.82</v>
      </c>
      <c r="J5539">
        <v>1689.24</v>
      </c>
      <c r="K5539" t="s">
        <v>17</v>
      </c>
      <c r="L5539" t="b">
        <v>0</v>
      </c>
      <c r="N5539" s="2" t="str">
        <f t="shared" si="496"/>
        <v/>
      </c>
      <c r="Q5539" t="str">
        <f t="shared" si="493"/>
        <v/>
      </c>
    </row>
    <row r="5540" spans="1:17" hidden="1">
      <c r="A5540" t="s">
        <v>5645</v>
      </c>
      <c r="B5540" s="1">
        <v>45660</v>
      </c>
      <c r="C5540">
        <v>2025</v>
      </c>
      <c r="D5540">
        <v>1</v>
      </c>
      <c r="E5540" t="s">
        <v>13</v>
      </c>
      <c r="F5540" t="s">
        <v>28</v>
      </c>
      <c r="G5540" t="s">
        <v>108</v>
      </c>
      <c r="H5540" t="s">
        <v>109</v>
      </c>
      <c r="I5540">
        <v>1990.76</v>
      </c>
      <c r="J5540">
        <v>2093.61</v>
      </c>
      <c r="K5540" t="s">
        <v>17</v>
      </c>
      <c r="L5540" t="b">
        <v>0</v>
      </c>
      <c r="N5540" s="2" t="str">
        <f t="shared" si="496"/>
        <v/>
      </c>
      <c r="Q5540" t="str">
        <f t="shared" si="493"/>
        <v/>
      </c>
    </row>
    <row r="5541" spans="1:17" hidden="1">
      <c r="A5541" t="s">
        <v>5646</v>
      </c>
      <c r="B5541" s="1">
        <v>45660</v>
      </c>
      <c r="C5541">
        <v>2025</v>
      </c>
      <c r="D5541">
        <v>1</v>
      </c>
      <c r="E5541" t="s">
        <v>19</v>
      </c>
      <c r="F5541" t="s">
        <v>14</v>
      </c>
      <c r="G5541" t="s">
        <v>80</v>
      </c>
      <c r="H5541" t="s">
        <v>217</v>
      </c>
      <c r="I5541">
        <v>4982.46</v>
      </c>
      <c r="J5541">
        <v>5015.9399999999996</v>
      </c>
      <c r="K5541" t="s">
        <v>17</v>
      </c>
      <c r="L5541" t="b">
        <v>0</v>
      </c>
      <c r="N5541" s="2" t="str">
        <f t="shared" si="496"/>
        <v/>
      </c>
      <c r="Q5541" t="str">
        <f t="shared" si="493"/>
        <v/>
      </c>
    </row>
    <row r="5542" spans="1:17" hidden="1">
      <c r="A5542" t="s">
        <v>5647</v>
      </c>
      <c r="B5542" s="1">
        <v>45660</v>
      </c>
      <c r="C5542">
        <v>2025</v>
      </c>
      <c r="D5542">
        <v>1</v>
      </c>
      <c r="E5542" t="s">
        <v>19</v>
      </c>
      <c r="F5542" t="s">
        <v>24</v>
      </c>
      <c r="G5542" t="s">
        <v>20</v>
      </c>
      <c r="H5542" t="s">
        <v>21</v>
      </c>
      <c r="I5542">
        <v>8874.84</v>
      </c>
      <c r="J5542">
        <v>9180.11</v>
      </c>
      <c r="K5542" t="s">
        <v>17</v>
      </c>
      <c r="L5542" t="b">
        <v>0</v>
      </c>
      <c r="N5542" s="2" t="str">
        <f t="shared" si="496"/>
        <v/>
      </c>
      <c r="Q5542" t="str">
        <f t="shared" si="493"/>
        <v/>
      </c>
    </row>
    <row r="5543" spans="1:17" hidden="1">
      <c r="A5543" t="s">
        <v>5648</v>
      </c>
      <c r="B5543" s="1">
        <v>45660</v>
      </c>
      <c r="C5543">
        <v>2025</v>
      </c>
      <c r="D5543">
        <v>1</v>
      </c>
      <c r="E5543" t="s">
        <v>23</v>
      </c>
      <c r="F5543" t="s">
        <v>24</v>
      </c>
      <c r="G5543" t="s">
        <v>59</v>
      </c>
      <c r="H5543" t="s">
        <v>155</v>
      </c>
      <c r="I5543">
        <v>3968.8</v>
      </c>
      <c r="J5543">
        <v>3922.38</v>
      </c>
      <c r="K5543" t="s">
        <v>17</v>
      </c>
      <c r="L5543" t="b">
        <v>0</v>
      </c>
      <c r="N5543" s="2" t="str">
        <f t="shared" si="496"/>
        <v/>
      </c>
      <c r="Q5543" t="str">
        <f t="shared" si="493"/>
        <v/>
      </c>
    </row>
    <row r="5544" spans="1:17" hidden="1">
      <c r="A5544" t="s">
        <v>5649</v>
      </c>
      <c r="B5544" s="1">
        <v>45661</v>
      </c>
      <c r="C5544">
        <v>2025</v>
      </c>
      <c r="D5544">
        <v>1</v>
      </c>
      <c r="E5544" t="s">
        <v>47</v>
      </c>
      <c r="F5544" t="s">
        <v>28</v>
      </c>
      <c r="G5544" t="s">
        <v>51</v>
      </c>
      <c r="H5544" t="s">
        <v>189</v>
      </c>
      <c r="I5544">
        <v>18309.32</v>
      </c>
      <c r="J5544">
        <v>15201.58</v>
      </c>
      <c r="K5544" t="s">
        <v>17</v>
      </c>
      <c r="L5544" t="b">
        <v>0</v>
      </c>
      <c r="N5544" s="2" t="b">
        <f t="shared" si="496"/>
        <v>1</v>
      </c>
      <c r="O5544" t="b">
        <f>IF(AND(E5533="HR",K5533="EXPENSE"),I5533&lt;J5533,"")</f>
        <v>0</v>
      </c>
      <c r="Q5544" t="str">
        <f t="shared" si="493"/>
        <v/>
      </c>
    </row>
    <row r="5545" spans="1:17" hidden="1">
      <c r="A5545" t="s">
        <v>5650</v>
      </c>
      <c r="B5545" s="1">
        <v>45661</v>
      </c>
      <c r="C5545">
        <v>2025</v>
      </c>
      <c r="D5545">
        <v>1</v>
      </c>
      <c r="E5545" t="s">
        <v>19</v>
      </c>
      <c r="F5545" t="s">
        <v>28</v>
      </c>
      <c r="G5545" t="s">
        <v>80</v>
      </c>
      <c r="H5545" t="s">
        <v>217</v>
      </c>
      <c r="I5545">
        <v>5700.21</v>
      </c>
      <c r="J5545">
        <v>5653.16</v>
      </c>
      <c r="K5545" t="s">
        <v>17</v>
      </c>
      <c r="L5545" t="b">
        <v>0</v>
      </c>
      <c r="N5545" s="2" t="str">
        <f t="shared" si="496"/>
        <v/>
      </c>
      <c r="Q5545" t="str">
        <f t="shared" si="493"/>
        <v/>
      </c>
    </row>
    <row r="5546" spans="1:17" hidden="1">
      <c r="A5546" t="s">
        <v>5651</v>
      </c>
      <c r="B5546" s="1">
        <v>45661</v>
      </c>
      <c r="C5546">
        <v>2025</v>
      </c>
      <c r="D5546">
        <v>1</v>
      </c>
      <c r="E5546" t="s">
        <v>23</v>
      </c>
      <c r="F5546" t="s">
        <v>14</v>
      </c>
      <c r="G5546" t="s">
        <v>25</v>
      </c>
      <c r="H5546" t="s">
        <v>35</v>
      </c>
      <c r="I5546">
        <v>4797.87</v>
      </c>
      <c r="J5546">
        <v>5092.93</v>
      </c>
      <c r="K5546" t="s">
        <v>17</v>
      </c>
      <c r="L5546" t="b">
        <v>0</v>
      </c>
      <c r="N5546" s="2" t="str">
        <f t="shared" si="496"/>
        <v/>
      </c>
      <c r="Q5546" t="str">
        <f t="shared" si="493"/>
        <v/>
      </c>
    </row>
    <row r="5547" spans="1:17" hidden="1">
      <c r="A5547" t="s">
        <v>5652</v>
      </c>
      <c r="B5547" s="1">
        <v>45661</v>
      </c>
      <c r="C5547">
        <v>2025</v>
      </c>
      <c r="D5547">
        <v>1</v>
      </c>
      <c r="E5547" t="s">
        <v>23</v>
      </c>
      <c r="F5547" t="s">
        <v>14</v>
      </c>
      <c r="G5547" t="s">
        <v>59</v>
      </c>
      <c r="H5547" t="s">
        <v>60</v>
      </c>
      <c r="I5547">
        <v>6689.99</v>
      </c>
      <c r="J5547">
        <v>6876.6</v>
      </c>
      <c r="K5547" t="s">
        <v>17</v>
      </c>
      <c r="L5547" t="b">
        <v>0</v>
      </c>
      <c r="N5547" s="2" t="str">
        <f t="shared" si="496"/>
        <v/>
      </c>
      <c r="Q5547" t="str">
        <f t="shared" si="493"/>
        <v/>
      </c>
    </row>
    <row r="5548" spans="1:17" hidden="1">
      <c r="A5548" t="s">
        <v>5653</v>
      </c>
      <c r="B5548" s="1">
        <v>45662</v>
      </c>
      <c r="C5548">
        <v>2025</v>
      </c>
      <c r="D5548">
        <v>1</v>
      </c>
      <c r="E5548" t="s">
        <v>13</v>
      </c>
      <c r="F5548" t="s">
        <v>14</v>
      </c>
      <c r="G5548" t="s">
        <v>108</v>
      </c>
      <c r="H5548" t="s">
        <v>123</v>
      </c>
      <c r="I5548">
        <v>3043.54</v>
      </c>
      <c r="J5548">
        <v>3014.38</v>
      </c>
      <c r="K5548" t="s">
        <v>17</v>
      </c>
      <c r="L5548" t="b">
        <v>0</v>
      </c>
      <c r="N5548" s="2" t="str">
        <f t="shared" si="496"/>
        <v/>
      </c>
      <c r="Q5548" t="str">
        <f t="shared" si="493"/>
        <v/>
      </c>
    </row>
    <row r="5549" spans="1:17" hidden="1">
      <c r="A5549" t="s">
        <v>5654</v>
      </c>
      <c r="B5549" s="1">
        <v>45662</v>
      </c>
      <c r="C5549">
        <v>2025</v>
      </c>
      <c r="D5549">
        <v>1</v>
      </c>
      <c r="E5549" t="s">
        <v>13</v>
      </c>
      <c r="F5549" t="s">
        <v>24</v>
      </c>
      <c r="G5549" t="s">
        <v>68</v>
      </c>
      <c r="H5549" t="s">
        <v>213</v>
      </c>
      <c r="I5549">
        <v>3188.3</v>
      </c>
      <c r="J5549">
        <v>3424.44</v>
      </c>
      <c r="K5549" t="s">
        <v>17</v>
      </c>
      <c r="L5549" t="b">
        <v>0</v>
      </c>
      <c r="N5549" s="2" t="str">
        <f t="shared" si="496"/>
        <v/>
      </c>
      <c r="Q5549" t="str">
        <f t="shared" si="493"/>
        <v/>
      </c>
    </row>
    <row r="5550" spans="1:17" hidden="1">
      <c r="A5550" t="s">
        <v>5655</v>
      </c>
      <c r="B5550" s="1">
        <v>45662</v>
      </c>
      <c r="C5550">
        <v>2025</v>
      </c>
      <c r="D5550">
        <v>1</v>
      </c>
      <c r="E5550" t="s">
        <v>47</v>
      </c>
      <c r="F5550" t="s">
        <v>14</v>
      </c>
      <c r="G5550" t="s">
        <v>77</v>
      </c>
      <c r="H5550" t="s">
        <v>130</v>
      </c>
      <c r="I5550">
        <v>8442.7800000000007</v>
      </c>
      <c r="J5550">
        <v>6992.88</v>
      </c>
      <c r="K5550" t="s">
        <v>17</v>
      </c>
      <c r="L5550" t="b">
        <v>0</v>
      </c>
      <c r="N5550" s="2" t="b">
        <f t="shared" si="496"/>
        <v>1</v>
      </c>
      <c r="O5550" t="b">
        <f t="shared" ref="O5550:O5551" si="498">IF(AND(E5539="HR",K5539="EXPENSE"),I5539&lt;J5539,"")</f>
        <v>0</v>
      </c>
      <c r="Q5550" t="str">
        <f t="shared" si="493"/>
        <v/>
      </c>
    </row>
    <row r="5551" spans="1:17" hidden="1">
      <c r="A5551" t="s">
        <v>5656</v>
      </c>
      <c r="B5551" s="1">
        <v>45662</v>
      </c>
      <c r="C5551">
        <v>2025</v>
      </c>
      <c r="D5551">
        <v>1</v>
      </c>
      <c r="E5551" t="s">
        <v>47</v>
      </c>
      <c r="F5551" t="s">
        <v>24</v>
      </c>
      <c r="G5551" t="s">
        <v>48</v>
      </c>
      <c r="H5551" t="s">
        <v>111</v>
      </c>
      <c r="I5551">
        <v>21271.07</v>
      </c>
      <c r="J5551">
        <v>17951.810000000001</v>
      </c>
      <c r="K5551" t="s">
        <v>17</v>
      </c>
      <c r="L5551" t="b">
        <v>0</v>
      </c>
      <c r="N5551" s="2" t="b">
        <f t="shared" si="496"/>
        <v>1</v>
      </c>
      <c r="O5551" t="b">
        <f t="shared" si="498"/>
        <v>1</v>
      </c>
      <c r="Q5551" t="str">
        <f t="shared" si="493"/>
        <v/>
      </c>
    </row>
    <row r="5552" spans="1:17" hidden="1">
      <c r="A5552" t="s">
        <v>5657</v>
      </c>
      <c r="B5552" s="1">
        <v>45662</v>
      </c>
      <c r="C5552">
        <v>2025</v>
      </c>
      <c r="D5552">
        <v>1</v>
      </c>
      <c r="E5552" t="s">
        <v>19</v>
      </c>
      <c r="F5552" t="s">
        <v>24</v>
      </c>
      <c r="G5552" t="s">
        <v>54</v>
      </c>
      <c r="H5552" t="s">
        <v>55</v>
      </c>
      <c r="I5552">
        <v>8565.58</v>
      </c>
      <c r="J5552">
        <v>8118.76</v>
      </c>
      <c r="K5552" t="s">
        <v>17</v>
      </c>
      <c r="L5552" t="b">
        <v>0</v>
      </c>
      <c r="N5552" s="2" t="str">
        <f t="shared" si="496"/>
        <v/>
      </c>
      <c r="Q5552" t="str">
        <f t="shared" ref="Q5552:Q5615" si="499">IF(L5552=TRUE,OR(H5552="Apex Solutions Inc",H5552="Global Trade Partners",H5552="NovaTech Services"),"")</f>
        <v/>
      </c>
    </row>
    <row r="5553" spans="1:17" hidden="1">
      <c r="A5553" t="s">
        <v>5658</v>
      </c>
      <c r="B5553" s="1">
        <v>45662</v>
      </c>
      <c r="C5553">
        <v>2025</v>
      </c>
      <c r="D5553">
        <v>1</v>
      </c>
      <c r="E5553" t="s">
        <v>23</v>
      </c>
      <c r="F5553" t="s">
        <v>14</v>
      </c>
      <c r="G5553" t="s">
        <v>141</v>
      </c>
      <c r="H5553" t="s">
        <v>153</v>
      </c>
      <c r="I5553">
        <v>5152.2700000000004</v>
      </c>
      <c r="J5553">
        <v>4716.2299999999996</v>
      </c>
      <c r="K5553" t="s">
        <v>17</v>
      </c>
      <c r="L5553" t="b">
        <v>0</v>
      </c>
      <c r="N5553" s="2" t="str">
        <f t="shared" si="496"/>
        <v/>
      </c>
      <c r="Q5553" t="str">
        <f t="shared" si="499"/>
        <v/>
      </c>
    </row>
    <row r="5554" spans="1:17" hidden="1">
      <c r="A5554" t="s">
        <v>5659</v>
      </c>
      <c r="B5554" s="1">
        <v>45662</v>
      </c>
      <c r="C5554">
        <v>2025</v>
      </c>
      <c r="D5554">
        <v>1</v>
      </c>
      <c r="E5554" t="s">
        <v>23</v>
      </c>
      <c r="F5554" t="s">
        <v>28</v>
      </c>
      <c r="G5554" t="s">
        <v>25</v>
      </c>
      <c r="H5554" t="s">
        <v>26</v>
      </c>
      <c r="I5554">
        <v>3875.01</v>
      </c>
      <c r="J5554">
        <v>3601.49</v>
      </c>
      <c r="K5554" t="s">
        <v>17</v>
      </c>
      <c r="L5554" t="b">
        <v>0</v>
      </c>
      <c r="N5554" s="2" t="str">
        <f t="shared" si="496"/>
        <v/>
      </c>
      <c r="Q5554" t="str">
        <f t="shared" si="499"/>
        <v/>
      </c>
    </row>
    <row r="5555" spans="1:17" hidden="1">
      <c r="A5555" t="s">
        <v>5660</v>
      </c>
      <c r="B5555" s="1">
        <v>45663</v>
      </c>
      <c r="C5555">
        <v>2025</v>
      </c>
      <c r="D5555">
        <v>1</v>
      </c>
      <c r="E5555" t="s">
        <v>13</v>
      </c>
      <c r="F5555" t="s">
        <v>28</v>
      </c>
      <c r="G5555" t="s">
        <v>108</v>
      </c>
      <c r="H5555" t="s">
        <v>123</v>
      </c>
      <c r="I5555">
        <v>3706.05</v>
      </c>
      <c r="J5555">
        <v>3786.33</v>
      </c>
      <c r="K5555" t="s">
        <v>17</v>
      </c>
      <c r="L5555" t="b">
        <v>0</v>
      </c>
      <c r="N5555" s="2" t="str">
        <f t="shared" si="496"/>
        <v/>
      </c>
      <c r="Q5555" t="str">
        <f t="shared" si="499"/>
        <v/>
      </c>
    </row>
    <row r="5556" spans="1:17" hidden="1">
      <c r="A5556" t="s">
        <v>5661</v>
      </c>
      <c r="B5556" s="1">
        <v>45663</v>
      </c>
      <c r="C5556">
        <v>2025</v>
      </c>
      <c r="D5556">
        <v>1</v>
      </c>
      <c r="E5556" t="s">
        <v>13</v>
      </c>
      <c r="F5556" t="s">
        <v>24</v>
      </c>
      <c r="G5556" t="s">
        <v>68</v>
      </c>
      <c r="H5556" t="s">
        <v>213</v>
      </c>
      <c r="I5556">
        <v>1199.51</v>
      </c>
      <c r="J5556">
        <v>1251.56</v>
      </c>
      <c r="K5556" t="s">
        <v>17</v>
      </c>
      <c r="L5556" t="b">
        <v>0</v>
      </c>
      <c r="N5556" s="2" t="str">
        <f t="shared" si="496"/>
        <v/>
      </c>
      <c r="Q5556" t="str">
        <f t="shared" si="499"/>
        <v/>
      </c>
    </row>
    <row r="5557" spans="1:17" hidden="1">
      <c r="A5557" t="s">
        <v>5662</v>
      </c>
      <c r="B5557" s="1">
        <v>45663</v>
      </c>
      <c r="C5557">
        <v>2025</v>
      </c>
      <c r="D5557">
        <v>1</v>
      </c>
      <c r="E5557" t="s">
        <v>19</v>
      </c>
      <c r="F5557" t="s">
        <v>28</v>
      </c>
      <c r="G5557" t="s">
        <v>80</v>
      </c>
      <c r="H5557" t="s">
        <v>217</v>
      </c>
      <c r="I5557">
        <v>4618.32</v>
      </c>
      <c r="J5557">
        <v>4172.09</v>
      </c>
      <c r="K5557" t="s">
        <v>17</v>
      </c>
      <c r="L5557" t="b">
        <v>0</v>
      </c>
      <c r="N5557" s="2" t="str">
        <f t="shared" si="496"/>
        <v/>
      </c>
      <c r="Q5557" t="str">
        <f t="shared" si="499"/>
        <v/>
      </c>
    </row>
    <row r="5558" spans="1:17" hidden="1">
      <c r="A5558" t="s">
        <v>5663</v>
      </c>
      <c r="B5558" s="1">
        <v>45663</v>
      </c>
      <c r="C5558">
        <v>2025</v>
      </c>
      <c r="D5558">
        <v>1</v>
      </c>
      <c r="E5558" t="s">
        <v>19</v>
      </c>
      <c r="F5558" t="s">
        <v>24</v>
      </c>
      <c r="G5558" t="s">
        <v>54</v>
      </c>
      <c r="H5558" t="s">
        <v>163</v>
      </c>
      <c r="I5558">
        <v>480.08</v>
      </c>
      <c r="J5558">
        <v>488.73</v>
      </c>
      <c r="K5558" t="s">
        <v>17</v>
      </c>
      <c r="L5558" t="b">
        <v>0</v>
      </c>
      <c r="N5558" s="2" t="str">
        <f t="shared" si="496"/>
        <v/>
      </c>
      <c r="Q5558" t="str">
        <f t="shared" si="499"/>
        <v/>
      </c>
    </row>
    <row r="5559" spans="1:17" hidden="1">
      <c r="A5559" t="s">
        <v>5664</v>
      </c>
      <c r="B5559" s="1">
        <v>45663</v>
      </c>
      <c r="C5559">
        <v>2025</v>
      </c>
      <c r="D5559">
        <v>1</v>
      </c>
      <c r="E5559" t="s">
        <v>23</v>
      </c>
      <c r="F5559" t="s">
        <v>28</v>
      </c>
      <c r="G5559" t="s">
        <v>25</v>
      </c>
      <c r="H5559" t="s">
        <v>95</v>
      </c>
      <c r="I5559">
        <v>7602.63</v>
      </c>
      <c r="J5559">
        <v>7133.23</v>
      </c>
      <c r="K5559" t="s">
        <v>17</v>
      </c>
      <c r="L5559" t="b">
        <v>0</v>
      </c>
      <c r="N5559" s="2" t="str">
        <f t="shared" si="496"/>
        <v/>
      </c>
      <c r="Q5559" t="str">
        <f t="shared" si="499"/>
        <v/>
      </c>
    </row>
    <row r="5560" spans="1:17" hidden="1">
      <c r="A5560" t="s">
        <v>5665</v>
      </c>
      <c r="B5560" s="1">
        <v>45663</v>
      </c>
      <c r="C5560">
        <v>2025</v>
      </c>
      <c r="D5560">
        <v>1</v>
      </c>
      <c r="E5560" t="s">
        <v>23</v>
      </c>
      <c r="F5560" t="s">
        <v>24</v>
      </c>
      <c r="G5560" t="s">
        <v>25</v>
      </c>
      <c r="H5560" t="s">
        <v>35</v>
      </c>
      <c r="I5560">
        <v>3762.48</v>
      </c>
      <c r="J5560">
        <v>3445.79</v>
      </c>
      <c r="K5560" t="s">
        <v>17</v>
      </c>
      <c r="L5560" t="b">
        <v>0</v>
      </c>
      <c r="N5560" s="2" t="str">
        <f t="shared" si="496"/>
        <v/>
      </c>
      <c r="Q5560" t="str">
        <f t="shared" si="499"/>
        <v/>
      </c>
    </row>
    <row r="5561" spans="1:17" hidden="1">
      <c r="A5561" t="s">
        <v>5666</v>
      </c>
      <c r="B5561" s="1">
        <v>45663</v>
      </c>
      <c r="C5561">
        <v>2025</v>
      </c>
      <c r="D5561">
        <v>1</v>
      </c>
      <c r="E5561" t="s">
        <v>37</v>
      </c>
      <c r="F5561" t="s">
        <v>28</v>
      </c>
      <c r="G5561" t="s">
        <v>41</v>
      </c>
      <c r="H5561" t="s">
        <v>42</v>
      </c>
      <c r="I5561">
        <v>3867.31</v>
      </c>
      <c r="J5561">
        <v>4079.4</v>
      </c>
      <c r="K5561" t="s">
        <v>17</v>
      </c>
      <c r="L5561" t="b">
        <v>0</v>
      </c>
      <c r="N5561" s="2" t="str">
        <f t="shared" si="496"/>
        <v/>
      </c>
      <c r="Q5561" t="str">
        <f t="shared" si="499"/>
        <v/>
      </c>
    </row>
    <row r="5562" spans="1:17" hidden="1">
      <c r="A5562" t="s">
        <v>5667</v>
      </c>
      <c r="B5562" s="1">
        <v>45663</v>
      </c>
      <c r="C5562">
        <v>2025</v>
      </c>
      <c r="D5562">
        <v>1</v>
      </c>
      <c r="E5562" t="s">
        <v>37</v>
      </c>
      <c r="F5562" t="s">
        <v>28</v>
      </c>
      <c r="G5562" t="s">
        <v>83</v>
      </c>
      <c r="H5562" t="s">
        <v>84</v>
      </c>
      <c r="I5562">
        <v>159305.10999999999</v>
      </c>
      <c r="J5562">
        <v>151339.85</v>
      </c>
      <c r="K5562" t="s">
        <v>85</v>
      </c>
      <c r="L5562" t="b">
        <v>0</v>
      </c>
      <c r="N5562" s="2" t="str">
        <f t="shared" si="496"/>
        <v/>
      </c>
      <c r="Q5562" t="str">
        <f t="shared" si="499"/>
        <v/>
      </c>
    </row>
    <row r="5563" spans="1:17" hidden="1">
      <c r="A5563" t="s">
        <v>5668</v>
      </c>
      <c r="B5563" s="1">
        <v>45663</v>
      </c>
      <c r="C5563">
        <v>2025</v>
      </c>
      <c r="D5563">
        <v>1</v>
      </c>
      <c r="E5563" t="s">
        <v>37</v>
      </c>
      <c r="F5563" t="s">
        <v>24</v>
      </c>
      <c r="G5563" t="s">
        <v>83</v>
      </c>
      <c r="H5563" t="s">
        <v>84</v>
      </c>
      <c r="I5563">
        <v>103772.89</v>
      </c>
      <c r="J5563">
        <v>98584.24</v>
      </c>
      <c r="K5563" t="s">
        <v>85</v>
      </c>
      <c r="L5563" t="b">
        <v>0</v>
      </c>
      <c r="N5563" s="2" t="str">
        <f t="shared" si="496"/>
        <v/>
      </c>
      <c r="Q5563" t="str">
        <f t="shared" si="499"/>
        <v/>
      </c>
    </row>
    <row r="5564" spans="1:17" hidden="1">
      <c r="A5564" t="s">
        <v>5669</v>
      </c>
      <c r="B5564" s="1">
        <v>45664</v>
      </c>
      <c r="C5564">
        <v>2025</v>
      </c>
      <c r="D5564">
        <v>1</v>
      </c>
      <c r="E5564" t="s">
        <v>47</v>
      </c>
      <c r="F5564" t="s">
        <v>28</v>
      </c>
      <c r="G5564" t="s">
        <v>91</v>
      </c>
      <c r="H5564" t="s">
        <v>128</v>
      </c>
      <c r="I5564">
        <v>10679.47</v>
      </c>
      <c r="J5564">
        <v>8957.9</v>
      </c>
      <c r="K5564" t="s">
        <v>17</v>
      </c>
      <c r="L5564" t="b">
        <v>0</v>
      </c>
      <c r="N5564" s="2" t="b">
        <f t="shared" si="496"/>
        <v>1</v>
      </c>
      <c r="O5564" t="str">
        <f>IF(AND(E5553="HR",K5553="EXPENSE"),I5553&lt;J5553,"")</f>
        <v/>
      </c>
      <c r="Q5564" t="str">
        <f t="shared" si="499"/>
        <v/>
      </c>
    </row>
    <row r="5565" spans="1:17" hidden="1">
      <c r="A5565" t="s">
        <v>5670</v>
      </c>
      <c r="B5565" s="1">
        <v>45664</v>
      </c>
      <c r="C5565">
        <v>2025</v>
      </c>
      <c r="D5565">
        <v>1</v>
      </c>
      <c r="E5565" t="s">
        <v>19</v>
      </c>
      <c r="F5565" t="s">
        <v>14</v>
      </c>
      <c r="G5565" t="s">
        <v>20</v>
      </c>
      <c r="H5565" t="s">
        <v>136</v>
      </c>
      <c r="I5565">
        <v>5501.78</v>
      </c>
      <c r="J5565">
        <v>5838.38</v>
      </c>
      <c r="K5565" t="s">
        <v>17</v>
      </c>
      <c r="L5565" t="b">
        <v>0</v>
      </c>
      <c r="N5565" s="2" t="str">
        <f t="shared" si="496"/>
        <v/>
      </c>
      <c r="Q5565" t="str">
        <f t="shared" si="499"/>
        <v/>
      </c>
    </row>
    <row r="5566" spans="1:17" hidden="1">
      <c r="A5566" t="s">
        <v>5671</v>
      </c>
      <c r="B5566" s="1">
        <v>45664</v>
      </c>
      <c r="C5566">
        <v>2025</v>
      </c>
      <c r="D5566">
        <v>1</v>
      </c>
      <c r="E5566" t="s">
        <v>23</v>
      </c>
      <c r="F5566" t="s">
        <v>24</v>
      </c>
      <c r="G5566" t="s">
        <v>59</v>
      </c>
      <c r="H5566" t="s">
        <v>60</v>
      </c>
      <c r="I5566">
        <v>5495.78</v>
      </c>
      <c r="J5566">
        <v>5065.53</v>
      </c>
      <c r="K5566" t="s">
        <v>17</v>
      </c>
      <c r="L5566" t="b">
        <v>0</v>
      </c>
      <c r="N5566" s="2" t="str">
        <f t="shared" si="496"/>
        <v/>
      </c>
      <c r="Q5566" t="str">
        <f t="shared" si="499"/>
        <v/>
      </c>
    </row>
    <row r="5567" spans="1:17" hidden="1">
      <c r="A5567" t="s">
        <v>5672</v>
      </c>
      <c r="B5567" s="1">
        <v>45664</v>
      </c>
      <c r="C5567">
        <v>2025</v>
      </c>
      <c r="D5567">
        <v>1</v>
      </c>
      <c r="E5567" t="s">
        <v>37</v>
      </c>
      <c r="F5567" t="s">
        <v>28</v>
      </c>
      <c r="G5567" t="s">
        <v>98</v>
      </c>
      <c r="H5567" t="s">
        <v>99</v>
      </c>
      <c r="I5567">
        <v>5787.54</v>
      </c>
      <c r="J5567">
        <v>5999.88</v>
      </c>
      <c r="K5567" t="s">
        <v>17</v>
      </c>
      <c r="L5567" t="b">
        <v>0</v>
      </c>
      <c r="N5567" s="2" t="str">
        <f t="shared" si="496"/>
        <v/>
      </c>
      <c r="Q5567" t="str">
        <f t="shared" si="499"/>
        <v/>
      </c>
    </row>
    <row r="5568" spans="1:17" hidden="1">
      <c r="A5568" t="s">
        <v>5673</v>
      </c>
      <c r="B5568" s="1">
        <v>45664</v>
      </c>
      <c r="C5568">
        <v>2025</v>
      </c>
      <c r="D5568">
        <v>1</v>
      </c>
      <c r="E5568" t="s">
        <v>37</v>
      </c>
      <c r="F5568" t="s">
        <v>28</v>
      </c>
      <c r="G5568" t="s">
        <v>38</v>
      </c>
      <c r="H5568" t="s">
        <v>118</v>
      </c>
      <c r="I5568">
        <v>7076.57</v>
      </c>
      <c r="J5568">
        <v>7325.37</v>
      </c>
      <c r="K5568" t="s">
        <v>17</v>
      </c>
      <c r="L5568" t="b">
        <v>0</v>
      </c>
      <c r="N5568" s="2" t="str">
        <f t="shared" si="496"/>
        <v/>
      </c>
      <c r="Q5568" t="str">
        <f t="shared" si="499"/>
        <v/>
      </c>
    </row>
    <row r="5569" spans="1:17" hidden="1">
      <c r="A5569" t="s">
        <v>5674</v>
      </c>
      <c r="B5569" s="1">
        <v>45664</v>
      </c>
      <c r="C5569">
        <v>2025</v>
      </c>
      <c r="D5569">
        <v>1</v>
      </c>
      <c r="E5569" t="s">
        <v>37</v>
      </c>
      <c r="F5569" t="s">
        <v>24</v>
      </c>
      <c r="G5569" t="s">
        <v>62</v>
      </c>
      <c r="H5569" t="s">
        <v>63</v>
      </c>
      <c r="I5569">
        <v>6351.2</v>
      </c>
      <c r="J5569">
        <v>6587.76</v>
      </c>
      <c r="K5569" t="s">
        <v>17</v>
      </c>
      <c r="L5569" t="b">
        <v>0</v>
      </c>
      <c r="N5569" s="2" t="str">
        <f t="shared" si="496"/>
        <v/>
      </c>
      <c r="Q5569" t="str">
        <f t="shared" si="499"/>
        <v/>
      </c>
    </row>
    <row r="5570" spans="1:17" hidden="1">
      <c r="A5570" t="s">
        <v>5675</v>
      </c>
      <c r="B5570" s="1">
        <v>45664</v>
      </c>
      <c r="C5570">
        <v>2025</v>
      </c>
      <c r="D5570">
        <v>1</v>
      </c>
      <c r="E5570" t="s">
        <v>37</v>
      </c>
      <c r="F5570" t="s">
        <v>24</v>
      </c>
      <c r="G5570" t="s">
        <v>98</v>
      </c>
      <c r="H5570" t="s">
        <v>99</v>
      </c>
      <c r="I5570">
        <v>7750.29</v>
      </c>
      <c r="J5570">
        <v>8442.6</v>
      </c>
      <c r="K5570" t="s">
        <v>17</v>
      </c>
      <c r="L5570" t="b">
        <v>0</v>
      </c>
      <c r="N5570" s="2" t="str">
        <f t="shared" si="496"/>
        <v/>
      </c>
      <c r="Q5570" t="str">
        <f t="shared" si="499"/>
        <v/>
      </c>
    </row>
    <row r="5571" spans="1:17" hidden="1">
      <c r="A5571" t="s">
        <v>5676</v>
      </c>
      <c r="B5571" s="1">
        <v>45665</v>
      </c>
      <c r="C5571">
        <v>2025</v>
      </c>
      <c r="D5571">
        <v>1</v>
      </c>
      <c r="E5571" t="s">
        <v>13</v>
      </c>
      <c r="F5571" t="s">
        <v>28</v>
      </c>
      <c r="G5571" t="s">
        <v>68</v>
      </c>
      <c r="H5571" t="s">
        <v>69</v>
      </c>
      <c r="I5571">
        <v>2616.52</v>
      </c>
      <c r="J5571">
        <v>2618.59</v>
      </c>
      <c r="K5571" t="s">
        <v>17</v>
      </c>
      <c r="L5571" t="b">
        <v>0</v>
      </c>
      <c r="N5571" s="2" t="str">
        <f t="shared" ref="N5571:N5634" si="500">IF(AND(E5571="IT",K5571="EXPENSE"),I5571&gt;J5571,"")</f>
        <v/>
      </c>
      <c r="Q5571" t="str">
        <f t="shared" si="499"/>
        <v/>
      </c>
    </row>
    <row r="5572" spans="1:17" hidden="1">
      <c r="A5572" t="s">
        <v>5677</v>
      </c>
      <c r="B5572" s="1">
        <v>45665</v>
      </c>
      <c r="C5572">
        <v>2025</v>
      </c>
      <c r="D5572">
        <v>1</v>
      </c>
      <c r="E5572" t="s">
        <v>47</v>
      </c>
      <c r="F5572" t="s">
        <v>28</v>
      </c>
      <c r="G5572" t="s">
        <v>91</v>
      </c>
      <c r="H5572" t="s">
        <v>128</v>
      </c>
      <c r="I5572">
        <v>13464.39</v>
      </c>
      <c r="J5572">
        <v>11378.62</v>
      </c>
      <c r="K5572" t="s">
        <v>17</v>
      </c>
      <c r="L5572" t="b">
        <v>0</v>
      </c>
      <c r="N5572" s="2" t="b">
        <f t="shared" si="500"/>
        <v>1</v>
      </c>
      <c r="O5572" t="str">
        <f>IF(AND(E5561="HR",K5561="EXPENSE"),I5561&lt;J5561,"")</f>
        <v/>
      </c>
      <c r="Q5572" t="str">
        <f t="shared" si="499"/>
        <v/>
      </c>
    </row>
    <row r="5573" spans="1:17" hidden="1">
      <c r="A5573" t="s">
        <v>5678</v>
      </c>
      <c r="B5573" s="1">
        <v>45665</v>
      </c>
      <c r="C5573">
        <v>2025</v>
      </c>
      <c r="D5573">
        <v>1</v>
      </c>
      <c r="E5573" t="s">
        <v>19</v>
      </c>
      <c r="F5573" t="s">
        <v>14</v>
      </c>
      <c r="G5573" t="s">
        <v>54</v>
      </c>
      <c r="H5573" t="s">
        <v>57</v>
      </c>
      <c r="I5573">
        <v>5665.5</v>
      </c>
      <c r="J5573">
        <v>5755.96</v>
      </c>
      <c r="K5573" t="s">
        <v>17</v>
      </c>
      <c r="L5573" t="b">
        <v>0</v>
      </c>
      <c r="N5573" s="2" t="str">
        <f t="shared" si="500"/>
        <v/>
      </c>
      <c r="Q5573" t="str">
        <f t="shared" si="499"/>
        <v/>
      </c>
    </row>
    <row r="5574" spans="1:17" hidden="1">
      <c r="A5574" t="s">
        <v>5679</v>
      </c>
      <c r="B5574" s="1">
        <v>45665</v>
      </c>
      <c r="C5574">
        <v>2025</v>
      </c>
      <c r="D5574">
        <v>1</v>
      </c>
      <c r="E5574" t="s">
        <v>23</v>
      </c>
      <c r="F5574" t="s">
        <v>14</v>
      </c>
      <c r="G5574" t="s">
        <v>141</v>
      </c>
      <c r="H5574" t="s">
        <v>153</v>
      </c>
      <c r="I5574">
        <v>3041.17</v>
      </c>
      <c r="J5574">
        <v>2874.5</v>
      </c>
      <c r="K5574" t="s">
        <v>17</v>
      </c>
      <c r="L5574" t="b">
        <v>0</v>
      </c>
      <c r="N5574" s="2" t="str">
        <f t="shared" si="500"/>
        <v/>
      </c>
      <c r="Q5574" t="str">
        <f t="shared" si="499"/>
        <v/>
      </c>
    </row>
    <row r="5575" spans="1:17" hidden="1">
      <c r="A5575" t="s">
        <v>5680</v>
      </c>
      <c r="B5575" s="1">
        <v>45665</v>
      </c>
      <c r="C5575">
        <v>2025</v>
      </c>
      <c r="D5575">
        <v>1</v>
      </c>
      <c r="E5575" t="s">
        <v>37</v>
      </c>
      <c r="F5575" t="s">
        <v>14</v>
      </c>
      <c r="G5575" t="s">
        <v>38</v>
      </c>
      <c r="H5575" t="s">
        <v>39</v>
      </c>
      <c r="I5575">
        <v>5928.96</v>
      </c>
      <c r="J5575">
        <v>5843.23</v>
      </c>
      <c r="K5575" t="s">
        <v>17</v>
      </c>
      <c r="L5575" t="b">
        <v>0</v>
      </c>
      <c r="N5575" s="2" t="str">
        <f t="shared" si="500"/>
        <v/>
      </c>
      <c r="Q5575" t="str">
        <f t="shared" si="499"/>
        <v/>
      </c>
    </row>
    <row r="5576" spans="1:17" hidden="1">
      <c r="A5576" t="s">
        <v>5681</v>
      </c>
      <c r="B5576" s="1">
        <v>45665</v>
      </c>
      <c r="C5576">
        <v>2025</v>
      </c>
      <c r="D5576">
        <v>1</v>
      </c>
      <c r="E5576" t="s">
        <v>37</v>
      </c>
      <c r="F5576" t="s">
        <v>28</v>
      </c>
      <c r="G5576" t="s">
        <v>62</v>
      </c>
      <c r="H5576" t="s">
        <v>63</v>
      </c>
      <c r="I5576">
        <v>5962</v>
      </c>
      <c r="J5576">
        <v>6362.1</v>
      </c>
      <c r="K5576" t="s">
        <v>17</v>
      </c>
      <c r="L5576" t="b">
        <v>0</v>
      </c>
      <c r="N5576" s="2" t="str">
        <f t="shared" si="500"/>
        <v/>
      </c>
      <c r="Q5576" t="str">
        <f t="shared" si="499"/>
        <v/>
      </c>
    </row>
    <row r="5577" spans="1:17" hidden="1">
      <c r="A5577" t="s">
        <v>5682</v>
      </c>
      <c r="B5577" s="1">
        <v>45666</v>
      </c>
      <c r="C5577">
        <v>2025</v>
      </c>
      <c r="D5577">
        <v>1</v>
      </c>
      <c r="E5577" t="s">
        <v>13</v>
      </c>
      <c r="F5577" t="s">
        <v>14</v>
      </c>
      <c r="G5577" t="s">
        <v>68</v>
      </c>
      <c r="H5577" t="s">
        <v>69</v>
      </c>
      <c r="I5577">
        <v>3062.58</v>
      </c>
      <c r="J5577">
        <v>3053.62</v>
      </c>
      <c r="K5577" t="s">
        <v>17</v>
      </c>
      <c r="L5577" t="b">
        <v>0</v>
      </c>
      <c r="N5577" s="2" t="str">
        <f t="shared" si="500"/>
        <v/>
      </c>
      <c r="Q5577" t="str">
        <f t="shared" si="499"/>
        <v/>
      </c>
    </row>
    <row r="5578" spans="1:17" hidden="1">
      <c r="A5578" t="s">
        <v>5683</v>
      </c>
      <c r="B5578" s="1">
        <v>45666</v>
      </c>
      <c r="C5578">
        <v>2025</v>
      </c>
      <c r="D5578">
        <v>1</v>
      </c>
      <c r="E5578" t="s">
        <v>19</v>
      </c>
      <c r="F5578" t="s">
        <v>28</v>
      </c>
      <c r="G5578" t="s">
        <v>54</v>
      </c>
      <c r="H5578" t="s">
        <v>57</v>
      </c>
      <c r="I5578">
        <v>3842.19</v>
      </c>
      <c r="J5578">
        <v>3795.95</v>
      </c>
      <c r="K5578" t="s">
        <v>17</v>
      </c>
      <c r="L5578" t="b">
        <v>0</v>
      </c>
      <c r="N5578" s="2" t="str">
        <f t="shared" si="500"/>
        <v/>
      </c>
      <c r="Q5578" t="str">
        <f t="shared" si="499"/>
        <v/>
      </c>
    </row>
    <row r="5579" spans="1:17" hidden="1">
      <c r="A5579" t="s">
        <v>5684</v>
      </c>
      <c r="B5579" s="1">
        <v>45666</v>
      </c>
      <c r="C5579">
        <v>2025</v>
      </c>
      <c r="D5579">
        <v>1</v>
      </c>
      <c r="E5579" t="s">
        <v>19</v>
      </c>
      <c r="F5579" t="s">
        <v>28</v>
      </c>
      <c r="G5579" t="s">
        <v>132</v>
      </c>
      <c r="H5579" t="s">
        <v>133</v>
      </c>
      <c r="I5579">
        <v>5814.14</v>
      </c>
      <c r="J5579">
        <v>5830.66</v>
      </c>
      <c r="K5579" t="s">
        <v>17</v>
      </c>
      <c r="L5579" t="b">
        <v>0</v>
      </c>
      <c r="N5579" s="2" t="str">
        <f t="shared" si="500"/>
        <v/>
      </c>
      <c r="Q5579" t="str">
        <f t="shared" si="499"/>
        <v/>
      </c>
    </row>
    <row r="5580" spans="1:17" hidden="1">
      <c r="A5580" t="s">
        <v>5685</v>
      </c>
      <c r="B5580" s="1">
        <v>45666</v>
      </c>
      <c r="C5580">
        <v>2025</v>
      </c>
      <c r="D5580">
        <v>1</v>
      </c>
      <c r="E5580" t="s">
        <v>23</v>
      </c>
      <c r="F5580" t="s">
        <v>28</v>
      </c>
      <c r="G5580" t="s">
        <v>25</v>
      </c>
      <c r="H5580" t="s">
        <v>95</v>
      </c>
      <c r="I5580">
        <v>5077.8599999999997</v>
      </c>
      <c r="J5580">
        <v>4847.66</v>
      </c>
      <c r="K5580" t="s">
        <v>17</v>
      </c>
      <c r="L5580" t="b">
        <v>0</v>
      </c>
      <c r="N5580" s="2" t="str">
        <f t="shared" si="500"/>
        <v/>
      </c>
      <c r="Q5580" t="str">
        <f t="shared" si="499"/>
        <v/>
      </c>
    </row>
    <row r="5581" spans="1:17" hidden="1">
      <c r="A5581" t="s">
        <v>5686</v>
      </c>
      <c r="B5581" s="1">
        <v>45666</v>
      </c>
      <c r="C5581">
        <v>2025</v>
      </c>
      <c r="D5581">
        <v>1</v>
      </c>
      <c r="E5581" t="s">
        <v>23</v>
      </c>
      <c r="F5581" t="s">
        <v>28</v>
      </c>
      <c r="G5581" t="s">
        <v>59</v>
      </c>
      <c r="H5581" t="s">
        <v>155</v>
      </c>
      <c r="I5581">
        <v>5884.59</v>
      </c>
      <c r="J5581">
        <v>6400.51</v>
      </c>
      <c r="K5581" t="s">
        <v>17</v>
      </c>
      <c r="L5581" t="b">
        <v>0</v>
      </c>
      <c r="N5581" s="2" t="str">
        <f t="shared" si="500"/>
        <v/>
      </c>
      <c r="Q5581" t="str">
        <f t="shared" si="499"/>
        <v/>
      </c>
    </row>
    <row r="5582" spans="1:17" hidden="1">
      <c r="A5582" t="s">
        <v>5687</v>
      </c>
      <c r="B5582" s="1">
        <v>45667</v>
      </c>
      <c r="C5582">
        <v>2025</v>
      </c>
      <c r="D5582">
        <v>1</v>
      </c>
      <c r="E5582" t="s">
        <v>13</v>
      </c>
      <c r="F5582" t="s">
        <v>28</v>
      </c>
      <c r="G5582" t="s">
        <v>68</v>
      </c>
      <c r="H5582" t="s">
        <v>87</v>
      </c>
      <c r="I5582">
        <v>3558.67</v>
      </c>
      <c r="J5582">
        <v>3329.35</v>
      </c>
      <c r="K5582" t="s">
        <v>17</v>
      </c>
      <c r="L5582" t="b">
        <v>0</v>
      </c>
      <c r="N5582" s="2" t="str">
        <f t="shared" si="500"/>
        <v/>
      </c>
      <c r="Q5582" t="str">
        <f t="shared" si="499"/>
        <v/>
      </c>
    </row>
    <row r="5583" spans="1:17" hidden="1">
      <c r="A5583" t="s">
        <v>5688</v>
      </c>
      <c r="B5583" s="1">
        <v>45667</v>
      </c>
      <c r="C5583">
        <v>2025</v>
      </c>
      <c r="D5583">
        <v>1</v>
      </c>
      <c r="E5583" t="s">
        <v>47</v>
      </c>
      <c r="F5583" t="s">
        <v>28</v>
      </c>
      <c r="G5583" t="s">
        <v>77</v>
      </c>
      <c r="H5583" t="s">
        <v>147</v>
      </c>
      <c r="I5583">
        <v>12879.94</v>
      </c>
      <c r="J5583">
        <v>10630.97</v>
      </c>
      <c r="K5583" t="s">
        <v>17</v>
      </c>
      <c r="L5583" t="b">
        <v>0</v>
      </c>
      <c r="N5583" s="2" t="b">
        <f t="shared" si="500"/>
        <v>1</v>
      </c>
      <c r="O5583" t="str">
        <f>IF(AND(E5572="HR",K5572="EXPENSE"),I5572&lt;J5572,"")</f>
        <v/>
      </c>
      <c r="Q5583" t="str">
        <f t="shared" si="499"/>
        <v/>
      </c>
    </row>
    <row r="5584" spans="1:17" hidden="1">
      <c r="A5584" t="s">
        <v>5689</v>
      </c>
      <c r="B5584" s="1">
        <v>45667</v>
      </c>
      <c r="C5584">
        <v>2025</v>
      </c>
      <c r="D5584">
        <v>1</v>
      </c>
      <c r="E5584" t="s">
        <v>19</v>
      </c>
      <c r="F5584" t="s">
        <v>28</v>
      </c>
      <c r="G5584" t="s">
        <v>20</v>
      </c>
      <c r="H5584" t="s">
        <v>174</v>
      </c>
      <c r="I5584">
        <v>6078.95</v>
      </c>
      <c r="J5584">
        <v>6212.32</v>
      </c>
      <c r="K5584" t="s">
        <v>17</v>
      </c>
      <c r="L5584" t="b">
        <v>0</v>
      </c>
      <c r="N5584" s="2" t="str">
        <f t="shared" si="500"/>
        <v/>
      </c>
      <c r="Q5584" t="str">
        <f t="shared" si="499"/>
        <v/>
      </c>
    </row>
    <row r="5585" spans="1:17" hidden="1">
      <c r="A5585" t="s">
        <v>5690</v>
      </c>
      <c r="B5585" s="1">
        <v>45667</v>
      </c>
      <c r="C5585">
        <v>2025</v>
      </c>
      <c r="D5585">
        <v>1</v>
      </c>
      <c r="E5585" t="s">
        <v>19</v>
      </c>
      <c r="F5585" t="s">
        <v>24</v>
      </c>
      <c r="G5585" t="s">
        <v>54</v>
      </c>
      <c r="H5585" t="s">
        <v>163</v>
      </c>
      <c r="I5585">
        <v>6911.19</v>
      </c>
      <c r="J5585">
        <v>6478.11</v>
      </c>
      <c r="K5585" t="s">
        <v>17</v>
      </c>
      <c r="L5585" t="b">
        <v>0</v>
      </c>
      <c r="N5585" s="2" t="str">
        <f t="shared" si="500"/>
        <v/>
      </c>
      <c r="Q5585" t="str">
        <f t="shared" si="499"/>
        <v/>
      </c>
    </row>
    <row r="5586" spans="1:17" hidden="1">
      <c r="A5586" t="s">
        <v>5691</v>
      </c>
      <c r="B5586" s="1">
        <v>45667</v>
      </c>
      <c r="C5586">
        <v>2025</v>
      </c>
      <c r="D5586">
        <v>1</v>
      </c>
      <c r="E5586" t="s">
        <v>23</v>
      </c>
      <c r="F5586" t="s">
        <v>28</v>
      </c>
      <c r="G5586" t="s">
        <v>25</v>
      </c>
      <c r="H5586" t="s">
        <v>95</v>
      </c>
      <c r="I5586">
        <v>4000.08</v>
      </c>
      <c r="J5586">
        <v>3628.62</v>
      </c>
      <c r="K5586" t="s">
        <v>17</v>
      </c>
      <c r="L5586" t="b">
        <v>0</v>
      </c>
      <c r="N5586" s="2" t="str">
        <f t="shared" si="500"/>
        <v/>
      </c>
      <c r="Q5586" t="str">
        <f t="shared" si="499"/>
        <v/>
      </c>
    </row>
    <row r="5587" spans="1:17" hidden="1">
      <c r="A5587" t="s">
        <v>5692</v>
      </c>
      <c r="B5587" s="1">
        <v>45667</v>
      </c>
      <c r="C5587">
        <v>2025</v>
      </c>
      <c r="D5587">
        <v>1</v>
      </c>
      <c r="E5587" t="s">
        <v>23</v>
      </c>
      <c r="F5587" t="s">
        <v>28</v>
      </c>
      <c r="G5587" t="s">
        <v>59</v>
      </c>
      <c r="H5587" t="s">
        <v>155</v>
      </c>
      <c r="I5587">
        <v>5030.57</v>
      </c>
      <c r="J5587">
        <v>4802.88</v>
      </c>
      <c r="K5587" t="s">
        <v>17</v>
      </c>
      <c r="L5587" t="b">
        <v>0</v>
      </c>
      <c r="N5587" s="2" t="str">
        <f t="shared" si="500"/>
        <v/>
      </c>
      <c r="Q5587" t="str">
        <f t="shared" si="499"/>
        <v/>
      </c>
    </row>
    <row r="5588" spans="1:17" hidden="1">
      <c r="A5588" t="s">
        <v>5693</v>
      </c>
      <c r="B5588" s="1">
        <v>45668</v>
      </c>
      <c r="C5588">
        <v>2025</v>
      </c>
      <c r="D5588">
        <v>1</v>
      </c>
      <c r="E5588" t="s">
        <v>13</v>
      </c>
      <c r="F5588" t="s">
        <v>24</v>
      </c>
      <c r="G5588" t="s">
        <v>68</v>
      </c>
      <c r="H5588" t="s">
        <v>69</v>
      </c>
      <c r="I5588">
        <v>3500.77</v>
      </c>
      <c r="J5588">
        <v>3215.16</v>
      </c>
      <c r="K5588" t="s">
        <v>17</v>
      </c>
      <c r="L5588" t="b">
        <v>0</v>
      </c>
      <c r="N5588" s="2" t="str">
        <f t="shared" si="500"/>
        <v/>
      </c>
      <c r="Q5588" t="str">
        <f t="shared" si="499"/>
        <v/>
      </c>
    </row>
    <row r="5589" spans="1:17" hidden="1">
      <c r="A5589" t="s">
        <v>5694</v>
      </c>
      <c r="B5589" s="1">
        <v>45668</v>
      </c>
      <c r="C5589">
        <v>2025</v>
      </c>
      <c r="D5589">
        <v>1</v>
      </c>
      <c r="E5589" t="s">
        <v>13</v>
      </c>
      <c r="F5589" t="s">
        <v>24</v>
      </c>
      <c r="G5589" t="s">
        <v>15</v>
      </c>
      <c r="H5589" t="s">
        <v>89</v>
      </c>
      <c r="I5589">
        <v>3344.34</v>
      </c>
      <c r="J5589">
        <v>3633.15</v>
      </c>
      <c r="K5589" t="s">
        <v>17</v>
      </c>
      <c r="L5589" t="b">
        <v>0</v>
      </c>
      <c r="N5589" s="2" t="str">
        <f t="shared" si="500"/>
        <v/>
      </c>
      <c r="Q5589" t="str">
        <f t="shared" si="499"/>
        <v/>
      </c>
    </row>
    <row r="5590" spans="1:17" hidden="1">
      <c r="A5590" t="s">
        <v>5695</v>
      </c>
      <c r="B5590" s="1">
        <v>45668</v>
      </c>
      <c r="C5590">
        <v>2025</v>
      </c>
      <c r="D5590">
        <v>1</v>
      </c>
      <c r="E5590" t="s">
        <v>47</v>
      </c>
      <c r="F5590" t="s">
        <v>28</v>
      </c>
      <c r="G5590" t="s">
        <v>51</v>
      </c>
      <c r="H5590" t="s">
        <v>52</v>
      </c>
      <c r="I5590">
        <v>12775.37</v>
      </c>
      <c r="J5590">
        <v>10803.65</v>
      </c>
      <c r="K5590" t="s">
        <v>17</v>
      </c>
      <c r="L5590" t="b">
        <v>0</v>
      </c>
      <c r="N5590" s="2" t="b">
        <f t="shared" si="500"/>
        <v>1</v>
      </c>
      <c r="O5590" t="str">
        <f>IF(AND(E5579="HR",K5579="EXPENSE"),I5579&lt;J5579,"")</f>
        <v/>
      </c>
      <c r="Q5590" t="str">
        <f t="shared" si="499"/>
        <v/>
      </c>
    </row>
    <row r="5591" spans="1:17" hidden="1">
      <c r="A5591" t="s">
        <v>5696</v>
      </c>
      <c r="B5591" s="1">
        <v>45668</v>
      </c>
      <c r="C5591">
        <v>2025</v>
      </c>
      <c r="D5591">
        <v>1</v>
      </c>
      <c r="E5591" t="s">
        <v>19</v>
      </c>
      <c r="F5591" t="s">
        <v>14</v>
      </c>
      <c r="G5591" t="s">
        <v>80</v>
      </c>
      <c r="H5591" t="s">
        <v>81</v>
      </c>
      <c r="I5591">
        <v>6153.51</v>
      </c>
      <c r="J5591">
        <v>6207.29</v>
      </c>
      <c r="K5591" t="s">
        <v>17</v>
      </c>
      <c r="L5591" t="b">
        <v>0</v>
      </c>
      <c r="N5591" s="2" t="str">
        <f t="shared" si="500"/>
        <v/>
      </c>
      <c r="Q5591" t="str">
        <f t="shared" si="499"/>
        <v/>
      </c>
    </row>
    <row r="5592" spans="1:17" hidden="1">
      <c r="A5592" t="s">
        <v>5697</v>
      </c>
      <c r="B5592" s="1">
        <v>45668</v>
      </c>
      <c r="C5592">
        <v>2025</v>
      </c>
      <c r="D5592">
        <v>1</v>
      </c>
      <c r="E5592" t="s">
        <v>19</v>
      </c>
      <c r="F5592" t="s">
        <v>14</v>
      </c>
      <c r="G5592" t="s">
        <v>20</v>
      </c>
      <c r="H5592" t="s">
        <v>136</v>
      </c>
      <c r="I5592">
        <v>5621.5</v>
      </c>
      <c r="J5592">
        <v>5518.81</v>
      </c>
      <c r="K5592" t="s">
        <v>17</v>
      </c>
      <c r="L5592" t="b">
        <v>0</v>
      </c>
      <c r="N5592" s="2" t="str">
        <f t="shared" si="500"/>
        <v/>
      </c>
      <c r="Q5592" t="str">
        <f t="shared" si="499"/>
        <v/>
      </c>
    </row>
    <row r="5593" spans="1:17" hidden="1">
      <c r="A5593" t="s">
        <v>5698</v>
      </c>
      <c r="B5593" s="1">
        <v>45668</v>
      </c>
      <c r="C5593">
        <v>2025</v>
      </c>
      <c r="D5593">
        <v>1</v>
      </c>
      <c r="E5593" t="s">
        <v>19</v>
      </c>
      <c r="F5593" t="s">
        <v>24</v>
      </c>
      <c r="G5593" t="s">
        <v>132</v>
      </c>
      <c r="H5593" t="s">
        <v>138</v>
      </c>
      <c r="I5593">
        <v>6209.02</v>
      </c>
      <c r="J5593">
        <v>6738.13</v>
      </c>
      <c r="K5593" t="s">
        <v>17</v>
      </c>
      <c r="L5593" t="b">
        <v>0</v>
      </c>
      <c r="N5593" s="2" t="str">
        <f t="shared" si="500"/>
        <v/>
      </c>
      <c r="Q5593" t="str">
        <f t="shared" si="499"/>
        <v/>
      </c>
    </row>
    <row r="5594" spans="1:17" hidden="1">
      <c r="A5594" t="s">
        <v>5699</v>
      </c>
      <c r="B5594" s="1">
        <v>45668</v>
      </c>
      <c r="C5594">
        <v>2025</v>
      </c>
      <c r="D5594">
        <v>1</v>
      </c>
      <c r="E5594" t="s">
        <v>23</v>
      </c>
      <c r="F5594" t="s">
        <v>14</v>
      </c>
      <c r="G5594" t="s">
        <v>141</v>
      </c>
      <c r="H5594" t="s">
        <v>153</v>
      </c>
      <c r="I5594">
        <v>3545.24</v>
      </c>
      <c r="J5594">
        <v>3561.54</v>
      </c>
      <c r="K5594" t="s">
        <v>17</v>
      </c>
      <c r="L5594" t="b">
        <v>0</v>
      </c>
      <c r="N5594" s="2" t="str">
        <f t="shared" si="500"/>
        <v/>
      </c>
      <c r="Q5594" t="str">
        <f t="shared" si="499"/>
        <v/>
      </c>
    </row>
    <row r="5595" spans="1:17" hidden="1">
      <c r="A5595" t="s">
        <v>5700</v>
      </c>
      <c r="B5595" s="1">
        <v>45668</v>
      </c>
      <c r="C5595">
        <v>2025</v>
      </c>
      <c r="D5595">
        <v>1</v>
      </c>
      <c r="E5595" t="s">
        <v>23</v>
      </c>
      <c r="F5595" t="s">
        <v>28</v>
      </c>
      <c r="G5595" t="s">
        <v>25</v>
      </c>
      <c r="H5595" t="s">
        <v>26</v>
      </c>
      <c r="I5595">
        <v>6680.61</v>
      </c>
      <c r="J5595">
        <v>7347.95</v>
      </c>
      <c r="K5595" t="s">
        <v>17</v>
      </c>
      <c r="L5595" t="b">
        <v>0</v>
      </c>
      <c r="N5595" s="2" t="str">
        <f t="shared" si="500"/>
        <v/>
      </c>
      <c r="Q5595" t="str">
        <f t="shared" si="499"/>
        <v/>
      </c>
    </row>
    <row r="5596" spans="1:17" hidden="1">
      <c r="A5596" t="s">
        <v>5701</v>
      </c>
      <c r="B5596" s="1">
        <v>45668</v>
      </c>
      <c r="C5596">
        <v>2025</v>
      </c>
      <c r="D5596">
        <v>1</v>
      </c>
      <c r="E5596" t="s">
        <v>23</v>
      </c>
      <c r="F5596" t="s">
        <v>24</v>
      </c>
      <c r="G5596" t="s">
        <v>30</v>
      </c>
      <c r="H5596" t="s">
        <v>33</v>
      </c>
      <c r="I5596">
        <v>6731.09</v>
      </c>
      <c r="J5596">
        <v>6285.82</v>
      </c>
      <c r="K5596" t="s">
        <v>17</v>
      </c>
      <c r="L5596" t="b">
        <v>0</v>
      </c>
      <c r="N5596" s="2" t="str">
        <f t="shared" si="500"/>
        <v/>
      </c>
      <c r="Q5596" t="str">
        <f t="shared" si="499"/>
        <v/>
      </c>
    </row>
    <row r="5597" spans="1:17" hidden="1">
      <c r="A5597" t="s">
        <v>5702</v>
      </c>
      <c r="B5597" s="1">
        <v>45668</v>
      </c>
      <c r="C5597">
        <v>2025</v>
      </c>
      <c r="D5597">
        <v>1</v>
      </c>
      <c r="E5597" t="s">
        <v>37</v>
      </c>
      <c r="F5597" t="s">
        <v>14</v>
      </c>
      <c r="G5597" t="s">
        <v>38</v>
      </c>
      <c r="H5597" t="s">
        <v>118</v>
      </c>
      <c r="I5597">
        <v>2218.9499999999998</v>
      </c>
      <c r="J5597">
        <v>2004.57</v>
      </c>
      <c r="K5597" t="s">
        <v>17</v>
      </c>
      <c r="L5597" t="b">
        <v>0</v>
      </c>
      <c r="N5597" s="2" t="str">
        <f t="shared" si="500"/>
        <v/>
      </c>
      <c r="Q5597" t="str">
        <f t="shared" si="499"/>
        <v/>
      </c>
    </row>
    <row r="5598" spans="1:17" hidden="1">
      <c r="A5598" t="s">
        <v>5703</v>
      </c>
      <c r="B5598" s="1">
        <v>45668</v>
      </c>
      <c r="C5598">
        <v>2025</v>
      </c>
      <c r="D5598">
        <v>1</v>
      </c>
      <c r="E5598" t="s">
        <v>37</v>
      </c>
      <c r="F5598" t="s">
        <v>14</v>
      </c>
      <c r="G5598" t="s">
        <v>62</v>
      </c>
      <c r="H5598" t="s">
        <v>360</v>
      </c>
      <c r="I5598">
        <v>2117.44</v>
      </c>
      <c r="J5598">
        <v>1906.25</v>
      </c>
      <c r="K5598" t="s">
        <v>17</v>
      </c>
      <c r="L5598" t="b">
        <v>0</v>
      </c>
      <c r="N5598" s="2" t="str">
        <f t="shared" si="500"/>
        <v/>
      </c>
      <c r="Q5598" t="str">
        <f t="shared" si="499"/>
        <v/>
      </c>
    </row>
    <row r="5599" spans="1:17" hidden="1">
      <c r="A5599" t="s">
        <v>5704</v>
      </c>
      <c r="B5599" s="1">
        <v>45668</v>
      </c>
      <c r="C5599">
        <v>2025</v>
      </c>
      <c r="D5599">
        <v>1</v>
      </c>
      <c r="E5599" t="s">
        <v>37</v>
      </c>
      <c r="F5599" t="s">
        <v>14</v>
      </c>
      <c r="G5599" t="s">
        <v>98</v>
      </c>
      <c r="H5599" t="s">
        <v>99</v>
      </c>
      <c r="I5599">
        <v>3666.4</v>
      </c>
      <c r="J5599">
        <v>3468.69</v>
      </c>
      <c r="K5599" t="s">
        <v>17</v>
      </c>
      <c r="L5599" t="b">
        <v>0</v>
      </c>
      <c r="N5599" s="2" t="str">
        <f t="shared" si="500"/>
        <v/>
      </c>
      <c r="Q5599" t="str">
        <f t="shared" si="499"/>
        <v/>
      </c>
    </row>
    <row r="5600" spans="1:17" hidden="1">
      <c r="A5600" t="s">
        <v>5705</v>
      </c>
      <c r="B5600" s="1">
        <v>45669</v>
      </c>
      <c r="C5600">
        <v>2025</v>
      </c>
      <c r="D5600">
        <v>1</v>
      </c>
      <c r="E5600" t="s">
        <v>13</v>
      </c>
      <c r="F5600" t="s">
        <v>24</v>
      </c>
      <c r="G5600" t="s">
        <v>108</v>
      </c>
      <c r="H5600" t="s">
        <v>123</v>
      </c>
      <c r="I5600">
        <v>3738.53</v>
      </c>
      <c r="J5600">
        <v>3439.4</v>
      </c>
      <c r="K5600" t="s">
        <v>17</v>
      </c>
      <c r="L5600" t="b">
        <v>0</v>
      </c>
      <c r="N5600" s="2" t="str">
        <f t="shared" si="500"/>
        <v/>
      </c>
      <c r="Q5600" t="str">
        <f t="shared" si="499"/>
        <v/>
      </c>
    </row>
    <row r="5601" spans="1:17" hidden="1">
      <c r="A5601" t="s">
        <v>5706</v>
      </c>
      <c r="B5601" s="1">
        <v>45669</v>
      </c>
      <c r="C5601">
        <v>2025</v>
      </c>
      <c r="D5601">
        <v>1</v>
      </c>
      <c r="E5601" t="s">
        <v>13</v>
      </c>
      <c r="F5601" t="s">
        <v>24</v>
      </c>
      <c r="G5601" t="s">
        <v>108</v>
      </c>
      <c r="H5601" t="s">
        <v>109</v>
      </c>
      <c r="I5601">
        <v>2749.58</v>
      </c>
      <c r="J5601">
        <v>2742.71</v>
      </c>
      <c r="K5601" t="s">
        <v>17</v>
      </c>
      <c r="L5601" t="b">
        <v>0</v>
      </c>
      <c r="N5601" s="2" t="str">
        <f t="shared" si="500"/>
        <v/>
      </c>
      <c r="Q5601" t="str">
        <f t="shared" si="499"/>
        <v/>
      </c>
    </row>
    <row r="5602" spans="1:17" hidden="1">
      <c r="A5602" t="s">
        <v>5707</v>
      </c>
      <c r="B5602" s="1">
        <v>45669</v>
      </c>
      <c r="C5602">
        <v>2025</v>
      </c>
      <c r="D5602">
        <v>1</v>
      </c>
      <c r="E5602" t="s">
        <v>47</v>
      </c>
      <c r="F5602" t="s">
        <v>14</v>
      </c>
      <c r="G5602" t="s">
        <v>91</v>
      </c>
      <c r="H5602" t="s">
        <v>254</v>
      </c>
      <c r="I5602">
        <v>9520.15</v>
      </c>
      <c r="J5602">
        <v>7810.11</v>
      </c>
      <c r="K5602" t="s">
        <v>17</v>
      </c>
      <c r="L5602" t="b">
        <v>0</v>
      </c>
      <c r="N5602" s="2" t="b">
        <f t="shared" si="500"/>
        <v>1</v>
      </c>
      <c r="O5602" t="str">
        <f t="shared" ref="O5602:O5604" si="501">IF(AND(E5591="HR",K5591="EXPENSE"),I5591&lt;J5591,"")</f>
        <v/>
      </c>
      <c r="Q5602" t="str">
        <f t="shared" si="499"/>
        <v/>
      </c>
    </row>
    <row r="5603" spans="1:17" hidden="1">
      <c r="A5603" t="s">
        <v>5708</v>
      </c>
      <c r="B5603" s="1">
        <v>45669</v>
      </c>
      <c r="C5603">
        <v>2025</v>
      </c>
      <c r="D5603">
        <v>1</v>
      </c>
      <c r="E5603" t="s">
        <v>47</v>
      </c>
      <c r="F5603" t="s">
        <v>28</v>
      </c>
      <c r="G5603" t="s">
        <v>51</v>
      </c>
      <c r="H5603" t="s">
        <v>52</v>
      </c>
      <c r="I5603">
        <v>13478.78</v>
      </c>
      <c r="J5603">
        <v>11448.32</v>
      </c>
      <c r="K5603" t="s">
        <v>17</v>
      </c>
      <c r="L5603" t="b">
        <v>0</v>
      </c>
      <c r="N5603" s="2" t="b">
        <f t="shared" si="500"/>
        <v>1</v>
      </c>
      <c r="O5603" t="str">
        <f t="shared" si="501"/>
        <v/>
      </c>
      <c r="Q5603" t="str">
        <f t="shared" si="499"/>
        <v/>
      </c>
    </row>
    <row r="5604" spans="1:17" hidden="1">
      <c r="A5604" t="s">
        <v>5709</v>
      </c>
      <c r="B5604" s="1">
        <v>45669</v>
      </c>
      <c r="C5604">
        <v>2025</v>
      </c>
      <c r="D5604">
        <v>1</v>
      </c>
      <c r="E5604" t="s">
        <v>47</v>
      </c>
      <c r="F5604" t="s">
        <v>24</v>
      </c>
      <c r="G5604" t="s">
        <v>91</v>
      </c>
      <c r="H5604" t="s">
        <v>128</v>
      </c>
      <c r="I5604">
        <v>11978.58</v>
      </c>
      <c r="J5604">
        <v>10299.82</v>
      </c>
      <c r="K5604" t="s">
        <v>17</v>
      </c>
      <c r="L5604" t="b">
        <v>0</v>
      </c>
      <c r="N5604" s="2" t="b">
        <f t="shared" si="500"/>
        <v>1</v>
      </c>
      <c r="O5604" t="str">
        <f t="shared" si="501"/>
        <v/>
      </c>
      <c r="Q5604" t="str">
        <f t="shared" si="499"/>
        <v/>
      </c>
    </row>
    <row r="5605" spans="1:17" hidden="1">
      <c r="A5605" t="s">
        <v>5710</v>
      </c>
      <c r="B5605" s="1">
        <v>45669</v>
      </c>
      <c r="C5605">
        <v>2025</v>
      </c>
      <c r="D5605">
        <v>1</v>
      </c>
      <c r="E5605" t="s">
        <v>19</v>
      </c>
      <c r="F5605" t="s">
        <v>28</v>
      </c>
      <c r="G5605" t="s">
        <v>80</v>
      </c>
      <c r="H5605" t="s">
        <v>81</v>
      </c>
      <c r="I5605">
        <v>6025.29</v>
      </c>
      <c r="J5605">
        <v>6488.27</v>
      </c>
      <c r="K5605" t="s">
        <v>17</v>
      </c>
      <c r="L5605" t="b">
        <v>0</v>
      </c>
      <c r="N5605" s="2" t="str">
        <f t="shared" si="500"/>
        <v/>
      </c>
      <c r="Q5605" t="str">
        <f t="shared" si="499"/>
        <v/>
      </c>
    </row>
    <row r="5606" spans="1:17" hidden="1">
      <c r="A5606" t="s">
        <v>5711</v>
      </c>
      <c r="B5606" s="1">
        <v>45669</v>
      </c>
      <c r="C5606">
        <v>2025</v>
      </c>
      <c r="D5606">
        <v>1</v>
      </c>
      <c r="E5606" t="s">
        <v>37</v>
      </c>
      <c r="F5606" t="s">
        <v>28</v>
      </c>
      <c r="G5606" t="s">
        <v>41</v>
      </c>
      <c r="H5606" t="s">
        <v>42</v>
      </c>
      <c r="I5606">
        <v>7090.73</v>
      </c>
      <c r="J5606">
        <v>6659.81</v>
      </c>
      <c r="K5606" t="s">
        <v>17</v>
      </c>
      <c r="L5606" t="b">
        <v>0</v>
      </c>
      <c r="N5606" s="2" t="str">
        <f t="shared" si="500"/>
        <v/>
      </c>
      <c r="Q5606" t="str">
        <f t="shared" si="499"/>
        <v/>
      </c>
    </row>
    <row r="5607" spans="1:17" hidden="1">
      <c r="A5607" t="s">
        <v>5712</v>
      </c>
      <c r="B5607" s="1">
        <v>45669</v>
      </c>
      <c r="C5607">
        <v>2025</v>
      </c>
      <c r="D5607">
        <v>1</v>
      </c>
      <c r="E5607" t="s">
        <v>37</v>
      </c>
      <c r="F5607" t="s">
        <v>24</v>
      </c>
      <c r="G5607" t="s">
        <v>98</v>
      </c>
      <c r="H5607" t="s">
        <v>99</v>
      </c>
      <c r="I5607">
        <v>4161.29</v>
      </c>
      <c r="J5607">
        <v>4094.57</v>
      </c>
      <c r="K5607" t="s">
        <v>17</v>
      </c>
      <c r="L5607" t="b">
        <v>0</v>
      </c>
      <c r="N5607" s="2" t="str">
        <f t="shared" si="500"/>
        <v/>
      </c>
      <c r="Q5607" t="str">
        <f t="shared" si="499"/>
        <v/>
      </c>
    </row>
    <row r="5608" spans="1:17" hidden="1">
      <c r="A5608" t="s">
        <v>5713</v>
      </c>
      <c r="B5608" s="1">
        <v>45670</v>
      </c>
      <c r="C5608">
        <v>2025</v>
      </c>
      <c r="D5608">
        <v>1</v>
      </c>
      <c r="E5608" t="s">
        <v>13</v>
      </c>
      <c r="F5608" t="s">
        <v>28</v>
      </c>
      <c r="G5608" t="s">
        <v>102</v>
      </c>
      <c r="H5608" t="s">
        <v>278</v>
      </c>
      <c r="I5608">
        <v>4444.33</v>
      </c>
      <c r="J5608">
        <v>4617.95</v>
      </c>
      <c r="K5608" t="s">
        <v>17</v>
      </c>
      <c r="L5608" t="b">
        <v>0</v>
      </c>
      <c r="N5608" s="2" t="str">
        <f t="shared" si="500"/>
        <v/>
      </c>
      <c r="Q5608" t="str">
        <f t="shared" si="499"/>
        <v/>
      </c>
    </row>
    <row r="5609" spans="1:17" hidden="1">
      <c r="A5609" t="s">
        <v>5714</v>
      </c>
      <c r="B5609" s="1">
        <v>45670</v>
      </c>
      <c r="C5609">
        <v>2025</v>
      </c>
      <c r="D5609">
        <v>1</v>
      </c>
      <c r="E5609" t="s">
        <v>19</v>
      </c>
      <c r="F5609" t="s">
        <v>24</v>
      </c>
      <c r="G5609" t="s">
        <v>80</v>
      </c>
      <c r="H5609" t="s">
        <v>217</v>
      </c>
      <c r="I5609">
        <v>10607.78</v>
      </c>
      <c r="J5609">
        <v>10976.58</v>
      </c>
      <c r="K5609" t="s">
        <v>17</v>
      </c>
      <c r="L5609" t="b">
        <v>0</v>
      </c>
      <c r="N5609" s="2" t="str">
        <f t="shared" si="500"/>
        <v/>
      </c>
      <c r="Q5609" t="str">
        <f t="shared" si="499"/>
        <v/>
      </c>
    </row>
    <row r="5610" spans="1:17" hidden="1">
      <c r="A5610" t="s">
        <v>5715</v>
      </c>
      <c r="B5610" s="1">
        <v>45670</v>
      </c>
      <c r="C5610">
        <v>2025</v>
      </c>
      <c r="D5610">
        <v>1</v>
      </c>
      <c r="E5610" t="s">
        <v>23</v>
      </c>
      <c r="F5610" t="s">
        <v>14</v>
      </c>
      <c r="G5610" t="s">
        <v>141</v>
      </c>
      <c r="H5610" t="s">
        <v>153</v>
      </c>
      <c r="I5610">
        <v>4847.8100000000004</v>
      </c>
      <c r="J5610">
        <v>4744.01</v>
      </c>
      <c r="K5610" t="s">
        <v>17</v>
      </c>
      <c r="L5610" t="b">
        <v>0</v>
      </c>
      <c r="N5610" s="2" t="str">
        <f t="shared" si="500"/>
        <v/>
      </c>
      <c r="Q5610" t="str">
        <f t="shared" si="499"/>
        <v/>
      </c>
    </row>
    <row r="5611" spans="1:17" hidden="1">
      <c r="A5611" t="s">
        <v>5716</v>
      </c>
      <c r="B5611" s="1">
        <v>45670</v>
      </c>
      <c r="C5611">
        <v>2025</v>
      </c>
      <c r="D5611">
        <v>1</v>
      </c>
      <c r="E5611" t="s">
        <v>23</v>
      </c>
      <c r="F5611" t="s">
        <v>28</v>
      </c>
      <c r="G5611" t="s">
        <v>59</v>
      </c>
      <c r="H5611" t="s">
        <v>60</v>
      </c>
      <c r="I5611">
        <v>4278.42</v>
      </c>
      <c r="J5611">
        <v>3874.09</v>
      </c>
      <c r="K5611" t="s">
        <v>17</v>
      </c>
      <c r="L5611" t="b">
        <v>0</v>
      </c>
      <c r="N5611" s="2" t="str">
        <f t="shared" si="500"/>
        <v/>
      </c>
      <c r="Q5611" t="str">
        <f t="shared" si="499"/>
        <v/>
      </c>
    </row>
    <row r="5612" spans="1:17" hidden="1">
      <c r="A5612" t="s">
        <v>5717</v>
      </c>
      <c r="B5612" s="1">
        <v>45670</v>
      </c>
      <c r="C5612">
        <v>2025</v>
      </c>
      <c r="D5612">
        <v>1</v>
      </c>
      <c r="E5612" t="s">
        <v>23</v>
      </c>
      <c r="F5612" t="s">
        <v>24</v>
      </c>
      <c r="G5612" t="s">
        <v>25</v>
      </c>
      <c r="H5612" t="s">
        <v>26</v>
      </c>
      <c r="I5612">
        <v>4497.1099999999997</v>
      </c>
      <c r="J5612">
        <v>4315.96</v>
      </c>
      <c r="K5612" t="s">
        <v>17</v>
      </c>
      <c r="L5612" t="b">
        <v>0</v>
      </c>
      <c r="N5612" s="2" t="str">
        <f t="shared" si="500"/>
        <v/>
      </c>
      <c r="Q5612" t="str">
        <f t="shared" si="499"/>
        <v/>
      </c>
    </row>
    <row r="5613" spans="1:17" hidden="1">
      <c r="A5613" t="s">
        <v>5718</v>
      </c>
      <c r="B5613" s="1">
        <v>45670</v>
      </c>
      <c r="C5613">
        <v>2025</v>
      </c>
      <c r="D5613">
        <v>1</v>
      </c>
      <c r="E5613" t="s">
        <v>37</v>
      </c>
      <c r="F5613" t="s">
        <v>14</v>
      </c>
      <c r="G5613" t="s">
        <v>62</v>
      </c>
      <c r="H5613" t="s">
        <v>360</v>
      </c>
      <c r="I5613">
        <v>4719.46</v>
      </c>
      <c r="J5613">
        <v>4538.18</v>
      </c>
      <c r="K5613" t="s">
        <v>17</v>
      </c>
      <c r="L5613" t="b">
        <v>0</v>
      </c>
      <c r="N5613" s="2" t="str">
        <f t="shared" si="500"/>
        <v/>
      </c>
      <c r="Q5613" t="str">
        <f t="shared" si="499"/>
        <v/>
      </c>
    </row>
    <row r="5614" spans="1:17" hidden="1">
      <c r="A5614" t="s">
        <v>5719</v>
      </c>
      <c r="B5614" s="1">
        <v>45670</v>
      </c>
      <c r="C5614">
        <v>2025</v>
      </c>
      <c r="D5614">
        <v>1</v>
      </c>
      <c r="E5614" t="s">
        <v>37</v>
      </c>
      <c r="F5614" t="s">
        <v>28</v>
      </c>
      <c r="G5614" t="s">
        <v>38</v>
      </c>
      <c r="H5614" t="s">
        <v>227</v>
      </c>
      <c r="I5614">
        <v>6893.22</v>
      </c>
      <c r="J5614">
        <v>6373.8</v>
      </c>
      <c r="K5614" t="s">
        <v>17</v>
      </c>
      <c r="L5614" t="b">
        <v>0</v>
      </c>
      <c r="N5614" s="2" t="str">
        <f t="shared" si="500"/>
        <v/>
      </c>
      <c r="Q5614" t="str">
        <f t="shared" si="499"/>
        <v/>
      </c>
    </row>
    <row r="5615" spans="1:17" hidden="1">
      <c r="A5615" t="s">
        <v>5720</v>
      </c>
      <c r="B5615" s="1">
        <v>45670</v>
      </c>
      <c r="C5615">
        <v>2025</v>
      </c>
      <c r="D5615">
        <v>1</v>
      </c>
      <c r="E5615" t="s">
        <v>37</v>
      </c>
      <c r="F5615" t="s">
        <v>28</v>
      </c>
      <c r="G5615" t="s">
        <v>38</v>
      </c>
      <c r="H5615" t="s">
        <v>118</v>
      </c>
      <c r="I5615">
        <v>4334.38</v>
      </c>
      <c r="J5615">
        <v>4264.95</v>
      </c>
      <c r="K5615" t="s">
        <v>17</v>
      </c>
      <c r="L5615" t="b">
        <v>0</v>
      </c>
      <c r="N5615" s="2" t="str">
        <f t="shared" si="500"/>
        <v/>
      </c>
      <c r="Q5615" t="str">
        <f t="shared" si="499"/>
        <v/>
      </c>
    </row>
    <row r="5616" spans="1:17" hidden="1">
      <c r="A5616" t="s">
        <v>5721</v>
      </c>
      <c r="B5616" s="1">
        <v>45671</v>
      </c>
      <c r="C5616">
        <v>2025</v>
      </c>
      <c r="D5616">
        <v>1</v>
      </c>
      <c r="E5616" t="s">
        <v>13</v>
      </c>
      <c r="F5616" t="s">
        <v>28</v>
      </c>
      <c r="G5616" t="s">
        <v>102</v>
      </c>
      <c r="H5616" t="s">
        <v>145</v>
      </c>
      <c r="I5616">
        <v>4225.05</v>
      </c>
      <c r="J5616">
        <v>4472.93</v>
      </c>
      <c r="K5616" t="s">
        <v>17</v>
      </c>
      <c r="L5616" t="b">
        <v>0</v>
      </c>
      <c r="N5616" s="2" t="str">
        <f t="shared" si="500"/>
        <v/>
      </c>
      <c r="Q5616" t="str">
        <f t="shared" ref="Q5616:Q5679" si="502">IF(L5616=TRUE,OR(H5616="Apex Solutions Inc",H5616="Global Trade Partners",H5616="NovaTech Services"),"")</f>
        <v/>
      </c>
    </row>
    <row r="5617" spans="1:17" hidden="1">
      <c r="A5617" t="s">
        <v>5722</v>
      </c>
      <c r="B5617" s="1">
        <v>45671</v>
      </c>
      <c r="C5617">
        <v>2025</v>
      </c>
      <c r="D5617">
        <v>1</v>
      </c>
      <c r="E5617" t="s">
        <v>47</v>
      </c>
      <c r="F5617" t="s">
        <v>28</v>
      </c>
      <c r="G5617" t="s">
        <v>77</v>
      </c>
      <c r="H5617" t="s">
        <v>130</v>
      </c>
      <c r="I5617">
        <v>17876.439999999999</v>
      </c>
      <c r="J5617">
        <v>15056.94</v>
      </c>
      <c r="K5617" t="s">
        <v>17</v>
      </c>
      <c r="L5617" t="b">
        <v>0</v>
      </c>
      <c r="N5617" s="2" t="b">
        <f t="shared" si="500"/>
        <v>1</v>
      </c>
      <c r="O5617" t="str">
        <f t="shared" ref="O5617:O5619" si="503">IF(AND(E5606="HR",K5606="EXPENSE"),I5606&lt;J5606,"")</f>
        <v/>
      </c>
      <c r="Q5617" t="str">
        <f t="shared" si="502"/>
        <v/>
      </c>
    </row>
    <row r="5618" spans="1:17" hidden="1">
      <c r="A5618" t="s">
        <v>5723</v>
      </c>
      <c r="B5618" s="1">
        <v>45671</v>
      </c>
      <c r="C5618">
        <v>2025</v>
      </c>
      <c r="D5618">
        <v>1</v>
      </c>
      <c r="E5618" t="s">
        <v>47</v>
      </c>
      <c r="F5618" t="s">
        <v>28</v>
      </c>
      <c r="G5618" t="s">
        <v>77</v>
      </c>
      <c r="H5618" t="s">
        <v>147</v>
      </c>
      <c r="I5618">
        <v>14236.44</v>
      </c>
      <c r="J5618">
        <v>12218.01</v>
      </c>
      <c r="K5618" t="s">
        <v>17</v>
      </c>
      <c r="L5618" t="b">
        <v>0</v>
      </c>
      <c r="N5618" s="2" t="b">
        <f t="shared" si="500"/>
        <v>1</v>
      </c>
      <c r="O5618" t="str">
        <f t="shared" si="503"/>
        <v/>
      </c>
      <c r="Q5618" t="str">
        <f t="shared" si="502"/>
        <v/>
      </c>
    </row>
    <row r="5619" spans="1:17" hidden="1">
      <c r="A5619" t="s">
        <v>5724</v>
      </c>
      <c r="B5619" s="1">
        <v>45671</v>
      </c>
      <c r="C5619">
        <v>2025</v>
      </c>
      <c r="D5619">
        <v>1</v>
      </c>
      <c r="E5619" t="s">
        <v>47</v>
      </c>
      <c r="F5619" t="s">
        <v>24</v>
      </c>
      <c r="G5619" t="s">
        <v>77</v>
      </c>
      <c r="H5619" t="s">
        <v>130</v>
      </c>
      <c r="I5619">
        <v>14065.83</v>
      </c>
      <c r="J5619">
        <v>11719.87</v>
      </c>
      <c r="K5619" t="s">
        <v>17</v>
      </c>
      <c r="L5619" t="b">
        <v>0</v>
      </c>
      <c r="N5619" s="2" t="b">
        <f t="shared" si="500"/>
        <v>1</v>
      </c>
      <c r="O5619" t="b">
        <f t="shared" si="503"/>
        <v>1</v>
      </c>
      <c r="Q5619" t="str">
        <f t="shared" si="502"/>
        <v/>
      </c>
    </row>
    <row r="5620" spans="1:17" hidden="1">
      <c r="A5620" t="s">
        <v>5725</v>
      </c>
      <c r="B5620" s="1">
        <v>45671</v>
      </c>
      <c r="C5620">
        <v>2025</v>
      </c>
      <c r="D5620">
        <v>1</v>
      </c>
      <c r="E5620" t="s">
        <v>23</v>
      </c>
      <c r="F5620" t="s">
        <v>28</v>
      </c>
      <c r="G5620" t="s">
        <v>30</v>
      </c>
      <c r="H5620" t="s">
        <v>33</v>
      </c>
      <c r="I5620">
        <v>4141.66</v>
      </c>
      <c r="J5620">
        <v>4438.22</v>
      </c>
      <c r="K5620" t="s">
        <v>17</v>
      </c>
      <c r="L5620" t="b">
        <v>0</v>
      </c>
      <c r="N5620" s="2" t="str">
        <f t="shared" si="500"/>
        <v/>
      </c>
      <c r="Q5620" t="str">
        <f t="shared" si="502"/>
        <v/>
      </c>
    </row>
    <row r="5621" spans="1:17" hidden="1">
      <c r="A5621" t="s">
        <v>5726</v>
      </c>
      <c r="B5621" s="1">
        <v>45672</v>
      </c>
      <c r="C5621">
        <v>2025</v>
      </c>
      <c r="D5621">
        <v>1</v>
      </c>
      <c r="E5621" t="s">
        <v>13</v>
      </c>
      <c r="F5621" t="s">
        <v>14</v>
      </c>
      <c r="G5621" t="s">
        <v>108</v>
      </c>
      <c r="H5621" t="s">
        <v>123</v>
      </c>
      <c r="I5621">
        <v>3061.56</v>
      </c>
      <c r="J5621">
        <v>3207.7</v>
      </c>
      <c r="K5621" t="s">
        <v>17</v>
      </c>
      <c r="L5621" t="b">
        <v>0</v>
      </c>
      <c r="N5621" s="2" t="str">
        <f t="shared" si="500"/>
        <v/>
      </c>
      <c r="Q5621" t="str">
        <f t="shared" si="502"/>
        <v/>
      </c>
    </row>
    <row r="5622" spans="1:17" hidden="1">
      <c r="A5622" t="s">
        <v>5727</v>
      </c>
      <c r="B5622" s="1">
        <v>45672</v>
      </c>
      <c r="C5622">
        <v>2025</v>
      </c>
      <c r="D5622">
        <v>1</v>
      </c>
      <c r="E5622" t="s">
        <v>13</v>
      </c>
      <c r="F5622" t="s">
        <v>24</v>
      </c>
      <c r="G5622" t="s">
        <v>102</v>
      </c>
      <c r="H5622" t="s">
        <v>145</v>
      </c>
      <c r="I5622">
        <v>2178.94</v>
      </c>
      <c r="J5622">
        <v>2115.79</v>
      </c>
      <c r="K5622" t="s">
        <v>17</v>
      </c>
      <c r="L5622" t="b">
        <v>0</v>
      </c>
      <c r="N5622" s="2" t="str">
        <f t="shared" si="500"/>
        <v/>
      </c>
      <c r="Q5622" t="str">
        <f t="shared" si="502"/>
        <v/>
      </c>
    </row>
    <row r="5623" spans="1:17" hidden="1">
      <c r="A5623" t="s">
        <v>5728</v>
      </c>
      <c r="B5623" s="1">
        <v>45672</v>
      </c>
      <c r="C5623">
        <v>2025</v>
      </c>
      <c r="D5623">
        <v>1</v>
      </c>
      <c r="E5623" t="s">
        <v>13</v>
      </c>
      <c r="F5623" t="s">
        <v>24</v>
      </c>
      <c r="G5623" t="s">
        <v>68</v>
      </c>
      <c r="H5623" t="s">
        <v>87</v>
      </c>
      <c r="I5623">
        <v>2751.64</v>
      </c>
      <c r="J5623">
        <v>2492.46</v>
      </c>
      <c r="K5623" t="s">
        <v>17</v>
      </c>
      <c r="L5623" t="b">
        <v>0</v>
      </c>
      <c r="N5623" s="2" t="str">
        <f t="shared" si="500"/>
        <v/>
      </c>
      <c r="Q5623" t="str">
        <f t="shared" si="502"/>
        <v/>
      </c>
    </row>
    <row r="5624" spans="1:17" hidden="1">
      <c r="A5624" t="s">
        <v>5729</v>
      </c>
      <c r="B5624" s="1">
        <v>45672</v>
      </c>
      <c r="C5624">
        <v>2025</v>
      </c>
      <c r="D5624">
        <v>1</v>
      </c>
      <c r="E5624" t="s">
        <v>47</v>
      </c>
      <c r="F5624" t="s">
        <v>14</v>
      </c>
      <c r="G5624" t="s">
        <v>91</v>
      </c>
      <c r="H5624" t="s">
        <v>92</v>
      </c>
      <c r="I5624">
        <v>11922.31</v>
      </c>
      <c r="J5624">
        <v>10090.09</v>
      </c>
      <c r="K5624" t="s">
        <v>17</v>
      </c>
      <c r="L5624" t="b">
        <v>0</v>
      </c>
      <c r="N5624" s="2" t="b">
        <f t="shared" si="500"/>
        <v>1</v>
      </c>
      <c r="O5624" t="str">
        <f t="shared" ref="O5624:O5625" si="504">IF(AND(E5613="HR",K5613="EXPENSE"),I5613&lt;J5613,"")</f>
        <v/>
      </c>
      <c r="Q5624" t="str">
        <f t="shared" si="502"/>
        <v/>
      </c>
    </row>
    <row r="5625" spans="1:17" hidden="1">
      <c r="A5625" t="s">
        <v>5730</v>
      </c>
      <c r="B5625" s="1">
        <v>45672</v>
      </c>
      <c r="C5625">
        <v>2025</v>
      </c>
      <c r="D5625">
        <v>1</v>
      </c>
      <c r="E5625" t="s">
        <v>47</v>
      </c>
      <c r="F5625" t="s">
        <v>14</v>
      </c>
      <c r="G5625" t="s">
        <v>91</v>
      </c>
      <c r="H5625" t="s">
        <v>254</v>
      </c>
      <c r="I5625">
        <v>11248.36</v>
      </c>
      <c r="J5625">
        <v>9513.34</v>
      </c>
      <c r="K5625" t="s">
        <v>17</v>
      </c>
      <c r="L5625" t="b">
        <v>0</v>
      </c>
      <c r="N5625" s="2" t="b">
        <f t="shared" si="500"/>
        <v>1</v>
      </c>
      <c r="O5625" t="str">
        <f t="shared" si="504"/>
        <v/>
      </c>
      <c r="Q5625" t="str">
        <f t="shared" si="502"/>
        <v/>
      </c>
    </row>
    <row r="5626" spans="1:17" hidden="1">
      <c r="A5626" t="s">
        <v>5731</v>
      </c>
      <c r="B5626" s="1">
        <v>45672</v>
      </c>
      <c r="C5626">
        <v>2025</v>
      </c>
      <c r="D5626">
        <v>1</v>
      </c>
      <c r="E5626" t="s">
        <v>19</v>
      </c>
      <c r="F5626" t="s">
        <v>28</v>
      </c>
      <c r="G5626" t="s">
        <v>80</v>
      </c>
      <c r="H5626" t="s">
        <v>150</v>
      </c>
      <c r="I5626">
        <v>5347.24</v>
      </c>
      <c r="J5626">
        <v>4831.1099999999997</v>
      </c>
      <c r="K5626" t="s">
        <v>17</v>
      </c>
      <c r="L5626" t="b">
        <v>0</v>
      </c>
      <c r="N5626" s="2" t="str">
        <f t="shared" si="500"/>
        <v/>
      </c>
      <c r="Q5626" t="str">
        <f t="shared" si="502"/>
        <v/>
      </c>
    </row>
    <row r="5627" spans="1:17" hidden="1">
      <c r="A5627" t="s">
        <v>5732</v>
      </c>
      <c r="B5627" s="1">
        <v>45672</v>
      </c>
      <c r="C5627">
        <v>2025</v>
      </c>
      <c r="D5627">
        <v>1</v>
      </c>
      <c r="E5627" t="s">
        <v>23</v>
      </c>
      <c r="F5627" t="s">
        <v>24</v>
      </c>
      <c r="G5627" t="s">
        <v>25</v>
      </c>
      <c r="H5627" t="s">
        <v>35</v>
      </c>
      <c r="I5627">
        <v>3496.66</v>
      </c>
      <c r="J5627">
        <v>3513.23</v>
      </c>
      <c r="K5627" t="s">
        <v>17</v>
      </c>
      <c r="L5627" t="b">
        <v>0</v>
      </c>
      <c r="N5627" s="2" t="str">
        <f t="shared" si="500"/>
        <v/>
      </c>
      <c r="Q5627" t="str">
        <f t="shared" si="502"/>
        <v/>
      </c>
    </row>
    <row r="5628" spans="1:17" hidden="1">
      <c r="A5628" t="s">
        <v>5733</v>
      </c>
      <c r="B5628" s="1">
        <v>45672</v>
      </c>
      <c r="C5628">
        <v>2025</v>
      </c>
      <c r="D5628">
        <v>1</v>
      </c>
      <c r="E5628" t="s">
        <v>37</v>
      </c>
      <c r="F5628" t="s">
        <v>14</v>
      </c>
      <c r="G5628" t="s">
        <v>62</v>
      </c>
      <c r="H5628" t="s">
        <v>63</v>
      </c>
      <c r="I5628">
        <v>5493.83</v>
      </c>
      <c r="J5628">
        <v>5827.58</v>
      </c>
      <c r="K5628" t="s">
        <v>17</v>
      </c>
      <c r="L5628" t="b">
        <v>0</v>
      </c>
      <c r="N5628" s="2" t="str">
        <f t="shared" si="500"/>
        <v/>
      </c>
      <c r="Q5628" t="str">
        <f t="shared" si="502"/>
        <v/>
      </c>
    </row>
    <row r="5629" spans="1:17" hidden="1">
      <c r="A5629" t="s">
        <v>5734</v>
      </c>
      <c r="B5629" s="1">
        <v>45672</v>
      </c>
      <c r="C5629">
        <v>2025</v>
      </c>
      <c r="D5629">
        <v>1</v>
      </c>
      <c r="E5629" t="s">
        <v>37</v>
      </c>
      <c r="F5629" t="s">
        <v>28</v>
      </c>
      <c r="G5629" t="s">
        <v>62</v>
      </c>
      <c r="H5629" t="s">
        <v>121</v>
      </c>
      <c r="I5629">
        <v>5443.6</v>
      </c>
      <c r="J5629">
        <v>5110.7</v>
      </c>
      <c r="K5629" t="s">
        <v>17</v>
      </c>
      <c r="L5629" t="b">
        <v>0</v>
      </c>
      <c r="N5629" s="2" t="str">
        <f t="shared" si="500"/>
        <v/>
      </c>
      <c r="Q5629" t="str">
        <f t="shared" si="502"/>
        <v/>
      </c>
    </row>
    <row r="5630" spans="1:17" hidden="1">
      <c r="A5630" t="s">
        <v>5735</v>
      </c>
      <c r="B5630" s="1">
        <v>45672</v>
      </c>
      <c r="C5630">
        <v>2025</v>
      </c>
      <c r="D5630">
        <v>1</v>
      </c>
      <c r="E5630" t="s">
        <v>37</v>
      </c>
      <c r="F5630" t="s">
        <v>24</v>
      </c>
      <c r="G5630" t="s">
        <v>41</v>
      </c>
      <c r="H5630" t="s">
        <v>42</v>
      </c>
      <c r="I5630">
        <v>5069.25</v>
      </c>
      <c r="J5630">
        <v>4570.17</v>
      </c>
      <c r="K5630" t="s">
        <v>17</v>
      </c>
      <c r="L5630" t="b">
        <v>0</v>
      </c>
      <c r="N5630" s="2" t="str">
        <f t="shared" si="500"/>
        <v/>
      </c>
      <c r="Q5630" t="str">
        <f t="shared" si="502"/>
        <v/>
      </c>
    </row>
    <row r="5631" spans="1:17" hidden="1">
      <c r="A5631" t="s">
        <v>5736</v>
      </c>
      <c r="B5631" s="1">
        <v>45672</v>
      </c>
      <c r="C5631">
        <v>2025</v>
      </c>
      <c r="D5631">
        <v>1</v>
      </c>
      <c r="E5631" t="s">
        <v>37</v>
      </c>
      <c r="F5631" t="s">
        <v>14</v>
      </c>
      <c r="G5631" t="s">
        <v>83</v>
      </c>
      <c r="H5631" t="s">
        <v>84</v>
      </c>
      <c r="I5631">
        <v>272189.48</v>
      </c>
      <c r="J5631">
        <v>258580.01</v>
      </c>
      <c r="K5631" t="s">
        <v>85</v>
      </c>
      <c r="L5631" t="b">
        <v>0</v>
      </c>
      <c r="N5631" s="2" t="str">
        <f t="shared" si="500"/>
        <v/>
      </c>
      <c r="Q5631" t="str">
        <f t="shared" si="502"/>
        <v/>
      </c>
    </row>
    <row r="5632" spans="1:17" hidden="1">
      <c r="A5632" t="s">
        <v>5737</v>
      </c>
      <c r="B5632" s="1">
        <v>45673</v>
      </c>
      <c r="C5632">
        <v>2025</v>
      </c>
      <c r="D5632">
        <v>1</v>
      </c>
      <c r="E5632" t="s">
        <v>13</v>
      </c>
      <c r="F5632" t="s">
        <v>28</v>
      </c>
      <c r="G5632" t="s">
        <v>108</v>
      </c>
      <c r="H5632" t="s">
        <v>126</v>
      </c>
      <c r="I5632">
        <v>4980.18</v>
      </c>
      <c r="J5632">
        <v>4740.24</v>
      </c>
      <c r="K5632" t="s">
        <v>17</v>
      </c>
      <c r="L5632" t="b">
        <v>0</v>
      </c>
      <c r="N5632" s="2" t="str">
        <f t="shared" si="500"/>
        <v/>
      </c>
      <c r="Q5632" t="str">
        <f t="shared" si="502"/>
        <v/>
      </c>
    </row>
    <row r="5633" spans="1:17" hidden="1">
      <c r="A5633" t="s">
        <v>5738</v>
      </c>
      <c r="B5633" s="1">
        <v>45673</v>
      </c>
      <c r="C5633">
        <v>2025</v>
      </c>
      <c r="D5633">
        <v>1</v>
      </c>
      <c r="E5633" t="s">
        <v>47</v>
      </c>
      <c r="F5633" t="s">
        <v>28</v>
      </c>
      <c r="G5633" t="s">
        <v>48</v>
      </c>
      <c r="H5633" t="s">
        <v>75</v>
      </c>
      <c r="I5633">
        <v>15542.87</v>
      </c>
      <c r="J5633">
        <v>13218.38</v>
      </c>
      <c r="K5633" t="s">
        <v>17</v>
      </c>
      <c r="L5633" t="b">
        <v>0</v>
      </c>
      <c r="N5633" s="2" t="b">
        <f t="shared" si="500"/>
        <v>1</v>
      </c>
      <c r="O5633" t="b">
        <f t="shared" ref="O5633:O5634" si="505">IF(AND(E5622="HR",K5622="EXPENSE"),I5622&lt;J5622,"")</f>
        <v>0</v>
      </c>
      <c r="Q5633" t="str">
        <f t="shared" si="502"/>
        <v/>
      </c>
    </row>
    <row r="5634" spans="1:17" hidden="1">
      <c r="A5634" t="s">
        <v>5739</v>
      </c>
      <c r="B5634" s="1">
        <v>45673</v>
      </c>
      <c r="C5634">
        <v>2025</v>
      </c>
      <c r="D5634">
        <v>1</v>
      </c>
      <c r="E5634" t="s">
        <v>47</v>
      </c>
      <c r="F5634" t="s">
        <v>28</v>
      </c>
      <c r="G5634" t="s">
        <v>51</v>
      </c>
      <c r="H5634" t="s">
        <v>189</v>
      </c>
      <c r="I5634">
        <v>5946.32</v>
      </c>
      <c r="J5634">
        <v>4972.1899999999996</v>
      </c>
      <c r="K5634" t="s">
        <v>17</v>
      </c>
      <c r="L5634" t="b">
        <v>0</v>
      </c>
      <c r="N5634" s="2" t="b">
        <f t="shared" si="500"/>
        <v>1</v>
      </c>
      <c r="O5634" t="b">
        <f t="shared" si="505"/>
        <v>0</v>
      </c>
      <c r="Q5634" t="str">
        <f t="shared" si="502"/>
        <v/>
      </c>
    </row>
    <row r="5635" spans="1:17" hidden="1">
      <c r="A5635" t="s">
        <v>5740</v>
      </c>
      <c r="B5635" s="1">
        <v>45673</v>
      </c>
      <c r="C5635">
        <v>2025</v>
      </c>
      <c r="D5635">
        <v>1</v>
      </c>
      <c r="E5635" t="s">
        <v>19</v>
      </c>
      <c r="F5635" t="s">
        <v>14</v>
      </c>
      <c r="G5635" t="s">
        <v>20</v>
      </c>
      <c r="H5635" t="s">
        <v>174</v>
      </c>
      <c r="I5635">
        <v>7152.06</v>
      </c>
      <c r="J5635">
        <v>7160.65</v>
      </c>
      <c r="K5635" t="s">
        <v>17</v>
      </c>
      <c r="L5635" t="b">
        <v>0</v>
      </c>
      <c r="N5635" s="2" t="str">
        <f t="shared" ref="N5635:N5698" si="506">IF(AND(E5635="IT",K5635="EXPENSE"),I5635&gt;J5635,"")</f>
        <v/>
      </c>
      <c r="Q5635" t="str">
        <f t="shared" si="502"/>
        <v/>
      </c>
    </row>
    <row r="5636" spans="1:17" hidden="1">
      <c r="A5636" t="s">
        <v>5741</v>
      </c>
      <c r="B5636" s="1">
        <v>45673</v>
      </c>
      <c r="C5636">
        <v>2025</v>
      </c>
      <c r="D5636">
        <v>1</v>
      </c>
      <c r="E5636" t="s">
        <v>19</v>
      </c>
      <c r="F5636" t="s">
        <v>14</v>
      </c>
      <c r="G5636" t="s">
        <v>54</v>
      </c>
      <c r="H5636" t="s">
        <v>163</v>
      </c>
      <c r="I5636">
        <v>6045.28</v>
      </c>
      <c r="J5636">
        <v>5812.29</v>
      </c>
      <c r="K5636" t="s">
        <v>17</v>
      </c>
      <c r="L5636" t="b">
        <v>0</v>
      </c>
      <c r="N5636" s="2" t="str">
        <f t="shared" si="506"/>
        <v/>
      </c>
      <c r="Q5636" t="str">
        <f t="shared" si="502"/>
        <v/>
      </c>
    </row>
    <row r="5637" spans="1:17" hidden="1">
      <c r="A5637" t="s">
        <v>5742</v>
      </c>
      <c r="B5637" s="1">
        <v>45673</v>
      </c>
      <c r="C5637">
        <v>2025</v>
      </c>
      <c r="D5637">
        <v>1</v>
      </c>
      <c r="E5637" t="s">
        <v>19</v>
      </c>
      <c r="F5637" t="s">
        <v>14</v>
      </c>
      <c r="G5637" t="s">
        <v>132</v>
      </c>
      <c r="H5637" t="s">
        <v>133</v>
      </c>
      <c r="I5637">
        <v>8846.89</v>
      </c>
      <c r="J5637">
        <v>8071.85</v>
      </c>
      <c r="K5637" t="s">
        <v>17</v>
      </c>
      <c r="L5637" t="b">
        <v>0</v>
      </c>
      <c r="N5637" s="2" t="str">
        <f t="shared" si="506"/>
        <v/>
      </c>
      <c r="Q5637" t="str">
        <f t="shared" si="502"/>
        <v/>
      </c>
    </row>
    <row r="5638" spans="1:17" hidden="1">
      <c r="A5638" t="s">
        <v>5743</v>
      </c>
      <c r="B5638" s="1">
        <v>45673</v>
      </c>
      <c r="C5638">
        <v>2025</v>
      </c>
      <c r="D5638">
        <v>1</v>
      </c>
      <c r="E5638" t="s">
        <v>19</v>
      </c>
      <c r="F5638" t="s">
        <v>24</v>
      </c>
      <c r="G5638" t="s">
        <v>132</v>
      </c>
      <c r="H5638" t="s">
        <v>171</v>
      </c>
      <c r="I5638">
        <v>12080.36</v>
      </c>
      <c r="J5638">
        <v>12659.79</v>
      </c>
      <c r="K5638" t="s">
        <v>17</v>
      </c>
      <c r="L5638" t="b">
        <v>0</v>
      </c>
      <c r="N5638" s="2" t="str">
        <f t="shared" si="506"/>
        <v/>
      </c>
      <c r="Q5638" t="str">
        <f t="shared" si="502"/>
        <v/>
      </c>
    </row>
    <row r="5639" spans="1:17" hidden="1">
      <c r="A5639" t="s">
        <v>5744</v>
      </c>
      <c r="B5639" s="1">
        <v>45673</v>
      </c>
      <c r="C5639">
        <v>2025</v>
      </c>
      <c r="D5639">
        <v>1</v>
      </c>
      <c r="E5639" t="s">
        <v>23</v>
      </c>
      <c r="F5639" t="s">
        <v>28</v>
      </c>
      <c r="G5639" t="s">
        <v>25</v>
      </c>
      <c r="H5639" t="s">
        <v>35</v>
      </c>
      <c r="I5639">
        <v>3965.35</v>
      </c>
      <c r="J5639">
        <v>4123.12</v>
      </c>
      <c r="K5639" t="s">
        <v>17</v>
      </c>
      <c r="L5639" t="b">
        <v>0</v>
      </c>
      <c r="N5639" s="2" t="str">
        <f t="shared" si="506"/>
        <v/>
      </c>
      <c r="Q5639" t="str">
        <f t="shared" si="502"/>
        <v/>
      </c>
    </row>
    <row r="5640" spans="1:17" hidden="1">
      <c r="A5640" t="s">
        <v>5745</v>
      </c>
      <c r="B5640" s="1">
        <v>45673</v>
      </c>
      <c r="C5640">
        <v>2025</v>
      </c>
      <c r="D5640">
        <v>1</v>
      </c>
      <c r="E5640" t="s">
        <v>23</v>
      </c>
      <c r="F5640" t="s">
        <v>24</v>
      </c>
      <c r="G5640" t="s">
        <v>30</v>
      </c>
      <c r="H5640" t="s">
        <v>33</v>
      </c>
      <c r="I5640">
        <v>5054.8900000000003</v>
      </c>
      <c r="J5640">
        <v>5156.46</v>
      </c>
      <c r="K5640" t="s">
        <v>17</v>
      </c>
      <c r="L5640" t="b">
        <v>0</v>
      </c>
      <c r="N5640" s="2" t="str">
        <f t="shared" si="506"/>
        <v/>
      </c>
      <c r="Q5640" t="str">
        <f t="shared" si="502"/>
        <v/>
      </c>
    </row>
    <row r="5641" spans="1:17" hidden="1">
      <c r="A5641" t="s">
        <v>5746</v>
      </c>
      <c r="B5641" s="1">
        <v>45673</v>
      </c>
      <c r="C5641">
        <v>2025</v>
      </c>
      <c r="D5641">
        <v>1</v>
      </c>
      <c r="E5641" t="s">
        <v>37</v>
      </c>
      <c r="F5641" t="s">
        <v>24</v>
      </c>
      <c r="G5641" t="s">
        <v>38</v>
      </c>
      <c r="H5641" t="s">
        <v>39</v>
      </c>
      <c r="I5641">
        <v>6352.32</v>
      </c>
      <c r="J5641">
        <v>5920.53</v>
      </c>
      <c r="K5641" t="s">
        <v>17</v>
      </c>
      <c r="L5641" t="b">
        <v>0</v>
      </c>
      <c r="N5641" s="2" t="str">
        <f t="shared" si="506"/>
        <v/>
      </c>
      <c r="Q5641" t="str">
        <f t="shared" si="502"/>
        <v/>
      </c>
    </row>
    <row r="5642" spans="1:17" hidden="1">
      <c r="A5642" t="s">
        <v>5747</v>
      </c>
      <c r="B5642" s="1">
        <v>45674</v>
      </c>
      <c r="C5642">
        <v>2025</v>
      </c>
      <c r="D5642">
        <v>1</v>
      </c>
      <c r="E5642" t="s">
        <v>37</v>
      </c>
      <c r="F5642" t="s">
        <v>28</v>
      </c>
      <c r="G5642" t="s">
        <v>62</v>
      </c>
      <c r="H5642" t="s">
        <v>121</v>
      </c>
      <c r="I5642">
        <v>6987.88</v>
      </c>
      <c r="J5642">
        <v>6943.61</v>
      </c>
      <c r="K5642" t="s">
        <v>17</v>
      </c>
      <c r="L5642" t="b">
        <v>0</v>
      </c>
      <c r="N5642" s="2" t="str">
        <f t="shared" si="506"/>
        <v/>
      </c>
      <c r="Q5642" t="str">
        <f t="shared" si="502"/>
        <v/>
      </c>
    </row>
    <row r="5643" spans="1:17" hidden="1">
      <c r="A5643" t="s">
        <v>5748</v>
      </c>
      <c r="B5643" s="1">
        <v>45675</v>
      </c>
      <c r="C5643">
        <v>2025</v>
      </c>
      <c r="D5643">
        <v>1</v>
      </c>
      <c r="E5643" t="s">
        <v>13</v>
      </c>
      <c r="F5643" t="s">
        <v>24</v>
      </c>
      <c r="G5643" t="s">
        <v>102</v>
      </c>
      <c r="H5643" t="s">
        <v>145</v>
      </c>
      <c r="I5643">
        <v>3503.08</v>
      </c>
      <c r="J5643">
        <v>3604.97</v>
      </c>
      <c r="K5643" t="s">
        <v>17</v>
      </c>
      <c r="L5643" t="b">
        <v>0</v>
      </c>
      <c r="N5643" s="2" t="str">
        <f t="shared" si="506"/>
        <v/>
      </c>
      <c r="Q5643" t="str">
        <f t="shared" si="502"/>
        <v/>
      </c>
    </row>
    <row r="5644" spans="1:17" hidden="1">
      <c r="A5644" t="s">
        <v>5749</v>
      </c>
      <c r="B5644" s="1">
        <v>45675</v>
      </c>
      <c r="C5644">
        <v>2025</v>
      </c>
      <c r="D5644">
        <v>1</v>
      </c>
      <c r="E5644" t="s">
        <v>13</v>
      </c>
      <c r="F5644" t="s">
        <v>24</v>
      </c>
      <c r="G5644" t="s">
        <v>68</v>
      </c>
      <c r="H5644" t="s">
        <v>87</v>
      </c>
      <c r="I5644">
        <v>3546.92</v>
      </c>
      <c r="J5644">
        <v>3808.58</v>
      </c>
      <c r="K5644" t="s">
        <v>17</v>
      </c>
      <c r="L5644" t="b">
        <v>0</v>
      </c>
      <c r="N5644" s="2" t="str">
        <f t="shared" si="506"/>
        <v/>
      </c>
      <c r="Q5644" t="str">
        <f t="shared" si="502"/>
        <v/>
      </c>
    </row>
    <row r="5645" spans="1:17" hidden="1">
      <c r="A5645" t="s">
        <v>5750</v>
      </c>
      <c r="B5645" s="1">
        <v>45675</v>
      </c>
      <c r="C5645">
        <v>2025</v>
      </c>
      <c r="D5645">
        <v>1</v>
      </c>
      <c r="E5645" t="s">
        <v>13</v>
      </c>
      <c r="F5645" t="s">
        <v>24</v>
      </c>
      <c r="G5645" t="s">
        <v>102</v>
      </c>
      <c r="H5645" t="s">
        <v>278</v>
      </c>
      <c r="I5645">
        <v>3000</v>
      </c>
      <c r="J5645">
        <v>2983.06</v>
      </c>
      <c r="K5645" t="s">
        <v>17</v>
      </c>
      <c r="L5645" t="b">
        <v>0</v>
      </c>
      <c r="N5645" s="2" t="str">
        <f t="shared" si="506"/>
        <v/>
      </c>
      <c r="Q5645" t="str">
        <f t="shared" si="502"/>
        <v/>
      </c>
    </row>
    <row r="5646" spans="1:17" hidden="1">
      <c r="A5646" t="s">
        <v>5751</v>
      </c>
      <c r="B5646" s="1">
        <v>45675</v>
      </c>
      <c r="C5646">
        <v>2025</v>
      </c>
      <c r="D5646">
        <v>1</v>
      </c>
      <c r="E5646" t="s">
        <v>47</v>
      </c>
      <c r="F5646" t="s">
        <v>14</v>
      </c>
      <c r="G5646" t="s">
        <v>77</v>
      </c>
      <c r="H5646" t="s">
        <v>130</v>
      </c>
      <c r="I5646">
        <v>13300.03</v>
      </c>
      <c r="J5646">
        <v>11202.25</v>
      </c>
      <c r="K5646" t="s">
        <v>17</v>
      </c>
      <c r="L5646" t="b">
        <v>0</v>
      </c>
      <c r="N5646" s="2" t="b">
        <f t="shared" si="506"/>
        <v>1</v>
      </c>
      <c r="O5646" t="str">
        <f>IF(AND(E5635="HR",K5635="EXPENSE"),I5635&lt;J5635,"")</f>
        <v/>
      </c>
      <c r="Q5646" t="str">
        <f t="shared" si="502"/>
        <v/>
      </c>
    </row>
    <row r="5647" spans="1:17" hidden="1">
      <c r="A5647" t="s">
        <v>5752</v>
      </c>
      <c r="B5647" s="1">
        <v>45675</v>
      </c>
      <c r="C5647">
        <v>2025</v>
      </c>
      <c r="D5647">
        <v>1</v>
      </c>
      <c r="E5647" t="s">
        <v>23</v>
      </c>
      <c r="F5647" t="s">
        <v>14</v>
      </c>
      <c r="G5647" t="s">
        <v>25</v>
      </c>
      <c r="H5647" t="s">
        <v>35</v>
      </c>
      <c r="I5647">
        <v>8010.13</v>
      </c>
      <c r="J5647">
        <v>7400.01</v>
      </c>
      <c r="K5647" t="s">
        <v>17</v>
      </c>
      <c r="L5647" t="b">
        <v>0</v>
      </c>
      <c r="N5647" s="2" t="str">
        <f t="shared" si="506"/>
        <v/>
      </c>
      <c r="Q5647" t="str">
        <f t="shared" si="502"/>
        <v/>
      </c>
    </row>
    <row r="5648" spans="1:17" hidden="1">
      <c r="A5648" t="s">
        <v>5753</v>
      </c>
      <c r="B5648" s="1">
        <v>45675</v>
      </c>
      <c r="C5648">
        <v>2025</v>
      </c>
      <c r="D5648">
        <v>1</v>
      </c>
      <c r="E5648" t="s">
        <v>23</v>
      </c>
      <c r="F5648" t="s">
        <v>14</v>
      </c>
      <c r="G5648" t="s">
        <v>59</v>
      </c>
      <c r="H5648" t="s">
        <v>60</v>
      </c>
      <c r="I5648">
        <v>2298.88</v>
      </c>
      <c r="J5648">
        <v>2341.5700000000002</v>
      </c>
      <c r="K5648" t="s">
        <v>17</v>
      </c>
      <c r="L5648" t="b">
        <v>0</v>
      </c>
      <c r="N5648" s="2" t="str">
        <f t="shared" si="506"/>
        <v/>
      </c>
      <c r="Q5648" t="str">
        <f t="shared" si="502"/>
        <v/>
      </c>
    </row>
    <row r="5649" spans="1:17" hidden="1">
      <c r="A5649" t="s">
        <v>5754</v>
      </c>
      <c r="B5649" s="1">
        <v>45675</v>
      </c>
      <c r="C5649">
        <v>2025</v>
      </c>
      <c r="D5649">
        <v>1</v>
      </c>
      <c r="E5649" t="s">
        <v>37</v>
      </c>
      <c r="F5649" t="s">
        <v>14</v>
      </c>
      <c r="G5649" t="s">
        <v>41</v>
      </c>
      <c r="H5649" t="s">
        <v>42</v>
      </c>
      <c r="I5649">
        <v>2736.28</v>
      </c>
      <c r="J5649">
        <v>2740.49</v>
      </c>
      <c r="K5649" t="s">
        <v>17</v>
      </c>
      <c r="L5649" t="b">
        <v>0</v>
      </c>
      <c r="N5649" s="2" t="str">
        <f t="shared" si="506"/>
        <v/>
      </c>
      <c r="Q5649" t="str">
        <f t="shared" si="502"/>
        <v/>
      </c>
    </row>
    <row r="5650" spans="1:17" hidden="1">
      <c r="A5650" t="s">
        <v>5755</v>
      </c>
      <c r="B5650" s="1">
        <v>45675</v>
      </c>
      <c r="C5650">
        <v>2025</v>
      </c>
      <c r="D5650">
        <v>1</v>
      </c>
      <c r="E5650" t="s">
        <v>37</v>
      </c>
      <c r="F5650" t="s">
        <v>28</v>
      </c>
      <c r="G5650" t="s">
        <v>38</v>
      </c>
      <c r="H5650" t="s">
        <v>118</v>
      </c>
      <c r="I5650">
        <v>5061.92</v>
      </c>
      <c r="J5650">
        <v>5138.33</v>
      </c>
      <c r="K5650" t="s">
        <v>17</v>
      </c>
      <c r="L5650" t="b">
        <v>0</v>
      </c>
      <c r="N5650" s="2" t="str">
        <f t="shared" si="506"/>
        <v/>
      </c>
      <c r="Q5650" t="str">
        <f t="shared" si="502"/>
        <v/>
      </c>
    </row>
    <row r="5651" spans="1:17" hidden="1">
      <c r="A5651" t="s">
        <v>5756</v>
      </c>
      <c r="B5651" s="1">
        <v>45675</v>
      </c>
      <c r="C5651">
        <v>2025</v>
      </c>
      <c r="D5651">
        <v>1</v>
      </c>
      <c r="E5651" t="s">
        <v>37</v>
      </c>
      <c r="F5651" t="s">
        <v>24</v>
      </c>
      <c r="G5651" t="s">
        <v>41</v>
      </c>
      <c r="H5651" t="s">
        <v>42</v>
      </c>
      <c r="I5651">
        <v>5895.82</v>
      </c>
      <c r="J5651">
        <v>5396.92</v>
      </c>
      <c r="K5651" t="s">
        <v>17</v>
      </c>
      <c r="L5651" t="b">
        <v>0</v>
      </c>
      <c r="N5651" s="2" t="str">
        <f t="shared" si="506"/>
        <v/>
      </c>
      <c r="Q5651" t="str">
        <f t="shared" si="502"/>
        <v/>
      </c>
    </row>
    <row r="5652" spans="1:17" hidden="1">
      <c r="A5652" t="s">
        <v>5757</v>
      </c>
      <c r="B5652" s="1">
        <v>45676</v>
      </c>
      <c r="C5652">
        <v>2025</v>
      </c>
      <c r="D5652">
        <v>1</v>
      </c>
      <c r="E5652" t="s">
        <v>13</v>
      </c>
      <c r="F5652" t="s">
        <v>14</v>
      </c>
      <c r="G5652" t="s">
        <v>102</v>
      </c>
      <c r="H5652" t="s">
        <v>278</v>
      </c>
      <c r="I5652">
        <v>4179.46</v>
      </c>
      <c r="J5652">
        <v>4543.74</v>
      </c>
      <c r="K5652" t="s">
        <v>17</v>
      </c>
      <c r="L5652" t="b">
        <v>0</v>
      </c>
      <c r="N5652" s="2" t="str">
        <f t="shared" si="506"/>
        <v/>
      </c>
      <c r="Q5652" t="str">
        <f t="shared" si="502"/>
        <v/>
      </c>
    </row>
    <row r="5653" spans="1:17" hidden="1">
      <c r="A5653" t="s">
        <v>5758</v>
      </c>
      <c r="B5653" s="1">
        <v>45676</v>
      </c>
      <c r="C5653">
        <v>2025</v>
      </c>
      <c r="D5653">
        <v>1</v>
      </c>
      <c r="E5653" t="s">
        <v>13</v>
      </c>
      <c r="F5653" t="s">
        <v>28</v>
      </c>
      <c r="G5653" t="s">
        <v>15</v>
      </c>
      <c r="H5653" t="s">
        <v>89</v>
      </c>
      <c r="I5653">
        <v>2698.53</v>
      </c>
      <c r="J5653">
        <v>2789.07</v>
      </c>
      <c r="K5653" t="s">
        <v>17</v>
      </c>
      <c r="L5653" t="b">
        <v>0</v>
      </c>
      <c r="N5653" s="2" t="str">
        <f t="shared" si="506"/>
        <v/>
      </c>
      <c r="Q5653" t="str">
        <f t="shared" si="502"/>
        <v/>
      </c>
    </row>
    <row r="5654" spans="1:17" hidden="1">
      <c r="A5654" t="s">
        <v>5759</v>
      </c>
      <c r="B5654" s="1">
        <v>45676</v>
      </c>
      <c r="C5654">
        <v>2025</v>
      </c>
      <c r="D5654">
        <v>1</v>
      </c>
      <c r="E5654" t="s">
        <v>47</v>
      </c>
      <c r="F5654" t="s">
        <v>14</v>
      </c>
      <c r="G5654" t="s">
        <v>48</v>
      </c>
      <c r="H5654" t="s">
        <v>191</v>
      </c>
      <c r="I5654">
        <v>11754.74</v>
      </c>
      <c r="J5654">
        <v>9827.0300000000007</v>
      </c>
      <c r="K5654" t="s">
        <v>17</v>
      </c>
      <c r="L5654" t="b">
        <v>0</v>
      </c>
      <c r="N5654" s="2" t="b">
        <f t="shared" si="506"/>
        <v>1</v>
      </c>
      <c r="O5654" t="b">
        <f t="shared" ref="O5654:O5659" si="507">IF(AND(E5643="HR",K5643="EXPENSE"),I5643&lt;J5643,"")</f>
        <v>1</v>
      </c>
      <c r="Q5654" t="str">
        <f t="shared" si="502"/>
        <v/>
      </c>
    </row>
    <row r="5655" spans="1:17" hidden="1">
      <c r="A5655" t="s">
        <v>5760</v>
      </c>
      <c r="B5655" s="1">
        <v>45676</v>
      </c>
      <c r="C5655">
        <v>2025</v>
      </c>
      <c r="D5655">
        <v>1</v>
      </c>
      <c r="E5655" t="s">
        <v>47</v>
      </c>
      <c r="F5655" t="s">
        <v>14</v>
      </c>
      <c r="G5655" t="s">
        <v>91</v>
      </c>
      <c r="H5655" t="s">
        <v>249</v>
      </c>
      <c r="I5655">
        <v>4051.88</v>
      </c>
      <c r="J5655">
        <v>3375.15</v>
      </c>
      <c r="K5655" t="s">
        <v>17</v>
      </c>
      <c r="L5655" t="b">
        <v>0</v>
      </c>
      <c r="N5655" s="2" t="b">
        <f t="shared" si="506"/>
        <v>1</v>
      </c>
      <c r="O5655" t="b">
        <f t="shared" si="507"/>
        <v>1</v>
      </c>
      <c r="Q5655" t="str">
        <f t="shared" si="502"/>
        <v/>
      </c>
    </row>
    <row r="5656" spans="1:17" hidden="1">
      <c r="A5656" t="s">
        <v>5761</v>
      </c>
      <c r="B5656" s="1">
        <v>45676</v>
      </c>
      <c r="C5656">
        <v>2025</v>
      </c>
      <c r="D5656">
        <v>1</v>
      </c>
      <c r="E5656" t="s">
        <v>47</v>
      </c>
      <c r="F5656" t="s">
        <v>14</v>
      </c>
      <c r="G5656" t="s">
        <v>51</v>
      </c>
      <c r="H5656" t="s">
        <v>189</v>
      </c>
      <c r="I5656">
        <v>10514.83</v>
      </c>
      <c r="J5656">
        <v>8625.8700000000008</v>
      </c>
      <c r="K5656" t="s">
        <v>17</v>
      </c>
      <c r="L5656" t="b">
        <v>0</v>
      </c>
      <c r="N5656" s="2" t="b">
        <f t="shared" si="506"/>
        <v>1</v>
      </c>
      <c r="O5656" t="b">
        <f t="shared" si="507"/>
        <v>0</v>
      </c>
      <c r="Q5656" t="str">
        <f t="shared" si="502"/>
        <v/>
      </c>
    </row>
    <row r="5657" spans="1:17" hidden="1">
      <c r="A5657" t="s">
        <v>5762</v>
      </c>
      <c r="B5657" s="1">
        <v>45676</v>
      </c>
      <c r="C5657">
        <v>2025</v>
      </c>
      <c r="D5657">
        <v>1</v>
      </c>
      <c r="E5657" t="s">
        <v>47</v>
      </c>
      <c r="F5657" t="s">
        <v>28</v>
      </c>
      <c r="G5657" t="s">
        <v>51</v>
      </c>
      <c r="H5657" t="s">
        <v>189</v>
      </c>
      <c r="I5657">
        <v>13927.31</v>
      </c>
      <c r="J5657">
        <v>11927.73</v>
      </c>
      <c r="K5657" t="s">
        <v>17</v>
      </c>
      <c r="L5657" t="b">
        <v>0</v>
      </c>
      <c r="N5657" s="2" t="b">
        <f t="shared" si="506"/>
        <v>1</v>
      </c>
      <c r="O5657" t="str">
        <f t="shared" si="507"/>
        <v/>
      </c>
      <c r="Q5657" t="str">
        <f t="shared" si="502"/>
        <v/>
      </c>
    </row>
    <row r="5658" spans="1:17" hidden="1">
      <c r="A5658" t="s">
        <v>5763</v>
      </c>
      <c r="B5658" s="1">
        <v>45676</v>
      </c>
      <c r="C5658">
        <v>2025</v>
      </c>
      <c r="D5658">
        <v>1</v>
      </c>
      <c r="E5658" t="s">
        <v>47</v>
      </c>
      <c r="F5658" t="s">
        <v>24</v>
      </c>
      <c r="G5658" t="s">
        <v>91</v>
      </c>
      <c r="H5658" t="s">
        <v>92</v>
      </c>
      <c r="I5658">
        <v>16226.33</v>
      </c>
      <c r="J5658">
        <v>13946.24</v>
      </c>
      <c r="K5658" t="s">
        <v>17</v>
      </c>
      <c r="L5658" t="b">
        <v>0</v>
      </c>
      <c r="N5658" s="2" t="b">
        <f t="shared" si="506"/>
        <v>1</v>
      </c>
      <c r="O5658" t="str">
        <f t="shared" si="507"/>
        <v/>
      </c>
      <c r="Q5658" t="str">
        <f t="shared" si="502"/>
        <v/>
      </c>
    </row>
    <row r="5659" spans="1:17" hidden="1">
      <c r="A5659" t="s">
        <v>5764</v>
      </c>
      <c r="B5659" s="1">
        <v>45676</v>
      </c>
      <c r="C5659">
        <v>2025</v>
      </c>
      <c r="D5659">
        <v>1</v>
      </c>
      <c r="E5659" t="s">
        <v>47</v>
      </c>
      <c r="F5659" t="s">
        <v>24</v>
      </c>
      <c r="G5659" t="s">
        <v>51</v>
      </c>
      <c r="H5659" t="s">
        <v>72</v>
      </c>
      <c r="I5659">
        <v>12107.57</v>
      </c>
      <c r="J5659">
        <v>10192.719999999999</v>
      </c>
      <c r="K5659" t="s">
        <v>17</v>
      </c>
      <c r="L5659" t="b">
        <v>0</v>
      </c>
      <c r="N5659" s="2" t="b">
        <f t="shared" si="506"/>
        <v>1</v>
      </c>
      <c r="O5659" t="str">
        <f t="shared" si="507"/>
        <v/>
      </c>
      <c r="Q5659" t="str">
        <f t="shared" si="502"/>
        <v/>
      </c>
    </row>
    <row r="5660" spans="1:17" hidden="1">
      <c r="A5660" t="s">
        <v>5765</v>
      </c>
      <c r="B5660" s="1">
        <v>45676</v>
      </c>
      <c r="C5660">
        <v>2025</v>
      </c>
      <c r="D5660">
        <v>1</v>
      </c>
      <c r="E5660" t="s">
        <v>23</v>
      </c>
      <c r="F5660" t="s">
        <v>14</v>
      </c>
      <c r="G5660" t="s">
        <v>30</v>
      </c>
      <c r="H5660" t="s">
        <v>33</v>
      </c>
      <c r="I5660">
        <v>6034.01</v>
      </c>
      <c r="J5660">
        <v>6238.56</v>
      </c>
      <c r="K5660" t="s">
        <v>17</v>
      </c>
      <c r="L5660" t="b">
        <v>0</v>
      </c>
      <c r="N5660" s="2" t="str">
        <f t="shared" si="506"/>
        <v/>
      </c>
      <c r="Q5660" t="str">
        <f t="shared" si="502"/>
        <v/>
      </c>
    </row>
    <row r="5661" spans="1:17" hidden="1">
      <c r="A5661" t="s">
        <v>5766</v>
      </c>
      <c r="B5661" s="1">
        <v>45676</v>
      </c>
      <c r="C5661">
        <v>2025</v>
      </c>
      <c r="D5661">
        <v>1</v>
      </c>
      <c r="E5661" t="s">
        <v>23</v>
      </c>
      <c r="F5661" t="s">
        <v>28</v>
      </c>
      <c r="G5661" t="s">
        <v>30</v>
      </c>
      <c r="H5661" t="s">
        <v>106</v>
      </c>
      <c r="I5661">
        <v>5656.92</v>
      </c>
      <c r="J5661">
        <v>5895.27</v>
      </c>
      <c r="K5661" t="s">
        <v>17</v>
      </c>
      <c r="L5661" t="b">
        <v>0</v>
      </c>
      <c r="N5661" s="2" t="str">
        <f t="shared" si="506"/>
        <v/>
      </c>
      <c r="Q5661" t="str">
        <f t="shared" si="502"/>
        <v/>
      </c>
    </row>
    <row r="5662" spans="1:17" hidden="1">
      <c r="A5662" t="s">
        <v>5767</v>
      </c>
      <c r="B5662" s="1">
        <v>45677</v>
      </c>
      <c r="C5662">
        <v>2025</v>
      </c>
      <c r="D5662">
        <v>1</v>
      </c>
      <c r="E5662" t="s">
        <v>13</v>
      </c>
      <c r="F5662" t="s">
        <v>14</v>
      </c>
      <c r="G5662" t="s">
        <v>15</v>
      </c>
      <c r="H5662" t="s">
        <v>89</v>
      </c>
      <c r="I5662">
        <v>2612.21</v>
      </c>
      <c r="J5662">
        <v>2368.0500000000002</v>
      </c>
      <c r="K5662" t="s">
        <v>17</v>
      </c>
      <c r="L5662" t="b">
        <v>0</v>
      </c>
      <c r="N5662" s="2" t="str">
        <f t="shared" si="506"/>
        <v/>
      </c>
      <c r="Q5662" t="str">
        <f t="shared" si="502"/>
        <v/>
      </c>
    </row>
    <row r="5663" spans="1:17" hidden="1">
      <c r="A5663" t="s">
        <v>5768</v>
      </c>
      <c r="B5663" s="1">
        <v>45677</v>
      </c>
      <c r="C5663">
        <v>2025</v>
      </c>
      <c r="D5663">
        <v>1</v>
      </c>
      <c r="E5663" t="s">
        <v>13</v>
      </c>
      <c r="F5663" t="s">
        <v>24</v>
      </c>
      <c r="G5663" t="s">
        <v>102</v>
      </c>
      <c r="H5663" t="s">
        <v>103</v>
      </c>
      <c r="I5663">
        <v>2135.67</v>
      </c>
      <c r="J5663">
        <v>1929.31</v>
      </c>
      <c r="K5663" t="s">
        <v>17</v>
      </c>
      <c r="L5663" t="b">
        <v>0</v>
      </c>
      <c r="N5663" s="2" t="str">
        <f t="shared" si="506"/>
        <v/>
      </c>
      <c r="Q5663" t="str">
        <f t="shared" si="502"/>
        <v/>
      </c>
    </row>
    <row r="5664" spans="1:17" hidden="1">
      <c r="A5664" t="s">
        <v>5769</v>
      </c>
      <c r="B5664" s="1">
        <v>45677</v>
      </c>
      <c r="C5664">
        <v>2025</v>
      </c>
      <c r="D5664">
        <v>1</v>
      </c>
      <c r="E5664" t="s">
        <v>47</v>
      </c>
      <c r="F5664" t="s">
        <v>28</v>
      </c>
      <c r="G5664" t="s">
        <v>91</v>
      </c>
      <c r="H5664" t="s">
        <v>254</v>
      </c>
      <c r="I5664">
        <v>7930.52</v>
      </c>
      <c r="J5664">
        <v>6743.77</v>
      </c>
      <c r="K5664" t="s">
        <v>17</v>
      </c>
      <c r="L5664" t="b">
        <v>0</v>
      </c>
      <c r="N5664" s="2" t="b">
        <f t="shared" si="506"/>
        <v>1</v>
      </c>
      <c r="O5664" t="b">
        <f t="shared" ref="O5664:O5665" si="508">IF(AND(E5653="HR",K5653="EXPENSE"),I5653&lt;J5653,"")</f>
        <v>1</v>
      </c>
      <c r="Q5664" t="str">
        <f t="shared" si="502"/>
        <v/>
      </c>
    </row>
    <row r="5665" spans="1:17" hidden="1">
      <c r="A5665" t="s">
        <v>5770</v>
      </c>
      <c r="B5665" s="1">
        <v>45677</v>
      </c>
      <c r="C5665">
        <v>2025</v>
      </c>
      <c r="D5665">
        <v>1</v>
      </c>
      <c r="E5665" t="s">
        <v>47</v>
      </c>
      <c r="F5665" t="s">
        <v>24</v>
      </c>
      <c r="G5665" t="s">
        <v>91</v>
      </c>
      <c r="H5665" t="s">
        <v>254</v>
      </c>
      <c r="I5665">
        <v>18137.919999999998</v>
      </c>
      <c r="J5665">
        <v>15633.28</v>
      </c>
      <c r="K5665" t="s">
        <v>17</v>
      </c>
      <c r="L5665" t="b">
        <v>0</v>
      </c>
      <c r="N5665" s="2" t="b">
        <f t="shared" si="506"/>
        <v>1</v>
      </c>
      <c r="O5665" t="str">
        <f t="shared" si="508"/>
        <v/>
      </c>
      <c r="Q5665" t="str">
        <f t="shared" si="502"/>
        <v/>
      </c>
    </row>
    <row r="5666" spans="1:17" hidden="1">
      <c r="A5666" t="s">
        <v>5771</v>
      </c>
      <c r="B5666" s="1">
        <v>45677</v>
      </c>
      <c r="C5666">
        <v>2025</v>
      </c>
      <c r="D5666">
        <v>1</v>
      </c>
      <c r="E5666" t="s">
        <v>19</v>
      </c>
      <c r="F5666" t="s">
        <v>28</v>
      </c>
      <c r="G5666" t="s">
        <v>80</v>
      </c>
      <c r="H5666" t="s">
        <v>150</v>
      </c>
      <c r="I5666">
        <v>7004.17</v>
      </c>
      <c r="J5666">
        <v>6798.46</v>
      </c>
      <c r="K5666" t="s">
        <v>17</v>
      </c>
      <c r="L5666" t="b">
        <v>0</v>
      </c>
      <c r="N5666" s="2" t="str">
        <f t="shared" si="506"/>
        <v/>
      </c>
      <c r="Q5666" t="str">
        <f t="shared" si="502"/>
        <v/>
      </c>
    </row>
    <row r="5667" spans="1:17" hidden="1">
      <c r="A5667" t="s">
        <v>5772</v>
      </c>
      <c r="B5667" s="1">
        <v>45677</v>
      </c>
      <c r="C5667">
        <v>2025</v>
      </c>
      <c r="D5667">
        <v>1</v>
      </c>
      <c r="E5667" t="s">
        <v>19</v>
      </c>
      <c r="F5667" t="s">
        <v>28</v>
      </c>
      <c r="G5667" t="s">
        <v>20</v>
      </c>
      <c r="H5667" t="s">
        <v>136</v>
      </c>
      <c r="I5667">
        <v>7565.37</v>
      </c>
      <c r="J5667">
        <v>8073.47</v>
      </c>
      <c r="K5667" t="s">
        <v>17</v>
      </c>
      <c r="L5667" t="b">
        <v>0</v>
      </c>
      <c r="N5667" s="2" t="str">
        <f t="shared" si="506"/>
        <v/>
      </c>
      <c r="Q5667" t="str">
        <f t="shared" si="502"/>
        <v/>
      </c>
    </row>
    <row r="5668" spans="1:17" hidden="1">
      <c r="A5668" t="s">
        <v>5773</v>
      </c>
      <c r="B5668" s="1">
        <v>45677</v>
      </c>
      <c r="C5668">
        <v>2025</v>
      </c>
      <c r="D5668">
        <v>1</v>
      </c>
      <c r="E5668" t="s">
        <v>19</v>
      </c>
      <c r="F5668" t="s">
        <v>24</v>
      </c>
      <c r="G5668" t="s">
        <v>20</v>
      </c>
      <c r="H5668" t="s">
        <v>21</v>
      </c>
      <c r="I5668">
        <v>5078.1099999999997</v>
      </c>
      <c r="J5668">
        <v>4784.28</v>
      </c>
      <c r="K5668" t="s">
        <v>17</v>
      </c>
      <c r="L5668" t="b">
        <v>0</v>
      </c>
      <c r="N5668" s="2" t="str">
        <f t="shared" si="506"/>
        <v/>
      </c>
      <c r="Q5668" t="str">
        <f t="shared" si="502"/>
        <v/>
      </c>
    </row>
    <row r="5669" spans="1:17" hidden="1">
      <c r="A5669" t="s">
        <v>5774</v>
      </c>
      <c r="B5669" s="1">
        <v>45677</v>
      </c>
      <c r="C5669">
        <v>2025</v>
      </c>
      <c r="D5669">
        <v>1</v>
      </c>
      <c r="E5669" t="s">
        <v>23</v>
      </c>
      <c r="F5669" t="s">
        <v>28</v>
      </c>
      <c r="G5669" t="s">
        <v>30</v>
      </c>
      <c r="H5669" t="s">
        <v>106</v>
      </c>
      <c r="I5669">
        <v>4047.06</v>
      </c>
      <c r="J5669">
        <v>4436.88</v>
      </c>
      <c r="K5669" t="s">
        <v>17</v>
      </c>
      <c r="L5669" t="b">
        <v>0</v>
      </c>
      <c r="N5669" s="2" t="str">
        <f t="shared" si="506"/>
        <v/>
      </c>
      <c r="Q5669" t="str">
        <f t="shared" si="502"/>
        <v/>
      </c>
    </row>
    <row r="5670" spans="1:17" hidden="1">
      <c r="A5670" t="s">
        <v>5775</v>
      </c>
      <c r="B5670" s="1">
        <v>45677</v>
      </c>
      <c r="C5670">
        <v>2025</v>
      </c>
      <c r="D5670">
        <v>1</v>
      </c>
      <c r="E5670" t="s">
        <v>23</v>
      </c>
      <c r="F5670" t="s">
        <v>24</v>
      </c>
      <c r="G5670" t="s">
        <v>59</v>
      </c>
      <c r="H5670" t="s">
        <v>155</v>
      </c>
      <c r="I5670">
        <v>1257.8699999999999</v>
      </c>
      <c r="J5670">
        <v>1172.07</v>
      </c>
      <c r="K5670" t="s">
        <v>17</v>
      </c>
      <c r="L5670" t="b">
        <v>0</v>
      </c>
      <c r="N5670" s="2" t="str">
        <f t="shared" si="506"/>
        <v/>
      </c>
      <c r="Q5670" t="str">
        <f t="shared" si="502"/>
        <v/>
      </c>
    </row>
    <row r="5671" spans="1:17" hidden="1">
      <c r="A5671" t="s">
        <v>5776</v>
      </c>
      <c r="B5671" s="1">
        <v>45677</v>
      </c>
      <c r="C5671">
        <v>2025</v>
      </c>
      <c r="D5671">
        <v>1</v>
      </c>
      <c r="E5671" t="s">
        <v>37</v>
      </c>
      <c r="F5671" t="s">
        <v>28</v>
      </c>
      <c r="G5671" t="s">
        <v>62</v>
      </c>
      <c r="H5671" t="s">
        <v>360</v>
      </c>
      <c r="I5671">
        <v>3164.1</v>
      </c>
      <c r="J5671">
        <v>3314.96</v>
      </c>
      <c r="K5671" t="s">
        <v>17</v>
      </c>
      <c r="L5671" t="b">
        <v>0</v>
      </c>
      <c r="N5671" s="2" t="str">
        <f t="shared" si="506"/>
        <v/>
      </c>
      <c r="Q5671" t="str">
        <f t="shared" si="502"/>
        <v/>
      </c>
    </row>
    <row r="5672" spans="1:17" hidden="1">
      <c r="A5672" t="s">
        <v>5777</v>
      </c>
      <c r="B5672" s="1">
        <v>45678</v>
      </c>
      <c r="C5672">
        <v>2025</v>
      </c>
      <c r="D5672">
        <v>1</v>
      </c>
      <c r="E5672" t="s">
        <v>13</v>
      </c>
      <c r="F5672" t="s">
        <v>14</v>
      </c>
      <c r="G5672" t="s">
        <v>68</v>
      </c>
      <c r="H5672" t="s">
        <v>69</v>
      </c>
      <c r="I5672">
        <v>2501.0100000000002</v>
      </c>
      <c r="J5672">
        <v>2531.66</v>
      </c>
      <c r="K5672" t="s">
        <v>17</v>
      </c>
      <c r="L5672" t="b">
        <v>0</v>
      </c>
      <c r="N5672" s="2" t="str">
        <f t="shared" si="506"/>
        <v/>
      </c>
      <c r="Q5672" t="str">
        <f t="shared" si="502"/>
        <v/>
      </c>
    </row>
    <row r="5673" spans="1:17" hidden="1">
      <c r="A5673" t="s">
        <v>5778</v>
      </c>
      <c r="B5673" s="1">
        <v>45678</v>
      </c>
      <c r="C5673">
        <v>2025</v>
      </c>
      <c r="D5673">
        <v>1</v>
      </c>
      <c r="E5673" t="s">
        <v>13</v>
      </c>
      <c r="F5673" t="s">
        <v>28</v>
      </c>
      <c r="G5673" t="s">
        <v>102</v>
      </c>
      <c r="H5673" t="s">
        <v>103</v>
      </c>
      <c r="I5673">
        <v>2485.38</v>
      </c>
      <c r="J5673">
        <v>2270.42</v>
      </c>
      <c r="K5673" t="s">
        <v>17</v>
      </c>
      <c r="L5673" t="b">
        <v>0</v>
      </c>
      <c r="N5673" s="2" t="str">
        <f t="shared" si="506"/>
        <v/>
      </c>
      <c r="Q5673" t="str">
        <f t="shared" si="502"/>
        <v/>
      </c>
    </row>
    <row r="5674" spans="1:17" hidden="1">
      <c r="A5674" t="s">
        <v>5779</v>
      </c>
      <c r="B5674" s="1">
        <v>45678</v>
      </c>
      <c r="C5674">
        <v>2025</v>
      </c>
      <c r="D5674">
        <v>1</v>
      </c>
      <c r="E5674" t="s">
        <v>47</v>
      </c>
      <c r="F5674" t="s">
        <v>24</v>
      </c>
      <c r="G5674" t="s">
        <v>48</v>
      </c>
      <c r="H5674" t="s">
        <v>191</v>
      </c>
      <c r="I5674">
        <v>18006.22</v>
      </c>
      <c r="J5674">
        <v>14894.5</v>
      </c>
      <c r="K5674" t="s">
        <v>17</v>
      </c>
      <c r="L5674" t="b">
        <v>0</v>
      </c>
      <c r="N5674" s="2" t="b">
        <f t="shared" si="506"/>
        <v>1</v>
      </c>
      <c r="O5674" t="b">
        <f t="shared" ref="O5674:O5675" si="509">IF(AND(E5663="HR",K5663="EXPENSE"),I5663&lt;J5663,"")</f>
        <v>0</v>
      </c>
      <c r="Q5674" t="str">
        <f t="shared" si="502"/>
        <v/>
      </c>
    </row>
    <row r="5675" spans="1:17" hidden="1">
      <c r="A5675" t="s">
        <v>5780</v>
      </c>
      <c r="B5675" s="1">
        <v>45678</v>
      </c>
      <c r="C5675">
        <v>2025</v>
      </c>
      <c r="D5675">
        <v>1</v>
      </c>
      <c r="E5675" t="s">
        <v>47</v>
      </c>
      <c r="F5675" t="s">
        <v>24</v>
      </c>
      <c r="G5675" t="s">
        <v>51</v>
      </c>
      <c r="H5675" t="s">
        <v>52</v>
      </c>
      <c r="I5675">
        <v>11967.6</v>
      </c>
      <c r="J5675">
        <v>10320.48</v>
      </c>
      <c r="K5675" t="s">
        <v>17</v>
      </c>
      <c r="L5675" t="b">
        <v>0</v>
      </c>
      <c r="N5675" s="2" t="b">
        <f t="shared" si="506"/>
        <v>1</v>
      </c>
      <c r="O5675" t="str">
        <f t="shared" si="509"/>
        <v/>
      </c>
      <c r="Q5675" t="str">
        <f t="shared" si="502"/>
        <v/>
      </c>
    </row>
    <row r="5676" spans="1:17" hidden="1">
      <c r="A5676" t="s">
        <v>5781</v>
      </c>
      <c r="B5676" s="1">
        <v>45678</v>
      </c>
      <c r="C5676">
        <v>2025</v>
      </c>
      <c r="D5676">
        <v>1</v>
      </c>
      <c r="E5676" t="s">
        <v>19</v>
      </c>
      <c r="F5676" t="s">
        <v>28</v>
      </c>
      <c r="G5676" t="s">
        <v>54</v>
      </c>
      <c r="H5676" t="s">
        <v>55</v>
      </c>
      <c r="I5676">
        <v>8246.76</v>
      </c>
      <c r="J5676">
        <v>8615.7999999999993</v>
      </c>
      <c r="K5676" t="s">
        <v>17</v>
      </c>
      <c r="L5676" t="b">
        <v>0</v>
      </c>
      <c r="N5676" s="2" t="str">
        <f t="shared" si="506"/>
        <v/>
      </c>
      <c r="Q5676" t="str">
        <f t="shared" si="502"/>
        <v/>
      </c>
    </row>
    <row r="5677" spans="1:17" hidden="1">
      <c r="A5677" t="s">
        <v>5782</v>
      </c>
      <c r="B5677" s="1">
        <v>45678</v>
      </c>
      <c r="C5677">
        <v>2025</v>
      </c>
      <c r="D5677">
        <v>1</v>
      </c>
      <c r="E5677" t="s">
        <v>19</v>
      </c>
      <c r="F5677" t="s">
        <v>24</v>
      </c>
      <c r="G5677" t="s">
        <v>80</v>
      </c>
      <c r="H5677" t="s">
        <v>81</v>
      </c>
      <c r="I5677">
        <v>8074.5</v>
      </c>
      <c r="J5677">
        <v>8002.81</v>
      </c>
      <c r="K5677" t="s">
        <v>17</v>
      </c>
      <c r="L5677" t="b">
        <v>0</v>
      </c>
      <c r="N5677" s="2" t="str">
        <f t="shared" si="506"/>
        <v/>
      </c>
      <c r="Q5677" t="str">
        <f t="shared" si="502"/>
        <v/>
      </c>
    </row>
    <row r="5678" spans="1:17" hidden="1">
      <c r="A5678" t="s">
        <v>5783</v>
      </c>
      <c r="B5678" s="1">
        <v>45678</v>
      </c>
      <c r="C5678">
        <v>2025</v>
      </c>
      <c r="D5678">
        <v>1</v>
      </c>
      <c r="E5678" t="s">
        <v>23</v>
      </c>
      <c r="F5678" t="s">
        <v>14</v>
      </c>
      <c r="G5678" t="s">
        <v>25</v>
      </c>
      <c r="H5678" t="s">
        <v>95</v>
      </c>
      <c r="I5678">
        <v>4396.55</v>
      </c>
      <c r="J5678">
        <v>4120.8</v>
      </c>
      <c r="K5678" t="s">
        <v>17</v>
      </c>
      <c r="L5678" t="b">
        <v>0</v>
      </c>
      <c r="N5678" s="2" t="str">
        <f t="shared" si="506"/>
        <v/>
      </c>
      <c r="Q5678" t="str">
        <f t="shared" si="502"/>
        <v/>
      </c>
    </row>
    <row r="5679" spans="1:17" hidden="1">
      <c r="A5679" t="s">
        <v>5784</v>
      </c>
      <c r="B5679" s="1">
        <v>45678</v>
      </c>
      <c r="C5679">
        <v>2025</v>
      </c>
      <c r="D5679">
        <v>1</v>
      </c>
      <c r="E5679" t="s">
        <v>23</v>
      </c>
      <c r="F5679" t="s">
        <v>28</v>
      </c>
      <c r="G5679" t="s">
        <v>141</v>
      </c>
      <c r="H5679" t="s">
        <v>153</v>
      </c>
      <c r="I5679">
        <v>4135.05</v>
      </c>
      <c r="J5679">
        <v>4461.21</v>
      </c>
      <c r="K5679" t="s">
        <v>17</v>
      </c>
      <c r="L5679" t="b">
        <v>0</v>
      </c>
      <c r="N5679" s="2" t="str">
        <f t="shared" si="506"/>
        <v/>
      </c>
      <c r="Q5679" t="str">
        <f t="shared" si="502"/>
        <v/>
      </c>
    </row>
    <row r="5680" spans="1:17" hidden="1">
      <c r="A5680" t="s">
        <v>5785</v>
      </c>
      <c r="B5680" s="1">
        <v>45678</v>
      </c>
      <c r="C5680">
        <v>2025</v>
      </c>
      <c r="D5680">
        <v>1</v>
      </c>
      <c r="E5680" t="s">
        <v>23</v>
      </c>
      <c r="F5680" t="s">
        <v>24</v>
      </c>
      <c r="G5680" t="s">
        <v>30</v>
      </c>
      <c r="H5680" t="s">
        <v>106</v>
      </c>
      <c r="I5680">
        <v>6930.12</v>
      </c>
      <c r="J5680">
        <v>7170.61</v>
      </c>
      <c r="K5680" t="s">
        <v>17</v>
      </c>
      <c r="L5680" t="b">
        <v>0</v>
      </c>
      <c r="N5680" s="2" t="str">
        <f t="shared" si="506"/>
        <v/>
      </c>
      <c r="Q5680" t="str">
        <f t="shared" ref="Q5680:Q5743" si="510">IF(L5680=TRUE,OR(H5680="Apex Solutions Inc",H5680="Global Trade Partners",H5680="NovaTech Services"),"")</f>
        <v/>
      </c>
    </row>
    <row r="5681" spans="1:17" hidden="1">
      <c r="A5681" t="s">
        <v>5786</v>
      </c>
      <c r="B5681" s="1">
        <v>45678</v>
      </c>
      <c r="C5681">
        <v>2025</v>
      </c>
      <c r="D5681">
        <v>1</v>
      </c>
      <c r="E5681" t="s">
        <v>37</v>
      </c>
      <c r="F5681" t="s">
        <v>14</v>
      </c>
      <c r="G5681" t="s">
        <v>62</v>
      </c>
      <c r="H5681" t="s">
        <v>360</v>
      </c>
      <c r="I5681">
        <v>3605.31</v>
      </c>
      <c r="J5681">
        <v>3339.85</v>
      </c>
      <c r="K5681" t="s">
        <v>17</v>
      </c>
      <c r="L5681" t="b">
        <v>0</v>
      </c>
      <c r="N5681" s="2" t="str">
        <f t="shared" si="506"/>
        <v/>
      </c>
      <c r="Q5681" t="str">
        <f t="shared" si="510"/>
        <v/>
      </c>
    </row>
    <row r="5682" spans="1:17" hidden="1">
      <c r="A5682" t="s">
        <v>5787</v>
      </c>
      <c r="B5682" s="1">
        <v>45678</v>
      </c>
      <c r="C5682">
        <v>2025</v>
      </c>
      <c r="D5682">
        <v>1</v>
      </c>
      <c r="E5682" t="s">
        <v>37</v>
      </c>
      <c r="F5682" t="s">
        <v>24</v>
      </c>
      <c r="G5682" t="s">
        <v>41</v>
      </c>
      <c r="H5682" t="s">
        <v>42</v>
      </c>
      <c r="I5682">
        <v>6008.86</v>
      </c>
      <c r="J5682">
        <v>5498.52</v>
      </c>
      <c r="K5682" t="s">
        <v>17</v>
      </c>
      <c r="L5682" t="b">
        <v>0</v>
      </c>
      <c r="N5682" s="2" t="str">
        <f t="shared" si="506"/>
        <v/>
      </c>
      <c r="Q5682" t="str">
        <f t="shared" si="510"/>
        <v/>
      </c>
    </row>
    <row r="5683" spans="1:17" hidden="1">
      <c r="A5683" t="s">
        <v>5788</v>
      </c>
      <c r="B5683" s="1">
        <v>45679</v>
      </c>
      <c r="C5683">
        <v>2025</v>
      </c>
      <c r="D5683">
        <v>1</v>
      </c>
      <c r="E5683" t="s">
        <v>13</v>
      </c>
      <c r="F5683" t="s">
        <v>28</v>
      </c>
      <c r="G5683" t="s">
        <v>68</v>
      </c>
      <c r="H5683" t="s">
        <v>69</v>
      </c>
      <c r="I5683">
        <v>2948.54</v>
      </c>
      <c r="J5683">
        <v>2985.49</v>
      </c>
      <c r="K5683" t="s">
        <v>17</v>
      </c>
      <c r="L5683" t="b">
        <v>0</v>
      </c>
      <c r="N5683" s="2" t="str">
        <f t="shared" si="506"/>
        <v/>
      </c>
      <c r="Q5683" t="str">
        <f t="shared" si="510"/>
        <v/>
      </c>
    </row>
    <row r="5684" spans="1:17" hidden="1">
      <c r="A5684" t="s">
        <v>5789</v>
      </c>
      <c r="B5684" s="1">
        <v>45679</v>
      </c>
      <c r="C5684">
        <v>2025</v>
      </c>
      <c r="D5684">
        <v>1</v>
      </c>
      <c r="E5684" t="s">
        <v>13</v>
      </c>
      <c r="F5684" t="s">
        <v>24</v>
      </c>
      <c r="G5684" t="s">
        <v>15</v>
      </c>
      <c r="H5684" t="s">
        <v>16</v>
      </c>
      <c r="I5684">
        <v>3186.53</v>
      </c>
      <c r="J5684">
        <v>3112.52</v>
      </c>
      <c r="K5684" t="s">
        <v>17</v>
      </c>
      <c r="L5684" t="b">
        <v>0</v>
      </c>
      <c r="N5684" s="2" t="str">
        <f t="shared" si="506"/>
        <v/>
      </c>
      <c r="Q5684" t="str">
        <f t="shared" si="510"/>
        <v/>
      </c>
    </row>
    <row r="5685" spans="1:17" hidden="1">
      <c r="A5685" t="s">
        <v>5790</v>
      </c>
      <c r="B5685" s="1">
        <v>45679</v>
      </c>
      <c r="C5685">
        <v>2025</v>
      </c>
      <c r="D5685">
        <v>1</v>
      </c>
      <c r="E5685" t="s">
        <v>47</v>
      </c>
      <c r="F5685" t="s">
        <v>14</v>
      </c>
      <c r="G5685" t="s">
        <v>77</v>
      </c>
      <c r="H5685" t="s">
        <v>147</v>
      </c>
      <c r="I5685">
        <v>7786.24</v>
      </c>
      <c r="J5685">
        <v>6470.98</v>
      </c>
      <c r="K5685" t="s">
        <v>17</v>
      </c>
      <c r="L5685" t="b">
        <v>0</v>
      </c>
      <c r="N5685" s="2" t="b">
        <f t="shared" si="506"/>
        <v>1</v>
      </c>
      <c r="O5685" t="str">
        <f t="shared" ref="O5685:O5686" si="511">IF(AND(E5674="HR",K5674="EXPENSE"),I5674&lt;J5674,"")</f>
        <v/>
      </c>
      <c r="Q5685" t="str">
        <f t="shared" si="510"/>
        <v/>
      </c>
    </row>
    <row r="5686" spans="1:17" hidden="1">
      <c r="A5686" t="s">
        <v>5791</v>
      </c>
      <c r="B5686" s="1">
        <v>45679</v>
      </c>
      <c r="C5686">
        <v>2025</v>
      </c>
      <c r="D5686">
        <v>1</v>
      </c>
      <c r="E5686" t="s">
        <v>47</v>
      </c>
      <c r="F5686" t="s">
        <v>28</v>
      </c>
      <c r="G5686" t="s">
        <v>51</v>
      </c>
      <c r="H5686" t="s">
        <v>52</v>
      </c>
      <c r="I5686">
        <v>10340.379999999999</v>
      </c>
      <c r="J5686">
        <v>8595.09</v>
      </c>
      <c r="K5686" t="s">
        <v>17</v>
      </c>
      <c r="L5686" t="b">
        <v>0</v>
      </c>
      <c r="N5686" s="2" t="b">
        <f t="shared" si="506"/>
        <v>1</v>
      </c>
      <c r="O5686" t="str">
        <f t="shared" si="511"/>
        <v/>
      </c>
      <c r="Q5686" t="str">
        <f t="shared" si="510"/>
        <v/>
      </c>
    </row>
    <row r="5687" spans="1:17" hidden="1">
      <c r="A5687" t="s">
        <v>5792</v>
      </c>
      <c r="B5687" s="1">
        <v>45679</v>
      </c>
      <c r="C5687">
        <v>2025</v>
      </c>
      <c r="D5687">
        <v>1</v>
      </c>
      <c r="E5687" t="s">
        <v>23</v>
      </c>
      <c r="F5687" t="s">
        <v>14</v>
      </c>
      <c r="G5687" t="s">
        <v>30</v>
      </c>
      <c r="H5687" t="s">
        <v>106</v>
      </c>
      <c r="I5687">
        <v>4014.83</v>
      </c>
      <c r="J5687">
        <v>4007.81</v>
      </c>
      <c r="K5687" t="s">
        <v>17</v>
      </c>
      <c r="L5687" t="b">
        <v>0</v>
      </c>
      <c r="N5687" s="2" t="str">
        <f t="shared" si="506"/>
        <v/>
      </c>
      <c r="Q5687" t="str">
        <f t="shared" si="510"/>
        <v/>
      </c>
    </row>
    <row r="5688" spans="1:17" hidden="1">
      <c r="A5688" t="s">
        <v>5793</v>
      </c>
      <c r="B5688" s="1">
        <v>45679</v>
      </c>
      <c r="C5688">
        <v>2025</v>
      </c>
      <c r="D5688">
        <v>1</v>
      </c>
      <c r="E5688" t="s">
        <v>37</v>
      </c>
      <c r="F5688" t="s">
        <v>24</v>
      </c>
      <c r="G5688" t="s">
        <v>38</v>
      </c>
      <c r="H5688" t="s">
        <v>227</v>
      </c>
      <c r="I5688">
        <v>6802.06</v>
      </c>
      <c r="J5688">
        <v>6756.67</v>
      </c>
      <c r="K5688" t="s">
        <v>17</v>
      </c>
      <c r="L5688" t="b">
        <v>0</v>
      </c>
      <c r="N5688" s="2" t="str">
        <f t="shared" si="506"/>
        <v/>
      </c>
      <c r="Q5688" t="str">
        <f t="shared" si="510"/>
        <v/>
      </c>
    </row>
    <row r="5689" spans="1:17" hidden="1">
      <c r="A5689" t="s">
        <v>5794</v>
      </c>
      <c r="B5689" s="1">
        <v>45680</v>
      </c>
      <c r="C5689">
        <v>2025</v>
      </c>
      <c r="D5689">
        <v>1</v>
      </c>
      <c r="E5689" t="s">
        <v>13</v>
      </c>
      <c r="F5689" t="s">
        <v>24</v>
      </c>
      <c r="G5689" t="s">
        <v>102</v>
      </c>
      <c r="H5689" t="s">
        <v>103</v>
      </c>
      <c r="I5689">
        <v>2193.81</v>
      </c>
      <c r="J5689">
        <v>2011.17</v>
      </c>
      <c r="K5689" t="s">
        <v>17</v>
      </c>
      <c r="L5689" t="b">
        <v>0</v>
      </c>
      <c r="N5689" s="2" t="str">
        <f t="shared" si="506"/>
        <v/>
      </c>
      <c r="Q5689" t="str">
        <f t="shared" si="510"/>
        <v/>
      </c>
    </row>
    <row r="5690" spans="1:17" hidden="1">
      <c r="A5690" t="s">
        <v>5795</v>
      </c>
      <c r="B5690" s="1">
        <v>45680</v>
      </c>
      <c r="C5690">
        <v>2025</v>
      </c>
      <c r="D5690">
        <v>1</v>
      </c>
      <c r="E5690" t="s">
        <v>47</v>
      </c>
      <c r="F5690" t="s">
        <v>14</v>
      </c>
      <c r="G5690" t="s">
        <v>51</v>
      </c>
      <c r="H5690" t="s">
        <v>189</v>
      </c>
      <c r="I5690">
        <v>14617.64</v>
      </c>
      <c r="J5690">
        <v>12603.06</v>
      </c>
      <c r="K5690" t="s">
        <v>17</v>
      </c>
      <c r="L5690" t="b">
        <v>0</v>
      </c>
      <c r="N5690" s="2" t="b">
        <f t="shared" si="506"/>
        <v>1</v>
      </c>
      <c r="O5690" t="str">
        <f>IF(AND(E5679="HR",K5679="EXPENSE"),I5679&lt;J5679,"")</f>
        <v/>
      </c>
      <c r="Q5690" t="str">
        <f t="shared" si="510"/>
        <v/>
      </c>
    </row>
    <row r="5691" spans="1:17" hidden="1">
      <c r="A5691" t="s">
        <v>5796</v>
      </c>
      <c r="B5691" s="1">
        <v>45680</v>
      </c>
      <c r="C5691">
        <v>2025</v>
      </c>
      <c r="D5691">
        <v>1</v>
      </c>
      <c r="E5691" t="s">
        <v>19</v>
      </c>
      <c r="F5691" t="s">
        <v>14</v>
      </c>
      <c r="G5691" t="s">
        <v>20</v>
      </c>
      <c r="H5691" t="s">
        <v>21</v>
      </c>
      <c r="I5691">
        <v>3594.73</v>
      </c>
      <c r="J5691">
        <v>3490.17</v>
      </c>
      <c r="K5691" t="s">
        <v>17</v>
      </c>
      <c r="L5691" t="b">
        <v>0</v>
      </c>
      <c r="N5691" s="2" t="str">
        <f t="shared" si="506"/>
        <v/>
      </c>
      <c r="Q5691" t="str">
        <f t="shared" si="510"/>
        <v/>
      </c>
    </row>
    <row r="5692" spans="1:17" hidden="1">
      <c r="A5692" t="s">
        <v>5797</v>
      </c>
      <c r="B5692" s="1">
        <v>45680</v>
      </c>
      <c r="C5692">
        <v>2025</v>
      </c>
      <c r="D5692">
        <v>1</v>
      </c>
      <c r="E5692" t="s">
        <v>19</v>
      </c>
      <c r="F5692" t="s">
        <v>28</v>
      </c>
      <c r="G5692" t="s">
        <v>80</v>
      </c>
      <c r="H5692" t="s">
        <v>113</v>
      </c>
      <c r="I5692">
        <v>6123.8</v>
      </c>
      <c r="J5692">
        <v>6169.37</v>
      </c>
      <c r="K5692" t="s">
        <v>17</v>
      </c>
      <c r="L5692" t="b">
        <v>0</v>
      </c>
      <c r="N5692" s="2" t="str">
        <f t="shared" si="506"/>
        <v/>
      </c>
      <c r="Q5692" t="str">
        <f t="shared" si="510"/>
        <v/>
      </c>
    </row>
    <row r="5693" spans="1:17" hidden="1">
      <c r="A5693" t="s">
        <v>5798</v>
      </c>
      <c r="B5693" s="1">
        <v>45680</v>
      </c>
      <c r="C5693">
        <v>2025</v>
      </c>
      <c r="D5693">
        <v>1</v>
      </c>
      <c r="E5693" t="s">
        <v>23</v>
      </c>
      <c r="F5693" t="s">
        <v>14</v>
      </c>
      <c r="G5693" t="s">
        <v>59</v>
      </c>
      <c r="H5693" t="s">
        <v>60</v>
      </c>
      <c r="I5693">
        <v>2911.79</v>
      </c>
      <c r="J5693">
        <v>2636.16</v>
      </c>
      <c r="K5693" t="s">
        <v>17</v>
      </c>
      <c r="L5693" t="b">
        <v>0</v>
      </c>
      <c r="N5693" s="2" t="str">
        <f t="shared" si="506"/>
        <v/>
      </c>
      <c r="Q5693" t="str">
        <f t="shared" si="510"/>
        <v/>
      </c>
    </row>
    <row r="5694" spans="1:17" hidden="1">
      <c r="A5694" t="s">
        <v>5799</v>
      </c>
      <c r="B5694" s="1">
        <v>45680</v>
      </c>
      <c r="C5694">
        <v>2025</v>
      </c>
      <c r="D5694">
        <v>1</v>
      </c>
      <c r="E5694" t="s">
        <v>23</v>
      </c>
      <c r="F5694" t="s">
        <v>24</v>
      </c>
      <c r="G5694" t="s">
        <v>25</v>
      </c>
      <c r="H5694" t="s">
        <v>26</v>
      </c>
      <c r="I5694">
        <v>5984.1</v>
      </c>
      <c r="J5694">
        <v>6527.9</v>
      </c>
      <c r="K5694" t="s">
        <v>17</v>
      </c>
      <c r="L5694" t="b">
        <v>0</v>
      </c>
      <c r="N5694" s="2" t="str">
        <f t="shared" si="506"/>
        <v/>
      </c>
      <c r="Q5694" t="str">
        <f t="shared" si="510"/>
        <v/>
      </c>
    </row>
    <row r="5695" spans="1:17" hidden="1">
      <c r="A5695" t="s">
        <v>5800</v>
      </c>
      <c r="B5695" s="1">
        <v>45680</v>
      </c>
      <c r="C5695">
        <v>2025</v>
      </c>
      <c r="D5695">
        <v>1</v>
      </c>
      <c r="E5695" t="s">
        <v>23</v>
      </c>
      <c r="F5695" t="s">
        <v>24</v>
      </c>
      <c r="G5695" t="s">
        <v>30</v>
      </c>
      <c r="H5695" t="s">
        <v>31</v>
      </c>
      <c r="I5695">
        <v>5097.3599999999997</v>
      </c>
      <c r="J5695">
        <v>4598.3900000000003</v>
      </c>
      <c r="K5695" t="s">
        <v>17</v>
      </c>
      <c r="L5695" t="b">
        <v>0</v>
      </c>
      <c r="N5695" s="2" t="str">
        <f t="shared" si="506"/>
        <v/>
      </c>
      <c r="Q5695" t="str">
        <f t="shared" si="510"/>
        <v/>
      </c>
    </row>
    <row r="5696" spans="1:17" hidden="1">
      <c r="A5696" t="s">
        <v>5801</v>
      </c>
      <c r="B5696" s="1">
        <v>45681</v>
      </c>
      <c r="C5696">
        <v>2025</v>
      </c>
      <c r="D5696">
        <v>1</v>
      </c>
      <c r="E5696" t="s">
        <v>13</v>
      </c>
      <c r="F5696" t="s">
        <v>14</v>
      </c>
      <c r="G5696" t="s">
        <v>15</v>
      </c>
      <c r="H5696" t="s">
        <v>16</v>
      </c>
      <c r="I5696">
        <v>3194.05</v>
      </c>
      <c r="J5696">
        <v>2920.41</v>
      </c>
      <c r="K5696" t="s">
        <v>17</v>
      </c>
      <c r="L5696" t="b">
        <v>0</v>
      </c>
      <c r="N5696" s="2" t="str">
        <f t="shared" si="506"/>
        <v/>
      </c>
      <c r="Q5696" t="str">
        <f t="shared" si="510"/>
        <v/>
      </c>
    </row>
    <row r="5697" spans="1:17" hidden="1">
      <c r="A5697" t="s">
        <v>5802</v>
      </c>
      <c r="B5697" s="1">
        <v>45681</v>
      </c>
      <c r="C5697">
        <v>2025</v>
      </c>
      <c r="D5697">
        <v>1</v>
      </c>
      <c r="E5697" t="s">
        <v>13</v>
      </c>
      <c r="F5697" t="s">
        <v>28</v>
      </c>
      <c r="G5697" t="s">
        <v>102</v>
      </c>
      <c r="H5697" t="s">
        <v>103</v>
      </c>
      <c r="I5697">
        <v>2457.14</v>
      </c>
      <c r="J5697">
        <v>2702.75</v>
      </c>
      <c r="K5697" t="s">
        <v>17</v>
      </c>
      <c r="L5697" t="b">
        <v>0</v>
      </c>
      <c r="N5697" s="2" t="str">
        <f t="shared" si="506"/>
        <v/>
      </c>
      <c r="Q5697" t="str">
        <f t="shared" si="510"/>
        <v/>
      </c>
    </row>
    <row r="5698" spans="1:17" hidden="1">
      <c r="A5698" t="s">
        <v>5803</v>
      </c>
      <c r="B5698" s="1">
        <v>45681</v>
      </c>
      <c r="C5698">
        <v>2025</v>
      </c>
      <c r="D5698">
        <v>1</v>
      </c>
      <c r="E5698" t="s">
        <v>13</v>
      </c>
      <c r="F5698" t="s">
        <v>24</v>
      </c>
      <c r="G5698" t="s">
        <v>15</v>
      </c>
      <c r="H5698" t="s">
        <v>16</v>
      </c>
      <c r="I5698">
        <v>3656.24</v>
      </c>
      <c r="J5698">
        <v>3406.59</v>
      </c>
      <c r="K5698" t="s">
        <v>17</v>
      </c>
      <c r="L5698" t="b">
        <v>0</v>
      </c>
      <c r="N5698" s="2" t="str">
        <f t="shared" si="506"/>
        <v/>
      </c>
      <c r="Q5698" t="str">
        <f t="shared" si="510"/>
        <v/>
      </c>
    </row>
    <row r="5699" spans="1:17" hidden="1">
      <c r="A5699" t="s">
        <v>5804</v>
      </c>
      <c r="B5699" s="1">
        <v>45681</v>
      </c>
      <c r="C5699">
        <v>2025</v>
      </c>
      <c r="D5699">
        <v>1</v>
      </c>
      <c r="E5699" t="s">
        <v>47</v>
      </c>
      <c r="F5699" t="s">
        <v>14</v>
      </c>
      <c r="G5699" t="s">
        <v>77</v>
      </c>
      <c r="H5699" t="s">
        <v>147</v>
      </c>
      <c r="I5699">
        <v>15278.04</v>
      </c>
      <c r="J5699">
        <v>13080.62</v>
      </c>
      <c r="K5699" t="s">
        <v>17</v>
      </c>
      <c r="L5699" t="b">
        <v>0</v>
      </c>
      <c r="N5699" s="2" t="b">
        <f t="shared" ref="N5699:N5762" si="512">IF(AND(E5699="IT",K5699="EXPENSE"),I5699&gt;J5699,"")</f>
        <v>1</v>
      </c>
      <c r="O5699" t="str">
        <f t="shared" ref="O5699:O5701" si="513">IF(AND(E5688="HR",K5688="EXPENSE"),I5688&lt;J5688,"")</f>
        <v/>
      </c>
      <c r="Q5699" t="str">
        <f t="shared" si="510"/>
        <v/>
      </c>
    </row>
    <row r="5700" spans="1:17" hidden="1">
      <c r="A5700" t="s">
        <v>5805</v>
      </c>
      <c r="B5700" s="1">
        <v>45681</v>
      </c>
      <c r="C5700">
        <v>2025</v>
      </c>
      <c r="D5700">
        <v>1</v>
      </c>
      <c r="E5700" t="s">
        <v>47</v>
      </c>
      <c r="F5700" t="s">
        <v>28</v>
      </c>
      <c r="G5700" t="s">
        <v>77</v>
      </c>
      <c r="H5700" t="s">
        <v>78</v>
      </c>
      <c r="I5700">
        <v>14075.17</v>
      </c>
      <c r="J5700">
        <v>12039.07</v>
      </c>
      <c r="K5700" t="s">
        <v>17</v>
      </c>
      <c r="L5700" t="b">
        <v>0</v>
      </c>
      <c r="N5700" s="2" t="b">
        <f t="shared" si="512"/>
        <v>1</v>
      </c>
      <c r="O5700" t="b">
        <f t="shared" si="513"/>
        <v>0</v>
      </c>
      <c r="Q5700" t="str">
        <f t="shared" si="510"/>
        <v/>
      </c>
    </row>
    <row r="5701" spans="1:17" hidden="1">
      <c r="A5701" t="s">
        <v>5806</v>
      </c>
      <c r="B5701" s="1">
        <v>45681</v>
      </c>
      <c r="C5701">
        <v>2025</v>
      </c>
      <c r="D5701">
        <v>1</v>
      </c>
      <c r="E5701" t="s">
        <v>47</v>
      </c>
      <c r="F5701" t="s">
        <v>24</v>
      </c>
      <c r="G5701" t="s">
        <v>91</v>
      </c>
      <c r="H5701" t="s">
        <v>92</v>
      </c>
      <c r="I5701">
        <v>17156.560000000001</v>
      </c>
      <c r="J5701">
        <v>14820.81</v>
      </c>
      <c r="K5701" t="s">
        <v>17</v>
      </c>
      <c r="L5701" t="b">
        <v>0</v>
      </c>
      <c r="N5701" s="2" t="b">
        <f t="shared" si="512"/>
        <v>1</v>
      </c>
      <c r="O5701" t="str">
        <f t="shared" si="513"/>
        <v/>
      </c>
      <c r="Q5701" t="str">
        <f t="shared" si="510"/>
        <v/>
      </c>
    </row>
    <row r="5702" spans="1:17" hidden="1">
      <c r="A5702" t="s">
        <v>5807</v>
      </c>
      <c r="B5702" s="1">
        <v>45681</v>
      </c>
      <c r="C5702">
        <v>2025</v>
      </c>
      <c r="D5702">
        <v>1</v>
      </c>
      <c r="E5702" t="s">
        <v>19</v>
      </c>
      <c r="F5702" t="s">
        <v>28</v>
      </c>
      <c r="G5702" t="s">
        <v>54</v>
      </c>
      <c r="H5702" t="s">
        <v>57</v>
      </c>
      <c r="I5702">
        <v>4508.38</v>
      </c>
      <c r="J5702">
        <v>4448.62</v>
      </c>
      <c r="K5702" t="s">
        <v>17</v>
      </c>
      <c r="L5702" t="b">
        <v>0</v>
      </c>
      <c r="N5702" s="2" t="str">
        <f t="shared" si="512"/>
        <v/>
      </c>
      <c r="Q5702" t="str">
        <f t="shared" si="510"/>
        <v/>
      </c>
    </row>
    <row r="5703" spans="1:17" hidden="1">
      <c r="A5703" t="s">
        <v>5808</v>
      </c>
      <c r="B5703" s="1">
        <v>45682</v>
      </c>
      <c r="C5703">
        <v>2025</v>
      </c>
      <c r="D5703">
        <v>1</v>
      </c>
      <c r="E5703" t="s">
        <v>47</v>
      </c>
      <c r="F5703" t="s">
        <v>14</v>
      </c>
      <c r="G5703" t="s">
        <v>77</v>
      </c>
      <c r="H5703" t="s">
        <v>130</v>
      </c>
      <c r="I5703">
        <v>12559.05</v>
      </c>
      <c r="J5703">
        <v>10800.06</v>
      </c>
      <c r="K5703" t="s">
        <v>17</v>
      </c>
      <c r="L5703" t="b">
        <v>0</v>
      </c>
      <c r="N5703" s="2" t="b">
        <f t="shared" si="512"/>
        <v>1</v>
      </c>
      <c r="O5703" t="str">
        <f t="shared" ref="O5703:O5704" si="514">IF(AND(E5692="HR",K5692="EXPENSE"),I5692&lt;J5692,"")</f>
        <v/>
      </c>
      <c r="Q5703" t="str">
        <f t="shared" si="510"/>
        <v/>
      </c>
    </row>
    <row r="5704" spans="1:17" hidden="1">
      <c r="A5704" t="s">
        <v>5809</v>
      </c>
      <c r="B5704" s="1">
        <v>45682</v>
      </c>
      <c r="C5704">
        <v>2025</v>
      </c>
      <c r="D5704">
        <v>1</v>
      </c>
      <c r="E5704" t="s">
        <v>47</v>
      </c>
      <c r="F5704" t="s">
        <v>14</v>
      </c>
      <c r="G5704" t="s">
        <v>51</v>
      </c>
      <c r="H5704" t="s">
        <v>72</v>
      </c>
      <c r="I5704">
        <v>9739.2900000000009</v>
      </c>
      <c r="J5704">
        <v>8012.46</v>
      </c>
      <c r="K5704" t="s">
        <v>17</v>
      </c>
      <c r="L5704" t="b">
        <v>0</v>
      </c>
      <c r="N5704" s="2" t="b">
        <f t="shared" si="512"/>
        <v>1</v>
      </c>
      <c r="O5704" t="str">
        <f t="shared" si="514"/>
        <v/>
      </c>
      <c r="Q5704" t="str">
        <f t="shared" si="510"/>
        <v/>
      </c>
    </row>
    <row r="5705" spans="1:17" hidden="1">
      <c r="A5705" t="s">
        <v>5810</v>
      </c>
      <c r="B5705" s="1">
        <v>45682</v>
      </c>
      <c r="C5705">
        <v>2025</v>
      </c>
      <c r="D5705">
        <v>1</v>
      </c>
      <c r="E5705" t="s">
        <v>19</v>
      </c>
      <c r="F5705" t="s">
        <v>14</v>
      </c>
      <c r="G5705" t="s">
        <v>54</v>
      </c>
      <c r="H5705" t="s">
        <v>57</v>
      </c>
      <c r="I5705">
        <v>3361.39</v>
      </c>
      <c r="J5705">
        <v>3062.91</v>
      </c>
      <c r="K5705" t="s">
        <v>17</v>
      </c>
      <c r="L5705" t="b">
        <v>0</v>
      </c>
      <c r="N5705" s="2" t="str">
        <f t="shared" si="512"/>
        <v/>
      </c>
      <c r="Q5705" t="str">
        <f t="shared" si="510"/>
        <v/>
      </c>
    </row>
    <row r="5706" spans="1:17" hidden="1">
      <c r="A5706" t="s">
        <v>5811</v>
      </c>
      <c r="B5706" s="1">
        <v>45682</v>
      </c>
      <c r="C5706">
        <v>2025</v>
      </c>
      <c r="D5706">
        <v>1</v>
      </c>
      <c r="E5706" t="s">
        <v>19</v>
      </c>
      <c r="F5706" t="s">
        <v>14</v>
      </c>
      <c r="G5706" t="s">
        <v>80</v>
      </c>
      <c r="H5706" t="s">
        <v>113</v>
      </c>
      <c r="I5706">
        <v>7635.86</v>
      </c>
      <c r="J5706">
        <v>7018.4</v>
      </c>
      <c r="K5706" t="s">
        <v>17</v>
      </c>
      <c r="L5706" t="b">
        <v>0</v>
      </c>
      <c r="N5706" s="2" t="str">
        <f t="shared" si="512"/>
        <v/>
      </c>
      <c r="Q5706" t="str">
        <f t="shared" si="510"/>
        <v/>
      </c>
    </row>
    <row r="5707" spans="1:17" hidden="1">
      <c r="A5707" t="s">
        <v>5812</v>
      </c>
      <c r="B5707" s="1">
        <v>45682</v>
      </c>
      <c r="C5707">
        <v>2025</v>
      </c>
      <c r="D5707">
        <v>1</v>
      </c>
      <c r="E5707" t="s">
        <v>19</v>
      </c>
      <c r="F5707" t="s">
        <v>24</v>
      </c>
      <c r="G5707" t="s">
        <v>132</v>
      </c>
      <c r="H5707" t="s">
        <v>171</v>
      </c>
      <c r="I5707">
        <v>9529.44</v>
      </c>
      <c r="J5707">
        <v>9351.0499999999993</v>
      </c>
      <c r="K5707" t="s">
        <v>17</v>
      </c>
      <c r="L5707" t="b">
        <v>0</v>
      </c>
      <c r="N5707" s="2" t="str">
        <f t="shared" si="512"/>
        <v/>
      </c>
      <c r="Q5707" t="str">
        <f t="shared" si="510"/>
        <v/>
      </c>
    </row>
    <row r="5708" spans="1:17" hidden="1">
      <c r="A5708" t="s">
        <v>5813</v>
      </c>
      <c r="B5708" s="1">
        <v>45682</v>
      </c>
      <c r="C5708">
        <v>2025</v>
      </c>
      <c r="D5708">
        <v>1</v>
      </c>
      <c r="E5708" t="s">
        <v>23</v>
      </c>
      <c r="F5708" t="s">
        <v>28</v>
      </c>
      <c r="G5708" t="s">
        <v>59</v>
      </c>
      <c r="H5708" t="s">
        <v>155</v>
      </c>
      <c r="I5708">
        <v>5715.12</v>
      </c>
      <c r="J5708">
        <v>5153.3100000000004</v>
      </c>
      <c r="K5708" t="s">
        <v>17</v>
      </c>
      <c r="L5708" t="b">
        <v>0</v>
      </c>
      <c r="N5708" s="2" t="str">
        <f t="shared" si="512"/>
        <v/>
      </c>
      <c r="Q5708" t="str">
        <f t="shared" si="510"/>
        <v/>
      </c>
    </row>
    <row r="5709" spans="1:17" hidden="1">
      <c r="A5709" t="s">
        <v>5814</v>
      </c>
      <c r="B5709" s="1">
        <v>45682</v>
      </c>
      <c r="C5709">
        <v>2025</v>
      </c>
      <c r="D5709">
        <v>1</v>
      </c>
      <c r="E5709" t="s">
        <v>23</v>
      </c>
      <c r="F5709" t="s">
        <v>24</v>
      </c>
      <c r="G5709" t="s">
        <v>30</v>
      </c>
      <c r="H5709" t="s">
        <v>31</v>
      </c>
      <c r="I5709">
        <v>5988.34</v>
      </c>
      <c r="J5709">
        <v>5525.62</v>
      </c>
      <c r="K5709" t="s">
        <v>17</v>
      </c>
      <c r="L5709" t="b">
        <v>0</v>
      </c>
      <c r="N5709" s="2" t="str">
        <f t="shared" si="512"/>
        <v/>
      </c>
      <c r="Q5709" t="str">
        <f t="shared" si="510"/>
        <v/>
      </c>
    </row>
    <row r="5710" spans="1:17" hidden="1">
      <c r="A5710" t="s">
        <v>5815</v>
      </c>
      <c r="B5710" s="1">
        <v>45682</v>
      </c>
      <c r="C5710">
        <v>2025</v>
      </c>
      <c r="D5710">
        <v>1</v>
      </c>
      <c r="E5710" t="s">
        <v>37</v>
      </c>
      <c r="F5710" t="s">
        <v>14</v>
      </c>
      <c r="G5710" t="s">
        <v>98</v>
      </c>
      <c r="H5710" t="s">
        <v>185</v>
      </c>
      <c r="I5710">
        <v>2351.7800000000002</v>
      </c>
      <c r="J5710">
        <v>2287.2199999999998</v>
      </c>
      <c r="K5710" t="s">
        <v>17</v>
      </c>
      <c r="L5710" t="b">
        <v>0</v>
      </c>
      <c r="N5710" s="2" t="str">
        <f t="shared" si="512"/>
        <v/>
      </c>
      <c r="Q5710" t="str">
        <f t="shared" si="510"/>
        <v/>
      </c>
    </row>
    <row r="5711" spans="1:17" hidden="1">
      <c r="A5711" t="s">
        <v>5816</v>
      </c>
      <c r="B5711" s="1">
        <v>45682</v>
      </c>
      <c r="C5711">
        <v>2025</v>
      </c>
      <c r="D5711">
        <v>1</v>
      </c>
      <c r="E5711" t="s">
        <v>37</v>
      </c>
      <c r="F5711" t="s">
        <v>14</v>
      </c>
      <c r="G5711" t="s">
        <v>98</v>
      </c>
      <c r="H5711" t="s">
        <v>185</v>
      </c>
      <c r="I5711">
        <v>6011.27</v>
      </c>
      <c r="J5711">
        <v>5953.57</v>
      </c>
      <c r="K5711" t="s">
        <v>17</v>
      </c>
      <c r="L5711" t="b">
        <v>0</v>
      </c>
      <c r="N5711" s="2" t="str">
        <f t="shared" si="512"/>
        <v/>
      </c>
      <c r="Q5711" t="str">
        <f t="shared" si="510"/>
        <v/>
      </c>
    </row>
    <row r="5712" spans="1:17" hidden="1">
      <c r="A5712" t="s">
        <v>5817</v>
      </c>
      <c r="B5712" s="1">
        <v>45682</v>
      </c>
      <c r="C5712">
        <v>2025</v>
      </c>
      <c r="D5712">
        <v>1</v>
      </c>
      <c r="E5712" t="s">
        <v>37</v>
      </c>
      <c r="F5712" t="s">
        <v>14</v>
      </c>
      <c r="G5712" t="s">
        <v>62</v>
      </c>
      <c r="H5712" t="s">
        <v>63</v>
      </c>
      <c r="I5712">
        <v>2697.38</v>
      </c>
      <c r="J5712">
        <v>2521.96</v>
      </c>
      <c r="K5712" t="s">
        <v>17</v>
      </c>
      <c r="L5712" t="b">
        <v>0</v>
      </c>
      <c r="N5712" s="2" t="str">
        <f t="shared" si="512"/>
        <v/>
      </c>
      <c r="Q5712" t="str">
        <f t="shared" si="510"/>
        <v/>
      </c>
    </row>
    <row r="5713" spans="1:17" hidden="1">
      <c r="A5713" t="s">
        <v>5818</v>
      </c>
      <c r="B5713" s="1">
        <v>45682</v>
      </c>
      <c r="C5713">
        <v>2025</v>
      </c>
      <c r="D5713">
        <v>1</v>
      </c>
      <c r="E5713" t="s">
        <v>37</v>
      </c>
      <c r="F5713" t="s">
        <v>28</v>
      </c>
      <c r="G5713" t="s">
        <v>98</v>
      </c>
      <c r="H5713" t="s">
        <v>185</v>
      </c>
      <c r="I5713">
        <v>7363.58</v>
      </c>
      <c r="J5713">
        <v>6690.31</v>
      </c>
      <c r="K5713" t="s">
        <v>17</v>
      </c>
      <c r="L5713" t="b">
        <v>0</v>
      </c>
      <c r="N5713" s="2" t="str">
        <f t="shared" si="512"/>
        <v/>
      </c>
      <c r="Q5713" t="str">
        <f t="shared" si="510"/>
        <v/>
      </c>
    </row>
    <row r="5714" spans="1:17" hidden="1">
      <c r="A5714" t="s">
        <v>5819</v>
      </c>
      <c r="B5714" s="1">
        <v>45683</v>
      </c>
      <c r="C5714">
        <v>2025</v>
      </c>
      <c r="D5714">
        <v>1</v>
      </c>
      <c r="E5714" t="s">
        <v>13</v>
      </c>
      <c r="F5714" t="s">
        <v>28</v>
      </c>
      <c r="G5714" t="s">
        <v>102</v>
      </c>
      <c r="H5714" t="s">
        <v>103</v>
      </c>
      <c r="I5714">
        <v>3246.13</v>
      </c>
      <c r="J5714">
        <v>3245.91</v>
      </c>
      <c r="K5714" t="s">
        <v>17</v>
      </c>
      <c r="L5714" t="b">
        <v>0</v>
      </c>
      <c r="N5714" s="2" t="str">
        <f t="shared" si="512"/>
        <v/>
      </c>
      <c r="Q5714" t="str">
        <f t="shared" si="510"/>
        <v/>
      </c>
    </row>
    <row r="5715" spans="1:17" hidden="1">
      <c r="A5715" t="s">
        <v>5820</v>
      </c>
      <c r="B5715" s="1">
        <v>45683</v>
      </c>
      <c r="C5715">
        <v>2025</v>
      </c>
      <c r="D5715">
        <v>1</v>
      </c>
      <c r="E5715" t="s">
        <v>47</v>
      </c>
      <c r="F5715" t="s">
        <v>14</v>
      </c>
      <c r="G5715" t="s">
        <v>48</v>
      </c>
      <c r="H5715" t="s">
        <v>189</v>
      </c>
      <c r="I5715">
        <v>10657.24</v>
      </c>
      <c r="J5715">
        <v>8853.33</v>
      </c>
      <c r="K5715" t="s">
        <v>17</v>
      </c>
      <c r="L5715" t="b">
        <v>0</v>
      </c>
      <c r="N5715" s="2" t="b">
        <f t="shared" si="512"/>
        <v>1</v>
      </c>
      <c r="O5715" t="str">
        <f t="shared" ref="O5715:O5718" si="515">IF(AND(E5704="HR",K5704="EXPENSE"),I5704&lt;J5704,"")</f>
        <v/>
      </c>
      <c r="Q5715" t="str">
        <f t="shared" si="510"/>
        <v/>
      </c>
    </row>
    <row r="5716" spans="1:17" hidden="1">
      <c r="A5716" t="s">
        <v>5821</v>
      </c>
      <c r="B5716" s="1">
        <v>45683</v>
      </c>
      <c r="C5716">
        <v>2025</v>
      </c>
      <c r="D5716">
        <v>1</v>
      </c>
      <c r="E5716" t="s">
        <v>47</v>
      </c>
      <c r="F5716" t="s">
        <v>28</v>
      </c>
      <c r="G5716" t="s">
        <v>48</v>
      </c>
      <c r="H5716" t="s">
        <v>75</v>
      </c>
      <c r="I5716">
        <v>20148.330000000002</v>
      </c>
      <c r="J5716">
        <v>16826.689999999999</v>
      </c>
      <c r="K5716" t="s">
        <v>17</v>
      </c>
      <c r="L5716" t="b">
        <v>0</v>
      </c>
      <c r="N5716" s="2" t="b">
        <f t="shared" si="512"/>
        <v>1</v>
      </c>
      <c r="O5716" t="str">
        <f t="shared" si="515"/>
        <v/>
      </c>
      <c r="Q5716" t="str">
        <f t="shared" si="510"/>
        <v/>
      </c>
    </row>
    <row r="5717" spans="1:17" hidden="1">
      <c r="A5717" t="s">
        <v>5822</v>
      </c>
      <c r="B5717" s="1">
        <v>45683</v>
      </c>
      <c r="C5717">
        <v>2025</v>
      </c>
      <c r="D5717">
        <v>1</v>
      </c>
      <c r="E5717" t="s">
        <v>47</v>
      </c>
      <c r="F5717" t="s">
        <v>24</v>
      </c>
      <c r="G5717" t="s">
        <v>91</v>
      </c>
      <c r="H5717" t="s">
        <v>254</v>
      </c>
      <c r="I5717">
        <v>10541.12</v>
      </c>
      <c r="J5717">
        <v>8725.68</v>
      </c>
      <c r="K5717" t="s">
        <v>17</v>
      </c>
      <c r="L5717" t="b">
        <v>0</v>
      </c>
      <c r="N5717" s="2" t="b">
        <f t="shared" si="512"/>
        <v>1</v>
      </c>
      <c r="O5717" t="str">
        <f t="shared" si="515"/>
        <v/>
      </c>
      <c r="Q5717" t="str">
        <f t="shared" si="510"/>
        <v/>
      </c>
    </row>
    <row r="5718" spans="1:17" hidden="1">
      <c r="A5718" t="s">
        <v>5823</v>
      </c>
      <c r="B5718" s="1">
        <v>45683</v>
      </c>
      <c r="C5718">
        <v>2025</v>
      </c>
      <c r="D5718">
        <v>1</v>
      </c>
      <c r="E5718" t="s">
        <v>47</v>
      </c>
      <c r="F5718" t="s">
        <v>24</v>
      </c>
      <c r="G5718" t="s">
        <v>51</v>
      </c>
      <c r="H5718" t="s">
        <v>52</v>
      </c>
      <c r="I5718">
        <v>9864.11</v>
      </c>
      <c r="J5718">
        <v>8087.89</v>
      </c>
      <c r="K5718" t="s">
        <v>17</v>
      </c>
      <c r="L5718" t="b">
        <v>0</v>
      </c>
      <c r="N5718" s="2" t="b">
        <f t="shared" si="512"/>
        <v>1</v>
      </c>
      <c r="O5718" t="str">
        <f t="shared" si="515"/>
        <v/>
      </c>
      <c r="Q5718" t="str">
        <f t="shared" si="510"/>
        <v/>
      </c>
    </row>
    <row r="5719" spans="1:17" hidden="1">
      <c r="A5719" t="s">
        <v>5824</v>
      </c>
      <c r="B5719" s="1">
        <v>45683</v>
      </c>
      <c r="C5719">
        <v>2025</v>
      </c>
      <c r="D5719">
        <v>1</v>
      </c>
      <c r="E5719" t="s">
        <v>19</v>
      </c>
      <c r="F5719" t="s">
        <v>14</v>
      </c>
      <c r="G5719" t="s">
        <v>80</v>
      </c>
      <c r="H5719" t="s">
        <v>150</v>
      </c>
      <c r="I5719">
        <v>6619.58</v>
      </c>
      <c r="J5719">
        <v>5982.07</v>
      </c>
      <c r="K5719" t="s">
        <v>17</v>
      </c>
      <c r="L5719" t="b">
        <v>0</v>
      </c>
      <c r="N5719" s="2" t="str">
        <f t="shared" si="512"/>
        <v/>
      </c>
      <c r="Q5719" t="str">
        <f t="shared" si="510"/>
        <v/>
      </c>
    </row>
    <row r="5720" spans="1:17" hidden="1">
      <c r="A5720" t="s">
        <v>5825</v>
      </c>
      <c r="B5720" s="1">
        <v>45683</v>
      </c>
      <c r="C5720">
        <v>2025</v>
      </c>
      <c r="D5720">
        <v>1</v>
      </c>
      <c r="E5720" t="s">
        <v>19</v>
      </c>
      <c r="F5720" t="s">
        <v>28</v>
      </c>
      <c r="G5720" t="s">
        <v>20</v>
      </c>
      <c r="H5720" t="s">
        <v>136</v>
      </c>
      <c r="I5720">
        <v>4528.7700000000004</v>
      </c>
      <c r="J5720">
        <v>4973.8599999999997</v>
      </c>
      <c r="K5720" t="s">
        <v>17</v>
      </c>
      <c r="L5720" t="b">
        <v>0</v>
      </c>
      <c r="N5720" s="2" t="str">
        <f t="shared" si="512"/>
        <v/>
      </c>
      <c r="Q5720" t="str">
        <f t="shared" si="510"/>
        <v/>
      </c>
    </row>
    <row r="5721" spans="1:17" hidden="1">
      <c r="A5721" t="s">
        <v>5826</v>
      </c>
      <c r="B5721" s="1">
        <v>45683</v>
      </c>
      <c r="C5721">
        <v>2025</v>
      </c>
      <c r="D5721">
        <v>1</v>
      </c>
      <c r="E5721" t="s">
        <v>19</v>
      </c>
      <c r="F5721" t="s">
        <v>28</v>
      </c>
      <c r="G5721" t="s">
        <v>132</v>
      </c>
      <c r="H5721" t="s">
        <v>138</v>
      </c>
      <c r="I5721">
        <v>6119.46</v>
      </c>
      <c r="J5721">
        <v>5806.31</v>
      </c>
      <c r="K5721" t="s">
        <v>17</v>
      </c>
      <c r="L5721" t="b">
        <v>0</v>
      </c>
      <c r="N5721" s="2" t="str">
        <f t="shared" si="512"/>
        <v/>
      </c>
      <c r="Q5721" t="str">
        <f t="shared" si="510"/>
        <v/>
      </c>
    </row>
    <row r="5722" spans="1:17" hidden="1">
      <c r="A5722" t="s">
        <v>5827</v>
      </c>
      <c r="B5722" s="1">
        <v>45683</v>
      </c>
      <c r="C5722">
        <v>2025</v>
      </c>
      <c r="D5722">
        <v>1</v>
      </c>
      <c r="E5722" t="s">
        <v>37</v>
      </c>
      <c r="F5722" t="s">
        <v>24</v>
      </c>
      <c r="G5722" t="s">
        <v>62</v>
      </c>
      <c r="H5722" t="s">
        <v>360</v>
      </c>
      <c r="I5722">
        <v>5798.68</v>
      </c>
      <c r="J5722">
        <v>6298.55</v>
      </c>
      <c r="K5722" t="s">
        <v>17</v>
      </c>
      <c r="L5722" t="b">
        <v>0</v>
      </c>
      <c r="N5722" s="2" t="str">
        <f t="shared" si="512"/>
        <v/>
      </c>
      <c r="Q5722" t="str">
        <f t="shared" si="510"/>
        <v/>
      </c>
    </row>
    <row r="5723" spans="1:17" hidden="1">
      <c r="A5723" t="s">
        <v>5828</v>
      </c>
      <c r="B5723" s="1">
        <v>45684</v>
      </c>
      <c r="C5723">
        <v>2025</v>
      </c>
      <c r="D5723">
        <v>1</v>
      </c>
      <c r="E5723" t="s">
        <v>13</v>
      </c>
      <c r="F5723" t="s">
        <v>28</v>
      </c>
      <c r="G5723" t="s">
        <v>108</v>
      </c>
      <c r="H5723" t="s">
        <v>109</v>
      </c>
      <c r="I5723">
        <v>4112.68</v>
      </c>
      <c r="J5723">
        <v>4122.16</v>
      </c>
      <c r="K5723" t="s">
        <v>17</v>
      </c>
      <c r="L5723" t="b">
        <v>0</v>
      </c>
      <c r="N5723" s="2" t="str">
        <f t="shared" si="512"/>
        <v/>
      </c>
      <c r="Q5723" t="str">
        <f t="shared" si="510"/>
        <v/>
      </c>
    </row>
    <row r="5724" spans="1:17" hidden="1">
      <c r="A5724" t="s">
        <v>5829</v>
      </c>
      <c r="B5724" s="1">
        <v>45684</v>
      </c>
      <c r="C5724">
        <v>2025</v>
      </c>
      <c r="D5724">
        <v>1</v>
      </c>
      <c r="E5724" t="s">
        <v>19</v>
      </c>
      <c r="F5724" t="s">
        <v>14</v>
      </c>
      <c r="G5724" t="s">
        <v>132</v>
      </c>
      <c r="H5724" t="s">
        <v>133</v>
      </c>
      <c r="I5724">
        <v>5991.39</v>
      </c>
      <c r="J5724">
        <v>6553.78</v>
      </c>
      <c r="K5724" t="s">
        <v>17</v>
      </c>
      <c r="L5724" t="b">
        <v>0</v>
      </c>
      <c r="N5724" s="2" t="str">
        <f t="shared" si="512"/>
        <v/>
      </c>
      <c r="Q5724" t="str">
        <f t="shared" si="510"/>
        <v/>
      </c>
    </row>
    <row r="5725" spans="1:17" hidden="1">
      <c r="A5725" t="s">
        <v>5830</v>
      </c>
      <c r="B5725" s="1">
        <v>45684</v>
      </c>
      <c r="C5725">
        <v>2025</v>
      </c>
      <c r="D5725">
        <v>1</v>
      </c>
      <c r="E5725" t="s">
        <v>23</v>
      </c>
      <c r="F5725" t="s">
        <v>14</v>
      </c>
      <c r="G5725" t="s">
        <v>30</v>
      </c>
      <c r="H5725" t="s">
        <v>33</v>
      </c>
      <c r="I5725">
        <v>5241.83</v>
      </c>
      <c r="J5725">
        <v>5305.26</v>
      </c>
      <c r="K5725" t="s">
        <v>17</v>
      </c>
      <c r="L5725" t="b">
        <v>0</v>
      </c>
      <c r="N5725" s="2" t="str">
        <f t="shared" si="512"/>
        <v/>
      </c>
      <c r="Q5725" t="str">
        <f t="shared" si="510"/>
        <v/>
      </c>
    </row>
    <row r="5726" spans="1:17" hidden="1">
      <c r="A5726" t="s">
        <v>5831</v>
      </c>
      <c r="B5726" s="1">
        <v>45684</v>
      </c>
      <c r="C5726">
        <v>2025</v>
      </c>
      <c r="D5726">
        <v>1</v>
      </c>
      <c r="E5726" t="s">
        <v>23</v>
      </c>
      <c r="F5726" t="s">
        <v>28</v>
      </c>
      <c r="G5726" t="s">
        <v>30</v>
      </c>
      <c r="H5726" t="s">
        <v>31</v>
      </c>
      <c r="I5726">
        <v>5400.32</v>
      </c>
      <c r="J5726">
        <v>5584.55</v>
      </c>
      <c r="K5726" t="s">
        <v>17</v>
      </c>
      <c r="L5726" t="b">
        <v>0</v>
      </c>
      <c r="N5726" s="2" t="str">
        <f t="shared" si="512"/>
        <v/>
      </c>
      <c r="Q5726" t="str">
        <f t="shared" si="510"/>
        <v/>
      </c>
    </row>
    <row r="5727" spans="1:17" hidden="1">
      <c r="A5727" t="s">
        <v>5832</v>
      </c>
      <c r="B5727" s="1">
        <v>45684</v>
      </c>
      <c r="C5727">
        <v>2025</v>
      </c>
      <c r="D5727">
        <v>1</v>
      </c>
      <c r="E5727" t="s">
        <v>23</v>
      </c>
      <c r="F5727" t="s">
        <v>24</v>
      </c>
      <c r="G5727" t="s">
        <v>141</v>
      </c>
      <c r="H5727" t="s">
        <v>153</v>
      </c>
      <c r="I5727">
        <v>3498.98</v>
      </c>
      <c r="J5727">
        <v>3519.4</v>
      </c>
      <c r="K5727" t="s">
        <v>17</v>
      </c>
      <c r="L5727" t="b">
        <v>0</v>
      </c>
      <c r="N5727" s="2" t="str">
        <f t="shared" si="512"/>
        <v/>
      </c>
      <c r="Q5727" t="str">
        <f t="shared" si="510"/>
        <v/>
      </c>
    </row>
    <row r="5728" spans="1:17" hidden="1">
      <c r="A5728" t="s">
        <v>5833</v>
      </c>
      <c r="B5728" s="1">
        <v>45685</v>
      </c>
      <c r="C5728">
        <v>2025</v>
      </c>
      <c r="D5728">
        <v>1</v>
      </c>
      <c r="E5728" t="s">
        <v>13</v>
      </c>
      <c r="F5728" t="s">
        <v>14</v>
      </c>
      <c r="G5728" t="s">
        <v>68</v>
      </c>
      <c r="H5728" t="s">
        <v>87</v>
      </c>
      <c r="I5728">
        <v>3986.92</v>
      </c>
      <c r="J5728">
        <v>3949.07</v>
      </c>
      <c r="K5728" t="s">
        <v>17</v>
      </c>
      <c r="L5728" t="b">
        <v>0</v>
      </c>
      <c r="N5728" s="2" t="str">
        <f t="shared" si="512"/>
        <v/>
      </c>
      <c r="Q5728" t="str">
        <f t="shared" si="510"/>
        <v/>
      </c>
    </row>
    <row r="5729" spans="1:17" hidden="1">
      <c r="A5729" t="s">
        <v>5834</v>
      </c>
      <c r="B5729" s="1">
        <v>45685</v>
      </c>
      <c r="C5729">
        <v>2025</v>
      </c>
      <c r="D5729">
        <v>1</v>
      </c>
      <c r="E5729" t="s">
        <v>13</v>
      </c>
      <c r="F5729" t="s">
        <v>14</v>
      </c>
      <c r="G5729" t="s">
        <v>108</v>
      </c>
      <c r="H5729" t="s">
        <v>126</v>
      </c>
      <c r="I5729">
        <v>3292.22</v>
      </c>
      <c r="J5729">
        <v>3449.95</v>
      </c>
      <c r="K5729" t="s">
        <v>17</v>
      </c>
      <c r="L5729" t="b">
        <v>0</v>
      </c>
      <c r="N5729" s="2" t="str">
        <f t="shared" si="512"/>
        <v/>
      </c>
      <c r="Q5729" t="str">
        <f t="shared" si="510"/>
        <v/>
      </c>
    </row>
    <row r="5730" spans="1:17" hidden="1">
      <c r="A5730" t="s">
        <v>5835</v>
      </c>
      <c r="B5730" s="1">
        <v>45685</v>
      </c>
      <c r="C5730">
        <v>2025</v>
      </c>
      <c r="D5730">
        <v>1</v>
      </c>
      <c r="E5730" t="s">
        <v>13</v>
      </c>
      <c r="F5730" t="s">
        <v>28</v>
      </c>
      <c r="G5730" t="s">
        <v>15</v>
      </c>
      <c r="H5730" t="s">
        <v>16</v>
      </c>
      <c r="I5730">
        <v>3470.9</v>
      </c>
      <c r="J5730">
        <v>3390.97</v>
      </c>
      <c r="K5730" t="s">
        <v>17</v>
      </c>
      <c r="L5730" t="b">
        <v>0</v>
      </c>
      <c r="N5730" s="2" t="str">
        <f t="shared" si="512"/>
        <v/>
      </c>
      <c r="Q5730" t="str">
        <f t="shared" si="510"/>
        <v/>
      </c>
    </row>
    <row r="5731" spans="1:17" hidden="1">
      <c r="A5731" t="s">
        <v>5836</v>
      </c>
      <c r="B5731" s="1">
        <v>45685</v>
      </c>
      <c r="C5731">
        <v>2025</v>
      </c>
      <c r="D5731">
        <v>1</v>
      </c>
      <c r="E5731" t="s">
        <v>13</v>
      </c>
      <c r="F5731" t="s">
        <v>24</v>
      </c>
      <c r="G5731" t="s">
        <v>102</v>
      </c>
      <c r="H5731" t="s">
        <v>278</v>
      </c>
      <c r="I5731">
        <v>2838.03</v>
      </c>
      <c r="J5731">
        <v>2634.1</v>
      </c>
      <c r="K5731" t="s">
        <v>17</v>
      </c>
      <c r="L5731" t="b">
        <v>0</v>
      </c>
      <c r="N5731" s="2" t="str">
        <f t="shared" si="512"/>
        <v/>
      </c>
      <c r="Q5731" t="str">
        <f t="shared" si="510"/>
        <v/>
      </c>
    </row>
    <row r="5732" spans="1:17" hidden="1">
      <c r="A5732" t="s">
        <v>5837</v>
      </c>
      <c r="B5732" s="1">
        <v>45685</v>
      </c>
      <c r="C5732">
        <v>2025</v>
      </c>
      <c r="D5732">
        <v>1</v>
      </c>
      <c r="E5732" t="s">
        <v>47</v>
      </c>
      <c r="F5732" t="s">
        <v>14</v>
      </c>
      <c r="G5732" t="s">
        <v>77</v>
      </c>
      <c r="H5732" t="s">
        <v>130</v>
      </c>
      <c r="I5732">
        <v>12577.05</v>
      </c>
      <c r="J5732">
        <v>10468.92</v>
      </c>
      <c r="K5732" t="s">
        <v>17</v>
      </c>
      <c r="L5732" t="b">
        <v>0</v>
      </c>
      <c r="N5732" s="2" t="b">
        <f t="shared" si="512"/>
        <v>1</v>
      </c>
      <c r="O5732" t="str">
        <f t="shared" ref="O5732:O5733" si="516">IF(AND(E5721="HR",K5721="EXPENSE"),I5721&lt;J5721,"")</f>
        <v/>
      </c>
      <c r="Q5732" t="str">
        <f t="shared" si="510"/>
        <v/>
      </c>
    </row>
    <row r="5733" spans="1:17" hidden="1">
      <c r="A5733" t="s">
        <v>5838</v>
      </c>
      <c r="B5733" s="1">
        <v>45685</v>
      </c>
      <c r="C5733">
        <v>2025</v>
      </c>
      <c r="D5733">
        <v>1</v>
      </c>
      <c r="E5733" t="s">
        <v>47</v>
      </c>
      <c r="F5733" t="s">
        <v>14</v>
      </c>
      <c r="G5733" t="s">
        <v>91</v>
      </c>
      <c r="H5733" t="s">
        <v>254</v>
      </c>
      <c r="I5733">
        <v>11456.06</v>
      </c>
      <c r="J5733">
        <v>9510.8700000000008</v>
      </c>
      <c r="K5733" t="s">
        <v>17</v>
      </c>
      <c r="L5733" t="b">
        <v>0</v>
      </c>
      <c r="N5733" s="2" t="b">
        <f t="shared" si="512"/>
        <v>1</v>
      </c>
      <c r="O5733" t="str">
        <f t="shared" si="516"/>
        <v/>
      </c>
      <c r="Q5733" t="str">
        <f t="shared" si="510"/>
        <v/>
      </c>
    </row>
    <row r="5734" spans="1:17" hidden="1">
      <c r="A5734" t="s">
        <v>5839</v>
      </c>
      <c r="B5734" s="1">
        <v>45685</v>
      </c>
      <c r="C5734">
        <v>2025</v>
      </c>
      <c r="D5734">
        <v>1</v>
      </c>
      <c r="E5734" t="s">
        <v>19</v>
      </c>
      <c r="F5734" t="s">
        <v>14</v>
      </c>
      <c r="G5734" t="s">
        <v>20</v>
      </c>
      <c r="H5734" t="s">
        <v>21</v>
      </c>
      <c r="I5734">
        <v>6391.6</v>
      </c>
      <c r="J5734">
        <v>6842.22</v>
      </c>
      <c r="K5734" t="s">
        <v>17</v>
      </c>
      <c r="L5734" t="b">
        <v>0</v>
      </c>
      <c r="N5734" s="2" t="str">
        <f t="shared" si="512"/>
        <v/>
      </c>
      <c r="Q5734" t="str">
        <f t="shared" si="510"/>
        <v/>
      </c>
    </row>
    <row r="5735" spans="1:17" hidden="1">
      <c r="A5735" t="s">
        <v>5840</v>
      </c>
      <c r="B5735" s="1">
        <v>45685</v>
      </c>
      <c r="C5735">
        <v>2025</v>
      </c>
      <c r="D5735">
        <v>1</v>
      </c>
      <c r="E5735" t="s">
        <v>19</v>
      </c>
      <c r="F5735" t="s">
        <v>24</v>
      </c>
      <c r="G5735" t="s">
        <v>54</v>
      </c>
      <c r="H5735" t="s">
        <v>55</v>
      </c>
      <c r="I5735">
        <v>5035.17</v>
      </c>
      <c r="J5735">
        <v>5311.95</v>
      </c>
      <c r="K5735" t="s">
        <v>17</v>
      </c>
      <c r="L5735" t="b">
        <v>0</v>
      </c>
      <c r="N5735" s="2" t="str">
        <f t="shared" si="512"/>
        <v/>
      </c>
      <c r="Q5735" t="str">
        <f t="shared" si="510"/>
        <v/>
      </c>
    </row>
    <row r="5736" spans="1:17" hidden="1">
      <c r="A5736" t="s">
        <v>5841</v>
      </c>
      <c r="B5736" s="1">
        <v>45685</v>
      </c>
      <c r="C5736">
        <v>2025</v>
      </c>
      <c r="D5736">
        <v>1</v>
      </c>
      <c r="E5736" t="s">
        <v>23</v>
      </c>
      <c r="F5736" t="s">
        <v>24</v>
      </c>
      <c r="G5736" t="s">
        <v>141</v>
      </c>
      <c r="H5736" t="s">
        <v>153</v>
      </c>
      <c r="I5736">
        <v>6332.45</v>
      </c>
      <c r="J5736">
        <v>6603.89</v>
      </c>
      <c r="K5736" t="s">
        <v>17</v>
      </c>
      <c r="L5736" t="b">
        <v>0</v>
      </c>
      <c r="N5736" s="2" t="str">
        <f t="shared" si="512"/>
        <v/>
      </c>
      <c r="Q5736" t="str">
        <f t="shared" si="510"/>
        <v/>
      </c>
    </row>
    <row r="5737" spans="1:17" hidden="1">
      <c r="A5737" t="s">
        <v>5842</v>
      </c>
      <c r="B5737" s="1">
        <v>45685</v>
      </c>
      <c r="C5737">
        <v>2025</v>
      </c>
      <c r="D5737">
        <v>1</v>
      </c>
      <c r="E5737" t="s">
        <v>37</v>
      </c>
      <c r="F5737" t="s">
        <v>24</v>
      </c>
      <c r="G5737" t="s">
        <v>98</v>
      </c>
      <c r="H5737" t="s">
        <v>185</v>
      </c>
      <c r="I5737">
        <v>7084.96</v>
      </c>
      <c r="J5737">
        <v>6508.05</v>
      </c>
      <c r="K5737" t="s">
        <v>17</v>
      </c>
      <c r="L5737" t="b">
        <v>0</v>
      </c>
      <c r="N5737" s="2" t="str">
        <f t="shared" si="512"/>
        <v/>
      </c>
      <c r="Q5737" t="str">
        <f t="shared" si="510"/>
        <v/>
      </c>
    </row>
    <row r="5738" spans="1:17" hidden="1">
      <c r="A5738" t="s">
        <v>5843</v>
      </c>
      <c r="B5738" s="1">
        <v>45686</v>
      </c>
      <c r="C5738">
        <v>2025</v>
      </c>
      <c r="D5738">
        <v>1</v>
      </c>
      <c r="E5738" t="s">
        <v>13</v>
      </c>
      <c r="F5738" t="s">
        <v>14</v>
      </c>
      <c r="G5738" t="s">
        <v>68</v>
      </c>
      <c r="H5738" t="s">
        <v>69</v>
      </c>
      <c r="I5738">
        <v>2676.32</v>
      </c>
      <c r="J5738">
        <v>2435.02</v>
      </c>
      <c r="K5738" t="s">
        <v>17</v>
      </c>
      <c r="L5738" t="b">
        <v>0</v>
      </c>
      <c r="N5738" s="2" t="str">
        <f t="shared" si="512"/>
        <v/>
      </c>
      <c r="Q5738" t="str">
        <f t="shared" si="510"/>
        <v/>
      </c>
    </row>
    <row r="5739" spans="1:17" hidden="1">
      <c r="A5739" t="s">
        <v>5844</v>
      </c>
      <c r="B5739" s="1">
        <v>45686</v>
      </c>
      <c r="C5739">
        <v>2025</v>
      </c>
      <c r="D5739">
        <v>1</v>
      </c>
      <c r="E5739" t="s">
        <v>47</v>
      </c>
      <c r="F5739" t="s">
        <v>24</v>
      </c>
      <c r="G5739" t="s">
        <v>91</v>
      </c>
      <c r="H5739" t="s">
        <v>128</v>
      </c>
      <c r="I5739">
        <v>12206.88</v>
      </c>
      <c r="J5739">
        <v>10530.22</v>
      </c>
      <c r="K5739" t="s">
        <v>17</v>
      </c>
      <c r="L5739" t="b">
        <v>0</v>
      </c>
      <c r="N5739" s="2" t="b">
        <f t="shared" si="512"/>
        <v>1</v>
      </c>
      <c r="O5739" t="b">
        <f>IF(AND(E5728="HR",K5728="EXPENSE"),I5728&lt;J5728,"")</f>
        <v>0</v>
      </c>
      <c r="Q5739" t="str">
        <f t="shared" si="510"/>
        <v/>
      </c>
    </row>
    <row r="5740" spans="1:17" hidden="1">
      <c r="A5740" t="s">
        <v>5845</v>
      </c>
      <c r="B5740" s="1">
        <v>45686</v>
      </c>
      <c r="C5740">
        <v>2025</v>
      </c>
      <c r="D5740">
        <v>1</v>
      </c>
      <c r="E5740" t="s">
        <v>19</v>
      </c>
      <c r="F5740" t="s">
        <v>14</v>
      </c>
      <c r="G5740" t="s">
        <v>132</v>
      </c>
      <c r="H5740" t="s">
        <v>171</v>
      </c>
      <c r="I5740">
        <v>7131.29</v>
      </c>
      <c r="J5740">
        <v>7264.9</v>
      </c>
      <c r="K5740" t="s">
        <v>17</v>
      </c>
      <c r="L5740" t="b">
        <v>0</v>
      </c>
      <c r="N5740" s="2" t="str">
        <f t="shared" si="512"/>
        <v/>
      </c>
      <c r="Q5740" t="str">
        <f t="shared" si="510"/>
        <v/>
      </c>
    </row>
    <row r="5741" spans="1:17" hidden="1">
      <c r="A5741" t="s">
        <v>5846</v>
      </c>
      <c r="B5741" s="1">
        <v>45686</v>
      </c>
      <c r="C5741">
        <v>2025</v>
      </c>
      <c r="D5741">
        <v>1</v>
      </c>
      <c r="E5741" t="s">
        <v>19</v>
      </c>
      <c r="F5741" t="s">
        <v>28</v>
      </c>
      <c r="G5741" t="s">
        <v>54</v>
      </c>
      <c r="H5741" t="s">
        <v>163</v>
      </c>
      <c r="I5741">
        <v>5669.24</v>
      </c>
      <c r="J5741">
        <v>5620.82</v>
      </c>
      <c r="K5741" t="s">
        <v>17</v>
      </c>
      <c r="L5741" t="b">
        <v>0</v>
      </c>
      <c r="N5741" s="2" t="str">
        <f t="shared" si="512"/>
        <v/>
      </c>
      <c r="Q5741" t="str">
        <f t="shared" si="510"/>
        <v/>
      </c>
    </row>
    <row r="5742" spans="1:17" hidden="1">
      <c r="A5742" t="s">
        <v>5847</v>
      </c>
      <c r="B5742" s="1">
        <v>45686</v>
      </c>
      <c r="C5742">
        <v>2025</v>
      </c>
      <c r="D5742">
        <v>1</v>
      </c>
      <c r="E5742" t="s">
        <v>23</v>
      </c>
      <c r="F5742" t="s">
        <v>14</v>
      </c>
      <c r="G5742" t="s">
        <v>25</v>
      </c>
      <c r="H5742" t="s">
        <v>26</v>
      </c>
      <c r="I5742">
        <v>4834.49</v>
      </c>
      <c r="J5742">
        <v>4722.0600000000004</v>
      </c>
      <c r="K5742" t="s">
        <v>17</v>
      </c>
      <c r="L5742" t="b">
        <v>0</v>
      </c>
      <c r="N5742" s="2" t="str">
        <f t="shared" si="512"/>
        <v/>
      </c>
      <c r="Q5742" t="str">
        <f t="shared" si="510"/>
        <v/>
      </c>
    </row>
    <row r="5743" spans="1:17" hidden="1">
      <c r="A5743" t="s">
        <v>5848</v>
      </c>
      <c r="B5743" s="1">
        <v>45687</v>
      </c>
      <c r="C5743">
        <v>2025</v>
      </c>
      <c r="D5743">
        <v>1</v>
      </c>
      <c r="E5743" t="s">
        <v>13</v>
      </c>
      <c r="F5743" t="s">
        <v>14</v>
      </c>
      <c r="G5743" t="s">
        <v>108</v>
      </c>
      <c r="H5743" t="s">
        <v>123</v>
      </c>
      <c r="I5743">
        <v>3585.04</v>
      </c>
      <c r="J5743">
        <v>3754.29</v>
      </c>
      <c r="K5743" t="s">
        <v>17</v>
      </c>
      <c r="L5743" t="b">
        <v>0</v>
      </c>
      <c r="N5743" s="2" t="str">
        <f t="shared" si="512"/>
        <v/>
      </c>
      <c r="Q5743" t="str">
        <f t="shared" si="510"/>
        <v/>
      </c>
    </row>
    <row r="5744" spans="1:17" hidden="1">
      <c r="A5744" t="s">
        <v>5849</v>
      </c>
      <c r="B5744" s="1">
        <v>45687</v>
      </c>
      <c r="C5744">
        <v>2025</v>
      </c>
      <c r="D5744">
        <v>1</v>
      </c>
      <c r="E5744" t="s">
        <v>13</v>
      </c>
      <c r="F5744" t="s">
        <v>14</v>
      </c>
      <c r="G5744" t="s">
        <v>68</v>
      </c>
      <c r="H5744" t="s">
        <v>213</v>
      </c>
      <c r="I5744">
        <v>3841.37</v>
      </c>
      <c r="J5744">
        <v>4059.49</v>
      </c>
      <c r="K5744" t="s">
        <v>17</v>
      </c>
      <c r="L5744" t="b">
        <v>0</v>
      </c>
      <c r="N5744" s="2" t="str">
        <f t="shared" si="512"/>
        <v/>
      </c>
      <c r="Q5744" t="str">
        <f t="shared" ref="Q5744:Q5807" si="517">IF(L5744=TRUE,OR(H5744="Apex Solutions Inc",H5744="Global Trade Partners",H5744="NovaTech Services"),"")</f>
        <v/>
      </c>
    </row>
    <row r="5745" spans="1:17" hidden="1">
      <c r="A5745" t="s">
        <v>5850</v>
      </c>
      <c r="B5745" s="1">
        <v>45687</v>
      </c>
      <c r="C5745">
        <v>2025</v>
      </c>
      <c r="D5745">
        <v>1</v>
      </c>
      <c r="E5745" t="s">
        <v>13</v>
      </c>
      <c r="F5745" t="s">
        <v>14</v>
      </c>
      <c r="G5745" t="s">
        <v>15</v>
      </c>
      <c r="H5745" t="s">
        <v>89</v>
      </c>
      <c r="I5745">
        <v>1888.12</v>
      </c>
      <c r="J5745">
        <v>1922.61</v>
      </c>
      <c r="K5745" t="s">
        <v>17</v>
      </c>
      <c r="L5745" t="b">
        <v>0</v>
      </c>
      <c r="N5745" s="2" t="str">
        <f t="shared" si="512"/>
        <v/>
      </c>
      <c r="Q5745" t="str">
        <f t="shared" si="517"/>
        <v/>
      </c>
    </row>
    <row r="5746" spans="1:17" hidden="1">
      <c r="A5746" t="s">
        <v>5851</v>
      </c>
      <c r="B5746" s="1">
        <v>45687</v>
      </c>
      <c r="C5746">
        <v>2025</v>
      </c>
      <c r="D5746">
        <v>1</v>
      </c>
      <c r="E5746" t="s">
        <v>47</v>
      </c>
      <c r="F5746" t="s">
        <v>14</v>
      </c>
      <c r="G5746" t="s">
        <v>77</v>
      </c>
      <c r="H5746" t="s">
        <v>130</v>
      </c>
      <c r="I5746">
        <v>7325.01</v>
      </c>
      <c r="J5746">
        <v>6081.1</v>
      </c>
      <c r="K5746" t="s">
        <v>17</v>
      </c>
      <c r="L5746" t="b">
        <v>0</v>
      </c>
      <c r="N5746" s="2" t="b">
        <f t="shared" si="512"/>
        <v>1</v>
      </c>
      <c r="O5746" t="str">
        <f t="shared" ref="O5746:O5747" si="518">IF(AND(E5735="HR",K5735="EXPENSE"),I5735&lt;J5735,"")</f>
        <v/>
      </c>
      <c r="Q5746" t="str">
        <f t="shared" si="517"/>
        <v/>
      </c>
    </row>
    <row r="5747" spans="1:17" hidden="1">
      <c r="A5747" t="s">
        <v>5852</v>
      </c>
      <c r="B5747" s="1">
        <v>45687</v>
      </c>
      <c r="C5747">
        <v>2025</v>
      </c>
      <c r="D5747">
        <v>1</v>
      </c>
      <c r="E5747" t="s">
        <v>47</v>
      </c>
      <c r="F5747" t="s">
        <v>24</v>
      </c>
      <c r="G5747" t="s">
        <v>91</v>
      </c>
      <c r="H5747" t="s">
        <v>128</v>
      </c>
      <c r="I5747">
        <v>12738.04</v>
      </c>
      <c r="J5747">
        <v>10468.51</v>
      </c>
      <c r="K5747" t="s">
        <v>17</v>
      </c>
      <c r="L5747" t="b">
        <v>0</v>
      </c>
      <c r="N5747" s="2" t="b">
        <f t="shared" si="512"/>
        <v>1</v>
      </c>
      <c r="O5747" t="str">
        <f t="shared" si="518"/>
        <v/>
      </c>
      <c r="Q5747" t="str">
        <f t="shared" si="517"/>
        <v/>
      </c>
    </row>
    <row r="5748" spans="1:17" hidden="1">
      <c r="A5748" t="s">
        <v>5853</v>
      </c>
      <c r="B5748" s="1">
        <v>45687</v>
      </c>
      <c r="C5748">
        <v>2025</v>
      </c>
      <c r="D5748">
        <v>1</v>
      </c>
      <c r="E5748" t="s">
        <v>23</v>
      </c>
      <c r="F5748" t="s">
        <v>14</v>
      </c>
      <c r="G5748" t="s">
        <v>25</v>
      </c>
      <c r="H5748" t="s">
        <v>26</v>
      </c>
      <c r="I5748">
        <v>4984.2299999999996</v>
      </c>
      <c r="J5748">
        <v>4620.62</v>
      </c>
      <c r="K5748" t="s">
        <v>17</v>
      </c>
      <c r="L5748" t="b">
        <v>0</v>
      </c>
      <c r="N5748" s="2" t="str">
        <f t="shared" si="512"/>
        <v/>
      </c>
      <c r="Q5748" t="str">
        <f t="shared" si="517"/>
        <v/>
      </c>
    </row>
    <row r="5749" spans="1:17" hidden="1">
      <c r="A5749" t="s">
        <v>5854</v>
      </c>
      <c r="B5749" s="1">
        <v>45687</v>
      </c>
      <c r="C5749">
        <v>2025</v>
      </c>
      <c r="D5749">
        <v>1</v>
      </c>
      <c r="E5749" t="s">
        <v>37</v>
      </c>
      <c r="F5749" t="s">
        <v>28</v>
      </c>
      <c r="G5749" t="s">
        <v>98</v>
      </c>
      <c r="H5749" t="s">
        <v>185</v>
      </c>
      <c r="I5749">
        <v>7409.5</v>
      </c>
      <c r="J5749">
        <v>7539.81</v>
      </c>
      <c r="K5749" t="s">
        <v>17</v>
      </c>
      <c r="L5749" t="b">
        <v>0</v>
      </c>
      <c r="N5749" s="2" t="str">
        <f t="shared" si="512"/>
        <v/>
      </c>
      <c r="Q5749" t="str">
        <f t="shared" si="517"/>
        <v/>
      </c>
    </row>
    <row r="5750" spans="1:17" hidden="1">
      <c r="A5750" t="s">
        <v>5855</v>
      </c>
      <c r="B5750" s="1">
        <v>45687</v>
      </c>
      <c r="C5750">
        <v>2025</v>
      </c>
      <c r="D5750">
        <v>1</v>
      </c>
      <c r="E5750" t="s">
        <v>37</v>
      </c>
      <c r="F5750" t="s">
        <v>24</v>
      </c>
      <c r="G5750" t="s">
        <v>41</v>
      </c>
      <c r="H5750" t="s">
        <v>42</v>
      </c>
      <c r="I5750">
        <v>4578.8100000000004</v>
      </c>
      <c r="J5750">
        <v>4267.93</v>
      </c>
      <c r="K5750" t="s">
        <v>17</v>
      </c>
      <c r="L5750" t="b">
        <v>0</v>
      </c>
      <c r="N5750" s="2" t="str">
        <f t="shared" si="512"/>
        <v/>
      </c>
      <c r="Q5750" t="str">
        <f t="shared" si="517"/>
        <v/>
      </c>
    </row>
    <row r="5751" spans="1:17" hidden="1">
      <c r="A5751" t="s">
        <v>5856</v>
      </c>
      <c r="B5751" s="1">
        <v>45688</v>
      </c>
      <c r="C5751">
        <v>2025</v>
      </c>
      <c r="D5751">
        <v>1</v>
      </c>
      <c r="E5751" t="s">
        <v>13</v>
      </c>
      <c r="F5751" t="s">
        <v>24</v>
      </c>
      <c r="G5751" t="s">
        <v>102</v>
      </c>
      <c r="H5751" t="s">
        <v>278</v>
      </c>
      <c r="I5751">
        <v>2956.28</v>
      </c>
      <c r="J5751">
        <v>2774.62</v>
      </c>
      <c r="K5751" t="s">
        <v>17</v>
      </c>
      <c r="L5751" t="b">
        <v>0</v>
      </c>
      <c r="N5751" s="2" t="str">
        <f t="shared" si="512"/>
        <v/>
      </c>
      <c r="Q5751" t="str">
        <f t="shared" si="517"/>
        <v/>
      </c>
    </row>
    <row r="5752" spans="1:17" hidden="1">
      <c r="A5752" t="s">
        <v>5857</v>
      </c>
      <c r="B5752" s="1">
        <v>45688</v>
      </c>
      <c r="C5752">
        <v>2025</v>
      </c>
      <c r="D5752">
        <v>1</v>
      </c>
      <c r="E5752" t="s">
        <v>13</v>
      </c>
      <c r="F5752" t="s">
        <v>24</v>
      </c>
      <c r="G5752" t="s">
        <v>102</v>
      </c>
      <c r="H5752" t="s">
        <v>145</v>
      </c>
      <c r="I5752">
        <v>3066.8</v>
      </c>
      <c r="J5752">
        <v>2846.02</v>
      </c>
      <c r="K5752" t="s">
        <v>17</v>
      </c>
      <c r="L5752" t="b">
        <v>0</v>
      </c>
      <c r="N5752" s="2" t="str">
        <f t="shared" si="512"/>
        <v/>
      </c>
      <c r="Q5752" t="str">
        <f t="shared" si="517"/>
        <v/>
      </c>
    </row>
    <row r="5753" spans="1:17" hidden="1">
      <c r="A5753" t="s">
        <v>5858</v>
      </c>
      <c r="B5753" s="1">
        <v>45688</v>
      </c>
      <c r="C5753">
        <v>2025</v>
      </c>
      <c r="D5753">
        <v>1</v>
      </c>
      <c r="E5753" t="s">
        <v>47</v>
      </c>
      <c r="F5753" t="s">
        <v>14</v>
      </c>
      <c r="G5753" t="s">
        <v>77</v>
      </c>
      <c r="H5753" t="s">
        <v>130</v>
      </c>
      <c r="I5753">
        <v>20830.46</v>
      </c>
      <c r="J5753">
        <v>17686.54</v>
      </c>
      <c r="K5753" t="s">
        <v>17</v>
      </c>
      <c r="L5753" t="b">
        <v>0</v>
      </c>
      <c r="N5753" s="2" t="b">
        <f t="shared" si="512"/>
        <v>1</v>
      </c>
      <c r="O5753" t="str">
        <f t="shared" ref="O5753:O5756" si="519">IF(AND(E5742="HR",K5742="EXPENSE"),I5742&lt;J5742,"")</f>
        <v/>
      </c>
      <c r="Q5753" t="str">
        <f t="shared" si="517"/>
        <v/>
      </c>
    </row>
    <row r="5754" spans="1:17" hidden="1">
      <c r="A5754" t="s">
        <v>5859</v>
      </c>
      <c r="B5754" s="1">
        <v>45688</v>
      </c>
      <c r="C5754">
        <v>2025</v>
      </c>
      <c r="D5754">
        <v>1</v>
      </c>
      <c r="E5754" t="s">
        <v>47</v>
      </c>
      <c r="F5754" t="s">
        <v>28</v>
      </c>
      <c r="G5754" t="s">
        <v>48</v>
      </c>
      <c r="H5754" t="s">
        <v>191</v>
      </c>
      <c r="I5754">
        <v>16393.96</v>
      </c>
      <c r="J5754">
        <v>13529.86</v>
      </c>
      <c r="K5754" t="s">
        <v>17</v>
      </c>
      <c r="L5754" t="b">
        <v>0</v>
      </c>
      <c r="N5754" s="2" t="b">
        <f t="shared" si="512"/>
        <v>1</v>
      </c>
      <c r="O5754" t="b">
        <f t="shared" si="519"/>
        <v>1</v>
      </c>
      <c r="Q5754" t="str">
        <f t="shared" si="517"/>
        <v/>
      </c>
    </row>
    <row r="5755" spans="1:17" hidden="1">
      <c r="A5755" t="s">
        <v>5860</v>
      </c>
      <c r="B5755" s="1">
        <v>45688</v>
      </c>
      <c r="C5755">
        <v>2025</v>
      </c>
      <c r="D5755">
        <v>1</v>
      </c>
      <c r="E5755" t="s">
        <v>47</v>
      </c>
      <c r="F5755" t="s">
        <v>28</v>
      </c>
      <c r="G5755" t="s">
        <v>48</v>
      </c>
      <c r="H5755" t="s">
        <v>49</v>
      </c>
      <c r="I5755">
        <v>14289.79</v>
      </c>
      <c r="J5755">
        <v>11833.55</v>
      </c>
      <c r="K5755" t="s">
        <v>17</v>
      </c>
      <c r="L5755" t="b">
        <v>0</v>
      </c>
      <c r="N5755" s="2" t="b">
        <f t="shared" si="512"/>
        <v>1</v>
      </c>
      <c r="O5755" t="b">
        <f t="shared" si="519"/>
        <v>1</v>
      </c>
      <c r="Q5755" t="str">
        <f t="shared" si="517"/>
        <v/>
      </c>
    </row>
    <row r="5756" spans="1:17" hidden="1">
      <c r="A5756" t="s">
        <v>5861</v>
      </c>
      <c r="B5756" s="1">
        <v>45688</v>
      </c>
      <c r="C5756">
        <v>2025</v>
      </c>
      <c r="D5756">
        <v>1</v>
      </c>
      <c r="E5756" t="s">
        <v>47</v>
      </c>
      <c r="F5756" t="s">
        <v>24</v>
      </c>
      <c r="G5756" t="s">
        <v>51</v>
      </c>
      <c r="H5756" t="s">
        <v>189</v>
      </c>
      <c r="I5756">
        <v>17638.72</v>
      </c>
      <c r="J5756">
        <v>14634.82</v>
      </c>
      <c r="K5756" t="s">
        <v>17</v>
      </c>
      <c r="L5756" t="b">
        <v>0</v>
      </c>
      <c r="N5756" s="2" t="b">
        <f t="shared" si="512"/>
        <v>1</v>
      </c>
      <c r="O5756" t="b">
        <f t="shared" si="519"/>
        <v>1</v>
      </c>
      <c r="Q5756" t="str">
        <f t="shared" si="517"/>
        <v/>
      </c>
    </row>
    <row r="5757" spans="1:17" hidden="1">
      <c r="A5757" t="s">
        <v>5862</v>
      </c>
      <c r="B5757" s="1">
        <v>45688</v>
      </c>
      <c r="C5757">
        <v>2025</v>
      </c>
      <c r="D5757">
        <v>1</v>
      </c>
      <c r="E5757" t="s">
        <v>19</v>
      </c>
      <c r="F5757" t="s">
        <v>28</v>
      </c>
      <c r="G5757" t="s">
        <v>20</v>
      </c>
      <c r="H5757" t="s">
        <v>21</v>
      </c>
      <c r="I5757">
        <v>7277.51</v>
      </c>
      <c r="J5757">
        <v>7247.96</v>
      </c>
      <c r="K5757" t="s">
        <v>17</v>
      </c>
      <c r="L5757" t="b">
        <v>0</v>
      </c>
      <c r="N5757" s="2" t="str">
        <f t="shared" si="512"/>
        <v/>
      </c>
      <c r="Q5757" t="str">
        <f t="shared" si="517"/>
        <v/>
      </c>
    </row>
    <row r="5758" spans="1:17" hidden="1">
      <c r="A5758" t="s">
        <v>5863</v>
      </c>
      <c r="B5758" s="1">
        <v>45688</v>
      </c>
      <c r="C5758">
        <v>2025</v>
      </c>
      <c r="D5758">
        <v>1</v>
      </c>
      <c r="E5758" t="s">
        <v>23</v>
      </c>
      <c r="F5758" t="s">
        <v>28</v>
      </c>
      <c r="G5758" t="s">
        <v>25</v>
      </c>
      <c r="H5758" t="s">
        <v>35</v>
      </c>
      <c r="I5758">
        <v>5635.83</v>
      </c>
      <c r="J5758">
        <v>6090.46</v>
      </c>
      <c r="K5758" t="s">
        <v>17</v>
      </c>
      <c r="L5758" t="b">
        <v>0</v>
      </c>
      <c r="N5758" s="2" t="str">
        <f t="shared" si="512"/>
        <v/>
      </c>
      <c r="Q5758" t="str">
        <f t="shared" si="517"/>
        <v/>
      </c>
    </row>
    <row r="5759" spans="1:17" hidden="1">
      <c r="A5759" t="s">
        <v>5864</v>
      </c>
      <c r="B5759" s="1">
        <v>45688</v>
      </c>
      <c r="C5759">
        <v>2025</v>
      </c>
      <c r="D5759">
        <v>1</v>
      </c>
      <c r="E5759" t="s">
        <v>23</v>
      </c>
      <c r="F5759" t="s">
        <v>24</v>
      </c>
      <c r="G5759" t="s">
        <v>30</v>
      </c>
      <c r="H5759" t="s">
        <v>33</v>
      </c>
      <c r="I5759">
        <v>7522.22</v>
      </c>
      <c r="J5759">
        <v>7142.3</v>
      </c>
      <c r="K5759" t="s">
        <v>17</v>
      </c>
      <c r="L5759" t="b">
        <v>0</v>
      </c>
      <c r="N5759" s="2" t="str">
        <f t="shared" si="512"/>
        <v/>
      </c>
      <c r="Q5759" t="str">
        <f t="shared" si="517"/>
        <v/>
      </c>
    </row>
    <row r="5760" spans="1:17" hidden="1">
      <c r="A5760" t="s">
        <v>5865</v>
      </c>
      <c r="B5760" s="1">
        <v>45688</v>
      </c>
      <c r="C5760">
        <v>2025</v>
      </c>
      <c r="D5760">
        <v>1</v>
      </c>
      <c r="E5760" t="s">
        <v>37</v>
      </c>
      <c r="F5760" t="s">
        <v>14</v>
      </c>
      <c r="G5760" t="s">
        <v>98</v>
      </c>
      <c r="H5760" t="s">
        <v>185</v>
      </c>
      <c r="I5760">
        <v>3138.06</v>
      </c>
      <c r="J5760">
        <v>3049.64</v>
      </c>
      <c r="K5760" t="s">
        <v>17</v>
      </c>
      <c r="L5760" t="b">
        <v>0</v>
      </c>
      <c r="N5760" s="2" t="str">
        <f t="shared" si="512"/>
        <v/>
      </c>
      <c r="Q5760" t="str">
        <f t="shared" si="517"/>
        <v/>
      </c>
    </row>
    <row r="5761" spans="1:17" hidden="1">
      <c r="A5761" t="s">
        <v>5866</v>
      </c>
      <c r="B5761" s="1">
        <v>45689</v>
      </c>
      <c r="C5761">
        <v>2025</v>
      </c>
      <c r="D5761">
        <v>2</v>
      </c>
      <c r="E5761" t="s">
        <v>47</v>
      </c>
      <c r="F5761" t="s">
        <v>14</v>
      </c>
      <c r="G5761" t="s">
        <v>91</v>
      </c>
      <c r="H5761" t="s">
        <v>254</v>
      </c>
      <c r="I5761">
        <v>15064.37</v>
      </c>
      <c r="J5761">
        <v>12654.5</v>
      </c>
      <c r="K5761" t="s">
        <v>17</v>
      </c>
      <c r="L5761" t="b">
        <v>0</v>
      </c>
      <c r="N5761" s="2" t="b">
        <f t="shared" si="512"/>
        <v>1</v>
      </c>
      <c r="O5761" t="str">
        <f>IF(AND(E5750="HR",K5750="EXPENSE"),I5750&lt;J5750,"")</f>
        <v/>
      </c>
      <c r="Q5761" t="str">
        <f t="shared" si="517"/>
        <v/>
      </c>
    </row>
    <row r="5762" spans="1:17" hidden="1">
      <c r="A5762" t="s">
        <v>5867</v>
      </c>
      <c r="B5762" s="1">
        <v>45689</v>
      </c>
      <c r="C5762">
        <v>2025</v>
      </c>
      <c r="D5762">
        <v>2</v>
      </c>
      <c r="E5762" t="s">
        <v>19</v>
      </c>
      <c r="F5762" t="s">
        <v>14</v>
      </c>
      <c r="G5762" t="s">
        <v>132</v>
      </c>
      <c r="H5762" t="s">
        <v>133</v>
      </c>
      <c r="I5762">
        <v>6241.71</v>
      </c>
      <c r="J5762">
        <v>6108.97</v>
      </c>
      <c r="K5762" t="s">
        <v>17</v>
      </c>
      <c r="L5762" t="b">
        <v>0</v>
      </c>
      <c r="N5762" s="2" t="str">
        <f t="shared" si="512"/>
        <v/>
      </c>
      <c r="Q5762" t="str">
        <f t="shared" si="517"/>
        <v/>
      </c>
    </row>
    <row r="5763" spans="1:17" hidden="1">
      <c r="A5763" t="s">
        <v>5868</v>
      </c>
      <c r="B5763" s="1">
        <v>45689</v>
      </c>
      <c r="C5763">
        <v>2025</v>
      </c>
      <c r="D5763">
        <v>2</v>
      </c>
      <c r="E5763" t="s">
        <v>19</v>
      </c>
      <c r="F5763" t="s">
        <v>24</v>
      </c>
      <c r="G5763" t="s">
        <v>80</v>
      </c>
      <c r="H5763" t="s">
        <v>113</v>
      </c>
      <c r="I5763">
        <v>6984.21</v>
      </c>
      <c r="J5763">
        <v>7653.45</v>
      </c>
      <c r="K5763" t="s">
        <v>17</v>
      </c>
      <c r="L5763" t="b">
        <v>0</v>
      </c>
      <c r="N5763" s="2" t="str">
        <f t="shared" ref="N5763:N5826" si="520">IF(AND(E5763="IT",K5763="EXPENSE"),I5763&gt;J5763,"")</f>
        <v/>
      </c>
      <c r="Q5763" t="str">
        <f t="shared" si="517"/>
        <v/>
      </c>
    </row>
    <row r="5764" spans="1:17" hidden="1">
      <c r="A5764" t="s">
        <v>5869</v>
      </c>
      <c r="B5764" s="1">
        <v>45689</v>
      </c>
      <c r="C5764">
        <v>2025</v>
      </c>
      <c r="D5764">
        <v>2</v>
      </c>
      <c r="E5764" t="s">
        <v>23</v>
      </c>
      <c r="F5764" t="s">
        <v>14</v>
      </c>
      <c r="G5764" t="s">
        <v>59</v>
      </c>
      <c r="H5764" t="s">
        <v>60</v>
      </c>
      <c r="I5764">
        <v>5613.43</v>
      </c>
      <c r="J5764">
        <v>5511.35</v>
      </c>
      <c r="K5764" t="s">
        <v>17</v>
      </c>
      <c r="L5764" t="b">
        <v>0</v>
      </c>
      <c r="N5764" s="2" t="str">
        <f t="shared" si="520"/>
        <v/>
      </c>
      <c r="Q5764" t="str">
        <f t="shared" si="517"/>
        <v/>
      </c>
    </row>
    <row r="5765" spans="1:17" hidden="1">
      <c r="A5765" t="s">
        <v>5870</v>
      </c>
      <c r="B5765" s="1">
        <v>45689</v>
      </c>
      <c r="C5765">
        <v>2025</v>
      </c>
      <c r="D5765">
        <v>2</v>
      </c>
      <c r="E5765" t="s">
        <v>23</v>
      </c>
      <c r="F5765" t="s">
        <v>28</v>
      </c>
      <c r="G5765" t="s">
        <v>59</v>
      </c>
      <c r="H5765" t="s">
        <v>155</v>
      </c>
      <c r="I5765">
        <v>5356.97</v>
      </c>
      <c r="J5765">
        <v>5533.8</v>
      </c>
      <c r="K5765" t="s">
        <v>17</v>
      </c>
      <c r="L5765" t="b">
        <v>0</v>
      </c>
      <c r="N5765" s="2" t="str">
        <f t="shared" si="520"/>
        <v/>
      </c>
      <c r="Q5765" t="str">
        <f t="shared" si="517"/>
        <v/>
      </c>
    </row>
    <row r="5766" spans="1:17" hidden="1">
      <c r="A5766" t="s">
        <v>5871</v>
      </c>
      <c r="B5766" s="1">
        <v>45689</v>
      </c>
      <c r="C5766">
        <v>2025</v>
      </c>
      <c r="D5766">
        <v>2</v>
      </c>
      <c r="E5766" t="s">
        <v>37</v>
      </c>
      <c r="F5766" t="s">
        <v>14</v>
      </c>
      <c r="G5766" t="s">
        <v>62</v>
      </c>
      <c r="H5766" t="s">
        <v>66</v>
      </c>
      <c r="I5766">
        <v>4140.9799999999996</v>
      </c>
      <c r="J5766">
        <v>4255.71</v>
      </c>
      <c r="K5766" t="s">
        <v>17</v>
      </c>
      <c r="L5766" t="b">
        <v>0</v>
      </c>
      <c r="N5766" s="2" t="str">
        <f t="shared" si="520"/>
        <v/>
      </c>
      <c r="Q5766" t="str">
        <f t="shared" si="517"/>
        <v/>
      </c>
    </row>
    <row r="5767" spans="1:17" hidden="1">
      <c r="A5767" t="s">
        <v>5872</v>
      </c>
      <c r="B5767" s="1">
        <v>45689</v>
      </c>
      <c r="C5767">
        <v>2025</v>
      </c>
      <c r="D5767">
        <v>2</v>
      </c>
      <c r="E5767" t="s">
        <v>37</v>
      </c>
      <c r="F5767" t="s">
        <v>28</v>
      </c>
      <c r="G5767" t="s">
        <v>98</v>
      </c>
      <c r="H5767" t="s">
        <v>185</v>
      </c>
      <c r="I5767">
        <v>4776.6899999999996</v>
      </c>
      <c r="J5767">
        <v>5210</v>
      </c>
      <c r="K5767" t="s">
        <v>17</v>
      </c>
      <c r="L5767" t="b">
        <v>0</v>
      </c>
      <c r="N5767" s="2" t="str">
        <f t="shared" si="520"/>
        <v/>
      </c>
      <c r="Q5767" t="str">
        <f t="shared" si="517"/>
        <v/>
      </c>
    </row>
    <row r="5768" spans="1:17" hidden="1">
      <c r="A5768" t="s">
        <v>5873</v>
      </c>
      <c r="B5768" s="1">
        <v>45689</v>
      </c>
      <c r="C5768">
        <v>2025</v>
      </c>
      <c r="D5768">
        <v>2</v>
      </c>
      <c r="E5768" t="s">
        <v>37</v>
      </c>
      <c r="F5768" t="s">
        <v>24</v>
      </c>
      <c r="G5768" t="s">
        <v>41</v>
      </c>
      <c r="H5768" t="s">
        <v>42</v>
      </c>
      <c r="I5768">
        <v>5557.43</v>
      </c>
      <c r="J5768">
        <v>5423.1</v>
      </c>
      <c r="K5768" t="s">
        <v>17</v>
      </c>
      <c r="L5768" t="b">
        <v>0</v>
      </c>
      <c r="N5768" s="2" t="str">
        <f t="shared" si="520"/>
        <v/>
      </c>
      <c r="Q5768" t="str">
        <f t="shared" si="517"/>
        <v/>
      </c>
    </row>
    <row r="5769" spans="1:17" hidden="1">
      <c r="A5769" t="s">
        <v>5874</v>
      </c>
      <c r="B5769" s="1">
        <v>45689</v>
      </c>
      <c r="C5769">
        <v>2025</v>
      </c>
      <c r="D5769">
        <v>2</v>
      </c>
      <c r="E5769" t="s">
        <v>37</v>
      </c>
      <c r="F5769" t="s">
        <v>24</v>
      </c>
      <c r="G5769" t="s">
        <v>38</v>
      </c>
      <c r="H5769" t="s">
        <v>118</v>
      </c>
      <c r="I5769">
        <v>5386.94</v>
      </c>
      <c r="J5769">
        <v>5349.42</v>
      </c>
      <c r="K5769" t="s">
        <v>17</v>
      </c>
      <c r="L5769" t="b">
        <v>0</v>
      </c>
      <c r="N5769" s="2" t="str">
        <f t="shared" si="520"/>
        <v/>
      </c>
      <c r="Q5769" t="str">
        <f t="shared" si="517"/>
        <v/>
      </c>
    </row>
    <row r="5770" spans="1:17" hidden="1">
      <c r="A5770" t="s">
        <v>5875</v>
      </c>
      <c r="B5770" s="1">
        <v>45690</v>
      </c>
      <c r="C5770">
        <v>2025</v>
      </c>
      <c r="D5770">
        <v>2</v>
      </c>
      <c r="E5770" t="s">
        <v>47</v>
      </c>
      <c r="F5770" t="s">
        <v>14</v>
      </c>
      <c r="G5770" t="s">
        <v>51</v>
      </c>
      <c r="H5770" t="s">
        <v>52</v>
      </c>
      <c r="I5770">
        <v>13060.05</v>
      </c>
      <c r="J5770">
        <v>11316.51</v>
      </c>
      <c r="K5770" t="s">
        <v>17</v>
      </c>
      <c r="L5770" t="b">
        <v>0</v>
      </c>
      <c r="N5770" s="2" t="b">
        <f t="shared" si="520"/>
        <v>1</v>
      </c>
      <c r="O5770" t="str">
        <f>IF(AND(E5759="HR",K5759="EXPENSE"),I5759&lt;J5759,"")</f>
        <v/>
      </c>
      <c r="Q5770" t="str">
        <f t="shared" si="517"/>
        <v/>
      </c>
    </row>
    <row r="5771" spans="1:17" hidden="1">
      <c r="A5771" t="s">
        <v>5876</v>
      </c>
      <c r="B5771" s="1">
        <v>45690</v>
      </c>
      <c r="C5771">
        <v>2025</v>
      </c>
      <c r="D5771">
        <v>2</v>
      </c>
      <c r="E5771" t="s">
        <v>19</v>
      </c>
      <c r="F5771" t="s">
        <v>14</v>
      </c>
      <c r="G5771" t="s">
        <v>132</v>
      </c>
      <c r="H5771" t="s">
        <v>133</v>
      </c>
      <c r="I5771">
        <v>7482.89</v>
      </c>
      <c r="J5771">
        <v>7983.85</v>
      </c>
      <c r="K5771" t="s">
        <v>17</v>
      </c>
      <c r="L5771" t="b">
        <v>0</v>
      </c>
      <c r="N5771" s="2" t="str">
        <f t="shared" si="520"/>
        <v/>
      </c>
      <c r="Q5771" t="str">
        <f t="shared" si="517"/>
        <v/>
      </c>
    </row>
    <row r="5772" spans="1:17" hidden="1">
      <c r="A5772" t="s">
        <v>5877</v>
      </c>
      <c r="B5772" s="1">
        <v>45690</v>
      </c>
      <c r="C5772">
        <v>2025</v>
      </c>
      <c r="D5772">
        <v>2</v>
      </c>
      <c r="E5772" t="s">
        <v>19</v>
      </c>
      <c r="F5772" t="s">
        <v>14</v>
      </c>
      <c r="G5772" t="s">
        <v>20</v>
      </c>
      <c r="H5772" t="s">
        <v>136</v>
      </c>
      <c r="I5772">
        <v>8094.46</v>
      </c>
      <c r="J5772">
        <v>7935.24</v>
      </c>
      <c r="K5772" t="s">
        <v>17</v>
      </c>
      <c r="L5772" t="b">
        <v>0</v>
      </c>
      <c r="N5772" s="2" t="str">
        <f t="shared" si="520"/>
        <v/>
      </c>
      <c r="Q5772" t="str">
        <f t="shared" si="517"/>
        <v/>
      </c>
    </row>
    <row r="5773" spans="1:17" hidden="1">
      <c r="A5773" t="s">
        <v>5878</v>
      </c>
      <c r="B5773" s="1">
        <v>45690</v>
      </c>
      <c r="C5773">
        <v>2025</v>
      </c>
      <c r="D5773">
        <v>2</v>
      </c>
      <c r="E5773" t="s">
        <v>23</v>
      </c>
      <c r="F5773" t="s">
        <v>28</v>
      </c>
      <c r="G5773" t="s">
        <v>141</v>
      </c>
      <c r="H5773" t="s">
        <v>142</v>
      </c>
      <c r="I5773">
        <v>4590.82</v>
      </c>
      <c r="J5773">
        <v>4978.93</v>
      </c>
      <c r="K5773" t="s">
        <v>17</v>
      </c>
      <c r="L5773" t="b">
        <v>0</v>
      </c>
      <c r="N5773" s="2" t="str">
        <f t="shared" si="520"/>
        <v/>
      </c>
      <c r="Q5773" t="str">
        <f t="shared" si="517"/>
        <v/>
      </c>
    </row>
    <row r="5774" spans="1:17" hidden="1">
      <c r="A5774" t="s">
        <v>5879</v>
      </c>
      <c r="B5774" s="1">
        <v>45690</v>
      </c>
      <c r="C5774">
        <v>2025</v>
      </c>
      <c r="D5774">
        <v>2</v>
      </c>
      <c r="E5774" t="s">
        <v>23</v>
      </c>
      <c r="F5774" t="s">
        <v>24</v>
      </c>
      <c r="G5774" t="s">
        <v>141</v>
      </c>
      <c r="H5774" t="s">
        <v>209</v>
      </c>
      <c r="I5774">
        <v>3680.47</v>
      </c>
      <c r="J5774">
        <v>3909.41</v>
      </c>
      <c r="K5774" t="s">
        <v>17</v>
      </c>
      <c r="L5774" t="b">
        <v>0</v>
      </c>
      <c r="N5774" s="2" t="str">
        <f t="shared" si="520"/>
        <v/>
      </c>
      <c r="Q5774" t="str">
        <f t="shared" si="517"/>
        <v/>
      </c>
    </row>
    <row r="5775" spans="1:17" hidden="1">
      <c r="A5775" t="s">
        <v>5880</v>
      </c>
      <c r="B5775" s="1">
        <v>45691</v>
      </c>
      <c r="C5775">
        <v>2025</v>
      </c>
      <c r="D5775">
        <v>2</v>
      </c>
      <c r="E5775" t="s">
        <v>13</v>
      </c>
      <c r="F5775" t="s">
        <v>14</v>
      </c>
      <c r="G5775" t="s">
        <v>102</v>
      </c>
      <c r="H5775" t="s">
        <v>145</v>
      </c>
      <c r="I5775">
        <v>4048.32</v>
      </c>
      <c r="J5775">
        <v>3661.58</v>
      </c>
      <c r="K5775" t="s">
        <v>17</v>
      </c>
      <c r="L5775" t="b">
        <v>0</v>
      </c>
      <c r="N5775" s="2" t="str">
        <f t="shared" si="520"/>
        <v/>
      </c>
      <c r="Q5775" t="str">
        <f t="shared" si="517"/>
        <v/>
      </c>
    </row>
    <row r="5776" spans="1:17" hidden="1">
      <c r="A5776" t="s">
        <v>5881</v>
      </c>
      <c r="B5776" s="1">
        <v>45691</v>
      </c>
      <c r="C5776">
        <v>2025</v>
      </c>
      <c r="D5776">
        <v>2</v>
      </c>
      <c r="E5776" t="s">
        <v>13</v>
      </c>
      <c r="F5776" t="s">
        <v>14</v>
      </c>
      <c r="G5776" t="s">
        <v>108</v>
      </c>
      <c r="H5776" t="s">
        <v>123</v>
      </c>
      <c r="I5776">
        <v>3336.6</v>
      </c>
      <c r="J5776">
        <v>3312.13</v>
      </c>
      <c r="K5776" t="s">
        <v>17</v>
      </c>
      <c r="L5776" t="b">
        <v>0</v>
      </c>
      <c r="N5776" s="2" t="str">
        <f t="shared" si="520"/>
        <v/>
      </c>
      <c r="Q5776" t="str">
        <f t="shared" si="517"/>
        <v/>
      </c>
    </row>
    <row r="5777" spans="1:17" hidden="1">
      <c r="A5777" t="s">
        <v>5882</v>
      </c>
      <c r="B5777" s="1">
        <v>45691</v>
      </c>
      <c r="C5777">
        <v>2025</v>
      </c>
      <c r="D5777">
        <v>2</v>
      </c>
      <c r="E5777" t="s">
        <v>13</v>
      </c>
      <c r="F5777" t="s">
        <v>28</v>
      </c>
      <c r="G5777" t="s">
        <v>15</v>
      </c>
      <c r="H5777" t="s">
        <v>45</v>
      </c>
      <c r="I5777">
        <v>3945.25</v>
      </c>
      <c r="J5777">
        <v>4109.66</v>
      </c>
      <c r="K5777" t="s">
        <v>17</v>
      </c>
      <c r="L5777" t="b">
        <v>0</v>
      </c>
      <c r="N5777" s="2" t="str">
        <f t="shared" si="520"/>
        <v/>
      </c>
      <c r="Q5777" t="str">
        <f t="shared" si="517"/>
        <v/>
      </c>
    </row>
    <row r="5778" spans="1:17" hidden="1">
      <c r="A5778" t="s">
        <v>5883</v>
      </c>
      <c r="B5778" s="1">
        <v>45691</v>
      </c>
      <c r="C5778">
        <v>2025</v>
      </c>
      <c r="D5778">
        <v>2</v>
      </c>
      <c r="E5778" t="s">
        <v>47</v>
      </c>
      <c r="F5778" t="s">
        <v>28</v>
      </c>
      <c r="G5778" t="s">
        <v>77</v>
      </c>
      <c r="H5778" t="s">
        <v>147</v>
      </c>
      <c r="I5778">
        <v>13146.48</v>
      </c>
      <c r="J5778">
        <v>11253.06</v>
      </c>
      <c r="K5778" t="s">
        <v>17</v>
      </c>
      <c r="L5778" t="b">
        <v>0</v>
      </c>
      <c r="N5778" s="2" t="b">
        <f t="shared" si="520"/>
        <v>1</v>
      </c>
      <c r="O5778" t="str">
        <f t="shared" ref="O5778:O5779" si="521">IF(AND(E5767="HR",K5767="EXPENSE"),I5767&lt;J5767,"")</f>
        <v/>
      </c>
      <c r="Q5778" t="str">
        <f t="shared" si="517"/>
        <v/>
      </c>
    </row>
    <row r="5779" spans="1:17" hidden="1">
      <c r="A5779" t="s">
        <v>5884</v>
      </c>
      <c r="B5779" s="1">
        <v>45691</v>
      </c>
      <c r="C5779">
        <v>2025</v>
      </c>
      <c r="D5779">
        <v>2</v>
      </c>
      <c r="E5779" t="s">
        <v>47</v>
      </c>
      <c r="F5779" t="s">
        <v>28</v>
      </c>
      <c r="G5779" t="s">
        <v>48</v>
      </c>
      <c r="H5779" t="s">
        <v>189</v>
      </c>
      <c r="I5779">
        <v>12314.61</v>
      </c>
      <c r="J5779">
        <v>10305.790000000001</v>
      </c>
      <c r="K5779" t="s">
        <v>17</v>
      </c>
      <c r="L5779" t="b">
        <v>0</v>
      </c>
      <c r="N5779" s="2" t="b">
        <f t="shared" si="520"/>
        <v>1</v>
      </c>
      <c r="O5779" t="str">
        <f t="shared" si="521"/>
        <v/>
      </c>
      <c r="Q5779" t="str">
        <f t="shared" si="517"/>
        <v/>
      </c>
    </row>
    <row r="5780" spans="1:17" hidden="1">
      <c r="A5780" t="s">
        <v>5885</v>
      </c>
      <c r="B5780" s="1">
        <v>45691</v>
      </c>
      <c r="C5780">
        <v>2025</v>
      </c>
      <c r="D5780">
        <v>2</v>
      </c>
      <c r="E5780" t="s">
        <v>19</v>
      </c>
      <c r="F5780" t="s">
        <v>14</v>
      </c>
      <c r="G5780" t="s">
        <v>54</v>
      </c>
      <c r="H5780" t="s">
        <v>57</v>
      </c>
      <c r="I5780">
        <v>6590.19</v>
      </c>
      <c r="J5780">
        <v>6351.75</v>
      </c>
      <c r="K5780" t="s">
        <v>17</v>
      </c>
      <c r="L5780" t="b">
        <v>0</v>
      </c>
      <c r="N5780" s="2" t="str">
        <f t="shared" si="520"/>
        <v/>
      </c>
      <c r="Q5780" t="str">
        <f t="shared" si="517"/>
        <v/>
      </c>
    </row>
    <row r="5781" spans="1:17" hidden="1">
      <c r="A5781" t="s">
        <v>5886</v>
      </c>
      <c r="B5781" s="1">
        <v>45691</v>
      </c>
      <c r="C5781">
        <v>2025</v>
      </c>
      <c r="D5781">
        <v>2</v>
      </c>
      <c r="E5781" t="s">
        <v>23</v>
      </c>
      <c r="F5781" t="s">
        <v>14</v>
      </c>
      <c r="G5781" t="s">
        <v>25</v>
      </c>
      <c r="H5781" t="s">
        <v>95</v>
      </c>
      <c r="I5781">
        <v>7336.06</v>
      </c>
      <c r="J5781">
        <v>7640.56</v>
      </c>
      <c r="K5781" t="s">
        <v>17</v>
      </c>
      <c r="L5781" t="b">
        <v>0</v>
      </c>
      <c r="N5781" s="2" t="str">
        <f t="shared" si="520"/>
        <v/>
      </c>
      <c r="Q5781" t="str">
        <f t="shared" si="517"/>
        <v/>
      </c>
    </row>
    <row r="5782" spans="1:17" hidden="1">
      <c r="A5782" t="s">
        <v>5887</v>
      </c>
      <c r="B5782" s="1">
        <v>45691</v>
      </c>
      <c r="C5782">
        <v>2025</v>
      </c>
      <c r="D5782">
        <v>2</v>
      </c>
      <c r="E5782" t="s">
        <v>37</v>
      </c>
      <c r="F5782" t="s">
        <v>28</v>
      </c>
      <c r="G5782" t="s">
        <v>62</v>
      </c>
      <c r="H5782" t="s">
        <v>63</v>
      </c>
      <c r="I5782">
        <v>4942.84</v>
      </c>
      <c r="J5782">
        <v>5162.9399999999996</v>
      </c>
      <c r="K5782" t="s">
        <v>17</v>
      </c>
      <c r="L5782" t="b">
        <v>0</v>
      </c>
      <c r="N5782" s="2" t="str">
        <f t="shared" si="520"/>
        <v/>
      </c>
      <c r="Q5782" t="str">
        <f t="shared" si="517"/>
        <v/>
      </c>
    </row>
    <row r="5783" spans="1:17" hidden="1">
      <c r="A5783" t="s">
        <v>5888</v>
      </c>
      <c r="B5783" s="1">
        <v>45691</v>
      </c>
      <c r="C5783">
        <v>2025</v>
      </c>
      <c r="D5783">
        <v>2</v>
      </c>
      <c r="E5783" t="s">
        <v>37</v>
      </c>
      <c r="F5783" t="s">
        <v>14</v>
      </c>
      <c r="G5783" t="s">
        <v>83</v>
      </c>
      <c r="H5783" t="s">
        <v>84</v>
      </c>
      <c r="I5783">
        <v>262775.48</v>
      </c>
      <c r="J5783">
        <v>249636.7</v>
      </c>
      <c r="K5783" t="s">
        <v>85</v>
      </c>
      <c r="L5783" t="b">
        <v>0</v>
      </c>
      <c r="N5783" s="2" t="str">
        <f t="shared" si="520"/>
        <v/>
      </c>
      <c r="Q5783" t="str">
        <f t="shared" si="517"/>
        <v/>
      </c>
    </row>
    <row r="5784" spans="1:17" hidden="1">
      <c r="A5784" t="s">
        <v>5889</v>
      </c>
      <c r="B5784" s="1">
        <v>45692</v>
      </c>
      <c r="C5784">
        <v>2025</v>
      </c>
      <c r="D5784">
        <v>2</v>
      </c>
      <c r="E5784" t="s">
        <v>13</v>
      </c>
      <c r="F5784" t="s">
        <v>28</v>
      </c>
      <c r="G5784" t="s">
        <v>15</v>
      </c>
      <c r="H5784" t="s">
        <v>45</v>
      </c>
      <c r="I5784">
        <v>3552.82</v>
      </c>
      <c r="J5784">
        <v>3908.05</v>
      </c>
      <c r="K5784" t="s">
        <v>17</v>
      </c>
      <c r="L5784" t="b">
        <v>0</v>
      </c>
      <c r="N5784" s="2" t="str">
        <f t="shared" si="520"/>
        <v/>
      </c>
      <c r="Q5784" t="str">
        <f t="shared" si="517"/>
        <v/>
      </c>
    </row>
    <row r="5785" spans="1:17" hidden="1">
      <c r="A5785" t="s">
        <v>5890</v>
      </c>
      <c r="B5785" s="1">
        <v>45692</v>
      </c>
      <c r="C5785">
        <v>2025</v>
      </c>
      <c r="D5785">
        <v>2</v>
      </c>
      <c r="E5785" t="s">
        <v>47</v>
      </c>
      <c r="F5785" t="s">
        <v>14</v>
      </c>
      <c r="G5785" t="s">
        <v>91</v>
      </c>
      <c r="H5785" t="s">
        <v>254</v>
      </c>
      <c r="I5785">
        <v>13291.96</v>
      </c>
      <c r="J5785">
        <v>11202.4</v>
      </c>
      <c r="K5785" t="s">
        <v>17</v>
      </c>
      <c r="L5785" t="b">
        <v>0</v>
      </c>
      <c r="N5785" s="2" t="b">
        <f t="shared" si="520"/>
        <v>1</v>
      </c>
      <c r="O5785" t="str">
        <f t="shared" ref="O5785:O5787" si="522">IF(AND(E5774="HR",K5774="EXPENSE"),I5774&lt;J5774,"")</f>
        <v/>
      </c>
      <c r="Q5785" t="str">
        <f t="shared" si="517"/>
        <v/>
      </c>
    </row>
    <row r="5786" spans="1:17" hidden="1">
      <c r="A5786" t="s">
        <v>5891</v>
      </c>
      <c r="B5786" s="1">
        <v>45692</v>
      </c>
      <c r="C5786">
        <v>2025</v>
      </c>
      <c r="D5786">
        <v>2</v>
      </c>
      <c r="E5786" t="s">
        <v>47</v>
      </c>
      <c r="F5786" t="s">
        <v>14</v>
      </c>
      <c r="G5786" t="s">
        <v>77</v>
      </c>
      <c r="H5786" t="s">
        <v>78</v>
      </c>
      <c r="I5786">
        <v>8228</v>
      </c>
      <c r="J5786">
        <v>6760.09</v>
      </c>
      <c r="K5786" t="s">
        <v>17</v>
      </c>
      <c r="L5786" t="b">
        <v>0</v>
      </c>
      <c r="N5786" s="2" t="b">
        <f t="shared" si="520"/>
        <v>1</v>
      </c>
      <c r="O5786" t="b">
        <f t="shared" si="522"/>
        <v>0</v>
      </c>
      <c r="Q5786" t="str">
        <f t="shared" si="517"/>
        <v/>
      </c>
    </row>
    <row r="5787" spans="1:17" hidden="1">
      <c r="A5787" t="s">
        <v>5892</v>
      </c>
      <c r="B5787" s="1">
        <v>45692</v>
      </c>
      <c r="C5787">
        <v>2025</v>
      </c>
      <c r="D5787">
        <v>2</v>
      </c>
      <c r="E5787" t="s">
        <v>47</v>
      </c>
      <c r="F5787" t="s">
        <v>28</v>
      </c>
      <c r="G5787" t="s">
        <v>51</v>
      </c>
      <c r="H5787" t="s">
        <v>189</v>
      </c>
      <c r="I5787">
        <v>12470.09</v>
      </c>
      <c r="J5787">
        <v>10266.39</v>
      </c>
      <c r="K5787" t="s">
        <v>17</v>
      </c>
      <c r="L5787" t="b">
        <v>0</v>
      </c>
      <c r="N5787" s="2" t="b">
        <f t="shared" si="520"/>
        <v>1</v>
      </c>
      <c r="O5787" t="b">
        <f t="shared" si="522"/>
        <v>0</v>
      </c>
      <c r="Q5787" t="str">
        <f t="shared" si="517"/>
        <v/>
      </c>
    </row>
    <row r="5788" spans="1:17" hidden="1">
      <c r="A5788" t="s">
        <v>5893</v>
      </c>
      <c r="B5788" s="1">
        <v>45692</v>
      </c>
      <c r="C5788">
        <v>2025</v>
      </c>
      <c r="D5788">
        <v>2</v>
      </c>
      <c r="E5788" t="s">
        <v>19</v>
      </c>
      <c r="F5788" t="s">
        <v>24</v>
      </c>
      <c r="G5788" t="s">
        <v>80</v>
      </c>
      <c r="H5788" t="s">
        <v>150</v>
      </c>
      <c r="I5788">
        <v>5414.12</v>
      </c>
      <c r="J5788">
        <v>5622.01</v>
      </c>
      <c r="K5788" t="s">
        <v>17</v>
      </c>
      <c r="L5788" t="b">
        <v>0</v>
      </c>
      <c r="N5788" s="2" t="str">
        <f t="shared" si="520"/>
        <v/>
      </c>
      <c r="Q5788" t="str">
        <f t="shared" si="517"/>
        <v/>
      </c>
    </row>
    <row r="5789" spans="1:17" hidden="1">
      <c r="A5789" t="s">
        <v>5894</v>
      </c>
      <c r="B5789" s="1">
        <v>45692</v>
      </c>
      <c r="C5789">
        <v>2025</v>
      </c>
      <c r="D5789">
        <v>2</v>
      </c>
      <c r="E5789" t="s">
        <v>19</v>
      </c>
      <c r="F5789" t="s">
        <v>24</v>
      </c>
      <c r="G5789" t="s">
        <v>54</v>
      </c>
      <c r="H5789" t="s">
        <v>57</v>
      </c>
      <c r="I5789">
        <v>5321.35</v>
      </c>
      <c r="J5789">
        <v>5443.79</v>
      </c>
      <c r="K5789" t="s">
        <v>17</v>
      </c>
      <c r="L5789" t="b">
        <v>0</v>
      </c>
      <c r="N5789" s="2" t="str">
        <f t="shared" si="520"/>
        <v/>
      </c>
      <c r="Q5789" t="str">
        <f t="shared" si="517"/>
        <v/>
      </c>
    </row>
    <row r="5790" spans="1:17" hidden="1">
      <c r="A5790" t="s">
        <v>5895</v>
      </c>
      <c r="B5790" s="1">
        <v>45692</v>
      </c>
      <c r="C5790">
        <v>2025</v>
      </c>
      <c r="D5790">
        <v>2</v>
      </c>
      <c r="E5790" t="s">
        <v>23</v>
      </c>
      <c r="F5790" t="s">
        <v>14</v>
      </c>
      <c r="G5790" t="s">
        <v>59</v>
      </c>
      <c r="H5790" t="s">
        <v>60</v>
      </c>
      <c r="I5790">
        <v>5763.19</v>
      </c>
      <c r="J5790">
        <v>5903.67</v>
      </c>
      <c r="K5790" t="s">
        <v>17</v>
      </c>
      <c r="L5790" t="b">
        <v>0</v>
      </c>
      <c r="N5790" s="2" t="str">
        <f t="shared" si="520"/>
        <v/>
      </c>
      <c r="Q5790" t="str">
        <f t="shared" si="517"/>
        <v/>
      </c>
    </row>
    <row r="5791" spans="1:17" hidden="1">
      <c r="A5791" t="s">
        <v>5896</v>
      </c>
      <c r="B5791" s="1">
        <v>45692</v>
      </c>
      <c r="C5791">
        <v>2025</v>
      </c>
      <c r="D5791">
        <v>2</v>
      </c>
      <c r="E5791" t="s">
        <v>23</v>
      </c>
      <c r="F5791" t="s">
        <v>28</v>
      </c>
      <c r="G5791" t="s">
        <v>141</v>
      </c>
      <c r="H5791" t="s">
        <v>209</v>
      </c>
      <c r="I5791">
        <v>4896.59</v>
      </c>
      <c r="J5791">
        <v>4713.54</v>
      </c>
      <c r="K5791" t="s">
        <v>17</v>
      </c>
      <c r="L5791" t="b">
        <v>0</v>
      </c>
      <c r="N5791" s="2" t="str">
        <f t="shared" si="520"/>
        <v/>
      </c>
      <c r="Q5791" t="str">
        <f t="shared" si="517"/>
        <v/>
      </c>
    </row>
    <row r="5792" spans="1:17" hidden="1">
      <c r="A5792" t="s">
        <v>5897</v>
      </c>
      <c r="B5792" s="1">
        <v>45692</v>
      </c>
      <c r="C5792">
        <v>2025</v>
      </c>
      <c r="D5792">
        <v>2</v>
      </c>
      <c r="E5792" t="s">
        <v>37</v>
      </c>
      <c r="F5792" t="s">
        <v>14</v>
      </c>
      <c r="G5792" t="s">
        <v>62</v>
      </c>
      <c r="H5792" t="s">
        <v>121</v>
      </c>
      <c r="I5792">
        <v>6044.89</v>
      </c>
      <c r="J5792">
        <v>5645.4</v>
      </c>
      <c r="K5792" t="s">
        <v>17</v>
      </c>
      <c r="L5792" t="b">
        <v>0</v>
      </c>
      <c r="N5792" s="2" t="str">
        <f t="shared" si="520"/>
        <v/>
      </c>
      <c r="Q5792" t="str">
        <f t="shared" si="517"/>
        <v/>
      </c>
    </row>
    <row r="5793" spans="1:17" hidden="1">
      <c r="A5793" t="s">
        <v>5898</v>
      </c>
      <c r="B5793" s="1">
        <v>45692</v>
      </c>
      <c r="C5793">
        <v>2025</v>
      </c>
      <c r="D5793">
        <v>2</v>
      </c>
      <c r="E5793" t="s">
        <v>37</v>
      </c>
      <c r="F5793" t="s">
        <v>28</v>
      </c>
      <c r="G5793" t="s">
        <v>38</v>
      </c>
      <c r="H5793" t="s">
        <v>118</v>
      </c>
      <c r="I5793">
        <v>5330.45</v>
      </c>
      <c r="J5793">
        <v>5707.37</v>
      </c>
      <c r="K5793" t="s">
        <v>17</v>
      </c>
      <c r="L5793" t="b">
        <v>0</v>
      </c>
      <c r="N5793" s="2" t="str">
        <f t="shared" si="520"/>
        <v/>
      </c>
      <c r="Q5793" t="str">
        <f t="shared" si="517"/>
        <v/>
      </c>
    </row>
    <row r="5794" spans="1:17" hidden="1">
      <c r="A5794" t="s">
        <v>5899</v>
      </c>
      <c r="B5794" s="1">
        <v>45692</v>
      </c>
      <c r="C5794">
        <v>2025</v>
      </c>
      <c r="D5794">
        <v>2</v>
      </c>
      <c r="E5794" t="s">
        <v>37</v>
      </c>
      <c r="F5794" t="s">
        <v>28</v>
      </c>
      <c r="G5794" t="s">
        <v>98</v>
      </c>
      <c r="H5794" t="s">
        <v>99</v>
      </c>
      <c r="I5794">
        <v>2028.13</v>
      </c>
      <c r="J5794">
        <v>1983.53</v>
      </c>
      <c r="K5794" t="s">
        <v>17</v>
      </c>
      <c r="L5794" t="b">
        <v>0</v>
      </c>
      <c r="N5794" s="2" t="str">
        <f t="shared" si="520"/>
        <v/>
      </c>
      <c r="Q5794" t="str">
        <f t="shared" si="517"/>
        <v/>
      </c>
    </row>
    <row r="5795" spans="1:17" hidden="1">
      <c r="A5795" t="s">
        <v>5900</v>
      </c>
      <c r="B5795" s="1">
        <v>45692</v>
      </c>
      <c r="C5795">
        <v>2025</v>
      </c>
      <c r="D5795">
        <v>2</v>
      </c>
      <c r="E5795" t="s">
        <v>37</v>
      </c>
      <c r="F5795" t="s">
        <v>28</v>
      </c>
      <c r="G5795" t="s">
        <v>83</v>
      </c>
      <c r="H5795" t="s">
        <v>84</v>
      </c>
      <c r="I5795">
        <v>157017.56</v>
      </c>
      <c r="J5795">
        <v>149166.68</v>
      </c>
      <c r="K5795" t="s">
        <v>85</v>
      </c>
      <c r="L5795" t="b">
        <v>0</v>
      </c>
      <c r="N5795" s="2" t="str">
        <f t="shared" si="520"/>
        <v/>
      </c>
      <c r="Q5795" t="str">
        <f t="shared" si="517"/>
        <v/>
      </c>
    </row>
    <row r="5796" spans="1:17" hidden="1">
      <c r="A5796" t="s">
        <v>5901</v>
      </c>
      <c r="B5796" s="1">
        <v>45693</v>
      </c>
      <c r="C5796">
        <v>2025</v>
      </c>
      <c r="D5796">
        <v>2</v>
      </c>
      <c r="E5796" t="s">
        <v>13</v>
      </c>
      <c r="F5796" t="s">
        <v>14</v>
      </c>
      <c r="G5796" t="s">
        <v>68</v>
      </c>
      <c r="H5796" t="s">
        <v>213</v>
      </c>
      <c r="I5796">
        <v>4103.68</v>
      </c>
      <c r="J5796">
        <v>4466.66</v>
      </c>
      <c r="K5796" t="s">
        <v>17</v>
      </c>
      <c r="L5796" t="b">
        <v>0</v>
      </c>
      <c r="N5796" s="2" t="str">
        <f t="shared" si="520"/>
        <v/>
      </c>
      <c r="Q5796" t="str">
        <f t="shared" si="517"/>
        <v/>
      </c>
    </row>
    <row r="5797" spans="1:17" hidden="1">
      <c r="A5797" t="s">
        <v>5902</v>
      </c>
      <c r="B5797" s="1">
        <v>45693</v>
      </c>
      <c r="C5797">
        <v>2025</v>
      </c>
      <c r="D5797">
        <v>2</v>
      </c>
      <c r="E5797" t="s">
        <v>13</v>
      </c>
      <c r="F5797" t="s">
        <v>24</v>
      </c>
      <c r="G5797" t="s">
        <v>108</v>
      </c>
      <c r="H5797" t="s">
        <v>123</v>
      </c>
      <c r="I5797">
        <v>2801.3</v>
      </c>
      <c r="J5797">
        <v>3023.92</v>
      </c>
      <c r="K5797" t="s">
        <v>17</v>
      </c>
      <c r="L5797" t="b">
        <v>0</v>
      </c>
      <c r="N5797" s="2" t="str">
        <f t="shared" si="520"/>
        <v/>
      </c>
      <c r="Q5797" t="str">
        <f t="shared" si="517"/>
        <v/>
      </c>
    </row>
    <row r="5798" spans="1:17" hidden="1">
      <c r="A5798" t="s">
        <v>5903</v>
      </c>
      <c r="B5798" s="1">
        <v>45693</v>
      </c>
      <c r="C5798">
        <v>2025</v>
      </c>
      <c r="D5798">
        <v>2</v>
      </c>
      <c r="E5798" t="s">
        <v>47</v>
      </c>
      <c r="F5798" t="s">
        <v>14</v>
      </c>
      <c r="G5798" t="s">
        <v>48</v>
      </c>
      <c r="H5798" t="s">
        <v>189</v>
      </c>
      <c r="I5798">
        <v>11492.76</v>
      </c>
      <c r="J5798">
        <v>9478.67</v>
      </c>
      <c r="K5798" t="s">
        <v>17</v>
      </c>
      <c r="L5798" t="b">
        <v>0</v>
      </c>
      <c r="N5798" s="2" t="b">
        <f t="shared" si="520"/>
        <v>1</v>
      </c>
      <c r="O5798" t="str">
        <f t="shared" ref="O5798:O5800" si="523">IF(AND(E5787="HR",K5787="EXPENSE"),I5787&lt;J5787,"")</f>
        <v/>
      </c>
      <c r="Q5798" t="str">
        <f t="shared" si="517"/>
        <v/>
      </c>
    </row>
    <row r="5799" spans="1:17" hidden="1">
      <c r="A5799" t="s">
        <v>5904</v>
      </c>
      <c r="B5799" s="1">
        <v>45693</v>
      </c>
      <c r="C5799">
        <v>2025</v>
      </c>
      <c r="D5799">
        <v>2</v>
      </c>
      <c r="E5799" t="s">
        <v>47</v>
      </c>
      <c r="F5799" t="s">
        <v>28</v>
      </c>
      <c r="G5799" t="s">
        <v>51</v>
      </c>
      <c r="H5799" t="s">
        <v>52</v>
      </c>
      <c r="I5799">
        <v>5865</v>
      </c>
      <c r="J5799">
        <v>4817.3999999999996</v>
      </c>
      <c r="K5799" t="s">
        <v>17</v>
      </c>
      <c r="L5799" t="b">
        <v>0</v>
      </c>
      <c r="N5799" s="2" t="b">
        <f t="shared" si="520"/>
        <v>1</v>
      </c>
      <c r="O5799" t="str">
        <f t="shared" si="523"/>
        <v/>
      </c>
      <c r="Q5799" t="str">
        <f t="shared" si="517"/>
        <v/>
      </c>
    </row>
    <row r="5800" spans="1:17" hidden="1">
      <c r="A5800" t="s">
        <v>5905</v>
      </c>
      <c r="B5800" s="1">
        <v>45693</v>
      </c>
      <c r="C5800">
        <v>2025</v>
      </c>
      <c r="D5800">
        <v>2</v>
      </c>
      <c r="E5800" t="s">
        <v>47</v>
      </c>
      <c r="F5800" t="s">
        <v>24</v>
      </c>
      <c r="G5800" t="s">
        <v>51</v>
      </c>
      <c r="H5800" t="s">
        <v>72</v>
      </c>
      <c r="I5800">
        <v>20351.900000000001</v>
      </c>
      <c r="J5800">
        <v>16785.41</v>
      </c>
      <c r="K5800" t="s">
        <v>17</v>
      </c>
      <c r="L5800" t="b">
        <v>0</v>
      </c>
      <c r="N5800" s="2" t="b">
        <f t="shared" si="520"/>
        <v>1</v>
      </c>
      <c r="O5800" t="str">
        <f t="shared" si="523"/>
        <v/>
      </c>
      <c r="Q5800" t="str">
        <f t="shared" si="517"/>
        <v/>
      </c>
    </row>
    <row r="5801" spans="1:17" hidden="1">
      <c r="A5801" t="s">
        <v>5906</v>
      </c>
      <c r="B5801" s="1">
        <v>45693</v>
      </c>
      <c r="C5801">
        <v>2025</v>
      </c>
      <c r="D5801">
        <v>2</v>
      </c>
      <c r="E5801" t="s">
        <v>19</v>
      </c>
      <c r="F5801" t="s">
        <v>14</v>
      </c>
      <c r="G5801" t="s">
        <v>20</v>
      </c>
      <c r="H5801" t="s">
        <v>136</v>
      </c>
      <c r="I5801">
        <v>7264.55</v>
      </c>
      <c r="J5801">
        <v>6555.73</v>
      </c>
      <c r="K5801" t="s">
        <v>17</v>
      </c>
      <c r="L5801" t="b">
        <v>0</v>
      </c>
      <c r="N5801" s="2" t="str">
        <f t="shared" si="520"/>
        <v/>
      </c>
      <c r="Q5801" t="str">
        <f t="shared" si="517"/>
        <v/>
      </c>
    </row>
    <row r="5802" spans="1:17" hidden="1">
      <c r="A5802" t="s">
        <v>5907</v>
      </c>
      <c r="B5802" s="1">
        <v>45693</v>
      </c>
      <c r="C5802">
        <v>2025</v>
      </c>
      <c r="D5802">
        <v>2</v>
      </c>
      <c r="E5802" t="s">
        <v>23</v>
      </c>
      <c r="F5802" t="s">
        <v>24</v>
      </c>
      <c r="G5802" t="s">
        <v>59</v>
      </c>
      <c r="H5802" t="s">
        <v>155</v>
      </c>
      <c r="I5802">
        <v>6841.39</v>
      </c>
      <c r="J5802">
        <v>7041.07</v>
      </c>
      <c r="K5802" t="s">
        <v>17</v>
      </c>
      <c r="L5802" t="b">
        <v>0</v>
      </c>
      <c r="N5802" s="2" t="str">
        <f t="shared" si="520"/>
        <v/>
      </c>
      <c r="Q5802" t="str">
        <f t="shared" si="517"/>
        <v/>
      </c>
    </row>
    <row r="5803" spans="1:17" hidden="1">
      <c r="A5803" t="s">
        <v>5908</v>
      </c>
      <c r="B5803" s="1">
        <v>45693</v>
      </c>
      <c r="C5803">
        <v>2025</v>
      </c>
      <c r="D5803">
        <v>2</v>
      </c>
      <c r="E5803" t="s">
        <v>23</v>
      </c>
      <c r="F5803" t="s">
        <v>24</v>
      </c>
      <c r="G5803" t="s">
        <v>59</v>
      </c>
      <c r="H5803" t="s">
        <v>155</v>
      </c>
      <c r="I5803">
        <v>5392.4</v>
      </c>
      <c r="J5803">
        <v>5022.67</v>
      </c>
      <c r="K5803" t="s">
        <v>17</v>
      </c>
      <c r="L5803" t="b">
        <v>0</v>
      </c>
      <c r="N5803" s="2" t="str">
        <f t="shared" si="520"/>
        <v/>
      </c>
      <c r="Q5803" t="str">
        <f t="shared" si="517"/>
        <v/>
      </c>
    </row>
    <row r="5804" spans="1:17" hidden="1">
      <c r="A5804" t="s">
        <v>5909</v>
      </c>
      <c r="B5804" s="1">
        <v>45694</v>
      </c>
      <c r="C5804">
        <v>2025</v>
      </c>
      <c r="D5804">
        <v>2</v>
      </c>
      <c r="E5804" t="s">
        <v>13</v>
      </c>
      <c r="F5804" t="s">
        <v>14</v>
      </c>
      <c r="G5804" t="s">
        <v>68</v>
      </c>
      <c r="H5804" t="s">
        <v>213</v>
      </c>
      <c r="I5804">
        <v>2973.77</v>
      </c>
      <c r="J5804">
        <v>3222.8</v>
      </c>
      <c r="K5804" t="s">
        <v>17</v>
      </c>
      <c r="L5804" t="b">
        <v>0</v>
      </c>
      <c r="N5804" s="2" t="str">
        <f t="shared" si="520"/>
        <v/>
      </c>
      <c r="Q5804" t="str">
        <f t="shared" si="517"/>
        <v/>
      </c>
    </row>
    <row r="5805" spans="1:17" hidden="1">
      <c r="A5805" t="s">
        <v>5910</v>
      </c>
      <c r="B5805" s="1">
        <v>45694</v>
      </c>
      <c r="C5805">
        <v>2025</v>
      </c>
      <c r="D5805">
        <v>2</v>
      </c>
      <c r="E5805" t="s">
        <v>13</v>
      </c>
      <c r="F5805" t="s">
        <v>28</v>
      </c>
      <c r="G5805" t="s">
        <v>102</v>
      </c>
      <c r="H5805" t="s">
        <v>145</v>
      </c>
      <c r="I5805">
        <v>3994.47</v>
      </c>
      <c r="J5805">
        <v>3806.41</v>
      </c>
      <c r="K5805" t="s">
        <v>17</v>
      </c>
      <c r="L5805" t="b">
        <v>0</v>
      </c>
      <c r="N5805" s="2" t="str">
        <f t="shared" si="520"/>
        <v/>
      </c>
      <c r="Q5805" t="str">
        <f t="shared" si="517"/>
        <v/>
      </c>
    </row>
    <row r="5806" spans="1:17" hidden="1">
      <c r="A5806" t="s">
        <v>5911</v>
      </c>
      <c r="B5806" s="1">
        <v>45694</v>
      </c>
      <c r="C5806">
        <v>2025</v>
      </c>
      <c r="D5806">
        <v>2</v>
      </c>
      <c r="E5806" t="s">
        <v>13</v>
      </c>
      <c r="F5806" t="s">
        <v>28</v>
      </c>
      <c r="G5806" t="s">
        <v>68</v>
      </c>
      <c r="H5806" t="s">
        <v>87</v>
      </c>
      <c r="I5806">
        <v>2226.37</v>
      </c>
      <c r="J5806">
        <v>2210</v>
      </c>
      <c r="K5806" t="s">
        <v>17</v>
      </c>
      <c r="L5806" t="b">
        <v>0</v>
      </c>
      <c r="N5806" s="2" t="str">
        <f t="shared" si="520"/>
        <v/>
      </c>
      <c r="Q5806" t="str">
        <f t="shared" si="517"/>
        <v/>
      </c>
    </row>
    <row r="5807" spans="1:17" hidden="1">
      <c r="A5807" t="s">
        <v>5912</v>
      </c>
      <c r="B5807" s="1">
        <v>45694</v>
      </c>
      <c r="C5807">
        <v>2025</v>
      </c>
      <c r="D5807">
        <v>2</v>
      </c>
      <c r="E5807" t="s">
        <v>13</v>
      </c>
      <c r="F5807" t="s">
        <v>28</v>
      </c>
      <c r="G5807" t="s">
        <v>15</v>
      </c>
      <c r="H5807" t="s">
        <v>45</v>
      </c>
      <c r="I5807">
        <v>4889.38</v>
      </c>
      <c r="J5807">
        <v>5264.66</v>
      </c>
      <c r="K5807" t="s">
        <v>17</v>
      </c>
      <c r="L5807" t="b">
        <v>0</v>
      </c>
      <c r="N5807" s="2" t="str">
        <f t="shared" si="520"/>
        <v/>
      </c>
      <c r="Q5807" t="str">
        <f t="shared" si="517"/>
        <v/>
      </c>
    </row>
    <row r="5808" spans="1:17" hidden="1">
      <c r="A5808" t="s">
        <v>5913</v>
      </c>
      <c r="B5808" s="1">
        <v>45694</v>
      </c>
      <c r="C5808">
        <v>2025</v>
      </c>
      <c r="D5808">
        <v>2</v>
      </c>
      <c r="E5808" t="s">
        <v>47</v>
      </c>
      <c r="F5808" t="s">
        <v>24</v>
      </c>
      <c r="G5808" t="s">
        <v>51</v>
      </c>
      <c r="H5808" t="s">
        <v>189</v>
      </c>
      <c r="I5808">
        <v>11951.38</v>
      </c>
      <c r="J5808">
        <v>9835.0300000000007</v>
      </c>
      <c r="K5808" t="s">
        <v>17</v>
      </c>
      <c r="L5808" t="b">
        <v>0</v>
      </c>
      <c r="N5808" s="2" t="b">
        <f t="shared" si="520"/>
        <v>1</v>
      </c>
      <c r="O5808" t="b">
        <f t="shared" ref="O5808:O5809" si="524">IF(AND(E5797="HR",K5797="EXPENSE"),I5797&lt;J5797,"")</f>
        <v>1</v>
      </c>
      <c r="Q5808" t="str">
        <f t="shared" ref="Q5808:Q5871" si="525">IF(L5808=TRUE,OR(H5808="Apex Solutions Inc",H5808="Global Trade Partners",H5808="NovaTech Services"),"")</f>
        <v/>
      </c>
    </row>
    <row r="5809" spans="1:17" hidden="1">
      <c r="A5809" t="s">
        <v>5914</v>
      </c>
      <c r="B5809" s="1">
        <v>45694</v>
      </c>
      <c r="C5809">
        <v>2025</v>
      </c>
      <c r="D5809">
        <v>2</v>
      </c>
      <c r="E5809" t="s">
        <v>47</v>
      </c>
      <c r="F5809" t="s">
        <v>24</v>
      </c>
      <c r="G5809" t="s">
        <v>48</v>
      </c>
      <c r="H5809" t="s">
        <v>111</v>
      </c>
      <c r="I5809">
        <v>13502.21</v>
      </c>
      <c r="J5809">
        <v>11402.25</v>
      </c>
      <c r="K5809" t="s">
        <v>17</v>
      </c>
      <c r="L5809" t="b">
        <v>0</v>
      </c>
      <c r="N5809" s="2" t="b">
        <f t="shared" si="520"/>
        <v>1</v>
      </c>
      <c r="O5809" t="str">
        <f t="shared" si="524"/>
        <v/>
      </c>
      <c r="Q5809" t="str">
        <f t="shared" si="525"/>
        <v/>
      </c>
    </row>
    <row r="5810" spans="1:17" hidden="1">
      <c r="A5810" t="s">
        <v>5915</v>
      </c>
      <c r="B5810" s="1">
        <v>45694</v>
      </c>
      <c r="C5810">
        <v>2025</v>
      </c>
      <c r="D5810">
        <v>2</v>
      </c>
      <c r="E5810" t="s">
        <v>37</v>
      </c>
      <c r="F5810" t="s">
        <v>14</v>
      </c>
      <c r="G5810" t="s">
        <v>62</v>
      </c>
      <c r="H5810" t="s">
        <v>63</v>
      </c>
      <c r="I5810">
        <v>4189.83</v>
      </c>
      <c r="J5810">
        <v>3970.22</v>
      </c>
      <c r="K5810" t="s">
        <v>17</v>
      </c>
      <c r="L5810" t="b">
        <v>0</v>
      </c>
      <c r="N5810" s="2" t="str">
        <f t="shared" si="520"/>
        <v/>
      </c>
      <c r="Q5810" t="str">
        <f t="shared" si="525"/>
        <v/>
      </c>
    </row>
    <row r="5811" spans="1:17" hidden="1">
      <c r="A5811" t="s">
        <v>5916</v>
      </c>
      <c r="B5811" s="1">
        <v>45694</v>
      </c>
      <c r="C5811">
        <v>2025</v>
      </c>
      <c r="D5811">
        <v>2</v>
      </c>
      <c r="E5811" t="s">
        <v>37</v>
      </c>
      <c r="F5811" t="s">
        <v>28</v>
      </c>
      <c r="G5811" t="s">
        <v>38</v>
      </c>
      <c r="H5811" t="s">
        <v>39</v>
      </c>
      <c r="I5811">
        <v>6263.36</v>
      </c>
      <c r="J5811">
        <v>5866.44</v>
      </c>
      <c r="K5811" t="s">
        <v>17</v>
      </c>
      <c r="L5811" t="b">
        <v>0</v>
      </c>
      <c r="N5811" s="2" t="str">
        <f t="shared" si="520"/>
        <v/>
      </c>
      <c r="Q5811" t="str">
        <f t="shared" si="525"/>
        <v/>
      </c>
    </row>
    <row r="5812" spans="1:17" hidden="1">
      <c r="A5812" t="s">
        <v>5917</v>
      </c>
      <c r="B5812" s="1">
        <v>45694</v>
      </c>
      <c r="C5812">
        <v>2025</v>
      </c>
      <c r="D5812">
        <v>2</v>
      </c>
      <c r="E5812" t="s">
        <v>37</v>
      </c>
      <c r="F5812" t="s">
        <v>28</v>
      </c>
      <c r="G5812" t="s">
        <v>41</v>
      </c>
      <c r="H5812" t="s">
        <v>42</v>
      </c>
      <c r="I5812">
        <v>3212.34</v>
      </c>
      <c r="J5812">
        <v>3013.61</v>
      </c>
      <c r="K5812" t="s">
        <v>17</v>
      </c>
      <c r="L5812" t="b">
        <v>0</v>
      </c>
      <c r="N5812" s="2" t="str">
        <f t="shared" si="520"/>
        <v/>
      </c>
      <c r="Q5812" t="str">
        <f t="shared" si="525"/>
        <v/>
      </c>
    </row>
    <row r="5813" spans="1:17" hidden="1">
      <c r="A5813" t="s">
        <v>5918</v>
      </c>
      <c r="B5813" s="1">
        <v>45695</v>
      </c>
      <c r="C5813">
        <v>2025</v>
      </c>
      <c r="D5813">
        <v>2</v>
      </c>
      <c r="E5813" t="s">
        <v>47</v>
      </c>
      <c r="F5813" t="s">
        <v>14</v>
      </c>
      <c r="G5813" t="s">
        <v>51</v>
      </c>
      <c r="H5813" t="s">
        <v>189</v>
      </c>
      <c r="I5813">
        <v>8090.08</v>
      </c>
      <c r="J5813">
        <v>6953.59</v>
      </c>
      <c r="K5813" t="s">
        <v>17</v>
      </c>
      <c r="L5813" t="b">
        <v>0</v>
      </c>
      <c r="N5813" s="2" t="b">
        <f t="shared" si="520"/>
        <v>1</v>
      </c>
      <c r="O5813" t="str">
        <f t="shared" ref="O5813:O5816" si="526">IF(AND(E5802="HR",K5802="EXPENSE"),I5802&lt;J5802,"")</f>
        <v/>
      </c>
      <c r="Q5813" t="str">
        <f t="shared" si="525"/>
        <v/>
      </c>
    </row>
    <row r="5814" spans="1:17" hidden="1">
      <c r="A5814" t="s">
        <v>5919</v>
      </c>
      <c r="B5814" s="1">
        <v>45695</v>
      </c>
      <c r="C5814">
        <v>2025</v>
      </c>
      <c r="D5814">
        <v>2</v>
      </c>
      <c r="E5814" t="s">
        <v>47</v>
      </c>
      <c r="F5814" t="s">
        <v>28</v>
      </c>
      <c r="G5814" t="s">
        <v>51</v>
      </c>
      <c r="H5814" t="s">
        <v>72</v>
      </c>
      <c r="I5814">
        <v>16259.97</v>
      </c>
      <c r="J5814">
        <v>13457.36</v>
      </c>
      <c r="K5814" t="s">
        <v>17</v>
      </c>
      <c r="L5814" t="b">
        <v>0</v>
      </c>
      <c r="N5814" s="2" t="b">
        <f t="shared" si="520"/>
        <v>1</v>
      </c>
      <c r="O5814" t="str">
        <f t="shared" si="526"/>
        <v/>
      </c>
      <c r="Q5814" t="str">
        <f t="shared" si="525"/>
        <v/>
      </c>
    </row>
    <row r="5815" spans="1:17" hidden="1">
      <c r="A5815" t="s">
        <v>5920</v>
      </c>
      <c r="B5815" s="1">
        <v>45695</v>
      </c>
      <c r="C5815">
        <v>2025</v>
      </c>
      <c r="D5815">
        <v>2</v>
      </c>
      <c r="E5815" t="s">
        <v>47</v>
      </c>
      <c r="F5815" t="s">
        <v>28</v>
      </c>
      <c r="G5815" t="s">
        <v>48</v>
      </c>
      <c r="H5815" t="s">
        <v>189</v>
      </c>
      <c r="I5815">
        <v>13215.85</v>
      </c>
      <c r="J5815">
        <v>11054.29</v>
      </c>
      <c r="K5815" t="s">
        <v>17</v>
      </c>
      <c r="L5815" t="b">
        <v>0</v>
      </c>
      <c r="N5815" s="2" t="b">
        <f t="shared" si="520"/>
        <v>1</v>
      </c>
      <c r="O5815" t="b">
        <f t="shared" si="526"/>
        <v>1</v>
      </c>
      <c r="Q5815" t="str">
        <f t="shared" si="525"/>
        <v/>
      </c>
    </row>
    <row r="5816" spans="1:17" hidden="1">
      <c r="A5816" t="s">
        <v>5921</v>
      </c>
      <c r="B5816" s="1">
        <v>45695</v>
      </c>
      <c r="C5816">
        <v>2025</v>
      </c>
      <c r="D5816">
        <v>2</v>
      </c>
      <c r="E5816" t="s">
        <v>47</v>
      </c>
      <c r="F5816" t="s">
        <v>24</v>
      </c>
      <c r="G5816" t="s">
        <v>77</v>
      </c>
      <c r="H5816" t="s">
        <v>147</v>
      </c>
      <c r="I5816">
        <v>19383.93</v>
      </c>
      <c r="J5816">
        <v>16378.23</v>
      </c>
      <c r="K5816" t="s">
        <v>17</v>
      </c>
      <c r="L5816" t="b">
        <v>0</v>
      </c>
      <c r="N5816" s="2" t="b">
        <f t="shared" si="520"/>
        <v>1</v>
      </c>
      <c r="O5816" t="b">
        <f t="shared" si="526"/>
        <v>0</v>
      </c>
      <c r="Q5816" t="str">
        <f t="shared" si="525"/>
        <v/>
      </c>
    </row>
    <row r="5817" spans="1:17" hidden="1">
      <c r="A5817" t="s">
        <v>5922</v>
      </c>
      <c r="B5817" s="1">
        <v>45695</v>
      </c>
      <c r="C5817">
        <v>2025</v>
      </c>
      <c r="D5817">
        <v>2</v>
      </c>
      <c r="E5817" t="s">
        <v>19</v>
      </c>
      <c r="F5817" t="s">
        <v>28</v>
      </c>
      <c r="G5817" t="s">
        <v>20</v>
      </c>
      <c r="H5817" t="s">
        <v>136</v>
      </c>
      <c r="I5817">
        <v>5754.61</v>
      </c>
      <c r="J5817">
        <v>5671.16</v>
      </c>
      <c r="K5817" t="s">
        <v>17</v>
      </c>
      <c r="L5817" t="b">
        <v>0</v>
      </c>
      <c r="N5817" s="2" t="str">
        <f t="shared" si="520"/>
        <v/>
      </c>
      <c r="Q5817" t="str">
        <f t="shared" si="525"/>
        <v/>
      </c>
    </row>
    <row r="5818" spans="1:17" hidden="1">
      <c r="A5818" t="s">
        <v>5923</v>
      </c>
      <c r="B5818" s="1">
        <v>45695</v>
      </c>
      <c r="C5818">
        <v>2025</v>
      </c>
      <c r="D5818">
        <v>2</v>
      </c>
      <c r="E5818" t="s">
        <v>19</v>
      </c>
      <c r="F5818" t="s">
        <v>28</v>
      </c>
      <c r="G5818" t="s">
        <v>132</v>
      </c>
      <c r="H5818" t="s">
        <v>133</v>
      </c>
      <c r="I5818">
        <v>8775.57</v>
      </c>
      <c r="J5818">
        <v>8827.32</v>
      </c>
      <c r="K5818" t="s">
        <v>17</v>
      </c>
      <c r="L5818" t="b">
        <v>0</v>
      </c>
      <c r="N5818" s="2" t="str">
        <f t="shared" si="520"/>
        <v/>
      </c>
      <c r="Q5818" t="str">
        <f t="shared" si="525"/>
        <v/>
      </c>
    </row>
    <row r="5819" spans="1:17" hidden="1">
      <c r="A5819" t="s">
        <v>5924</v>
      </c>
      <c r="B5819" s="1">
        <v>45695</v>
      </c>
      <c r="C5819">
        <v>2025</v>
      </c>
      <c r="D5819">
        <v>2</v>
      </c>
      <c r="E5819" t="s">
        <v>23</v>
      </c>
      <c r="F5819" t="s">
        <v>14</v>
      </c>
      <c r="G5819" t="s">
        <v>59</v>
      </c>
      <c r="H5819" t="s">
        <v>60</v>
      </c>
      <c r="I5819">
        <v>2948.6</v>
      </c>
      <c r="J5819">
        <v>2679.86</v>
      </c>
      <c r="K5819" t="s">
        <v>17</v>
      </c>
      <c r="L5819" t="b">
        <v>0</v>
      </c>
      <c r="N5819" s="2" t="str">
        <f t="shared" si="520"/>
        <v/>
      </c>
      <c r="Q5819" t="str">
        <f t="shared" si="525"/>
        <v/>
      </c>
    </row>
    <row r="5820" spans="1:17" hidden="1">
      <c r="A5820" t="s">
        <v>5925</v>
      </c>
      <c r="B5820" s="1">
        <v>45695</v>
      </c>
      <c r="C5820">
        <v>2025</v>
      </c>
      <c r="D5820">
        <v>2</v>
      </c>
      <c r="E5820" t="s">
        <v>23</v>
      </c>
      <c r="F5820" t="s">
        <v>14</v>
      </c>
      <c r="G5820" t="s">
        <v>30</v>
      </c>
      <c r="H5820" t="s">
        <v>31</v>
      </c>
      <c r="I5820">
        <v>6652.43</v>
      </c>
      <c r="J5820">
        <v>7030.68</v>
      </c>
      <c r="K5820" t="s">
        <v>17</v>
      </c>
      <c r="L5820" t="b">
        <v>0</v>
      </c>
      <c r="N5820" s="2" t="str">
        <f t="shared" si="520"/>
        <v/>
      </c>
      <c r="Q5820" t="str">
        <f t="shared" si="525"/>
        <v/>
      </c>
    </row>
    <row r="5821" spans="1:17" hidden="1">
      <c r="A5821" t="s">
        <v>5926</v>
      </c>
      <c r="B5821" s="1">
        <v>45695</v>
      </c>
      <c r="C5821">
        <v>2025</v>
      </c>
      <c r="D5821">
        <v>2</v>
      </c>
      <c r="E5821" t="s">
        <v>37</v>
      </c>
      <c r="F5821" t="s">
        <v>14</v>
      </c>
      <c r="G5821" t="s">
        <v>62</v>
      </c>
      <c r="H5821" t="s">
        <v>360</v>
      </c>
      <c r="I5821">
        <v>3444.55</v>
      </c>
      <c r="J5821">
        <v>3670.6</v>
      </c>
      <c r="K5821" t="s">
        <v>17</v>
      </c>
      <c r="L5821" t="b">
        <v>0</v>
      </c>
      <c r="N5821" s="2" t="str">
        <f t="shared" si="520"/>
        <v/>
      </c>
      <c r="Q5821" t="str">
        <f t="shared" si="525"/>
        <v/>
      </c>
    </row>
    <row r="5822" spans="1:17" hidden="1">
      <c r="A5822" t="s">
        <v>5927</v>
      </c>
      <c r="B5822" s="1">
        <v>45695</v>
      </c>
      <c r="C5822">
        <v>2025</v>
      </c>
      <c r="D5822">
        <v>2</v>
      </c>
      <c r="E5822" t="s">
        <v>37</v>
      </c>
      <c r="F5822" t="s">
        <v>28</v>
      </c>
      <c r="G5822" t="s">
        <v>41</v>
      </c>
      <c r="H5822" t="s">
        <v>42</v>
      </c>
      <c r="I5822">
        <v>4331.97</v>
      </c>
      <c r="J5822">
        <v>4640.62</v>
      </c>
      <c r="K5822" t="s">
        <v>17</v>
      </c>
      <c r="L5822" t="b">
        <v>0</v>
      </c>
      <c r="N5822" s="2" t="str">
        <f t="shared" si="520"/>
        <v/>
      </c>
      <c r="Q5822" t="str">
        <f t="shared" si="525"/>
        <v/>
      </c>
    </row>
    <row r="5823" spans="1:17" hidden="1">
      <c r="A5823" t="s">
        <v>5928</v>
      </c>
      <c r="B5823" s="1">
        <v>45695</v>
      </c>
      <c r="C5823">
        <v>2025</v>
      </c>
      <c r="D5823">
        <v>2</v>
      </c>
      <c r="E5823" t="s">
        <v>37</v>
      </c>
      <c r="F5823" t="s">
        <v>24</v>
      </c>
      <c r="G5823" t="s">
        <v>41</v>
      </c>
      <c r="H5823" t="s">
        <v>42</v>
      </c>
      <c r="I5823">
        <v>4509</v>
      </c>
      <c r="J5823">
        <v>4175.7299999999996</v>
      </c>
      <c r="K5823" t="s">
        <v>17</v>
      </c>
      <c r="L5823" t="b">
        <v>0</v>
      </c>
      <c r="N5823" s="2" t="str">
        <f t="shared" si="520"/>
        <v/>
      </c>
      <c r="Q5823" t="str">
        <f t="shared" si="525"/>
        <v/>
      </c>
    </row>
    <row r="5824" spans="1:17" hidden="1">
      <c r="A5824" t="s">
        <v>5929</v>
      </c>
      <c r="B5824" s="1">
        <v>45695</v>
      </c>
      <c r="C5824">
        <v>2025</v>
      </c>
      <c r="D5824">
        <v>2</v>
      </c>
      <c r="E5824" t="s">
        <v>37</v>
      </c>
      <c r="F5824" t="s">
        <v>24</v>
      </c>
      <c r="G5824" t="s">
        <v>83</v>
      </c>
      <c r="H5824" t="s">
        <v>84</v>
      </c>
      <c r="I5824">
        <v>110386.42</v>
      </c>
      <c r="J5824">
        <v>104867.1</v>
      </c>
      <c r="K5824" t="s">
        <v>85</v>
      </c>
      <c r="L5824" t="b">
        <v>0</v>
      </c>
      <c r="N5824" s="2" t="str">
        <f t="shared" si="520"/>
        <v/>
      </c>
      <c r="Q5824" t="str">
        <f t="shared" si="525"/>
        <v/>
      </c>
    </row>
    <row r="5825" spans="1:17" hidden="1">
      <c r="A5825" t="s">
        <v>5930</v>
      </c>
      <c r="B5825" s="1">
        <v>45696</v>
      </c>
      <c r="C5825">
        <v>2025</v>
      </c>
      <c r="D5825">
        <v>2</v>
      </c>
      <c r="E5825" t="s">
        <v>13</v>
      </c>
      <c r="F5825" t="s">
        <v>24</v>
      </c>
      <c r="G5825" t="s">
        <v>15</v>
      </c>
      <c r="H5825" t="s">
        <v>89</v>
      </c>
      <c r="I5825">
        <v>2596.5700000000002</v>
      </c>
      <c r="J5825">
        <v>2350.4299999999998</v>
      </c>
      <c r="K5825" t="s">
        <v>17</v>
      </c>
      <c r="L5825" t="b">
        <v>0</v>
      </c>
      <c r="N5825" s="2" t="str">
        <f t="shared" si="520"/>
        <v/>
      </c>
      <c r="Q5825" t="str">
        <f t="shared" si="525"/>
        <v/>
      </c>
    </row>
    <row r="5826" spans="1:17" hidden="1">
      <c r="A5826" t="s">
        <v>5931</v>
      </c>
      <c r="B5826" s="1">
        <v>45696</v>
      </c>
      <c r="C5826">
        <v>2025</v>
      </c>
      <c r="D5826">
        <v>2</v>
      </c>
      <c r="E5826" t="s">
        <v>13</v>
      </c>
      <c r="F5826" t="s">
        <v>24</v>
      </c>
      <c r="G5826" t="s">
        <v>68</v>
      </c>
      <c r="H5826" t="s">
        <v>213</v>
      </c>
      <c r="I5826">
        <v>3560.87</v>
      </c>
      <c r="J5826">
        <v>3486.3</v>
      </c>
      <c r="K5826" t="s">
        <v>17</v>
      </c>
      <c r="L5826" t="b">
        <v>0</v>
      </c>
      <c r="N5826" s="2" t="str">
        <f t="shared" si="520"/>
        <v/>
      </c>
      <c r="Q5826" t="str">
        <f t="shared" si="525"/>
        <v/>
      </c>
    </row>
    <row r="5827" spans="1:17" hidden="1">
      <c r="A5827" t="s">
        <v>5932</v>
      </c>
      <c r="B5827" s="1">
        <v>45696</v>
      </c>
      <c r="C5827">
        <v>2025</v>
      </c>
      <c r="D5827">
        <v>2</v>
      </c>
      <c r="E5827" t="s">
        <v>13</v>
      </c>
      <c r="F5827" t="s">
        <v>24</v>
      </c>
      <c r="G5827" t="s">
        <v>108</v>
      </c>
      <c r="H5827" t="s">
        <v>109</v>
      </c>
      <c r="I5827">
        <v>1857.72</v>
      </c>
      <c r="J5827">
        <v>1853.96</v>
      </c>
      <c r="K5827" t="s">
        <v>17</v>
      </c>
      <c r="L5827" t="b">
        <v>0</v>
      </c>
      <c r="N5827" s="2" t="str">
        <f t="shared" ref="N5827:N5890" si="527">IF(AND(E5827="IT",K5827="EXPENSE"),I5827&gt;J5827,"")</f>
        <v/>
      </c>
      <c r="Q5827" t="str">
        <f t="shared" si="525"/>
        <v/>
      </c>
    </row>
    <row r="5828" spans="1:17" hidden="1">
      <c r="A5828" t="s">
        <v>5933</v>
      </c>
      <c r="B5828" s="1">
        <v>45696</v>
      </c>
      <c r="C5828">
        <v>2025</v>
      </c>
      <c r="D5828">
        <v>2</v>
      </c>
      <c r="E5828" t="s">
        <v>47</v>
      </c>
      <c r="F5828" t="s">
        <v>14</v>
      </c>
      <c r="G5828" t="s">
        <v>77</v>
      </c>
      <c r="H5828" t="s">
        <v>130</v>
      </c>
      <c r="I5828">
        <v>4712.43</v>
      </c>
      <c r="J5828">
        <v>3915.76</v>
      </c>
      <c r="K5828" t="s">
        <v>17</v>
      </c>
      <c r="L5828" t="b">
        <v>0</v>
      </c>
      <c r="N5828" s="2" t="b">
        <f t="shared" si="527"/>
        <v>1</v>
      </c>
      <c r="O5828" t="str">
        <f t="shared" ref="O5828:O5831" si="528">IF(AND(E5817="HR",K5817="EXPENSE"),I5817&lt;J5817,"")</f>
        <v/>
      </c>
      <c r="Q5828" t="str">
        <f t="shared" si="525"/>
        <v/>
      </c>
    </row>
    <row r="5829" spans="1:17" hidden="1">
      <c r="A5829" t="s">
        <v>5934</v>
      </c>
      <c r="B5829" s="1">
        <v>45696</v>
      </c>
      <c r="C5829">
        <v>2025</v>
      </c>
      <c r="D5829">
        <v>2</v>
      </c>
      <c r="E5829" t="s">
        <v>47</v>
      </c>
      <c r="F5829" t="s">
        <v>14</v>
      </c>
      <c r="G5829" t="s">
        <v>91</v>
      </c>
      <c r="H5829" t="s">
        <v>128</v>
      </c>
      <c r="I5829">
        <v>15360.49</v>
      </c>
      <c r="J5829">
        <v>12932.32</v>
      </c>
      <c r="K5829" t="s">
        <v>17</v>
      </c>
      <c r="L5829" t="b">
        <v>0</v>
      </c>
      <c r="N5829" s="2" t="b">
        <f t="shared" si="527"/>
        <v>1</v>
      </c>
      <c r="O5829" t="str">
        <f t="shared" si="528"/>
        <v/>
      </c>
      <c r="Q5829" t="str">
        <f t="shared" si="525"/>
        <v/>
      </c>
    </row>
    <row r="5830" spans="1:17" hidden="1">
      <c r="A5830" t="s">
        <v>5935</v>
      </c>
      <c r="B5830" s="1">
        <v>45696</v>
      </c>
      <c r="C5830">
        <v>2025</v>
      </c>
      <c r="D5830">
        <v>2</v>
      </c>
      <c r="E5830" t="s">
        <v>47</v>
      </c>
      <c r="F5830" t="s">
        <v>14</v>
      </c>
      <c r="G5830" t="s">
        <v>91</v>
      </c>
      <c r="H5830" t="s">
        <v>254</v>
      </c>
      <c r="I5830">
        <v>11143.77</v>
      </c>
      <c r="J5830">
        <v>9166.3799999999992</v>
      </c>
      <c r="K5830" t="s">
        <v>17</v>
      </c>
      <c r="L5830" t="b">
        <v>0</v>
      </c>
      <c r="N5830" s="2" t="b">
        <f t="shared" si="527"/>
        <v>1</v>
      </c>
      <c r="O5830" t="str">
        <f t="shared" si="528"/>
        <v/>
      </c>
      <c r="Q5830" t="str">
        <f t="shared" si="525"/>
        <v/>
      </c>
    </row>
    <row r="5831" spans="1:17" hidden="1">
      <c r="A5831" t="s">
        <v>5936</v>
      </c>
      <c r="B5831" s="1">
        <v>45696</v>
      </c>
      <c r="C5831">
        <v>2025</v>
      </c>
      <c r="D5831">
        <v>2</v>
      </c>
      <c r="E5831" t="s">
        <v>47</v>
      </c>
      <c r="F5831" t="s">
        <v>24</v>
      </c>
      <c r="G5831" t="s">
        <v>51</v>
      </c>
      <c r="H5831" t="s">
        <v>52</v>
      </c>
      <c r="I5831">
        <v>17153.18</v>
      </c>
      <c r="J5831">
        <v>14568.08</v>
      </c>
      <c r="K5831" t="s">
        <v>17</v>
      </c>
      <c r="L5831" t="b">
        <v>0</v>
      </c>
      <c r="N5831" s="2" t="b">
        <f t="shared" si="527"/>
        <v>1</v>
      </c>
      <c r="O5831" t="str">
        <f t="shared" si="528"/>
        <v/>
      </c>
      <c r="Q5831" t="str">
        <f t="shared" si="525"/>
        <v/>
      </c>
    </row>
    <row r="5832" spans="1:17" hidden="1">
      <c r="A5832" t="s">
        <v>5937</v>
      </c>
      <c r="B5832" s="1">
        <v>45696</v>
      </c>
      <c r="C5832">
        <v>2025</v>
      </c>
      <c r="D5832">
        <v>2</v>
      </c>
      <c r="E5832" t="s">
        <v>19</v>
      </c>
      <c r="F5832" t="s">
        <v>24</v>
      </c>
      <c r="G5832" t="s">
        <v>132</v>
      </c>
      <c r="H5832" t="s">
        <v>171</v>
      </c>
      <c r="I5832">
        <v>6978.01</v>
      </c>
      <c r="J5832">
        <v>7331.02</v>
      </c>
      <c r="K5832" t="s">
        <v>17</v>
      </c>
      <c r="L5832" t="b">
        <v>0</v>
      </c>
      <c r="N5832" s="2" t="str">
        <f t="shared" si="527"/>
        <v/>
      </c>
      <c r="Q5832" t="str">
        <f t="shared" si="525"/>
        <v/>
      </c>
    </row>
    <row r="5833" spans="1:17" hidden="1">
      <c r="A5833" t="s">
        <v>5938</v>
      </c>
      <c r="B5833" s="1">
        <v>45696</v>
      </c>
      <c r="C5833">
        <v>2025</v>
      </c>
      <c r="D5833">
        <v>2</v>
      </c>
      <c r="E5833" t="s">
        <v>19</v>
      </c>
      <c r="F5833" t="s">
        <v>24</v>
      </c>
      <c r="G5833" t="s">
        <v>80</v>
      </c>
      <c r="H5833" t="s">
        <v>217</v>
      </c>
      <c r="I5833">
        <v>7686.22</v>
      </c>
      <c r="J5833">
        <v>7249.44</v>
      </c>
      <c r="K5833" t="s">
        <v>17</v>
      </c>
      <c r="L5833" t="b">
        <v>0</v>
      </c>
      <c r="N5833" s="2" t="str">
        <f t="shared" si="527"/>
        <v/>
      </c>
      <c r="Q5833" t="str">
        <f t="shared" si="525"/>
        <v/>
      </c>
    </row>
    <row r="5834" spans="1:17" hidden="1">
      <c r="A5834" t="s">
        <v>5939</v>
      </c>
      <c r="B5834" s="1">
        <v>45696</v>
      </c>
      <c r="C5834">
        <v>2025</v>
      </c>
      <c r="D5834">
        <v>2</v>
      </c>
      <c r="E5834" t="s">
        <v>23</v>
      </c>
      <c r="F5834" t="s">
        <v>14</v>
      </c>
      <c r="G5834" t="s">
        <v>59</v>
      </c>
      <c r="H5834" t="s">
        <v>60</v>
      </c>
      <c r="I5834">
        <v>4686.13</v>
      </c>
      <c r="J5834">
        <v>4909.3900000000003</v>
      </c>
      <c r="K5834" t="s">
        <v>17</v>
      </c>
      <c r="L5834" t="b">
        <v>0</v>
      </c>
      <c r="N5834" s="2" t="str">
        <f t="shared" si="527"/>
        <v/>
      </c>
      <c r="Q5834" t="str">
        <f t="shared" si="525"/>
        <v/>
      </c>
    </row>
    <row r="5835" spans="1:17" hidden="1">
      <c r="A5835" t="s">
        <v>5940</v>
      </c>
      <c r="B5835" s="1">
        <v>45696</v>
      </c>
      <c r="C5835">
        <v>2025</v>
      </c>
      <c r="D5835">
        <v>2</v>
      </c>
      <c r="E5835" t="s">
        <v>23</v>
      </c>
      <c r="F5835" t="s">
        <v>14</v>
      </c>
      <c r="G5835" t="s">
        <v>141</v>
      </c>
      <c r="H5835" t="s">
        <v>209</v>
      </c>
      <c r="I5835">
        <v>7494.42</v>
      </c>
      <c r="J5835">
        <v>7347.15</v>
      </c>
      <c r="K5835" t="s">
        <v>17</v>
      </c>
      <c r="L5835" t="b">
        <v>0</v>
      </c>
      <c r="N5835" s="2" t="str">
        <f t="shared" si="527"/>
        <v/>
      </c>
      <c r="Q5835" t="str">
        <f t="shared" si="525"/>
        <v/>
      </c>
    </row>
    <row r="5836" spans="1:17" hidden="1">
      <c r="A5836" t="s">
        <v>5941</v>
      </c>
      <c r="B5836" s="1">
        <v>45696</v>
      </c>
      <c r="C5836">
        <v>2025</v>
      </c>
      <c r="D5836">
        <v>2</v>
      </c>
      <c r="E5836" t="s">
        <v>37</v>
      </c>
      <c r="F5836" t="s">
        <v>28</v>
      </c>
      <c r="G5836" t="s">
        <v>98</v>
      </c>
      <c r="H5836" t="s">
        <v>185</v>
      </c>
      <c r="I5836">
        <v>3685.51</v>
      </c>
      <c r="J5836">
        <v>3691.83</v>
      </c>
      <c r="K5836" t="s">
        <v>17</v>
      </c>
      <c r="L5836" t="b">
        <v>0</v>
      </c>
      <c r="N5836" s="2" t="str">
        <f t="shared" si="527"/>
        <v/>
      </c>
      <c r="Q5836" t="str">
        <f t="shared" si="525"/>
        <v/>
      </c>
    </row>
    <row r="5837" spans="1:17" hidden="1">
      <c r="A5837" t="s">
        <v>5942</v>
      </c>
      <c r="B5837" s="1">
        <v>45696</v>
      </c>
      <c r="C5837">
        <v>2025</v>
      </c>
      <c r="D5837">
        <v>2</v>
      </c>
      <c r="E5837" t="s">
        <v>37</v>
      </c>
      <c r="F5837" t="s">
        <v>28</v>
      </c>
      <c r="G5837" t="s">
        <v>41</v>
      </c>
      <c r="H5837" t="s">
        <v>42</v>
      </c>
      <c r="I5837">
        <v>5843.75</v>
      </c>
      <c r="J5837">
        <v>5842.1</v>
      </c>
      <c r="K5837" t="s">
        <v>17</v>
      </c>
      <c r="L5837" t="b">
        <v>0</v>
      </c>
      <c r="N5837" s="2" t="str">
        <f t="shared" si="527"/>
        <v/>
      </c>
      <c r="Q5837" t="str">
        <f t="shared" si="525"/>
        <v/>
      </c>
    </row>
    <row r="5838" spans="1:17" hidden="1">
      <c r="A5838" t="s">
        <v>5943</v>
      </c>
      <c r="B5838" s="1">
        <v>45697</v>
      </c>
      <c r="C5838">
        <v>2025</v>
      </c>
      <c r="D5838">
        <v>2</v>
      </c>
      <c r="E5838" t="s">
        <v>19</v>
      </c>
      <c r="F5838" t="s">
        <v>28</v>
      </c>
      <c r="G5838" t="s">
        <v>80</v>
      </c>
      <c r="H5838" t="s">
        <v>217</v>
      </c>
      <c r="I5838">
        <v>5016.46</v>
      </c>
      <c r="J5838">
        <v>5362.39</v>
      </c>
      <c r="K5838" t="s">
        <v>17</v>
      </c>
      <c r="L5838" t="b">
        <v>0</v>
      </c>
      <c r="N5838" s="2" t="str">
        <f t="shared" si="527"/>
        <v/>
      </c>
      <c r="Q5838" t="str">
        <f t="shared" si="525"/>
        <v/>
      </c>
    </row>
    <row r="5839" spans="1:17" hidden="1">
      <c r="A5839" t="s">
        <v>5944</v>
      </c>
      <c r="B5839" s="1">
        <v>45697</v>
      </c>
      <c r="C5839">
        <v>2025</v>
      </c>
      <c r="D5839">
        <v>2</v>
      </c>
      <c r="E5839" t="s">
        <v>19</v>
      </c>
      <c r="F5839" t="s">
        <v>24</v>
      </c>
      <c r="G5839" t="s">
        <v>132</v>
      </c>
      <c r="H5839" t="s">
        <v>138</v>
      </c>
      <c r="I5839">
        <v>6988.13</v>
      </c>
      <c r="J5839">
        <v>6385.66</v>
      </c>
      <c r="K5839" t="s">
        <v>17</v>
      </c>
      <c r="L5839" t="b">
        <v>0</v>
      </c>
      <c r="N5839" s="2" t="str">
        <f t="shared" si="527"/>
        <v/>
      </c>
      <c r="Q5839" t="str">
        <f t="shared" si="525"/>
        <v/>
      </c>
    </row>
    <row r="5840" spans="1:17" hidden="1">
      <c r="A5840" t="s">
        <v>5945</v>
      </c>
      <c r="B5840" s="1">
        <v>45697</v>
      </c>
      <c r="C5840">
        <v>2025</v>
      </c>
      <c r="D5840">
        <v>2</v>
      </c>
      <c r="E5840" t="s">
        <v>37</v>
      </c>
      <c r="F5840" t="s">
        <v>14</v>
      </c>
      <c r="G5840" t="s">
        <v>41</v>
      </c>
      <c r="H5840" t="s">
        <v>42</v>
      </c>
      <c r="I5840">
        <v>5464.71</v>
      </c>
      <c r="J5840">
        <v>5570.89</v>
      </c>
      <c r="K5840" t="s">
        <v>17</v>
      </c>
      <c r="L5840" t="b">
        <v>0</v>
      </c>
      <c r="N5840" s="2" t="str">
        <f t="shared" si="527"/>
        <v/>
      </c>
      <c r="Q5840" t="str">
        <f t="shared" si="525"/>
        <v/>
      </c>
    </row>
    <row r="5841" spans="1:17" hidden="1">
      <c r="A5841" t="s">
        <v>5946</v>
      </c>
      <c r="B5841" s="1">
        <v>45698</v>
      </c>
      <c r="C5841">
        <v>2025</v>
      </c>
      <c r="D5841">
        <v>2</v>
      </c>
      <c r="E5841" t="s">
        <v>13</v>
      </c>
      <c r="F5841" t="s">
        <v>24</v>
      </c>
      <c r="G5841" t="s">
        <v>15</v>
      </c>
      <c r="H5841" t="s">
        <v>89</v>
      </c>
      <c r="I5841">
        <v>3911.33</v>
      </c>
      <c r="J5841">
        <v>4002.36</v>
      </c>
      <c r="K5841" t="s">
        <v>17</v>
      </c>
      <c r="L5841" t="b">
        <v>0</v>
      </c>
      <c r="N5841" s="2" t="str">
        <f t="shared" si="527"/>
        <v/>
      </c>
      <c r="Q5841" t="str">
        <f t="shared" si="525"/>
        <v/>
      </c>
    </row>
    <row r="5842" spans="1:17" hidden="1">
      <c r="A5842" t="s">
        <v>5947</v>
      </c>
      <c r="B5842" s="1">
        <v>45698</v>
      </c>
      <c r="C5842">
        <v>2025</v>
      </c>
      <c r="D5842">
        <v>2</v>
      </c>
      <c r="E5842" t="s">
        <v>47</v>
      </c>
      <c r="F5842" t="s">
        <v>14</v>
      </c>
      <c r="G5842" t="s">
        <v>51</v>
      </c>
      <c r="H5842" t="s">
        <v>52</v>
      </c>
      <c r="I5842">
        <v>9375.67</v>
      </c>
      <c r="J5842">
        <v>7969.06</v>
      </c>
      <c r="K5842" t="s">
        <v>17</v>
      </c>
      <c r="L5842" t="b">
        <v>0</v>
      </c>
      <c r="N5842" s="2" t="b">
        <f t="shared" si="527"/>
        <v>1</v>
      </c>
      <c r="O5842" t="str">
        <f t="shared" ref="O5842:O5844" si="529">IF(AND(E5831="HR",K5831="EXPENSE"),I5831&lt;J5831,"")</f>
        <v/>
      </c>
      <c r="Q5842" t="str">
        <f t="shared" si="525"/>
        <v/>
      </c>
    </row>
    <row r="5843" spans="1:17" hidden="1">
      <c r="A5843" t="s">
        <v>5948</v>
      </c>
      <c r="B5843" s="1">
        <v>45698</v>
      </c>
      <c r="C5843">
        <v>2025</v>
      </c>
      <c r="D5843">
        <v>2</v>
      </c>
      <c r="E5843" t="s">
        <v>47</v>
      </c>
      <c r="F5843" t="s">
        <v>14</v>
      </c>
      <c r="G5843" t="s">
        <v>51</v>
      </c>
      <c r="H5843" t="s">
        <v>189</v>
      </c>
      <c r="I5843">
        <v>10187.379999999999</v>
      </c>
      <c r="J5843">
        <v>8392.27</v>
      </c>
      <c r="K5843" t="s">
        <v>17</v>
      </c>
      <c r="L5843" t="b">
        <v>0</v>
      </c>
      <c r="N5843" s="2" t="b">
        <f t="shared" si="527"/>
        <v>1</v>
      </c>
      <c r="O5843" t="str">
        <f t="shared" si="529"/>
        <v/>
      </c>
      <c r="Q5843" t="str">
        <f t="shared" si="525"/>
        <v/>
      </c>
    </row>
    <row r="5844" spans="1:17" hidden="1">
      <c r="A5844" t="s">
        <v>5949</v>
      </c>
      <c r="B5844" s="1">
        <v>45698</v>
      </c>
      <c r="C5844">
        <v>2025</v>
      </c>
      <c r="D5844">
        <v>2</v>
      </c>
      <c r="E5844" t="s">
        <v>47</v>
      </c>
      <c r="F5844" t="s">
        <v>24</v>
      </c>
      <c r="G5844" t="s">
        <v>91</v>
      </c>
      <c r="H5844" t="s">
        <v>249</v>
      </c>
      <c r="I5844">
        <v>15556.21</v>
      </c>
      <c r="J5844">
        <v>12909.8</v>
      </c>
      <c r="K5844" t="s">
        <v>17</v>
      </c>
      <c r="L5844" t="b">
        <v>0</v>
      </c>
      <c r="N5844" s="2" t="b">
        <f t="shared" si="527"/>
        <v>1</v>
      </c>
      <c r="O5844" t="str">
        <f t="shared" si="529"/>
        <v/>
      </c>
      <c r="Q5844" t="str">
        <f t="shared" si="525"/>
        <v/>
      </c>
    </row>
    <row r="5845" spans="1:17" hidden="1">
      <c r="A5845" t="s">
        <v>5950</v>
      </c>
      <c r="B5845" s="1">
        <v>45698</v>
      </c>
      <c r="C5845">
        <v>2025</v>
      </c>
      <c r="D5845">
        <v>2</v>
      </c>
      <c r="E5845" t="s">
        <v>19</v>
      </c>
      <c r="F5845" t="s">
        <v>28</v>
      </c>
      <c r="G5845" t="s">
        <v>80</v>
      </c>
      <c r="H5845" t="s">
        <v>217</v>
      </c>
      <c r="I5845">
        <v>4805.13</v>
      </c>
      <c r="J5845">
        <v>4793.1499999999996</v>
      </c>
      <c r="K5845" t="s">
        <v>17</v>
      </c>
      <c r="L5845" t="b">
        <v>0</v>
      </c>
      <c r="N5845" s="2" t="str">
        <f t="shared" si="527"/>
        <v/>
      </c>
      <c r="Q5845" t="str">
        <f t="shared" si="525"/>
        <v/>
      </c>
    </row>
    <row r="5846" spans="1:17" hidden="1">
      <c r="A5846" t="s">
        <v>5951</v>
      </c>
      <c r="B5846" s="1">
        <v>45698</v>
      </c>
      <c r="C5846">
        <v>2025</v>
      </c>
      <c r="D5846">
        <v>2</v>
      </c>
      <c r="E5846" t="s">
        <v>19</v>
      </c>
      <c r="F5846" t="s">
        <v>24</v>
      </c>
      <c r="G5846" t="s">
        <v>20</v>
      </c>
      <c r="H5846" t="s">
        <v>136</v>
      </c>
      <c r="I5846">
        <v>5873.89</v>
      </c>
      <c r="J5846">
        <v>6148.64</v>
      </c>
      <c r="K5846" t="s">
        <v>17</v>
      </c>
      <c r="L5846" t="b">
        <v>0</v>
      </c>
      <c r="N5846" s="2" t="str">
        <f t="shared" si="527"/>
        <v/>
      </c>
      <c r="Q5846" t="str">
        <f t="shared" si="525"/>
        <v/>
      </c>
    </row>
    <row r="5847" spans="1:17" hidden="1">
      <c r="A5847" t="s">
        <v>5952</v>
      </c>
      <c r="B5847" s="1">
        <v>45698</v>
      </c>
      <c r="C5847">
        <v>2025</v>
      </c>
      <c r="D5847">
        <v>2</v>
      </c>
      <c r="E5847" t="s">
        <v>23</v>
      </c>
      <c r="F5847" t="s">
        <v>28</v>
      </c>
      <c r="G5847" t="s">
        <v>59</v>
      </c>
      <c r="H5847" t="s">
        <v>155</v>
      </c>
      <c r="I5847">
        <v>5594.7</v>
      </c>
      <c r="J5847">
        <v>5959.31</v>
      </c>
      <c r="K5847" t="s">
        <v>17</v>
      </c>
      <c r="L5847" t="b">
        <v>0</v>
      </c>
      <c r="N5847" s="2" t="str">
        <f t="shared" si="527"/>
        <v/>
      </c>
      <c r="Q5847" t="str">
        <f t="shared" si="525"/>
        <v/>
      </c>
    </row>
    <row r="5848" spans="1:17" hidden="1">
      <c r="A5848" t="s">
        <v>5953</v>
      </c>
      <c r="B5848" s="1">
        <v>45699</v>
      </c>
      <c r="C5848">
        <v>2025</v>
      </c>
      <c r="D5848">
        <v>2</v>
      </c>
      <c r="E5848" t="s">
        <v>13</v>
      </c>
      <c r="F5848" t="s">
        <v>28</v>
      </c>
      <c r="G5848" t="s">
        <v>15</v>
      </c>
      <c r="H5848" t="s">
        <v>89</v>
      </c>
      <c r="I5848">
        <v>2275.62</v>
      </c>
      <c r="J5848">
        <v>2243.0100000000002</v>
      </c>
      <c r="K5848" t="s">
        <v>17</v>
      </c>
      <c r="L5848" t="b">
        <v>0</v>
      </c>
      <c r="N5848" s="2" t="str">
        <f t="shared" si="527"/>
        <v/>
      </c>
      <c r="Q5848" t="str">
        <f t="shared" si="525"/>
        <v/>
      </c>
    </row>
    <row r="5849" spans="1:17" hidden="1">
      <c r="A5849" t="s">
        <v>5954</v>
      </c>
      <c r="B5849" s="1">
        <v>45699</v>
      </c>
      <c r="C5849">
        <v>2025</v>
      </c>
      <c r="D5849">
        <v>2</v>
      </c>
      <c r="E5849" t="s">
        <v>19</v>
      </c>
      <c r="F5849" t="s">
        <v>28</v>
      </c>
      <c r="G5849" t="s">
        <v>20</v>
      </c>
      <c r="H5849" t="s">
        <v>21</v>
      </c>
      <c r="I5849">
        <v>6011.86</v>
      </c>
      <c r="J5849">
        <v>6479.45</v>
      </c>
      <c r="K5849" t="s">
        <v>17</v>
      </c>
      <c r="L5849" t="b">
        <v>0</v>
      </c>
      <c r="N5849" s="2" t="str">
        <f t="shared" si="527"/>
        <v/>
      </c>
      <c r="Q5849" t="str">
        <f t="shared" si="525"/>
        <v/>
      </c>
    </row>
    <row r="5850" spans="1:17" hidden="1">
      <c r="A5850" t="s">
        <v>5955</v>
      </c>
      <c r="B5850" s="1">
        <v>45699</v>
      </c>
      <c r="C5850">
        <v>2025</v>
      </c>
      <c r="D5850">
        <v>2</v>
      </c>
      <c r="E5850" t="s">
        <v>19</v>
      </c>
      <c r="F5850" t="s">
        <v>28</v>
      </c>
      <c r="G5850" t="s">
        <v>20</v>
      </c>
      <c r="H5850" t="s">
        <v>21</v>
      </c>
      <c r="I5850">
        <v>8310.34</v>
      </c>
      <c r="J5850">
        <v>9008.86</v>
      </c>
      <c r="K5850" t="s">
        <v>17</v>
      </c>
      <c r="L5850" t="b">
        <v>0</v>
      </c>
      <c r="N5850" s="2" t="str">
        <f t="shared" si="527"/>
        <v/>
      </c>
      <c r="Q5850" t="str">
        <f t="shared" si="525"/>
        <v/>
      </c>
    </row>
    <row r="5851" spans="1:17" hidden="1">
      <c r="A5851" t="s">
        <v>5956</v>
      </c>
      <c r="B5851" s="1">
        <v>45699</v>
      </c>
      <c r="C5851">
        <v>2025</v>
      </c>
      <c r="D5851">
        <v>2</v>
      </c>
      <c r="E5851" t="s">
        <v>37</v>
      </c>
      <c r="F5851" t="s">
        <v>14</v>
      </c>
      <c r="G5851" t="s">
        <v>41</v>
      </c>
      <c r="H5851" t="s">
        <v>42</v>
      </c>
      <c r="I5851">
        <v>2695.57</v>
      </c>
      <c r="J5851">
        <v>2731.26</v>
      </c>
      <c r="K5851" t="s">
        <v>17</v>
      </c>
      <c r="L5851" t="b">
        <v>0</v>
      </c>
      <c r="N5851" s="2" t="str">
        <f t="shared" si="527"/>
        <v/>
      </c>
      <c r="Q5851" t="str">
        <f t="shared" si="525"/>
        <v/>
      </c>
    </row>
    <row r="5852" spans="1:17" hidden="1">
      <c r="A5852" t="s">
        <v>5957</v>
      </c>
      <c r="B5852" s="1">
        <v>45700</v>
      </c>
      <c r="C5852">
        <v>2025</v>
      </c>
      <c r="D5852">
        <v>2</v>
      </c>
      <c r="E5852" t="s">
        <v>13</v>
      </c>
      <c r="F5852" t="s">
        <v>14</v>
      </c>
      <c r="G5852" t="s">
        <v>102</v>
      </c>
      <c r="H5852" t="s">
        <v>145</v>
      </c>
      <c r="I5852">
        <v>4326.7700000000004</v>
      </c>
      <c r="J5852">
        <v>4319.1000000000004</v>
      </c>
      <c r="K5852" t="s">
        <v>17</v>
      </c>
      <c r="L5852" t="b">
        <v>0</v>
      </c>
      <c r="N5852" s="2" t="str">
        <f t="shared" si="527"/>
        <v/>
      </c>
      <c r="Q5852" t="str">
        <f t="shared" si="525"/>
        <v/>
      </c>
    </row>
    <row r="5853" spans="1:17" hidden="1">
      <c r="A5853" t="s">
        <v>5958</v>
      </c>
      <c r="B5853" s="1">
        <v>45700</v>
      </c>
      <c r="C5853">
        <v>2025</v>
      </c>
      <c r="D5853">
        <v>2</v>
      </c>
      <c r="E5853" t="s">
        <v>13</v>
      </c>
      <c r="F5853" t="s">
        <v>14</v>
      </c>
      <c r="G5853" t="s">
        <v>15</v>
      </c>
      <c r="H5853" t="s">
        <v>16</v>
      </c>
      <c r="I5853">
        <v>2624.82</v>
      </c>
      <c r="J5853">
        <v>2545.48</v>
      </c>
      <c r="K5853" t="s">
        <v>17</v>
      </c>
      <c r="L5853" t="b">
        <v>0</v>
      </c>
      <c r="N5853" s="2" t="str">
        <f t="shared" si="527"/>
        <v/>
      </c>
      <c r="Q5853" t="str">
        <f t="shared" si="525"/>
        <v/>
      </c>
    </row>
    <row r="5854" spans="1:17" hidden="1">
      <c r="A5854" t="s">
        <v>5959</v>
      </c>
      <c r="B5854" s="1">
        <v>45700</v>
      </c>
      <c r="C5854">
        <v>2025</v>
      </c>
      <c r="D5854">
        <v>2</v>
      </c>
      <c r="E5854" t="s">
        <v>47</v>
      </c>
      <c r="F5854" t="s">
        <v>28</v>
      </c>
      <c r="G5854" t="s">
        <v>77</v>
      </c>
      <c r="H5854" t="s">
        <v>147</v>
      </c>
      <c r="I5854">
        <v>13901.46</v>
      </c>
      <c r="J5854">
        <v>11565.79</v>
      </c>
      <c r="K5854" t="s">
        <v>17</v>
      </c>
      <c r="L5854" t="b">
        <v>0</v>
      </c>
      <c r="N5854" s="2" t="b">
        <f t="shared" si="527"/>
        <v>1</v>
      </c>
      <c r="O5854" t="str">
        <f>IF(AND(E5843="HR",K5843="EXPENSE"),I5843&lt;J5843,"")</f>
        <v/>
      </c>
      <c r="Q5854" t="str">
        <f t="shared" si="525"/>
        <v/>
      </c>
    </row>
    <row r="5855" spans="1:17" hidden="1">
      <c r="A5855" t="s">
        <v>5960</v>
      </c>
      <c r="B5855" s="1">
        <v>45700</v>
      </c>
      <c r="C5855">
        <v>2025</v>
      </c>
      <c r="D5855">
        <v>2</v>
      </c>
      <c r="E5855" t="s">
        <v>23</v>
      </c>
      <c r="F5855" t="s">
        <v>28</v>
      </c>
      <c r="G5855" t="s">
        <v>25</v>
      </c>
      <c r="H5855" t="s">
        <v>26</v>
      </c>
      <c r="I5855">
        <v>2325.21</v>
      </c>
      <c r="J5855">
        <v>2212.2399999999998</v>
      </c>
      <c r="K5855" t="s">
        <v>17</v>
      </c>
      <c r="L5855" t="b">
        <v>0</v>
      </c>
      <c r="N5855" s="2" t="str">
        <f t="shared" si="527"/>
        <v/>
      </c>
      <c r="Q5855" t="str">
        <f t="shared" si="525"/>
        <v/>
      </c>
    </row>
    <row r="5856" spans="1:17" hidden="1">
      <c r="A5856" t="s">
        <v>5961</v>
      </c>
      <c r="B5856" s="1">
        <v>45700</v>
      </c>
      <c r="C5856">
        <v>2025</v>
      </c>
      <c r="D5856">
        <v>2</v>
      </c>
      <c r="E5856" t="s">
        <v>23</v>
      </c>
      <c r="F5856" t="s">
        <v>28</v>
      </c>
      <c r="G5856" t="s">
        <v>30</v>
      </c>
      <c r="H5856" t="s">
        <v>33</v>
      </c>
      <c r="I5856">
        <v>7399</v>
      </c>
      <c r="J5856">
        <v>6800.66</v>
      </c>
      <c r="K5856" t="s">
        <v>17</v>
      </c>
      <c r="L5856" t="b">
        <v>0</v>
      </c>
      <c r="N5856" s="2" t="str">
        <f t="shared" si="527"/>
        <v/>
      </c>
      <c r="Q5856" t="str">
        <f t="shared" si="525"/>
        <v/>
      </c>
    </row>
    <row r="5857" spans="1:17" hidden="1">
      <c r="A5857" t="s">
        <v>5962</v>
      </c>
      <c r="B5857" s="1">
        <v>45700</v>
      </c>
      <c r="C5857">
        <v>2025</v>
      </c>
      <c r="D5857">
        <v>2</v>
      </c>
      <c r="E5857" t="s">
        <v>23</v>
      </c>
      <c r="F5857" t="s">
        <v>24</v>
      </c>
      <c r="G5857" t="s">
        <v>59</v>
      </c>
      <c r="H5857" t="s">
        <v>60</v>
      </c>
      <c r="I5857">
        <v>6299.41</v>
      </c>
      <c r="J5857">
        <v>5750.1</v>
      </c>
      <c r="K5857" t="s">
        <v>17</v>
      </c>
      <c r="L5857" t="b">
        <v>0</v>
      </c>
      <c r="N5857" s="2" t="str">
        <f t="shared" si="527"/>
        <v/>
      </c>
      <c r="Q5857" t="str">
        <f t="shared" si="525"/>
        <v/>
      </c>
    </row>
    <row r="5858" spans="1:17" hidden="1">
      <c r="A5858" t="s">
        <v>5963</v>
      </c>
      <c r="B5858" s="1">
        <v>45700</v>
      </c>
      <c r="C5858">
        <v>2025</v>
      </c>
      <c r="D5858">
        <v>2</v>
      </c>
      <c r="E5858" t="s">
        <v>23</v>
      </c>
      <c r="F5858" t="s">
        <v>24</v>
      </c>
      <c r="G5858" t="s">
        <v>59</v>
      </c>
      <c r="H5858" t="s">
        <v>60</v>
      </c>
      <c r="I5858">
        <v>3132.73</v>
      </c>
      <c r="J5858">
        <v>2904.81</v>
      </c>
      <c r="K5858" t="s">
        <v>17</v>
      </c>
      <c r="L5858" t="b">
        <v>0</v>
      </c>
      <c r="N5858" s="2" t="str">
        <f t="shared" si="527"/>
        <v/>
      </c>
      <c r="Q5858" t="str">
        <f t="shared" si="525"/>
        <v/>
      </c>
    </row>
    <row r="5859" spans="1:17" hidden="1">
      <c r="A5859" t="s">
        <v>5964</v>
      </c>
      <c r="B5859" s="1">
        <v>45700</v>
      </c>
      <c r="C5859">
        <v>2025</v>
      </c>
      <c r="D5859">
        <v>2</v>
      </c>
      <c r="E5859" t="s">
        <v>37</v>
      </c>
      <c r="F5859" t="s">
        <v>28</v>
      </c>
      <c r="G5859" t="s">
        <v>38</v>
      </c>
      <c r="H5859" t="s">
        <v>227</v>
      </c>
      <c r="I5859">
        <v>4603.59</v>
      </c>
      <c r="J5859">
        <v>4219.1499999999996</v>
      </c>
      <c r="K5859" t="s">
        <v>17</v>
      </c>
      <c r="L5859" t="b">
        <v>0</v>
      </c>
      <c r="N5859" s="2" t="str">
        <f t="shared" si="527"/>
        <v/>
      </c>
      <c r="Q5859" t="str">
        <f t="shared" si="525"/>
        <v/>
      </c>
    </row>
    <row r="5860" spans="1:17" hidden="1">
      <c r="A5860" t="s">
        <v>5965</v>
      </c>
      <c r="B5860" s="1">
        <v>45700</v>
      </c>
      <c r="C5860">
        <v>2025</v>
      </c>
      <c r="D5860">
        <v>2</v>
      </c>
      <c r="E5860" t="s">
        <v>37</v>
      </c>
      <c r="F5860" t="s">
        <v>24</v>
      </c>
      <c r="G5860" t="s">
        <v>41</v>
      </c>
      <c r="H5860" t="s">
        <v>42</v>
      </c>
      <c r="I5860">
        <v>4804.37</v>
      </c>
      <c r="J5860">
        <v>4769.6099999999997</v>
      </c>
      <c r="K5860" t="s">
        <v>17</v>
      </c>
      <c r="L5860" t="b">
        <v>0</v>
      </c>
      <c r="N5860" s="2" t="str">
        <f t="shared" si="527"/>
        <v/>
      </c>
      <c r="Q5860" t="str">
        <f t="shared" si="525"/>
        <v/>
      </c>
    </row>
    <row r="5861" spans="1:17" hidden="1">
      <c r="A5861" t="s">
        <v>5966</v>
      </c>
      <c r="B5861" s="1">
        <v>45701</v>
      </c>
      <c r="C5861">
        <v>2025</v>
      </c>
      <c r="D5861">
        <v>2</v>
      </c>
      <c r="E5861" t="s">
        <v>13</v>
      </c>
      <c r="F5861" t="s">
        <v>14</v>
      </c>
      <c r="G5861" t="s">
        <v>68</v>
      </c>
      <c r="H5861" t="s">
        <v>213</v>
      </c>
      <c r="I5861">
        <v>1938.69</v>
      </c>
      <c r="J5861">
        <v>1763.64</v>
      </c>
      <c r="K5861" t="s">
        <v>17</v>
      </c>
      <c r="L5861" t="b">
        <v>0</v>
      </c>
      <c r="N5861" s="2" t="str">
        <f t="shared" si="527"/>
        <v/>
      </c>
      <c r="Q5861" t="str">
        <f t="shared" si="525"/>
        <v/>
      </c>
    </row>
    <row r="5862" spans="1:17" hidden="1">
      <c r="A5862" t="s">
        <v>5967</v>
      </c>
      <c r="B5862" s="1">
        <v>45701</v>
      </c>
      <c r="C5862">
        <v>2025</v>
      </c>
      <c r="D5862">
        <v>2</v>
      </c>
      <c r="E5862" t="s">
        <v>13</v>
      </c>
      <c r="F5862" t="s">
        <v>14</v>
      </c>
      <c r="G5862" t="s">
        <v>15</v>
      </c>
      <c r="H5862" t="s">
        <v>89</v>
      </c>
      <c r="I5862">
        <v>3838.86</v>
      </c>
      <c r="J5862">
        <v>3660.13</v>
      </c>
      <c r="K5862" t="s">
        <v>17</v>
      </c>
      <c r="L5862" t="b">
        <v>0</v>
      </c>
      <c r="N5862" s="2" t="str">
        <f t="shared" si="527"/>
        <v/>
      </c>
      <c r="Q5862" t="str">
        <f t="shared" si="525"/>
        <v/>
      </c>
    </row>
    <row r="5863" spans="1:17" hidden="1">
      <c r="A5863" t="s">
        <v>5968</v>
      </c>
      <c r="B5863" s="1">
        <v>45701</v>
      </c>
      <c r="C5863">
        <v>2025</v>
      </c>
      <c r="D5863">
        <v>2</v>
      </c>
      <c r="E5863" t="s">
        <v>13</v>
      </c>
      <c r="F5863" t="s">
        <v>24</v>
      </c>
      <c r="G5863" t="s">
        <v>108</v>
      </c>
      <c r="H5863" t="s">
        <v>126</v>
      </c>
      <c r="I5863">
        <v>3072.72</v>
      </c>
      <c r="J5863">
        <v>3145.8</v>
      </c>
      <c r="K5863" t="s">
        <v>17</v>
      </c>
      <c r="L5863" t="b">
        <v>0</v>
      </c>
      <c r="N5863" s="2" t="str">
        <f t="shared" si="527"/>
        <v/>
      </c>
      <c r="Q5863" t="str">
        <f t="shared" si="525"/>
        <v/>
      </c>
    </row>
    <row r="5864" spans="1:17" hidden="1">
      <c r="A5864" t="s">
        <v>5969</v>
      </c>
      <c r="B5864" s="1">
        <v>45701</v>
      </c>
      <c r="C5864">
        <v>2025</v>
      </c>
      <c r="D5864">
        <v>2</v>
      </c>
      <c r="E5864" t="s">
        <v>47</v>
      </c>
      <c r="F5864" t="s">
        <v>28</v>
      </c>
      <c r="G5864" t="s">
        <v>91</v>
      </c>
      <c r="H5864" t="s">
        <v>254</v>
      </c>
      <c r="I5864">
        <v>14031.55</v>
      </c>
      <c r="J5864">
        <v>11663.32</v>
      </c>
      <c r="K5864" t="s">
        <v>17</v>
      </c>
      <c r="L5864" t="b">
        <v>0</v>
      </c>
      <c r="N5864" s="2" t="b">
        <f t="shared" si="527"/>
        <v>1</v>
      </c>
      <c r="O5864" t="b">
        <f>IF(AND(E5853="HR",K5853="EXPENSE"),I5853&lt;J5853,"")</f>
        <v>0</v>
      </c>
      <c r="Q5864" t="str">
        <f t="shared" si="525"/>
        <v/>
      </c>
    </row>
    <row r="5865" spans="1:17" hidden="1">
      <c r="A5865" t="s">
        <v>5970</v>
      </c>
      <c r="B5865" s="1">
        <v>45701</v>
      </c>
      <c r="C5865">
        <v>2025</v>
      </c>
      <c r="D5865">
        <v>2</v>
      </c>
      <c r="E5865" t="s">
        <v>19</v>
      </c>
      <c r="F5865" t="s">
        <v>14</v>
      </c>
      <c r="G5865" t="s">
        <v>132</v>
      </c>
      <c r="H5865" t="s">
        <v>133</v>
      </c>
      <c r="I5865">
        <v>7067.56</v>
      </c>
      <c r="J5865">
        <v>7321.09</v>
      </c>
      <c r="K5865" t="s">
        <v>17</v>
      </c>
      <c r="L5865" t="b">
        <v>0</v>
      </c>
      <c r="N5865" s="2" t="str">
        <f t="shared" si="527"/>
        <v/>
      </c>
      <c r="Q5865" t="str">
        <f t="shared" si="525"/>
        <v/>
      </c>
    </row>
    <row r="5866" spans="1:17" hidden="1">
      <c r="A5866" t="s">
        <v>5971</v>
      </c>
      <c r="B5866" s="1">
        <v>45701</v>
      </c>
      <c r="C5866">
        <v>2025</v>
      </c>
      <c r="D5866">
        <v>2</v>
      </c>
      <c r="E5866" t="s">
        <v>19</v>
      </c>
      <c r="F5866" t="s">
        <v>28</v>
      </c>
      <c r="G5866" t="s">
        <v>80</v>
      </c>
      <c r="H5866" t="s">
        <v>113</v>
      </c>
      <c r="I5866">
        <v>6230.43</v>
      </c>
      <c r="J5866">
        <v>6504.97</v>
      </c>
      <c r="K5866" t="s">
        <v>17</v>
      </c>
      <c r="L5866" t="b">
        <v>0</v>
      </c>
      <c r="N5866" s="2" t="str">
        <f t="shared" si="527"/>
        <v/>
      </c>
      <c r="Q5866" t="str">
        <f t="shared" si="525"/>
        <v/>
      </c>
    </row>
    <row r="5867" spans="1:17" hidden="1">
      <c r="A5867" t="s">
        <v>5972</v>
      </c>
      <c r="B5867" s="1">
        <v>45701</v>
      </c>
      <c r="C5867">
        <v>2025</v>
      </c>
      <c r="D5867">
        <v>2</v>
      </c>
      <c r="E5867" t="s">
        <v>23</v>
      </c>
      <c r="F5867" t="s">
        <v>14</v>
      </c>
      <c r="G5867" t="s">
        <v>30</v>
      </c>
      <c r="H5867" t="s">
        <v>31</v>
      </c>
      <c r="I5867">
        <v>2965.05</v>
      </c>
      <c r="J5867">
        <v>2739.26</v>
      </c>
      <c r="K5867" t="s">
        <v>17</v>
      </c>
      <c r="L5867" t="b">
        <v>0</v>
      </c>
      <c r="N5867" s="2" t="str">
        <f t="shared" si="527"/>
        <v/>
      </c>
      <c r="Q5867" t="str">
        <f t="shared" si="525"/>
        <v/>
      </c>
    </row>
    <row r="5868" spans="1:17" hidden="1">
      <c r="A5868" t="s">
        <v>5973</v>
      </c>
      <c r="B5868" s="1">
        <v>45701</v>
      </c>
      <c r="C5868">
        <v>2025</v>
      </c>
      <c r="D5868">
        <v>2</v>
      </c>
      <c r="E5868" t="s">
        <v>23</v>
      </c>
      <c r="F5868" t="s">
        <v>24</v>
      </c>
      <c r="G5868" t="s">
        <v>30</v>
      </c>
      <c r="H5868" t="s">
        <v>31</v>
      </c>
      <c r="I5868">
        <v>5097.04</v>
      </c>
      <c r="J5868">
        <v>4935.51</v>
      </c>
      <c r="K5868" t="s">
        <v>17</v>
      </c>
      <c r="L5868" t="b">
        <v>0</v>
      </c>
      <c r="N5868" s="2" t="str">
        <f t="shared" si="527"/>
        <v/>
      </c>
      <c r="Q5868" t="str">
        <f t="shared" si="525"/>
        <v/>
      </c>
    </row>
    <row r="5869" spans="1:17" hidden="1">
      <c r="A5869" t="s">
        <v>5974</v>
      </c>
      <c r="B5869" s="1">
        <v>45701</v>
      </c>
      <c r="C5869">
        <v>2025</v>
      </c>
      <c r="D5869">
        <v>2</v>
      </c>
      <c r="E5869" t="s">
        <v>37</v>
      </c>
      <c r="F5869" t="s">
        <v>24</v>
      </c>
      <c r="G5869" t="s">
        <v>38</v>
      </c>
      <c r="H5869" t="s">
        <v>118</v>
      </c>
      <c r="I5869">
        <v>5811.37</v>
      </c>
      <c r="J5869">
        <v>5843.25</v>
      </c>
      <c r="K5869" t="s">
        <v>17</v>
      </c>
      <c r="L5869" t="b">
        <v>0</v>
      </c>
      <c r="N5869" s="2" t="str">
        <f t="shared" si="527"/>
        <v/>
      </c>
      <c r="Q5869" t="str">
        <f t="shared" si="525"/>
        <v/>
      </c>
    </row>
    <row r="5870" spans="1:17" hidden="1">
      <c r="A5870" t="s">
        <v>5975</v>
      </c>
      <c r="B5870" s="1">
        <v>45701</v>
      </c>
      <c r="C5870">
        <v>2025</v>
      </c>
      <c r="D5870">
        <v>2</v>
      </c>
      <c r="E5870" t="s">
        <v>37</v>
      </c>
      <c r="F5870" t="s">
        <v>24</v>
      </c>
      <c r="G5870" t="s">
        <v>38</v>
      </c>
      <c r="H5870" t="s">
        <v>39</v>
      </c>
      <c r="I5870">
        <v>5313.14</v>
      </c>
      <c r="J5870">
        <v>5750.14</v>
      </c>
      <c r="K5870" t="s">
        <v>17</v>
      </c>
      <c r="L5870" t="b">
        <v>0</v>
      </c>
      <c r="N5870" s="2" t="str">
        <f t="shared" si="527"/>
        <v/>
      </c>
      <c r="Q5870" t="str">
        <f t="shared" si="525"/>
        <v/>
      </c>
    </row>
    <row r="5871" spans="1:17" hidden="1">
      <c r="A5871" t="s">
        <v>5976</v>
      </c>
      <c r="B5871" s="1">
        <v>45702</v>
      </c>
      <c r="C5871">
        <v>2025</v>
      </c>
      <c r="D5871">
        <v>2</v>
      </c>
      <c r="E5871" t="s">
        <v>13</v>
      </c>
      <c r="F5871" t="s">
        <v>14</v>
      </c>
      <c r="G5871" t="s">
        <v>108</v>
      </c>
      <c r="H5871" t="s">
        <v>123</v>
      </c>
      <c r="I5871">
        <v>4622.1000000000004</v>
      </c>
      <c r="J5871">
        <v>4849.59</v>
      </c>
      <c r="K5871" t="s">
        <v>17</v>
      </c>
      <c r="L5871" t="b">
        <v>0</v>
      </c>
      <c r="N5871" s="2" t="str">
        <f t="shared" si="527"/>
        <v/>
      </c>
      <c r="Q5871" t="str">
        <f t="shared" si="525"/>
        <v/>
      </c>
    </row>
    <row r="5872" spans="1:17" hidden="1">
      <c r="A5872" t="s">
        <v>5977</v>
      </c>
      <c r="B5872" s="1">
        <v>45702</v>
      </c>
      <c r="C5872">
        <v>2025</v>
      </c>
      <c r="D5872">
        <v>2</v>
      </c>
      <c r="E5872" t="s">
        <v>13</v>
      </c>
      <c r="F5872" t="s">
        <v>14</v>
      </c>
      <c r="G5872" t="s">
        <v>15</v>
      </c>
      <c r="H5872" t="s">
        <v>89</v>
      </c>
      <c r="I5872">
        <v>3262.71</v>
      </c>
      <c r="J5872">
        <v>3009.01</v>
      </c>
      <c r="K5872" t="s">
        <v>17</v>
      </c>
      <c r="L5872" t="b">
        <v>0</v>
      </c>
      <c r="N5872" s="2" t="str">
        <f t="shared" si="527"/>
        <v/>
      </c>
      <c r="Q5872" t="str">
        <f t="shared" ref="Q5872:Q5935" si="530">IF(L5872=TRUE,OR(H5872="Apex Solutions Inc",H5872="Global Trade Partners",H5872="NovaTech Services"),"")</f>
        <v/>
      </c>
    </row>
    <row r="5873" spans="1:17" hidden="1">
      <c r="A5873" t="s">
        <v>5978</v>
      </c>
      <c r="B5873" s="1">
        <v>45702</v>
      </c>
      <c r="C5873">
        <v>2025</v>
      </c>
      <c r="D5873">
        <v>2</v>
      </c>
      <c r="E5873" t="s">
        <v>47</v>
      </c>
      <c r="F5873" t="s">
        <v>14</v>
      </c>
      <c r="G5873" t="s">
        <v>91</v>
      </c>
      <c r="H5873" t="s">
        <v>249</v>
      </c>
      <c r="I5873">
        <v>11854.98</v>
      </c>
      <c r="J5873">
        <v>9978.5400000000009</v>
      </c>
      <c r="K5873" t="s">
        <v>17</v>
      </c>
      <c r="L5873" t="b">
        <v>0</v>
      </c>
      <c r="N5873" s="2" t="b">
        <f t="shared" si="527"/>
        <v>1</v>
      </c>
      <c r="O5873" t="b">
        <f t="shared" ref="O5873:O5874" si="531">IF(AND(E5862="HR",K5862="EXPENSE"),I5862&lt;J5862,"")</f>
        <v>0</v>
      </c>
      <c r="Q5873" t="str">
        <f t="shared" si="530"/>
        <v/>
      </c>
    </row>
    <row r="5874" spans="1:17" hidden="1">
      <c r="A5874" t="s">
        <v>5979</v>
      </c>
      <c r="B5874" s="1">
        <v>45702</v>
      </c>
      <c r="C5874">
        <v>2025</v>
      </c>
      <c r="D5874">
        <v>2</v>
      </c>
      <c r="E5874" t="s">
        <v>47</v>
      </c>
      <c r="F5874" t="s">
        <v>28</v>
      </c>
      <c r="G5874" t="s">
        <v>48</v>
      </c>
      <c r="H5874" t="s">
        <v>191</v>
      </c>
      <c r="I5874">
        <v>14049.98</v>
      </c>
      <c r="J5874">
        <v>11546.44</v>
      </c>
      <c r="K5874" t="s">
        <v>17</v>
      </c>
      <c r="L5874" t="b">
        <v>0</v>
      </c>
      <c r="N5874" s="2" t="b">
        <f t="shared" si="527"/>
        <v>1</v>
      </c>
      <c r="O5874" t="b">
        <f t="shared" si="531"/>
        <v>1</v>
      </c>
      <c r="Q5874" t="str">
        <f t="shared" si="530"/>
        <v/>
      </c>
    </row>
    <row r="5875" spans="1:17" hidden="1">
      <c r="A5875" t="s">
        <v>5980</v>
      </c>
      <c r="B5875" s="1">
        <v>45702</v>
      </c>
      <c r="C5875">
        <v>2025</v>
      </c>
      <c r="D5875">
        <v>2</v>
      </c>
      <c r="E5875" t="s">
        <v>23</v>
      </c>
      <c r="F5875" t="s">
        <v>14</v>
      </c>
      <c r="G5875" t="s">
        <v>25</v>
      </c>
      <c r="H5875" t="s">
        <v>95</v>
      </c>
      <c r="I5875">
        <v>3412.04</v>
      </c>
      <c r="J5875">
        <v>3472.82</v>
      </c>
      <c r="K5875" t="s">
        <v>17</v>
      </c>
      <c r="L5875" t="b">
        <v>0</v>
      </c>
      <c r="N5875" s="2" t="str">
        <f t="shared" si="527"/>
        <v/>
      </c>
      <c r="Q5875" t="str">
        <f t="shared" si="530"/>
        <v/>
      </c>
    </row>
    <row r="5876" spans="1:17" hidden="1">
      <c r="A5876" t="s">
        <v>5981</v>
      </c>
      <c r="B5876" s="1">
        <v>45702</v>
      </c>
      <c r="C5876">
        <v>2025</v>
      </c>
      <c r="D5876">
        <v>2</v>
      </c>
      <c r="E5876" t="s">
        <v>37</v>
      </c>
      <c r="F5876" t="s">
        <v>28</v>
      </c>
      <c r="G5876" t="s">
        <v>38</v>
      </c>
      <c r="H5876" t="s">
        <v>118</v>
      </c>
      <c r="I5876">
        <v>5293.99</v>
      </c>
      <c r="J5876">
        <v>5650.22</v>
      </c>
      <c r="K5876" t="s">
        <v>17</v>
      </c>
      <c r="L5876" t="b">
        <v>0</v>
      </c>
      <c r="N5876" s="2" t="str">
        <f t="shared" si="527"/>
        <v/>
      </c>
      <c r="Q5876" t="str">
        <f t="shared" si="530"/>
        <v/>
      </c>
    </row>
    <row r="5877" spans="1:17" hidden="1">
      <c r="A5877" t="s">
        <v>5982</v>
      </c>
      <c r="B5877" s="1">
        <v>45703</v>
      </c>
      <c r="C5877">
        <v>2025</v>
      </c>
      <c r="D5877">
        <v>2</v>
      </c>
      <c r="E5877" t="s">
        <v>13</v>
      </c>
      <c r="F5877" t="s">
        <v>24</v>
      </c>
      <c r="G5877" t="s">
        <v>102</v>
      </c>
      <c r="H5877" t="s">
        <v>278</v>
      </c>
      <c r="I5877">
        <v>3056.61</v>
      </c>
      <c r="J5877">
        <v>2753.18</v>
      </c>
      <c r="K5877" t="s">
        <v>17</v>
      </c>
      <c r="L5877" t="b">
        <v>0</v>
      </c>
      <c r="N5877" s="2" t="str">
        <f t="shared" si="527"/>
        <v/>
      </c>
      <c r="Q5877" t="str">
        <f t="shared" si="530"/>
        <v/>
      </c>
    </row>
    <row r="5878" spans="1:17" hidden="1">
      <c r="A5878" t="s">
        <v>5983</v>
      </c>
      <c r="B5878" s="1">
        <v>45703</v>
      </c>
      <c r="C5878">
        <v>2025</v>
      </c>
      <c r="D5878">
        <v>2</v>
      </c>
      <c r="E5878" t="s">
        <v>19</v>
      </c>
      <c r="F5878" t="s">
        <v>14</v>
      </c>
      <c r="G5878" t="s">
        <v>132</v>
      </c>
      <c r="H5878" t="s">
        <v>133</v>
      </c>
      <c r="I5878">
        <v>7157.48</v>
      </c>
      <c r="J5878">
        <v>7249.41</v>
      </c>
      <c r="K5878" t="s">
        <v>17</v>
      </c>
      <c r="L5878" t="b">
        <v>0</v>
      </c>
      <c r="N5878" s="2" t="str">
        <f t="shared" si="527"/>
        <v/>
      </c>
      <c r="Q5878" t="str">
        <f t="shared" si="530"/>
        <v/>
      </c>
    </row>
    <row r="5879" spans="1:17" hidden="1">
      <c r="A5879" t="s">
        <v>5984</v>
      </c>
      <c r="B5879" s="1">
        <v>45703</v>
      </c>
      <c r="C5879">
        <v>2025</v>
      </c>
      <c r="D5879">
        <v>2</v>
      </c>
      <c r="E5879" t="s">
        <v>19</v>
      </c>
      <c r="F5879" t="s">
        <v>24</v>
      </c>
      <c r="G5879" t="s">
        <v>132</v>
      </c>
      <c r="H5879" t="s">
        <v>171</v>
      </c>
      <c r="I5879">
        <v>6094.95</v>
      </c>
      <c r="J5879">
        <v>6230.79</v>
      </c>
      <c r="K5879" t="s">
        <v>17</v>
      </c>
      <c r="L5879" t="b">
        <v>0</v>
      </c>
      <c r="N5879" s="2" t="str">
        <f t="shared" si="527"/>
        <v/>
      </c>
      <c r="Q5879" t="str">
        <f t="shared" si="530"/>
        <v/>
      </c>
    </row>
    <row r="5880" spans="1:17" hidden="1">
      <c r="A5880" t="s">
        <v>5985</v>
      </c>
      <c r="B5880" s="1">
        <v>45703</v>
      </c>
      <c r="C5880">
        <v>2025</v>
      </c>
      <c r="D5880">
        <v>2</v>
      </c>
      <c r="E5880" t="s">
        <v>23</v>
      </c>
      <c r="F5880" t="s">
        <v>28</v>
      </c>
      <c r="G5880" t="s">
        <v>25</v>
      </c>
      <c r="H5880" t="s">
        <v>26</v>
      </c>
      <c r="I5880">
        <v>4569.01</v>
      </c>
      <c r="J5880">
        <v>4503.3500000000004</v>
      </c>
      <c r="K5880" t="s">
        <v>17</v>
      </c>
      <c r="L5880" t="b">
        <v>0</v>
      </c>
      <c r="N5880" s="2" t="str">
        <f t="shared" si="527"/>
        <v/>
      </c>
      <c r="Q5880" t="str">
        <f t="shared" si="530"/>
        <v/>
      </c>
    </row>
    <row r="5881" spans="1:17" hidden="1">
      <c r="A5881" t="s">
        <v>5986</v>
      </c>
      <c r="B5881" s="1">
        <v>45703</v>
      </c>
      <c r="C5881">
        <v>2025</v>
      </c>
      <c r="D5881">
        <v>2</v>
      </c>
      <c r="E5881" t="s">
        <v>23</v>
      </c>
      <c r="F5881" t="s">
        <v>28</v>
      </c>
      <c r="G5881" t="s">
        <v>59</v>
      </c>
      <c r="H5881" t="s">
        <v>155</v>
      </c>
      <c r="I5881">
        <v>5180.1899999999996</v>
      </c>
      <c r="J5881">
        <v>4773.04</v>
      </c>
      <c r="K5881" t="s">
        <v>17</v>
      </c>
      <c r="L5881" t="b">
        <v>0</v>
      </c>
      <c r="N5881" s="2" t="str">
        <f t="shared" si="527"/>
        <v/>
      </c>
      <c r="Q5881" t="str">
        <f t="shared" si="530"/>
        <v/>
      </c>
    </row>
    <row r="5882" spans="1:17" hidden="1">
      <c r="A5882" t="s">
        <v>5987</v>
      </c>
      <c r="B5882" s="1">
        <v>45703</v>
      </c>
      <c r="C5882">
        <v>2025</v>
      </c>
      <c r="D5882">
        <v>2</v>
      </c>
      <c r="E5882" t="s">
        <v>37</v>
      </c>
      <c r="F5882" t="s">
        <v>24</v>
      </c>
      <c r="G5882" t="s">
        <v>98</v>
      </c>
      <c r="H5882" t="s">
        <v>185</v>
      </c>
      <c r="I5882">
        <v>5566.09</v>
      </c>
      <c r="J5882">
        <v>5326.02</v>
      </c>
      <c r="K5882" t="s">
        <v>17</v>
      </c>
      <c r="L5882" t="b">
        <v>0</v>
      </c>
      <c r="N5882" s="2" t="str">
        <f t="shared" si="527"/>
        <v/>
      </c>
      <c r="Q5882" t="str">
        <f t="shared" si="530"/>
        <v/>
      </c>
    </row>
    <row r="5883" spans="1:17" hidden="1">
      <c r="A5883" t="s">
        <v>5988</v>
      </c>
      <c r="B5883" s="1">
        <v>45704</v>
      </c>
      <c r="C5883">
        <v>2025</v>
      </c>
      <c r="D5883">
        <v>2</v>
      </c>
      <c r="E5883" t="s">
        <v>13</v>
      </c>
      <c r="F5883" t="s">
        <v>24</v>
      </c>
      <c r="G5883" t="s">
        <v>15</v>
      </c>
      <c r="H5883" t="s">
        <v>89</v>
      </c>
      <c r="I5883">
        <v>4174.38</v>
      </c>
      <c r="J5883">
        <v>3964.84</v>
      </c>
      <c r="K5883" t="s">
        <v>17</v>
      </c>
      <c r="L5883" t="b">
        <v>0</v>
      </c>
      <c r="N5883" s="2" t="str">
        <f t="shared" si="527"/>
        <v/>
      </c>
      <c r="Q5883" t="str">
        <f t="shared" si="530"/>
        <v/>
      </c>
    </row>
    <row r="5884" spans="1:17" hidden="1">
      <c r="A5884" t="s">
        <v>5989</v>
      </c>
      <c r="B5884" s="1">
        <v>45704</v>
      </c>
      <c r="C5884">
        <v>2025</v>
      </c>
      <c r="D5884">
        <v>2</v>
      </c>
      <c r="E5884" t="s">
        <v>47</v>
      </c>
      <c r="F5884" t="s">
        <v>14</v>
      </c>
      <c r="G5884" t="s">
        <v>48</v>
      </c>
      <c r="H5884" t="s">
        <v>111</v>
      </c>
      <c r="I5884">
        <v>4168.8100000000004</v>
      </c>
      <c r="J5884">
        <v>3608.92</v>
      </c>
      <c r="K5884" t="s">
        <v>17</v>
      </c>
      <c r="L5884" t="b">
        <v>0</v>
      </c>
      <c r="N5884" s="2" t="b">
        <f t="shared" si="527"/>
        <v>1</v>
      </c>
      <c r="O5884" t="str">
        <f t="shared" ref="O5884:O5887" si="532">IF(AND(E5873="HR",K5873="EXPENSE"),I5873&lt;J5873,"")</f>
        <v/>
      </c>
      <c r="Q5884" t="str">
        <f t="shared" si="530"/>
        <v/>
      </c>
    </row>
    <row r="5885" spans="1:17" hidden="1">
      <c r="A5885" t="s">
        <v>5990</v>
      </c>
      <c r="B5885" s="1">
        <v>45704</v>
      </c>
      <c r="C5885">
        <v>2025</v>
      </c>
      <c r="D5885">
        <v>2</v>
      </c>
      <c r="E5885" t="s">
        <v>47</v>
      </c>
      <c r="F5885" t="s">
        <v>14</v>
      </c>
      <c r="G5885" t="s">
        <v>48</v>
      </c>
      <c r="H5885" t="s">
        <v>75</v>
      </c>
      <c r="I5885">
        <v>12030.14</v>
      </c>
      <c r="J5885">
        <v>10177.379999999999</v>
      </c>
      <c r="K5885" t="s">
        <v>17</v>
      </c>
      <c r="L5885" t="b">
        <v>0</v>
      </c>
      <c r="N5885" s="2" t="b">
        <f t="shared" si="527"/>
        <v>1</v>
      </c>
      <c r="O5885" t="str">
        <f t="shared" si="532"/>
        <v/>
      </c>
      <c r="Q5885" t="str">
        <f t="shared" si="530"/>
        <v/>
      </c>
    </row>
    <row r="5886" spans="1:17" hidden="1">
      <c r="A5886" t="s">
        <v>5991</v>
      </c>
      <c r="B5886" s="1">
        <v>45704</v>
      </c>
      <c r="C5886">
        <v>2025</v>
      </c>
      <c r="D5886">
        <v>2</v>
      </c>
      <c r="E5886" t="s">
        <v>47</v>
      </c>
      <c r="F5886" t="s">
        <v>28</v>
      </c>
      <c r="G5886" t="s">
        <v>91</v>
      </c>
      <c r="H5886" t="s">
        <v>92</v>
      </c>
      <c r="I5886">
        <v>22494.9</v>
      </c>
      <c r="J5886">
        <v>18853.189999999999</v>
      </c>
      <c r="K5886" t="s">
        <v>17</v>
      </c>
      <c r="L5886" t="b">
        <v>0</v>
      </c>
      <c r="N5886" s="2" t="b">
        <f t="shared" si="527"/>
        <v>1</v>
      </c>
      <c r="O5886" t="str">
        <f t="shared" si="532"/>
        <v/>
      </c>
      <c r="Q5886" t="str">
        <f t="shared" si="530"/>
        <v/>
      </c>
    </row>
    <row r="5887" spans="1:17" hidden="1">
      <c r="A5887" t="s">
        <v>5992</v>
      </c>
      <c r="B5887" s="1">
        <v>45704</v>
      </c>
      <c r="C5887">
        <v>2025</v>
      </c>
      <c r="D5887">
        <v>2</v>
      </c>
      <c r="E5887" t="s">
        <v>47</v>
      </c>
      <c r="F5887" t="s">
        <v>24</v>
      </c>
      <c r="G5887" t="s">
        <v>77</v>
      </c>
      <c r="H5887" t="s">
        <v>130</v>
      </c>
      <c r="I5887">
        <v>15349.17</v>
      </c>
      <c r="J5887">
        <v>13285.57</v>
      </c>
      <c r="K5887" t="s">
        <v>17</v>
      </c>
      <c r="L5887" t="b">
        <v>0</v>
      </c>
      <c r="N5887" s="2" t="b">
        <f t="shared" si="527"/>
        <v>1</v>
      </c>
      <c r="O5887" t="str">
        <f t="shared" si="532"/>
        <v/>
      </c>
      <c r="Q5887" t="str">
        <f t="shared" si="530"/>
        <v/>
      </c>
    </row>
    <row r="5888" spans="1:17" hidden="1">
      <c r="A5888" t="s">
        <v>5993</v>
      </c>
      <c r="B5888" s="1">
        <v>45704</v>
      </c>
      <c r="C5888">
        <v>2025</v>
      </c>
      <c r="D5888">
        <v>2</v>
      </c>
      <c r="E5888" t="s">
        <v>19</v>
      </c>
      <c r="F5888" t="s">
        <v>28</v>
      </c>
      <c r="G5888" t="s">
        <v>54</v>
      </c>
      <c r="H5888" t="s">
        <v>163</v>
      </c>
      <c r="I5888">
        <v>7638.3</v>
      </c>
      <c r="J5888">
        <v>7366.67</v>
      </c>
      <c r="K5888" t="s">
        <v>17</v>
      </c>
      <c r="L5888" t="b">
        <v>0</v>
      </c>
      <c r="N5888" s="2" t="str">
        <f t="shared" si="527"/>
        <v/>
      </c>
      <c r="Q5888" t="str">
        <f t="shared" si="530"/>
        <v/>
      </c>
    </row>
    <row r="5889" spans="1:17" hidden="1">
      <c r="A5889" t="s">
        <v>5994</v>
      </c>
      <c r="B5889" s="1">
        <v>45704</v>
      </c>
      <c r="C5889">
        <v>2025</v>
      </c>
      <c r="D5889">
        <v>2</v>
      </c>
      <c r="E5889" t="s">
        <v>23</v>
      </c>
      <c r="F5889" t="s">
        <v>14</v>
      </c>
      <c r="G5889" t="s">
        <v>30</v>
      </c>
      <c r="H5889" t="s">
        <v>31</v>
      </c>
      <c r="I5889">
        <v>5624.14</v>
      </c>
      <c r="J5889">
        <v>5875.02</v>
      </c>
      <c r="K5889" t="s">
        <v>17</v>
      </c>
      <c r="L5889" t="b">
        <v>0</v>
      </c>
      <c r="N5889" s="2" t="str">
        <f t="shared" si="527"/>
        <v/>
      </c>
      <c r="Q5889" t="str">
        <f t="shared" si="530"/>
        <v/>
      </c>
    </row>
    <row r="5890" spans="1:17" hidden="1">
      <c r="A5890" t="s">
        <v>5995</v>
      </c>
      <c r="B5890" s="1">
        <v>45704</v>
      </c>
      <c r="C5890">
        <v>2025</v>
      </c>
      <c r="D5890">
        <v>2</v>
      </c>
      <c r="E5890" t="s">
        <v>37</v>
      </c>
      <c r="F5890" t="s">
        <v>14</v>
      </c>
      <c r="G5890" t="s">
        <v>41</v>
      </c>
      <c r="H5890" t="s">
        <v>42</v>
      </c>
      <c r="I5890">
        <v>4630.18</v>
      </c>
      <c r="J5890">
        <v>4455.54</v>
      </c>
      <c r="K5890" t="s">
        <v>17</v>
      </c>
      <c r="L5890" t="b">
        <v>0</v>
      </c>
      <c r="N5890" s="2" t="str">
        <f t="shared" si="527"/>
        <v/>
      </c>
      <c r="Q5890" t="str">
        <f t="shared" si="530"/>
        <v/>
      </c>
    </row>
    <row r="5891" spans="1:17" hidden="1">
      <c r="A5891" t="s">
        <v>5996</v>
      </c>
      <c r="B5891" s="1">
        <v>45705</v>
      </c>
      <c r="C5891">
        <v>2025</v>
      </c>
      <c r="D5891">
        <v>2</v>
      </c>
      <c r="E5891" t="s">
        <v>13</v>
      </c>
      <c r="F5891" t="s">
        <v>24</v>
      </c>
      <c r="G5891" t="s">
        <v>15</v>
      </c>
      <c r="H5891" t="s">
        <v>16</v>
      </c>
      <c r="I5891">
        <v>3336.69</v>
      </c>
      <c r="J5891">
        <v>3274.79</v>
      </c>
      <c r="K5891" t="s">
        <v>17</v>
      </c>
      <c r="L5891" t="b">
        <v>0</v>
      </c>
      <c r="N5891" s="2" t="str">
        <f t="shared" ref="N5891:N5954" si="533">IF(AND(E5891="IT",K5891="EXPENSE"),I5891&gt;J5891,"")</f>
        <v/>
      </c>
      <c r="Q5891" t="str">
        <f t="shared" si="530"/>
        <v/>
      </c>
    </row>
    <row r="5892" spans="1:17" hidden="1">
      <c r="A5892" t="s">
        <v>5997</v>
      </c>
      <c r="B5892" s="1">
        <v>45705</v>
      </c>
      <c r="C5892">
        <v>2025</v>
      </c>
      <c r="D5892">
        <v>2</v>
      </c>
      <c r="E5892" t="s">
        <v>13</v>
      </c>
      <c r="F5892" t="s">
        <v>24</v>
      </c>
      <c r="G5892" t="s">
        <v>108</v>
      </c>
      <c r="H5892" t="s">
        <v>109</v>
      </c>
      <c r="I5892">
        <v>2914.36</v>
      </c>
      <c r="J5892">
        <v>2952.47</v>
      </c>
      <c r="K5892" t="s">
        <v>17</v>
      </c>
      <c r="L5892" t="b">
        <v>0</v>
      </c>
      <c r="N5892" s="2" t="str">
        <f t="shared" si="533"/>
        <v/>
      </c>
      <c r="Q5892" t="str">
        <f t="shared" si="530"/>
        <v/>
      </c>
    </row>
    <row r="5893" spans="1:17" hidden="1">
      <c r="A5893" t="s">
        <v>5998</v>
      </c>
      <c r="B5893" s="1">
        <v>45705</v>
      </c>
      <c r="C5893">
        <v>2025</v>
      </c>
      <c r="D5893">
        <v>2</v>
      </c>
      <c r="E5893" t="s">
        <v>13</v>
      </c>
      <c r="F5893" t="s">
        <v>24</v>
      </c>
      <c r="G5893" t="s">
        <v>102</v>
      </c>
      <c r="H5893" t="s">
        <v>145</v>
      </c>
      <c r="I5893">
        <v>3523.07</v>
      </c>
      <c r="J5893">
        <v>3334.22</v>
      </c>
      <c r="K5893" t="s">
        <v>17</v>
      </c>
      <c r="L5893" t="b">
        <v>0</v>
      </c>
      <c r="N5893" s="2" t="str">
        <f t="shared" si="533"/>
        <v/>
      </c>
      <c r="Q5893" t="str">
        <f t="shared" si="530"/>
        <v/>
      </c>
    </row>
    <row r="5894" spans="1:17" hidden="1">
      <c r="A5894" t="s">
        <v>5999</v>
      </c>
      <c r="B5894" s="1">
        <v>45705</v>
      </c>
      <c r="C5894">
        <v>2025</v>
      </c>
      <c r="D5894">
        <v>2</v>
      </c>
      <c r="E5894" t="s">
        <v>47</v>
      </c>
      <c r="F5894" t="s">
        <v>24</v>
      </c>
      <c r="G5894" t="s">
        <v>48</v>
      </c>
      <c r="H5894" t="s">
        <v>75</v>
      </c>
      <c r="I5894">
        <v>21027.78</v>
      </c>
      <c r="J5894">
        <v>17689.169999999998</v>
      </c>
      <c r="K5894" t="s">
        <v>17</v>
      </c>
      <c r="L5894" t="b">
        <v>0</v>
      </c>
      <c r="N5894" s="2" t="b">
        <f t="shared" si="533"/>
        <v>1</v>
      </c>
      <c r="O5894" t="b">
        <f>IF(AND(E5883="HR",K5883="EXPENSE"),I5883&lt;J5883,"")</f>
        <v>0</v>
      </c>
      <c r="Q5894" t="str">
        <f t="shared" si="530"/>
        <v/>
      </c>
    </row>
    <row r="5895" spans="1:17" hidden="1">
      <c r="A5895" t="s">
        <v>6000</v>
      </c>
      <c r="B5895" s="1">
        <v>45705</v>
      </c>
      <c r="C5895">
        <v>2025</v>
      </c>
      <c r="D5895">
        <v>2</v>
      </c>
      <c r="E5895" t="s">
        <v>19</v>
      </c>
      <c r="F5895" t="s">
        <v>28</v>
      </c>
      <c r="G5895" t="s">
        <v>132</v>
      </c>
      <c r="H5895" t="s">
        <v>171</v>
      </c>
      <c r="I5895">
        <v>7073.59</v>
      </c>
      <c r="J5895">
        <v>6693.65</v>
      </c>
      <c r="K5895" t="s">
        <v>17</v>
      </c>
      <c r="L5895" t="b">
        <v>0</v>
      </c>
      <c r="N5895" s="2" t="str">
        <f t="shared" si="533"/>
        <v/>
      </c>
      <c r="Q5895" t="str">
        <f t="shared" si="530"/>
        <v/>
      </c>
    </row>
    <row r="5896" spans="1:17" hidden="1">
      <c r="A5896" t="s">
        <v>6001</v>
      </c>
      <c r="B5896" s="1">
        <v>45705</v>
      </c>
      <c r="C5896">
        <v>2025</v>
      </c>
      <c r="D5896">
        <v>2</v>
      </c>
      <c r="E5896" t="s">
        <v>19</v>
      </c>
      <c r="F5896" t="s">
        <v>28</v>
      </c>
      <c r="G5896" t="s">
        <v>132</v>
      </c>
      <c r="H5896" t="s">
        <v>171</v>
      </c>
      <c r="I5896">
        <v>6651.02</v>
      </c>
      <c r="J5896">
        <v>7084.64</v>
      </c>
      <c r="K5896" t="s">
        <v>17</v>
      </c>
      <c r="L5896" t="b">
        <v>0</v>
      </c>
      <c r="N5896" s="2" t="str">
        <f t="shared" si="533"/>
        <v/>
      </c>
      <c r="Q5896" t="str">
        <f t="shared" si="530"/>
        <v/>
      </c>
    </row>
    <row r="5897" spans="1:17" hidden="1">
      <c r="A5897" t="s">
        <v>6002</v>
      </c>
      <c r="B5897" s="1">
        <v>45705</v>
      </c>
      <c r="C5897">
        <v>2025</v>
      </c>
      <c r="D5897">
        <v>2</v>
      </c>
      <c r="E5897" t="s">
        <v>23</v>
      </c>
      <c r="F5897" t="s">
        <v>28</v>
      </c>
      <c r="G5897" t="s">
        <v>141</v>
      </c>
      <c r="H5897" t="s">
        <v>153</v>
      </c>
      <c r="I5897">
        <v>4867.7700000000004</v>
      </c>
      <c r="J5897">
        <v>4396.62</v>
      </c>
      <c r="K5897" t="s">
        <v>17</v>
      </c>
      <c r="L5897" t="b">
        <v>0</v>
      </c>
      <c r="N5897" s="2" t="str">
        <f t="shared" si="533"/>
        <v/>
      </c>
      <c r="Q5897" t="str">
        <f t="shared" si="530"/>
        <v/>
      </c>
    </row>
    <row r="5898" spans="1:17" hidden="1">
      <c r="A5898" t="s">
        <v>6003</v>
      </c>
      <c r="B5898" s="1">
        <v>45706</v>
      </c>
      <c r="C5898">
        <v>2025</v>
      </c>
      <c r="D5898">
        <v>2</v>
      </c>
      <c r="E5898" t="s">
        <v>13</v>
      </c>
      <c r="F5898" t="s">
        <v>28</v>
      </c>
      <c r="G5898" t="s">
        <v>15</v>
      </c>
      <c r="H5898" t="s">
        <v>16</v>
      </c>
      <c r="I5898">
        <v>3430.02</v>
      </c>
      <c r="J5898">
        <v>3321.16</v>
      </c>
      <c r="K5898" t="s">
        <v>17</v>
      </c>
      <c r="L5898" t="b">
        <v>0</v>
      </c>
      <c r="N5898" s="2" t="str">
        <f t="shared" si="533"/>
        <v/>
      </c>
      <c r="Q5898" t="str">
        <f t="shared" si="530"/>
        <v/>
      </c>
    </row>
    <row r="5899" spans="1:17" hidden="1">
      <c r="A5899" t="s">
        <v>6004</v>
      </c>
      <c r="B5899" s="1">
        <v>45706</v>
      </c>
      <c r="C5899">
        <v>2025</v>
      </c>
      <c r="D5899">
        <v>2</v>
      </c>
      <c r="E5899" t="s">
        <v>13</v>
      </c>
      <c r="F5899" t="s">
        <v>24</v>
      </c>
      <c r="G5899" t="s">
        <v>102</v>
      </c>
      <c r="H5899" t="s">
        <v>278</v>
      </c>
      <c r="I5899">
        <v>3568.53</v>
      </c>
      <c r="J5899">
        <v>3796.93</v>
      </c>
      <c r="K5899" t="s">
        <v>17</v>
      </c>
      <c r="L5899" t="b">
        <v>0</v>
      </c>
      <c r="N5899" s="2" t="str">
        <f t="shared" si="533"/>
        <v/>
      </c>
      <c r="Q5899" t="str">
        <f t="shared" si="530"/>
        <v/>
      </c>
    </row>
    <row r="5900" spans="1:17" hidden="1">
      <c r="A5900" t="s">
        <v>6005</v>
      </c>
      <c r="B5900" s="1">
        <v>45706</v>
      </c>
      <c r="C5900">
        <v>2025</v>
      </c>
      <c r="D5900">
        <v>2</v>
      </c>
      <c r="E5900" t="s">
        <v>47</v>
      </c>
      <c r="F5900" t="s">
        <v>28</v>
      </c>
      <c r="G5900" t="s">
        <v>77</v>
      </c>
      <c r="H5900" t="s">
        <v>78</v>
      </c>
      <c r="I5900">
        <v>10293.84</v>
      </c>
      <c r="J5900">
        <v>8791.7099999999991</v>
      </c>
      <c r="K5900" t="s">
        <v>17</v>
      </c>
      <c r="L5900" t="b">
        <v>0</v>
      </c>
      <c r="N5900" s="2" t="b">
        <f t="shared" si="533"/>
        <v>1</v>
      </c>
      <c r="O5900" t="str">
        <f t="shared" ref="O5900:O5901" si="534">IF(AND(E5889="HR",K5889="EXPENSE"),I5889&lt;J5889,"")</f>
        <v/>
      </c>
      <c r="Q5900" t="str">
        <f t="shared" si="530"/>
        <v/>
      </c>
    </row>
    <row r="5901" spans="1:17" hidden="1">
      <c r="A5901" t="s">
        <v>6006</v>
      </c>
      <c r="B5901" s="1">
        <v>45706</v>
      </c>
      <c r="C5901">
        <v>2025</v>
      </c>
      <c r="D5901">
        <v>2</v>
      </c>
      <c r="E5901" t="s">
        <v>47</v>
      </c>
      <c r="F5901" t="s">
        <v>28</v>
      </c>
      <c r="G5901" t="s">
        <v>77</v>
      </c>
      <c r="H5901" t="s">
        <v>147</v>
      </c>
      <c r="I5901">
        <v>13826.52</v>
      </c>
      <c r="J5901">
        <v>11496.6</v>
      </c>
      <c r="K5901" t="s">
        <v>17</v>
      </c>
      <c r="L5901" t="b">
        <v>0</v>
      </c>
      <c r="N5901" s="2" t="b">
        <f t="shared" si="533"/>
        <v>1</v>
      </c>
      <c r="O5901" t="str">
        <f t="shared" si="534"/>
        <v/>
      </c>
      <c r="Q5901" t="str">
        <f t="shared" si="530"/>
        <v/>
      </c>
    </row>
    <row r="5902" spans="1:17" hidden="1">
      <c r="A5902" t="s">
        <v>6007</v>
      </c>
      <c r="B5902" s="1">
        <v>45706</v>
      </c>
      <c r="C5902">
        <v>2025</v>
      </c>
      <c r="D5902">
        <v>2</v>
      </c>
      <c r="E5902" t="s">
        <v>19</v>
      </c>
      <c r="F5902" t="s">
        <v>24</v>
      </c>
      <c r="G5902" t="s">
        <v>132</v>
      </c>
      <c r="H5902" t="s">
        <v>171</v>
      </c>
      <c r="I5902">
        <v>4221.37</v>
      </c>
      <c r="J5902">
        <v>4430.66</v>
      </c>
      <c r="K5902" t="s">
        <v>17</v>
      </c>
      <c r="L5902" t="b">
        <v>0</v>
      </c>
      <c r="N5902" s="2" t="str">
        <f t="shared" si="533"/>
        <v/>
      </c>
      <c r="Q5902" t="str">
        <f t="shared" si="530"/>
        <v/>
      </c>
    </row>
    <row r="5903" spans="1:17" hidden="1">
      <c r="A5903" t="s">
        <v>6008</v>
      </c>
      <c r="B5903" s="1">
        <v>45706</v>
      </c>
      <c r="C5903">
        <v>2025</v>
      </c>
      <c r="D5903">
        <v>2</v>
      </c>
      <c r="E5903" t="s">
        <v>37</v>
      </c>
      <c r="F5903" t="s">
        <v>14</v>
      </c>
      <c r="G5903" t="s">
        <v>41</v>
      </c>
      <c r="H5903" t="s">
        <v>42</v>
      </c>
      <c r="I5903">
        <v>6244.16</v>
      </c>
      <c r="J5903">
        <v>5695.13</v>
      </c>
      <c r="K5903" t="s">
        <v>17</v>
      </c>
      <c r="L5903" t="b">
        <v>0</v>
      </c>
      <c r="N5903" s="2" t="str">
        <f t="shared" si="533"/>
        <v/>
      </c>
      <c r="Q5903" t="str">
        <f t="shared" si="530"/>
        <v/>
      </c>
    </row>
    <row r="5904" spans="1:17" hidden="1">
      <c r="A5904" t="s">
        <v>6009</v>
      </c>
      <c r="B5904" s="1">
        <v>45706</v>
      </c>
      <c r="C5904">
        <v>2025</v>
      </c>
      <c r="D5904">
        <v>2</v>
      </c>
      <c r="E5904" t="s">
        <v>37</v>
      </c>
      <c r="F5904" t="s">
        <v>28</v>
      </c>
      <c r="G5904" t="s">
        <v>41</v>
      </c>
      <c r="H5904" t="s">
        <v>42</v>
      </c>
      <c r="I5904">
        <v>2967.21</v>
      </c>
      <c r="J5904">
        <v>3034.9</v>
      </c>
      <c r="K5904" t="s">
        <v>17</v>
      </c>
      <c r="L5904" t="b">
        <v>0</v>
      </c>
      <c r="N5904" s="2" t="str">
        <f t="shared" si="533"/>
        <v/>
      </c>
      <c r="Q5904" t="str">
        <f t="shared" si="530"/>
        <v/>
      </c>
    </row>
    <row r="5905" spans="1:17" hidden="1">
      <c r="A5905" t="s">
        <v>6010</v>
      </c>
      <c r="B5905" s="1">
        <v>45707</v>
      </c>
      <c r="C5905">
        <v>2025</v>
      </c>
      <c r="D5905">
        <v>2</v>
      </c>
      <c r="E5905" t="s">
        <v>13</v>
      </c>
      <c r="F5905" t="s">
        <v>14</v>
      </c>
      <c r="G5905" t="s">
        <v>108</v>
      </c>
      <c r="H5905" t="s">
        <v>123</v>
      </c>
      <c r="I5905">
        <v>2985.35</v>
      </c>
      <c r="J5905">
        <v>3006.14</v>
      </c>
      <c r="K5905" t="s">
        <v>17</v>
      </c>
      <c r="L5905" t="b">
        <v>0</v>
      </c>
      <c r="N5905" s="2" t="str">
        <f t="shared" si="533"/>
        <v/>
      </c>
      <c r="Q5905" t="str">
        <f t="shared" si="530"/>
        <v/>
      </c>
    </row>
    <row r="5906" spans="1:17" hidden="1">
      <c r="A5906" t="s">
        <v>6011</v>
      </c>
      <c r="B5906" s="1">
        <v>45707</v>
      </c>
      <c r="C5906">
        <v>2025</v>
      </c>
      <c r="D5906">
        <v>2</v>
      </c>
      <c r="E5906" t="s">
        <v>13</v>
      </c>
      <c r="F5906" t="s">
        <v>24</v>
      </c>
      <c r="G5906" t="s">
        <v>68</v>
      </c>
      <c r="H5906" t="s">
        <v>87</v>
      </c>
      <c r="I5906">
        <v>3633.91</v>
      </c>
      <c r="J5906">
        <v>3946.45</v>
      </c>
      <c r="K5906" t="s">
        <v>17</v>
      </c>
      <c r="L5906" t="b">
        <v>0</v>
      </c>
      <c r="N5906" s="2" t="str">
        <f t="shared" si="533"/>
        <v/>
      </c>
      <c r="Q5906" t="str">
        <f t="shared" si="530"/>
        <v/>
      </c>
    </row>
    <row r="5907" spans="1:17" hidden="1">
      <c r="A5907" t="s">
        <v>6012</v>
      </c>
      <c r="B5907" s="1">
        <v>45707</v>
      </c>
      <c r="C5907">
        <v>2025</v>
      </c>
      <c r="D5907">
        <v>2</v>
      </c>
      <c r="E5907" t="s">
        <v>47</v>
      </c>
      <c r="F5907" t="s">
        <v>14</v>
      </c>
      <c r="G5907" t="s">
        <v>48</v>
      </c>
      <c r="H5907" t="s">
        <v>191</v>
      </c>
      <c r="I5907">
        <v>13522.6</v>
      </c>
      <c r="J5907">
        <v>11376.68</v>
      </c>
      <c r="K5907" t="s">
        <v>17</v>
      </c>
      <c r="L5907" t="b">
        <v>0</v>
      </c>
      <c r="N5907" s="2" t="b">
        <f t="shared" si="533"/>
        <v>1</v>
      </c>
      <c r="O5907" t="str">
        <f t="shared" ref="O5907:O5908" si="535">IF(AND(E5896="HR",K5896="EXPENSE"),I5896&lt;J5896,"")</f>
        <v/>
      </c>
      <c r="Q5907" t="str">
        <f t="shared" si="530"/>
        <v/>
      </c>
    </row>
    <row r="5908" spans="1:17" hidden="1">
      <c r="A5908" t="s">
        <v>6013</v>
      </c>
      <c r="B5908" s="1">
        <v>45707</v>
      </c>
      <c r="C5908">
        <v>2025</v>
      </c>
      <c r="D5908">
        <v>2</v>
      </c>
      <c r="E5908" t="s">
        <v>47</v>
      </c>
      <c r="F5908" t="s">
        <v>28</v>
      </c>
      <c r="G5908" t="s">
        <v>48</v>
      </c>
      <c r="H5908" t="s">
        <v>189</v>
      </c>
      <c r="I5908">
        <v>13371.61</v>
      </c>
      <c r="J5908">
        <v>11212.32</v>
      </c>
      <c r="K5908" t="s">
        <v>17</v>
      </c>
      <c r="L5908" t="b">
        <v>0</v>
      </c>
      <c r="N5908" s="2" t="b">
        <f t="shared" si="533"/>
        <v>1</v>
      </c>
      <c r="O5908" t="str">
        <f t="shared" si="535"/>
        <v/>
      </c>
      <c r="Q5908" t="str">
        <f t="shared" si="530"/>
        <v/>
      </c>
    </row>
    <row r="5909" spans="1:17" hidden="1">
      <c r="A5909" t="s">
        <v>6014</v>
      </c>
      <c r="B5909" s="1">
        <v>45707</v>
      </c>
      <c r="C5909">
        <v>2025</v>
      </c>
      <c r="D5909">
        <v>2</v>
      </c>
      <c r="E5909" t="s">
        <v>23</v>
      </c>
      <c r="F5909" t="s">
        <v>24</v>
      </c>
      <c r="G5909" t="s">
        <v>25</v>
      </c>
      <c r="H5909" t="s">
        <v>35</v>
      </c>
      <c r="I5909">
        <v>6326.26</v>
      </c>
      <c r="J5909">
        <v>6472.76</v>
      </c>
      <c r="K5909" t="s">
        <v>17</v>
      </c>
      <c r="L5909" t="b">
        <v>0</v>
      </c>
      <c r="N5909" s="2" t="str">
        <f t="shared" si="533"/>
        <v/>
      </c>
      <c r="Q5909" t="str">
        <f t="shared" si="530"/>
        <v/>
      </c>
    </row>
    <row r="5910" spans="1:17" hidden="1">
      <c r="A5910" t="s">
        <v>6015</v>
      </c>
      <c r="B5910" s="1">
        <v>45707</v>
      </c>
      <c r="C5910">
        <v>2025</v>
      </c>
      <c r="D5910">
        <v>2</v>
      </c>
      <c r="E5910" t="s">
        <v>23</v>
      </c>
      <c r="F5910" t="s">
        <v>24</v>
      </c>
      <c r="G5910" t="s">
        <v>141</v>
      </c>
      <c r="H5910" t="s">
        <v>142</v>
      </c>
      <c r="I5910">
        <v>4869.0600000000004</v>
      </c>
      <c r="J5910">
        <v>5239.45</v>
      </c>
      <c r="K5910" t="s">
        <v>17</v>
      </c>
      <c r="L5910" t="b">
        <v>0</v>
      </c>
      <c r="N5910" s="2" t="str">
        <f t="shared" si="533"/>
        <v/>
      </c>
      <c r="Q5910" t="str">
        <f t="shared" si="530"/>
        <v/>
      </c>
    </row>
    <row r="5911" spans="1:17" hidden="1">
      <c r="A5911" t="s">
        <v>6016</v>
      </c>
      <c r="B5911" s="1">
        <v>45707</v>
      </c>
      <c r="C5911">
        <v>2025</v>
      </c>
      <c r="D5911">
        <v>2</v>
      </c>
      <c r="E5911" t="s">
        <v>37</v>
      </c>
      <c r="F5911" t="s">
        <v>14</v>
      </c>
      <c r="G5911" t="s">
        <v>38</v>
      </c>
      <c r="H5911" t="s">
        <v>227</v>
      </c>
      <c r="I5911">
        <v>5255.49</v>
      </c>
      <c r="J5911">
        <v>5270.49</v>
      </c>
      <c r="K5911" t="s">
        <v>17</v>
      </c>
      <c r="L5911" t="b">
        <v>0</v>
      </c>
      <c r="N5911" s="2" t="str">
        <f t="shared" si="533"/>
        <v/>
      </c>
      <c r="Q5911" t="str">
        <f t="shared" si="530"/>
        <v/>
      </c>
    </row>
    <row r="5912" spans="1:17" hidden="1">
      <c r="A5912" t="s">
        <v>6017</v>
      </c>
      <c r="B5912" s="1">
        <v>45707</v>
      </c>
      <c r="C5912">
        <v>2025</v>
      </c>
      <c r="D5912">
        <v>2</v>
      </c>
      <c r="E5912" t="s">
        <v>37</v>
      </c>
      <c r="F5912" t="s">
        <v>28</v>
      </c>
      <c r="G5912" t="s">
        <v>38</v>
      </c>
      <c r="H5912" t="s">
        <v>118</v>
      </c>
      <c r="I5912">
        <v>4002.83</v>
      </c>
      <c r="J5912">
        <v>3649.03</v>
      </c>
      <c r="K5912" t="s">
        <v>17</v>
      </c>
      <c r="L5912" t="b">
        <v>0</v>
      </c>
      <c r="N5912" s="2" t="str">
        <f t="shared" si="533"/>
        <v/>
      </c>
      <c r="Q5912" t="str">
        <f t="shared" si="530"/>
        <v/>
      </c>
    </row>
    <row r="5913" spans="1:17" hidden="1">
      <c r="A5913" t="s">
        <v>6018</v>
      </c>
      <c r="B5913" s="1">
        <v>45708</v>
      </c>
      <c r="C5913">
        <v>2025</v>
      </c>
      <c r="D5913">
        <v>2</v>
      </c>
      <c r="E5913" t="s">
        <v>13</v>
      </c>
      <c r="F5913" t="s">
        <v>14</v>
      </c>
      <c r="G5913" t="s">
        <v>15</v>
      </c>
      <c r="H5913" t="s">
        <v>89</v>
      </c>
      <c r="I5913">
        <v>3921.51</v>
      </c>
      <c r="J5913">
        <v>3660.32</v>
      </c>
      <c r="K5913" t="s">
        <v>17</v>
      </c>
      <c r="L5913" t="b">
        <v>0</v>
      </c>
      <c r="N5913" s="2" t="str">
        <f t="shared" si="533"/>
        <v/>
      </c>
      <c r="Q5913" t="str">
        <f t="shared" si="530"/>
        <v/>
      </c>
    </row>
    <row r="5914" spans="1:17" hidden="1">
      <c r="A5914" t="s">
        <v>6019</v>
      </c>
      <c r="B5914" s="1">
        <v>45708</v>
      </c>
      <c r="C5914">
        <v>2025</v>
      </c>
      <c r="D5914">
        <v>2</v>
      </c>
      <c r="E5914" t="s">
        <v>13</v>
      </c>
      <c r="F5914" t="s">
        <v>28</v>
      </c>
      <c r="G5914" t="s">
        <v>15</v>
      </c>
      <c r="H5914" t="s">
        <v>89</v>
      </c>
      <c r="I5914">
        <v>3677.53</v>
      </c>
      <c r="J5914">
        <v>3393.84</v>
      </c>
      <c r="K5914" t="s">
        <v>17</v>
      </c>
      <c r="L5914" t="b">
        <v>0</v>
      </c>
      <c r="N5914" s="2" t="str">
        <f t="shared" si="533"/>
        <v/>
      </c>
      <c r="Q5914" t="str">
        <f t="shared" si="530"/>
        <v/>
      </c>
    </row>
    <row r="5915" spans="1:17" hidden="1">
      <c r="A5915" t="s">
        <v>6020</v>
      </c>
      <c r="B5915" s="1">
        <v>45708</v>
      </c>
      <c r="C5915">
        <v>2025</v>
      </c>
      <c r="D5915">
        <v>2</v>
      </c>
      <c r="E5915" t="s">
        <v>13</v>
      </c>
      <c r="F5915" t="s">
        <v>24</v>
      </c>
      <c r="G5915" t="s">
        <v>15</v>
      </c>
      <c r="H5915" t="s">
        <v>45</v>
      </c>
      <c r="I5915">
        <v>2297.9699999999998</v>
      </c>
      <c r="J5915">
        <v>2387.54</v>
      </c>
      <c r="K5915" t="s">
        <v>17</v>
      </c>
      <c r="L5915" t="b">
        <v>0</v>
      </c>
      <c r="N5915" s="2" t="str">
        <f t="shared" si="533"/>
        <v/>
      </c>
      <c r="Q5915" t="str">
        <f t="shared" si="530"/>
        <v/>
      </c>
    </row>
    <row r="5916" spans="1:17" hidden="1">
      <c r="A5916" t="s">
        <v>6021</v>
      </c>
      <c r="B5916" s="1">
        <v>45708</v>
      </c>
      <c r="C5916">
        <v>2025</v>
      </c>
      <c r="D5916">
        <v>2</v>
      </c>
      <c r="E5916" t="s">
        <v>47</v>
      </c>
      <c r="F5916" t="s">
        <v>14</v>
      </c>
      <c r="G5916" t="s">
        <v>51</v>
      </c>
      <c r="H5916" t="s">
        <v>72</v>
      </c>
      <c r="I5916">
        <v>9399.44</v>
      </c>
      <c r="J5916">
        <v>7876.34</v>
      </c>
      <c r="K5916" t="s">
        <v>17</v>
      </c>
      <c r="L5916" t="b">
        <v>0</v>
      </c>
      <c r="N5916" s="2" t="b">
        <f t="shared" si="533"/>
        <v>1</v>
      </c>
      <c r="O5916" t="b">
        <f>IF(AND(E5905="HR",K5905="EXPENSE"),I5905&lt;J5905,"")</f>
        <v>1</v>
      </c>
      <c r="Q5916" t="str">
        <f t="shared" si="530"/>
        <v/>
      </c>
    </row>
    <row r="5917" spans="1:17" hidden="1">
      <c r="A5917" t="s">
        <v>6022</v>
      </c>
      <c r="B5917" s="1">
        <v>45708</v>
      </c>
      <c r="C5917">
        <v>2025</v>
      </c>
      <c r="D5917">
        <v>2</v>
      </c>
      <c r="E5917" t="s">
        <v>19</v>
      </c>
      <c r="F5917" t="s">
        <v>14</v>
      </c>
      <c r="G5917" t="s">
        <v>20</v>
      </c>
      <c r="H5917" t="s">
        <v>174</v>
      </c>
      <c r="I5917">
        <v>7381.08</v>
      </c>
      <c r="J5917">
        <v>7205.91</v>
      </c>
      <c r="K5917" t="s">
        <v>17</v>
      </c>
      <c r="L5917" t="b">
        <v>0</v>
      </c>
      <c r="N5917" s="2" t="str">
        <f t="shared" si="533"/>
        <v/>
      </c>
      <c r="Q5917" t="str">
        <f t="shared" si="530"/>
        <v/>
      </c>
    </row>
    <row r="5918" spans="1:17" hidden="1">
      <c r="A5918" t="s">
        <v>6023</v>
      </c>
      <c r="B5918" s="1">
        <v>45708</v>
      </c>
      <c r="C5918">
        <v>2025</v>
      </c>
      <c r="D5918">
        <v>2</v>
      </c>
      <c r="E5918" t="s">
        <v>19</v>
      </c>
      <c r="F5918" t="s">
        <v>14</v>
      </c>
      <c r="G5918" t="s">
        <v>54</v>
      </c>
      <c r="H5918" t="s">
        <v>57</v>
      </c>
      <c r="I5918">
        <v>7456.1</v>
      </c>
      <c r="J5918">
        <v>7304.56</v>
      </c>
      <c r="K5918" t="s">
        <v>17</v>
      </c>
      <c r="L5918" t="b">
        <v>0</v>
      </c>
      <c r="N5918" s="2" t="str">
        <f t="shared" si="533"/>
        <v/>
      </c>
      <c r="Q5918" t="str">
        <f t="shared" si="530"/>
        <v/>
      </c>
    </row>
    <row r="5919" spans="1:17" hidden="1">
      <c r="A5919" t="s">
        <v>6024</v>
      </c>
      <c r="B5919" s="1">
        <v>45708</v>
      </c>
      <c r="C5919">
        <v>2025</v>
      </c>
      <c r="D5919">
        <v>2</v>
      </c>
      <c r="E5919" t="s">
        <v>23</v>
      </c>
      <c r="F5919" t="s">
        <v>28</v>
      </c>
      <c r="G5919" t="s">
        <v>30</v>
      </c>
      <c r="H5919" t="s">
        <v>33</v>
      </c>
      <c r="I5919">
        <v>6307.56</v>
      </c>
      <c r="J5919">
        <v>6517.92</v>
      </c>
      <c r="K5919" t="s">
        <v>17</v>
      </c>
      <c r="L5919" t="b">
        <v>0</v>
      </c>
      <c r="N5919" s="2" t="str">
        <f t="shared" si="533"/>
        <v/>
      </c>
      <c r="Q5919" t="str">
        <f t="shared" si="530"/>
        <v/>
      </c>
    </row>
    <row r="5920" spans="1:17" hidden="1">
      <c r="A5920" t="s">
        <v>6025</v>
      </c>
      <c r="B5920" s="1">
        <v>45708</v>
      </c>
      <c r="C5920">
        <v>2025</v>
      </c>
      <c r="D5920">
        <v>2</v>
      </c>
      <c r="E5920" t="s">
        <v>23</v>
      </c>
      <c r="F5920" t="s">
        <v>24</v>
      </c>
      <c r="G5920" t="s">
        <v>141</v>
      </c>
      <c r="H5920" t="s">
        <v>209</v>
      </c>
      <c r="I5920">
        <v>3429.39</v>
      </c>
      <c r="J5920">
        <v>3315.84</v>
      </c>
      <c r="K5920" t="s">
        <v>17</v>
      </c>
      <c r="L5920" t="b">
        <v>0</v>
      </c>
      <c r="N5920" s="2" t="str">
        <f t="shared" si="533"/>
        <v/>
      </c>
      <c r="Q5920" t="str">
        <f t="shared" si="530"/>
        <v/>
      </c>
    </row>
    <row r="5921" spans="1:17" hidden="1">
      <c r="A5921" t="s">
        <v>6026</v>
      </c>
      <c r="B5921" s="1">
        <v>45708</v>
      </c>
      <c r="C5921">
        <v>2025</v>
      </c>
      <c r="D5921">
        <v>2</v>
      </c>
      <c r="E5921" t="s">
        <v>37</v>
      </c>
      <c r="F5921" t="s">
        <v>14</v>
      </c>
      <c r="G5921" t="s">
        <v>62</v>
      </c>
      <c r="H5921" t="s">
        <v>121</v>
      </c>
      <c r="I5921">
        <v>5706.52</v>
      </c>
      <c r="J5921">
        <v>5981.36</v>
      </c>
      <c r="K5921" t="s">
        <v>17</v>
      </c>
      <c r="L5921" t="b">
        <v>0</v>
      </c>
      <c r="N5921" s="2" t="str">
        <f t="shared" si="533"/>
        <v/>
      </c>
      <c r="Q5921" t="str">
        <f t="shared" si="530"/>
        <v/>
      </c>
    </row>
    <row r="5922" spans="1:17" hidden="1">
      <c r="A5922" t="s">
        <v>6027</v>
      </c>
      <c r="B5922" s="1">
        <v>45708</v>
      </c>
      <c r="C5922">
        <v>2025</v>
      </c>
      <c r="D5922">
        <v>2</v>
      </c>
      <c r="E5922" t="s">
        <v>37</v>
      </c>
      <c r="F5922" t="s">
        <v>24</v>
      </c>
      <c r="G5922" t="s">
        <v>98</v>
      </c>
      <c r="H5922" t="s">
        <v>185</v>
      </c>
      <c r="I5922">
        <v>4310.33</v>
      </c>
      <c r="J5922">
        <v>4404.3999999999996</v>
      </c>
      <c r="K5922" t="s">
        <v>17</v>
      </c>
      <c r="L5922" t="b">
        <v>0</v>
      </c>
      <c r="N5922" s="2" t="str">
        <f t="shared" si="533"/>
        <v/>
      </c>
      <c r="Q5922" t="str">
        <f t="shared" si="530"/>
        <v/>
      </c>
    </row>
    <row r="5923" spans="1:17" hidden="1">
      <c r="A5923" t="s">
        <v>6028</v>
      </c>
      <c r="B5923" s="1">
        <v>45709</v>
      </c>
      <c r="C5923">
        <v>2025</v>
      </c>
      <c r="D5923">
        <v>2</v>
      </c>
      <c r="E5923" t="s">
        <v>13</v>
      </c>
      <c r="F5923" t="s">
        <v>28</v>
      </c>
      <c r="G5923" t="s">
        <v>108</v>
      </c>
      <c r="H5923" t="s">
        <v>109</v>
      </c>
      <c r="I5923">
        <v>3230</v>
      </c>
      <c r="J5923">
        <v>3389.5</v>
      </c>
      <c r="K5923" t="s">
        <v>17</v>
      </c>
      <c r="L5923" t="b">
        <v>0</v>
      </c>
      <c r="N5923" s="2" t="str">
        <f t="shared" si="533"/>
        <v/>
      </c>
      <c r="Q5923" t="str">
        <f t="shared" si="530"/>
        <v/>
      </c>
    </row>
    <row r="5924" spans="1:17" hidden="1">
      <c r="A5924" t="s">
        <v>6029</v>
      </c>
      <c r="B5924" s="1">
        <v>45709</v>
      </c>
      <c r="C5924">
        <v>2025</v>
      </c>
      <c r="D5924">
        <v>2</v>
      </c>
      <c r="E5924" t="s">
        <v>47</v>
      </c>
      <c r="F5924" t="s">
        <v>24</v>
      </c>
      <c r="G5924" t="s">
        <v>77</v>
      </c>
      <c r="H5924" t="s">
        <v>78</v>
      </c>
      <c r="I5924">
        <v>18769.939999999999</v>
      </c>
      <c r="J5924">
        <v>16093.3</v>
      </c>
      <c r="K5924" t="s">
        <v>17</v>
      </c>
      <c r="L5924" t="b">
        <v>0</v>
      </c>
      <c r="N5924" s="2" t="b">
        <f t="shared" si="533"/>
        <v>1</v>
      </c>
      <c r="O5924" t="b">
        <f>IF(AND(E5913="HR",K5913="EXPENSE"),I5913&lt;J5913,"")</f>
        <v>0</v>
      </c>
      <c r="Q5924" t="str">
        <f t="shared" si="530"/>
        <v/>
      </c>
    </row>
    <row r="5925" spans="1:17" hidden="1">
      <c r="A5925" t="s">
        <v>6030</v>
      </c>
      <c r="B5925" s="1">
        <v>45709</v>
      </c>
      <c r="C5925">
        <v>2025</v>
      </c>
      <c r="D5925">
        <v>2</v>
      </c>
      <c r="E5925" t="s">
        <v>19</v>
      </c>
      <c r="F5925" t="s">
        <v>14</v>
      </c>
      <c r="G5925" t="s">
        <v>80</v>
      </c>
      <c r="H5925" t="s">
        <v>113</v>
      </c>
      <c r="I5925">
        <v>4258.1400000000003</v>
      </c>
      <c r="J5925">
        <v>4248.47</v>
      </c>
      <c r="K5925" t="s">
        <v>17</v>
      </c>
      <c r="L5925" t="b">
        <v>0</v>
      </c>
      <c r="N5925" s="2" t="str">
        <f t="shared" si="533"/>
        <v/>
      </c>
      <c r="Q5925" t="str">
        <f t="shared" si="530"/>
        <v/>
      </c>
    </row>
    <row r="5926" spans="1:17" hidden="1">
      <c r="A5926" t="s">
        <v>6031</v>
      </c>
      <c r="B5926" s="1">
        <v>45709</v>
      </c>
      <c r="C5926">
        <v>2025</v>
      </c>
      <c r="D5926">
        <v>2</v>
      </c>
      <c r="E5926" t="s">
        <v>19</v>
      </c>
      <c r="F5926" t="s">
        <v>28</v>
      </c>
      <c r="G5926" t="s">
        <v>54</v>
      </c>
      <c r="H5926" t="s">
        <v>57</v>
      </c>
      <c r="I5926">
        <v>7603.34</v>
      </c>
      <c r="J5926">
        <v>7225.82</v>
      </c>
      <c r="K5926" t="s">
        <v>17</v>
      </c>
      <c r="L5926" t="b">
        <v>0</v>
      </c>
      <c r="N5926" s="2" t="str">
        <f t="shared" si="533"/>
        <v/>
      </c>
      <c r="Q5926" t="str">
        <f t="shared" si="530"/>
        <v/>
      </c>
    </row>
    <row r="5927" spans="1:17" hidden="1">
      <c r="A5927" t="s">
        <v>6032</v>
      </c>
      <c r="B5927" s="1">
        <v>45709</v>
      </c>
      <c r="C5927">
        <v>2025</v>
      </c>
      <c r="D5927">
        <v>2</v>
      </c>
      <c r="E5927" t="s">
        <v>19</v>
      </c>
      <c r="F5927" t="s">
        <v>24</v>
      </c>
      <c r="G5927" t="s">
        <v>132</v>
      </c>
      <c r="H5927" t="s">
        <v>138</v>
      </c>
      <c r="I5927">
        <v>4317.9799999999996</v>
      </c>
      <c r="J5927">
        <v>4193.3500000000004</v>
      </c>
      <c r="K5927" t="s">
        <v>17</v>
      </c>
      <c r="L5927" t="b">
        <v>0</v>
      </c>
      <c r="N5927" s="2" t="str">
        <f t="shared" si="533"/>
        <v/>
      </c>
      <c r="Q5927" t="str">
        <f t="shared" si="530"/>
        <v/>
      </c>
    </row>
    <row r="5928" spans="1:17" hidden="1">
      <c r="A5928" t="s">
        <v>6033</v>
      </c>
      <c r="B5928" s="1">
        <v>45709</v>
      </c>
      <c r="C5928">
        <v>2025</v>
      </c>
      <c r="D5928">
        <v>2</v>
      </c>
      <c r="E5928" t="s">
        <v>23</v>
      </c>
      <c r="F5928" t="s">
        <v>28</v>
      </c>
      <c r="G5928" t="s">
        <v>141</v>
      </c>
      <c r="H5928" t="s">
        <v>209</v>
      </c>
      <c r="I5928">
        <v>5835.36</v>
      </c>
      <c r="J5928">
        <v>5675.62</v>
      </c>
      <c r="K5928" t="s">
        <v>17</v>
      </c>
      <c r="L5928" t="b">
        <v>0</v>
      </c>
      <c r="N5928" s="2" t="str">
        <f t="shared" si="533"/>
        <v/>
      </c>
      <c r="Q5928" t="str">
        <f t="shared" si="530"/>
        <v/>
      </c>
    </row>
    <row r="5929" spans="1:17" hidden="1">
      <c r="A5929" t="s">
        <v>6034</v>
      </c>
      <c r="B5929" s="1">
        <v>45709</v>
      </c>
      <c r="C5929">
        <v>2025</v>
      </c>
      <c r="D5929">
        <v>2</v>
      </c>
      <c r="E5929" t="s">
        <v>37</v>
      </c>
      <c r="F5929" t="s">
        <v>14</v>
      </c>
      <c r="G5929" t="s">
        <v>62</v>
      </c>
      <c r="H5929" t="s">
        <v>360</v>
      </c>
      <c r="I5929">
        <v>2630.49</v>
      </c>
      <c r="J5929">
        <v>2613.5500000000002</v>
      </c>
      <c r="K5929" t="s">
        <v>17</v>
      </c>
      <c r="L5929" t="b">
        <v>0</v>
      </c>
      <c r="N5929" s="2" t="str">
        <f t="shared" si="533"/>
        <v/>
      </c>
      <c r="Q5929" t="str">
        <f t="shared" si="530"/>
        <v/>
      </c>
    </row>
    <row r="5930" spans="1:17" hidden="1">
      <c r="A5930" t="s">
        <v>6035</v>
      </c>
      <c r="B5930" s="1">
        <v>45710</v>
      </c>
      <c r="C5930">
        <v>2025</v>
      </c>
      <c r="D5930">
        <v>2</v>
      </c>
      <c r="E5930" t="s">
        <v>47</v>
      </c>
      <c r="F5930" t="s">
        <v>28</v>
      </c>
      <c r="G5930" t="s">
        <v>48</v>
      </c>
      <c r="H5930" t="s">
        <v>191</v>
      </c>
      <c r="I5930">
        <v>12996.76</v>
      </c>
      <c r="J5930">
        <v>11117.77</v>
      </c>
      <c r="K5930" t="s">
        <v>17</v>
      </c>
      <c r="L5930" t="b">
        <v>0</v>
      </c>
      <c r="N5930" s="2" t="b">
        <f t="shared" si="533"/>
        <v>1</v>
      </c>
      <c r="O5930" t="str">
        <f t="shared" ref="O5930:O5932" si="536">IF(AND(E5919="HR",K5919="EXPENSE"),I5919&lt;J5919,"")</f>
        <v/>
      </c>
      <c r="Q5930" t="str">
        <f t="shared" si="530"/>
        <v/>
      </c>
    </row>
    <row r="5931" spans="1:17" hidden="1">
      <c r="A5931" t="s">
        <v>6036</v>
      </c>
      <c r="B5931" s="1">
        <v>45710</v>
      </c>
      <c r="C5931">
        <v>2025</v>
      </c>
      <c r="D5931">
        <v>2</v>
      </c>
      <c r="E5931" t="s">
        <v>47</v>
      </c>
      <c r="F5931" t="s">
        <v>24</v>
      </c>
      <c r="G5931" t="s">
        <v>48</v>
      </c>
      <c r="H5931" t="s">
        <v>111</v>
      </c>
      <c r="I5931">
        <v>22556.959999999999</v>
      </c>
      <c r="J5931">
        <v>18822.61</v>
      </c>
      <c r="K5931" t="s">
        <v>17</v>
      </c>
      <c r="L5931" t="b">
        <v>0</v>
      </c>
      <c r="N5931" s="2" t="b">
        <f t="shared" si="533"/>
        <v>1</v>
      </c>
      <c r="O5931" t="str">
        <f t="shared" si="536"/>
        <v/>
      </c>
      <c r="Q5931" t="str">
        <f t="shared" si="530"/>
        <v/>
      </c>
    </row>
    <row r="5932" spans="1:17" hidden="1">
      <c r="A5932" t="s">
        <v>6037</v>
      </c>
      <c r="B5932" s="1">
        <v>45710</v>
      </c>
      <c r="C5932">
        <v>2025</v>
      </c>
      <c r="D5932">
        <v>2</v>
      </c>
      <c r="E5932" t="s">
        <v>47</v>
      </c>
      <c r="F5932" t="s">
        <v>24</v>
      </c>
      <c r="G5932" t="s">
        <v>48</v>
      </c>
      <c r="H5932" t="s">
        <v>189</v>
      </c>
      <c r="I5932">
        <v>16524.75</v>
      </c>
      <c r="J5932">
        <v>13874.36</v>
      </c>
      <c r="K5932" t="s">
        <v>17</v>
      </c>
      <c r="L5932" t="b">
        <v>0</v>
      </c>
      <c r="N5932" s="2" t="b">
        <f t="shared" si="533"/>
        <v>1</v>
      </c>
      <c r="O5932" t="str">
        <f t="shared" si="536"/>
        <v/>
      </c>
      <c r="Q5932" t="str">
        <f t="shared" si="530"/>
        <v/>
      </c>
    </row>
    <row r="5933" spans="1:17" hidden="1">
      <c r="A5933" t="s">
        <v>6038</v>
      </c>
      <c r="B5933" s="1">
        <v>45710</v>
      </c>
      <c r="C5933">
        <v>2025</v>
      </c>
      <c r="D5933">
        <v>2</v>
      </c>
      <c r="E5933" t="s">
        <v>19</v>
      </c>
      <c r="F5933" t="s">
        <v>28</v>
      </c>
      <c r="G5933" t="s">
        <v>132</v>
      </c>
      <c r="H5933" t="s">
        <v>171</v>
      </c>
      <c r="I5933">
        <v>5897.19</v>
      </c>
      <c r="J5933">
        <v>6114.74</v>
      </c>
      <c r="K5933" t="s">
        <v>17</v>
      </c>
      <c r="L5933" t="b">
        <v>0</v>
      </c>
      <c r="N5933" s="2" t="str">
        <f t="shared" si="533"/>
        <v/>
      </c>
      <c r="Q5933" t="str">
        <f t="shared" si="530"/>
        <v/>
      </c>
    </row>
    <row r="5934" spans="1:17" hidden="1">
      <c r="A5934" t="s">
        <v>6039</v>
      </c>
      <c r="B5934" s="1">
        <v>45710</v>
      </c>
      <c r="C5934">
        <v>2025</v>
      </c>
      <c r="D5934">
        <v>2</v>
      </c>
      <c r="E5934" t="s">
        <v>19</v>
      </c>
      <c r="F5934" t="s">
        <v>24</v>
      </c>
      <c r="G5934" t="s">
        <v>20</v>
      </c>
      <c r="H5934" t="s">
        <v>136</v>
      </c>
      <c r="I5934">
        <v>6047.75</v>
      </c>
      <c r="J5934">
        <v>5787.28</v>
      </c>
      <c r="K5934" t="s">
        <v>17</v>
      </c>
      <c r="L5934" t="b">
        <v>0</v>
      </c>
      <c r="N5934" s="2" t="str">
        <f t="shared" si="533"/>
        <v/>
      </c>
      <c r="Q5934" t="str">
        <f t="shared" si="530"/>
        <v/>
      </c>
    </row>
    <row r="5935" spans="1:17" hidden="1">
      <c r="A5935" t="s">
        <v>6040</v>
      </c>
      <c r="B5935" s="1">
        <v>45710</v>
      </c>
      <c r="C5935">
        <v>2025</v>
      </c>
      <c r="D5935">
        <v>2</v>
      </c>
      <c r="E5935" t="s">
        <v>23</v>
      </c>
      <c r="F5935" t="s">
        <v>24</v>
      </c>
      <c r="G5935" t="s">
        <v>30</v>
      </c>
      <c r="H5935" t="s">
        <v>31</v>
      </c>
      <c r="I5935">
        <v>5998.25</v>
      </c>
      <c r="J5935">
        <v>5438.25</v>
      </c>
      <c r="K5935" t="s">
        <v>17</v>
      </c>
      <c r="L5935" t="b">
        <v>0</v>
      </c>
      <c r="N5935" s="2" t="str">
        <f t="shared" si="533"/>
        <v/>
      </c>
      <c r="Q5935" t="str">
        <f t="shared" si="530"/>
        <v/>
      </c>
    </row>
    <row r="5936" spans="1:17" hidden="1">
      <c r="A5936" t="s">
        <v>6041</v>
      </c>
      <c r="B5936" s="1">
        <v>45710</v>
      </c>
      <c r="C5936">
        <v>2025</v>
      </c>
      <c r="D5936">
        <v>2</v>
      </c>
      <c r="E5936" t="s">
        <v>37</v>
      </c>
      <c r="F5936" t="s">
        <v>28</v>
      </c>
      <c r="G5936" t="s">
        <v>62</v>
      </c>
      <c r="H5936" t="s">
        <v>63</v>
      </c>
      <c r="I5936">
        <v>5769.09</v>
      </c>
      <c r="J5936">
        <v>6126.49</v>
      </c>
      <c r="K5936" t="s">
        <v>17</v>
      </c>
      <c r="L5936" t="b">
        <v>0</v>
      </c>
      <c r="N5936" s="2" t="str">
        <f t="shared" si="533"/>
        <v/>
      </c>
      <c r="Q5936" t="str">
        <f t="shared" ref="Q5936:Q5999" si="537">IF(L5936=TRUE,OR(H5936="Apex Solutions Inc",H5936="Global Trade Partners",H5936="NovaTech Services"),"")</f>
        <v/>
      </c>
    </row>
    <row r="5937" spans="1:17" hidden="1">
      <c r="A5937" t="s">
        <v>6042</v>
      </c>
      <c r="B5937" s="1">
        <v>45710</v>
      </c>
      <c r="C5937">
        <v>2025</v>
      </c>
      <c r="D5937">
        <v>2</v>
      </c>
      <c r="E5937" t="s">
        <v>37</v>
      </c>
      <c r="F5937" t="s">
        <v>24</v>
      </c>
      <c r="G5937" t="s">
        <v>38</v>
      </c>
      <c r="H5937" t="s">
        <v>39</v>
      </c>
      <c r="I5937">
        <v>3302.18</v>
      </c>
      <c r="J5937">
        <v>3164.82</v>
      </c>
      <c r="K5937" t="s">
        <v>17</v>
      </c>
      <c r="L5937" t="b">
        <v>0</v>
      </c>
      <c r="N5937" s="2" t="str">
        <f t="shared" si="533"/>
        <v/>
      </c>
      <c r="Q5937" t="str">
        <f t="shared" si="537"/>
        <v/>
      </c>
    </row>
    <row r="5938" spans="1:17" hidden="1">
      <c r="A5938" t="s">
        <v>6043</v>
      </c>
      <c r="B5938" s="1">
        <v>45710</v>
      </c>
      <c r="C5938">
        <v>2025</v>
      </c>
      <c r="D5938">
        <v>2</v>
      </c>
      <c r="E5938" t="s">
        <v>37</v>
      </c>
      <c r="F5938" t="s">
        <v>24</v>
      </c>
      <c r="G5938" t="s">
        <v>41</v>
      </c>
      <c r="H5938" t="s">
        <v>42</v>
      </c>
      <c r="I5938">
        <v>4171.13</v>
      </c>
      <c r="J5938">
        <v>3831.81</v>
      </c>
      <c r="K5938" t="s">
        <v>17</v>
      </c>
      <c r="L5938" t="b">
        <v>0</v>
      </c>
      <c r="N5938" s="2" t="str">
        <f t="shared" si="533"/>
        <v/>
      </c>
      <c r="Q5938" t="str">
        <f t="shared" si="537"/>
        <v/>
      </c>
    </row>
    <row r="5939" spans="1:17" hidden="1">
      <c r="A5939" t="s">
        <v>6044</v>
      </c>
      <c r="B5939" s="1">
        <v>45711</v>
      </c>
      <c r="C5939">
        <v>2025</v>
      </c>
      <c r="D5939">
        <v>2</v>
      </c>
      <c r="E5939" t="s">
        <v>13</v>
      </c>
      <c r="F5939" t="s">
        <v>14</v>
      </c>
      <c r="G5939" t="s">
        <v>15</v>
      </c>
      <c r="H5939" t="s">
        <v>89</v>
      </c>
      <c r="I5939">
        <v>1917.1</v>
      </c>
      <c r="J5939">
        <v>2060.46</v>
      </c>
      <c r="K5939" t="s">
        <v>17</v>
      </c>
      <c r="L5939" t="b">
        <v>0</v>
      </c>
      <c r="N5939" s="2" t="str">
        <f t="shared" si="533"/>
        <v/>
      </c>
      <c r="Q5939" t="str">
        <f t="shared" si="537"/>
        <v/>
      </c>
    </row>
    <row r="5940" spans="1:17" hidden="1">
      <c r="A5940" t="s">
        <v>6045</v>
      </c>
      <c r="B5940" s="1">
        <v>45711</v>
      </c>
      <c r="C5940">
        <v>2025</v>
      </c>
      <c r="D5940">
        <v>2</v>
      </c>
      <c r="E5940" t="s">
        <v>13</v>
      </c>
      <c r="F5940" t="s">
        <v>28</v>
      </c>
      <c r="G5940" t="s">
        <v>15</v>
      </c>
      <c r="H5940" t="s">
        <v>45</v>
      </c>
      <c r="I5940">
        <v>4958.51</v>
      </c>
      <c r="J5940">
        <v>5021.57</v>
      </c>
      <c r="K5940" t="s">
        <v>17</v>
      </c>
      <c r="L5940" t="b">
        <v>0</v>
      </c>
      <c r="N5940" s="2" t="str">
        <f t="shared" si="533"/>
        <v/>
      </c>
      <c r="Q5940" t="str">
        <f t="shared" si="537"/>
        <v/>
      </c>
    </row>
    <row r="5941" spans="1:17" hidden="1">
      <c r="A5941" t="s">
        <v>6046</v>
      </c>
      <c r="B5941" s="1">
        <v>45711</v>
      </c>
      <c r="C5941">
        <v>2025</v>
      </c>
      <c r="D5941">
        <v>2</v>
      </c>
      <c r="E5941" t="s">
        <v>13</v>
      </c>
      <c r="F5941" t="s">
        <v>24</v>
      </c>
      <c r="G5941" t="s">
        <v>102</v>
      </c>
      <c r="H5941" t="s">
        <v>103</v>
      </c>
      <c r="I5941">
        <v>2368.33</v>
      </c>
      <c r="J5941">
        <v>2247.4499999999998</v>
      </c>
      <c r="K5941" t="s">
        <v>17</v>
      </c>
      <c r="L5941" t="b">
        <v>0</v>
      </c>
      <c r="N5941" s="2" t="str">
        <f t="shared" si="533"/>
        <v/>
      </c>
      <c r="Q5941" t="str">
        <f t="shared" si="537"/>
        <v/>
      </c>
    </row>
    <row r="5942" spans="1:17" hidden="1">
      <c r="A5942" t="s">
        <v>6047</v>
      </c>
      <c r="B5942" s="1">
        <v>45711</v>
      </c>
      <c r="C5942">
        <v>2025</v>
      </c>
      <c r="D5942">
        <v>2</v>
      </c>
      <c r="E5942" t="s">
        <v>19</v>
      </c>
      <c r="F5942" t="s">
        <v>24</v>
      </c>
      <c r="G5942" t="s">
        <v>80</v>
      </c>
      <c r="H5942" t="s">
        <v>113</v>
      </c>
      <c r="I5942">
        <v>4268.82</v>
      </c>
      <c r="J5942">
        <v>4447.59</v>
      </c>
      <c r="K5942" t="s">
        <v>17</v>
      </c>
      <c r="L5942" t="b">
        <v>0</v>
      </c>
      <c r="N5942" s="2" t="str">
        <f t="shared" si="533"/>
        <v/>
      </c>
      <c r="Q5942" t="str">
        <f t="shared" si="537"/>
        <v/>
      </c>
    </row>
    <row r="5943" spans="1:17" hidden="1">
      <c r="A5943" t="s">
        <v>6048</v>
      </c>
      <c r="B5943" s="1">
        <v>45711</v>
      </c>
      <c r="C5943">
        <v>2025</v>
      </c>
      <c r="D5943">
        <v>2</v>
      </c>
      <c r="E5943" t="s">
        <v>23</v>
      </c>
      <c r="F5943" t="s">
        <v>14</v>
      </c>
      <c r="G5943" t="s">
        <v>30</v>
      </c>
      <c r="H5943" t="s">
        <v>31</v>
      </c>
      <c r="I5943">
        <v>4743.1400000000003</v>
      </c>
      <c r="J5943">
        <v>4641.87</v>
      </c>
      <c r="K5943" t="s">
        <v>17</v>
      </c>
      <c r="L5943" t="b">
        <v>0</v>
      </c>
      <c r="N5943" s="2" t="str">
        <f t="shared" si="533"/>
        <v/>
      </c>
      <c r="Q5943" t="str">
        <f t="shared" si="537"/>
        <v/>
      </c>
    </row>
    <row r="5944" spans="1:17" hidden="1">
      <c r="A5944" t="s">
        <v>6049</v>
      </c>
      <c r="B5944" s="1">
        <v>45711</v>
      </c>
      <c r="C5944">
        <v>2025</v>
      </c>
      <c r="D5944">
        <v>2</v>
      </c>
      <c r="E5944" t="s">
        <v>23</v>
      </c>
      <c r="F5944" t="s">
        <v>28</v>
      </c>
      <c r="G5944" t="s">
        <v>141</v>
      </c>
      <c r="H5944" t="s">
        <v>153</v>
      </c>
      <c r="I5944">
        <v>6761.39</v>
      </c>
      <c r="J5944">
        <v>7216.98</v>
      </c>
      <c r="K5944" t="s">
        <v>17</v>
      </c>
      <c r="L5944" t="b">
        <v>0</v>
      </c>
      <c r="N5944" s="2" t="str">
        <f t="shared" si="533"/>
        <v/>
      </c>
      <c r="Q5944" t="str">
        <f t="shared" si="537"/>
        <v/>
      </c>
    </row>
    <row r="5945" spans="1:17" hidden="1">
      <c r="A5945" t="s">
        <v>6050</v>
      </c>
      <c r="B5945" s="1">
        <v>45711</v>
      </c>
      <c r="C5945">
        <v>2025</v>
      </c>
      <c r="D5945">
        <v>2</v>
      </c>
      <c r="E5945" t="s">
        <v>37</v>
      </c>
      <c r="F5945" t="s">
        <v>28</v>
      </c>
      <c r="G5945" t="s">
        <v>62</v>
      </c>
      <c r="H5945" t="s">
        <v>360</v>
      </c>
      <c r="I5945">
        <v>4552.03</v>
      </c>
      <c r="J5945">
        <v>4951.33</v>
      </c>
      <c r="K5945" t="s">
        <v>17</v>
      </c>
      <c r="L5945" t="b">
        <v>0</v>
      </c>
      <c r="N5945" s="2" t="str">
        <f t="shared" si="533"/>
        <v/>
      </c>
      <c r="Q5945" t="str">
        <f t="shared" si="537"/>
        <v/>
      </c>
    </row>
    <row r="5946" spans="1:17" hidden="1">
      <c r="A5946" t="s">
        <v>6051</v>
      </c>
      <c r="B5946" s="1">
        <v>45711</v>
      </c>
      <c r="C5946">
        <v>2025</v>
      </c>
      <c r="D5946">
        <v>2</v>
      </c>
      <c r="E5946" t="s">
        <v>37</v>
      </c>
      <c r="F5946" t="s">
        <v>24</v>
      </c>
      <c r="G5946" t="s">
        <v>38</v>
      </c>
      <c r="H5946" t="s">
        <v>39</v>
      </c>
      <c r="I5946">
        <v>6150.64</v>
      </c>
      <c r="J5946">
        <v>6168.54</v>
      </c>
      <c r="K5946" t="s">
        <v>17</v>
      </c>
      <c r="L5946" t="b">
        <v>0</v>
      </c>
      <c r="N5946" s="2" t="str">
        <f t="shared" si="533"/>
        <v/>
      </c>
      <c r="Q5946" t="str">
        <f t="shared" si="537"/>
        <v/>
      </c>
    </row>
    <row r="5947" spans="1:17" hidden="1">
      <c r="A5947" t="s">
        <v>6052</v>
      </c>
      <c r="B5947" s="1">
        <v>45712</v>
      </c>
      <c r="C5947">
        <v>2025</v>
      </c>
      <c r="D5947">
        <v>2</v>
      </c>
      <c r="E5947" t="s">
        <v>19</v>
      </c>
      <c r="F5947" t="s">
        <v>14</v>
      </c>
      <c r="G5947" t="s">
        <v>20</v>
      </c>
      <c r="H5947" t="s">
        <v>136</v>
      </c>
      <c r="I5947">
        <v>7584.79</v>
      </c>
      <c r="J5947">
        <v>7425.57</v>
      </c>
      <c r="K5947" t="s">
        <v>17</v>
      </c>
      <c r="L5947" t="b">
        <v>0</v>
      </c>
      <c r="N5947" s="2" t="str">
        <f t="shared" si="533"/>
        <v/>
      </c>
      <c r="Q5947" t="str">
        <f t="shared" si="537"/>
        <v/>
      </c>
    </row>
    <row r="5948" spans="1:17" hidden="1">
      <c r="A5948" t="s">
        <v>6053</v>
      </c>
      <c r="B5948" s="1">
        <v>45712</v>
      </c>
      <c r="C5948">
        <v>2025</v>
      </c>
      <c r="D5948">
        <v>2</v>
      </c>
      <c r="E5948" t="s">
        <v>23</v>
      </c>
      <c r="F5948" t="s">
        <v>24</v>
      </c>
      <c r="G5948" t="s">
        <v>30</v>
      </c>
      <c r="H5948" t="s">
        <v>106</v>
      </c>
      <c r="I5948">
        <v>4076.95</v>
      </c>
      <c r="J5948">
        <v>3988.87</v>
      </c>
      <c r="K5948" t="s">
        <v>17</v>
      </c>
      <c r="L5948" t="b">
        <v>0</v>
      </c>
      <c r="N5948" s="2" t="str">
        <f t="shared" si="533"/>
        <v/>
      </c>
      <c r="Q5948" t="str">
        <f t="shared" si="537"/>
        <v/>
      </c>
    </row>
    <row r="5949" spans="1:17" hidden="1">
      <c r="A5949" t="s">
        <v>6054</v>
      </c>
      <c r="B5949" s="1">
        <v>45712</v>
      </c>
      <c r="C5949">
        <v>2025</v>
      </c>
      <c r="D5949">
        <v>2</v>
      </c>
      <c r="E5949" t="s">
        <v>37</v>
      </c>
      <c r="F5949" t="s">
        <v>24</v>
      </c>
      <c r="G5949" t="s">
        <v>41</v>
      </c>
      <c r="H5949" t="s">
        <v>42</v>
      </c>
      <c r="I5949">
        <v>6178.99</v>
      </c>
      <c r="J5949">
        <v>6507.53</v>
      </c>
      <c r="K5949" t="s">
        <v>17</v>
      </c>
      <c r="L5949" t="b">
        <v>0</v>
      </c>
      <c r="N5949" s="2" t="str">
        <f t="shared" si="533"/>
        <v/>
      </c>
      <c r="Q5949" t="str">
        <f t="shared" si="537"/>
        <v/>
      </c>
    </row>
    <row r="5950" spans="1:17" hidden="1">
      <c r="A5950" t="s">
        <v>6055</v>
      </c>
      <c r="B5950" s="1">
        <v>45713</v>
      </c>
      <c r="C5950">
        <v>2025</v>
      </c>
      <c r="D5950">
        <v>2</v>
      </c>
      <c r="E5950" t="s">
        <v>13</v>
      </c>
      <c r="F5950" t="s">
        <v>14</v>
      </c>
      <c r="G5950" t="s">
        <v>68</v>
      </c>
      <c r="H5950" t="s">
        <v>69</v>
      </c>
      <c r="I5950">
        <v>3221.27</v>
      </c>
      <c r="J5950">
        <v>2998.46</v>
      </c>
      <c r="K5950" t="s">
        <v>17</v>
      </c>
      <c r="L5950" t="b">
        <v>0</v>
      </c>
      <c r="N5950" s="2" t="str">
        <f t="shared" si="533"/>
        <v/>
      </c>
      <c r="Q5950" t="str">
        <f t="shared" si="537"/>
        <v/>
      </c>
    </row>
    <row r="5951" spans="1:17" hidden="1">
      <c r="A5951" t="s">
        <v>6056</v>
      </c>
      <c r="B5951" s="1">
        <v>45713</v>
      </c>
      <c r="C5951">
        <v>2025</v>
      </c>
      <c r="D5951">
        <v>2</v>
      </c>
      <c r="E5951" t="s">
        <v>13</v>
      </c>
      <c r="F5951" t="s">
        <v>28</v>
      </c>
      <c r="G5951" t="s">
        <v>108</v>
      </c>
      <c r="H5951" t="s">
        <v>126</v>
      </c>
      <c r="I5951">
        <v>5028.55</v>
      </c>
      <c r="J5951">
        <v>4797.24</v>
      </c>
      <c r="K5951" t="s">
        <v>17</v>
      </c>
      <c r="L5951" t="b">
        <v>0</v>
      </c>
      <c r="N5951" s="2" t="str">
        <f t="shared" si="533"/>
        <v/>
      </c>
      <c r="Q5951" t="str">
        <f t="shared" si="537"/>
        <v/>
      </c>
    </row>
    <row r="5952" spans="1:17" hidden="1">
      <c r="A5952" t="s">
        <v>6057</v>
      </c>
      <c r="B5952" s="1">
        <v>45713</v>
      </c>
      <c r="C5952">
        <v>2025</v>
      </c>
      <c r="D5952">
        <v>2</v>
      </c>
      <c r="E5952" t="s">
        <v>13</v>
      </c>
      <c r="F5952" t="s">
        <v>28</v>
      </c>
      <c r="G5952" t="s">
        <v>102</v>
      </c>
      <c r="H5952" t="s">
        <v>278</v>
      </c>
      <c r="I5952">
        <v>2050.56</v>
      </c>
      <c r="J5952">
        <v>2175.85</v>
      </c>
      <c r="K5952" t="s">
        <v>17</v>
      </c>
      <c r="L5952" t="b">
        <v>0</v>
      </c>
      <c r="N5952" s="2" t="str">
        <f t="shared" si="533"/>
        <v/>
      </c>
      <c r="Q5952" t="str">
        <f t="shared" si="537"/>
        <v/>
      </c>
    </row>
    <row r="5953" spans="1:17" hidden="1">
      <c r="A5953" t="s">
        <v>6058</v>
      </c>
      <c r="B5953" s="1">
        <v>45713</v>
      </c>
      <c r="C5953">
        <v>2025</v>
      </c>
      <c r="D5953">
        <v>2</v>
      </c>
      <c r="E5953" t="s">
        <v>13</v>
      </c>
      <c r="F5953" t="s">
        <v>24</v>
      </c>
      <c r="G5953" t="s">
        <v>102</v>
      </c>
      <c r="H5953" t="s">
        <v>278</v>
      </c>
      <c r="I5953">
        <v>3507.67</v>
      </c>
      <c r="J5953">
        <v>3370.95</v>
      </c>
      <c r="K5953" t="s">
        <v>17</v>
      </c>
      <c r="L5953" t="b">
        <v>0</v>
      </c>
      <c r="N5953" s="2" t="str">
        <f t="shared" si="533"/>
        <v/>
      </c>
      <c r="Q5953" t="str">
        <f t="shared" si="537"/>
        <v/>
      </c>
    </row>
    <row r="5954" spans="1:17" hidden="1">
      <c r="A5954" t="s">
        <v>6059</v>
      </c>
      <c r="B5954" s="1">
        <v>45713</v>
      </c>
      <c r="C5954">
        <v>2025</v>
      </c>
      <c r="D5954">
        <v>2</v>
      </c>
      <c r="E5954" t="s">
        <v>47</v>
      </c>
      <c r="F5954" t="s">
        <v>14</v>
      </c>
      <c r="G5954" t="s">
        <v>48</v>
      </c>
      <c r="H5954" t="s">
        <v>75</v>
      </c>
      <c r="I5954">
        <v>11352.23</v>
      </c>
      <c r="J5954">
        <v>9818.6</v>
      </c>
      <c r="K5954" t="s">
        <v>17</v>
      </c>
      <c r="L5954" t="b">
        <v>0</v>
      </c>
      <c r="N5954" s="2" t="b">
        <f t="shared" si="533"/>
        <v>1</v>
      </c>
      <c r="O5954" t="str">
        <f t="shared" ref="O5954:O5955" si="538">IF(AND(E5943="HR",K5943="EXPENSE"),I5943&lt;J5943,"")</f>
        <v/>
      </c>
      <c r="Q5954" t="str">
        <f t="shared" si="537"/>
        <v/>
      </c>
    </row>
    <row r="5955" spans="1:17" hidden="1">
      <c r="A5955" t="s">
        <v>6060</v>
      </c>
      <c r="B5955" s="1">
        <v>45713</v>
      </c>
      <c r="C5955">
        <v>2025</v>
      </c>
      <c r="D5955">
        <v>2</v>
      </c>
      <c r="E5955" t="s">
        <v>47</v>
      </c>
      <c r="F5955" t="s">
        <v>24</v>
      </c>
      <c r="G5955" t="s">
        <v>51</v>
      </c>
      <c r="H5955" t="s">
        <v>72</v>
      </c>
      <c r="I5955">
        <v>19279.060000000001</v>
      </c>
      <c r="J5955">
        <v>15859.6</v>
      </c>
      <c r="K5955" t="s">
        <v>17</v>
      </c>
      <c r="L5955" t="b">
        <v>0</v>
      </c>
      <c r="N5955" s="2" t="b">
        <f t="shared" ref="N5955:N6018" si="539">IF(AND(E5955="IT",K5955="EXPENSE"),I5955&gt;J5955,"")</f>
        <v>1</v>
      </c>
      <c r="O5955" t="str">
        <f t="shared" si="538"/>
        <v/>
      </c>
      <c r="Q5955" t="str">
        <f t="shared" si="537"/>
        <v/>
      </c>
    </row>
    <row r="5956" spans="1:17" hidden="1">
      <c r="A5956" t="s">
        <v>6061</v>
      </c>
      <c r="B5956" s="1">
        <v>45713</v>
      </c>
      <c r="C5956">
        <v>2025</v>
      </c>
      <c r="D5956">
        <v>2</v>
      </c>
      <c r="E5956" t="s">
        <v>19</v>
      </c>
      <c r="F5956" t="s">
        <v>14</v>
      </c>
      <c r="G5956" t="s">
        <v>132</v>
      </c>
      <c r="H5956" t="s">
        <v>133</v>
      </c>
      <c r="I5956">
        <v>6694.63</v>
      </c>
      <c r="J5956">
        <v>7049.7</v>
      </c>
      <c r="K5956" t="s">
        <v>17</v>
      </c>
      <c r="L5956" t="b">
        <v>0</v>
      </c>
      <c r="N5956" s="2" t="str">
        <f t="shared" si="539"/>
        <v/>
      </c>
      <c r="Q5956" t="str">
        <f t="shared" si="537"/>
        <v/>
      </c>
    </row>
    <row r="5957" spans="1:17" hidden="1">
      <c r="A5957" t="s">
        <v>6062</v>
      </c>
      <c r="B5957" s="1">
        <v>45713</v>
      </c>
      <c r="C5957">
        <v>2025</v>
      </c>
      <c r="D5957">
        <v>2</v>
      </c>
      <c r="E5957" t="s">
        <v>19</v>
      </c>
      <c r="F5957" t="s">
        <v>14</v>
      </c>
      <c r="G5957" t="s">
        <v>54</v>
      </c>
      <c r="H5957" t="s">
        <v>163</v>
      </c>
      <c r="I5957">
        <v>6096.03</v>
      </c>
      <c r="J5957">
        <v>5491.33</v>
      </c>
      <c r="K5957" t="s">
        <v>17</v>
      </c>
      <c r="L5957" t="b">
        <v>0</v>
      </c>
      <c r="N5957" s="2" t="str">
        <f t="shared" si="539"/>
        <v/>
      </c>
      <c r="Q5957" t="str">
        <f t="shared" si="537"/>
        <v/>
      </c>
    </row>
    <row r="5958" spans="1:17" hidden="1">
      <c r="A5958" t="s">
        <v>6063</v>
      </c>
      <c r="B5958" s="1">
        <v>45713</v>
      </c>
      <c r="C5958">
        <v>2025</v>
      </c>
      <c r="D5958">
        <v>2</v>
      </c>
      <c r="E5958" t="s">
        <v>19</v>
      </c>
      <c r="F5958" t="s">
        <v>24</v>
      </c>
      <c r="G5958" t="s">
        <v>80</v>
      </c>
      <c r="H5958" t="s">
        <v>150</v>
      </c>
      <c r="I5958">
        <v>6485.31</v>
      </c>
      <c r="J5958">
        <v>6090.71</v>
      </c>
      <c r="K5958" t="s">
        <v>17</v>
      </c>
      <c r="L5958" t="b">
        <v>0</v>
      </c>
      <c r="N5958" s="2" t="str">
        <f t="shared" si="539"/>
        <v/>
      </c>
      <c r="Q5958" t="str">
        <f t="shared" si="537"/>
        <v/>
      </c>
    </row>
    <row r="5959" spans="1:17" hidden="1">
      <c r="A5959" t="s">
        <v>6064</v>
      </c>
      <c r="B5959" s="1">
        <v>45713</v>
      </c>
      <c r="C5959">
        <v>2025</v>
      </c>
      <c r="D5959">
        <v>2</v>
      </c>
      <c r="E5959" t="s">
        <v>23</v>
      </c>
      <c r="F5959" t="s">
        <v>24</v>
      </c>
      <c r="G5959" t="s">
        <v>25</v>
      </c>
      <c r="H5959" t="s">
        <v>26</v>
      </c>
      <c r="I5959">
        <v>4072.85</v>
      </c>
      <c r="J5959">
        <v>4114.2</v>
      </c>
      <c r="K5959" t="s">
        <v>17</v>
      </c>
      <c r="L5959" t="b">
        <v>0</v>
      </c>
      <c r="N5959" s="2" t="str">
        <f t="shared" si="539"/>
        <v/>
      </c>
      <c r="Q5959" t="str">
        <f t="shared" si="537"/>
        <v/>
      </c>
    </row>
    <row r="5960" spans="1:17" hidden="1">
      <c r="A5960" t="s">
        <v>6065</v>
      </c>
      <c r="B5960" s="1">
        <v>45713</v>
      </c>
      <c r="C5960">
        <v>2025</v>
      </c>
      <c r="D5960">
        <v>2</v>
      </c>
      <c r="E5960" t="s">
        <v>23</v>
      </c>
      <c r="F5960" t="s">
        <v>24</v>
      </c>
      <c r="G5960" t="s">
        <v>30</v>
      </c>
      <c r="H5960" t="s">
        <v>31</v>
      </c>
      <c r="I5960">
        <v>4679.01</v>
      </c>
      <c r="J5960">
        <v>4301.59</v>
      </c>
      <c r="K5960" t="s">
        <v>17</v>
      </c>
      <c r="L5960" t="b">
        <v>0</v>
      </c>
      <c r="N5960" s="2" t="str">
        <f t="shared" si="539"/>
        <v/>
      </c>
      <c r="Q5960" t="str">
        <f t="shared" si="537"/>
        <v/>
      </c>
    </row>
    <row r="5961" spans="1:17" hidden="1">
      <c r="A5961" t="s">
        <v>6066</v>
      </c>
      <c r="B5961" s="1">
        <v>45713</v>
      </c>
      <c r="C5961">
        <v>2025</v>
      </c>
      <c r="D5961">
        <v>2</v>
      </c>
      <c r="E5961" t="s">
        <v>23</v>
      </c>
      <c r="F5961" t="s">
        <v>24</v>
      </c>
      <c r="G5961" t="s">
        <v>25</v>
      </c>
      <c r="H5961" t="s">
        <v>35</v>
      </c>
      <c r="I5961">
        <v>3754.67</v>
      </c>
      <c r="J5961">
        <v>3549.26</v>
      </c>
      <c r="K5961" t="s">
        <v>17</v>
      </c>
      <c r="L5961" t="b">
        <v>0</v>
      </c>
      <c r="N5961" s="2" t="str">
        <f t="shared" si="539"/>
        <v/>
      </c>
      <c r="Q5961" t="str">
        <f t="shared" si="537"/>
        <v/>
      </c>
    </row>
    <row r="5962" spans="1:17" hidden="1">
      <c r="A5962" t="s">
        <v>6067</v>
      </c>
      <c r="B5962" s="1">
        <v>45713</v>
      </c>
      <c r="C5962">
        <v>2025</v>
      </c>
      <c r="D5962">
        <v>2</v>
      </c>
      <c r="E5962" t="s">
        <v>37</v>
      </c>
      <c r="F5962" t="s">
        <v>14</v>
      </c>
      <c r="G5962" t="s">
        <v>62</v>
      </c>
      <c r="H5962" t="s">
        <v>121</v>
      </c>
      <c r="I5962">
        <v>5357.87</v>
      </c>
      <c r="J5962">
        <v>5030.1400000000003</v>
      </c>
      <c r="K5962" t="s">
        <v>17</v>
      </c>
      <c r="L5962" t="b">
        <v>0</v>
      </c>
      <c r="N5962" s="2" t="str">
        <f t="shared" si="539"/>
        <v/>
      </c>
      <c r="Q5962" t="str">
        <f t="shared" si="537"/>
        <v/>
      </c>
    </row>
    <row r="5963" spans="1:17" hidden="1">
      <c r="A5963" t="s">
        <v>6068</v>
      </c>
      <c r="B5963" s="1">
        <v>45714</v>
      </c>
      <c r="C5963">
        <v>2025</v>
      </c>
      <c r="D5963">
        <v>2</v>
      </c>
      <c r="E5963" t="s">
        <v>13</v>
      </c>
      <c r="F5963" t="s">
        <v>28</v>
      </c>
      <c r="G5963" t="s">
        <v>15</v>
      </c>
      <c r="H5963" t="s">
        <v>89</v>
      </c>
      <c r="I5963">
        <v>4221.1400000000003</v>
      </c>
      <c r="J5963">
        <v>4460.83</v>
      </c>
      <c r="K5963" t="s">
        <v>17</v>
      </c>
      <c r="L5963" t="b">
        <v>0</v>
      </c>
      <c r="N5963" s="2" t="str">
        <f t="shared" si="539"/>
        <v/>
      </c>
      <c r="Q5963" t="str">
        <f t="shared" si="537"/>
        <v/>
      </c>
    </row>
    <row r="5964" spans="1:17" hidden="1">
      <c r="A5964" t="s">
        <v>6069</v>
      </c>
      <c r="B5964" s="1">
        <v>45714</v>
      </c>
      <c r="C5964">
        <v>2025</v>
      </c>
      <c r="D5964">
        <v>2</v>
      </c>
      <c r="E5964" t="s">
        <v>13</v>
      </c>
      <c r="F5964" t="s">
        <v>24</v>
      </c>
      <c r="G5964" t="s">
        <v>68</v>
      </c>
      <c r="H5964" t="s">
        <v>87</v>
      </c>
      <c r="I5964">
        <v>3340.87</v>
      </c>
      <c r="J5964">
        <v>3524.07</v>
      </c>
      <c r="K5964" t="s">
        <v>17</v>
      </c>
      <c r="L5964" t="b">
        <v>0</v>
      </c>
      <c r="N5964" s="2" t="str">
        <f t="shared" si="539"/>
        <v/>
      </c>
      <c r="Q5964" t="str">
        <f t="shared" si="537"/>
        <v/>
      </c>
    </row>
    <row r="5965" spans="1:17" hidden="1">
      <c r="A5965" t="s">
        <v>6070</v>
      </c>
      <c r="B5965" s="1">
        <v>45714</v>
      </c>
      <c r="C5965">
        <v>2025</v>
      </c>
      <c r="D5965">
        <v>2</v>
      </c>
      <c r="E5965" t="s">
        <v>13</v>
      </c>
      <c r="F5965" t="s">
        <v>24</v>
      </c>
      <c r="G5965" t="s">
        <v>102</v>
      </c>
      <c r="H5965" t="s">
        <v>278</v>
      </c>
      <c r="I5965">
        <v>2281.3200000000002</v>
      </c>
      <c r="J5965">
        <v>2468.88</v>
      </c>
      <c r="K5965" t="s">
        <v>17</v>
      </c>
      <c r="L5965" t="b">
        <v>0</v>
      </c>
      <c r="N5965" s="2" t="str">
        <f t="shared" si="539"/>
        <v/>
      </c>
      <c r="Q5965" t="str">
        <f t="shared" si="537"/>
        <v/>
      </c>
    </row>
    <row r="5966" spans="1:17" hidden="1">
      <c r="A5966" t="s">
        <v>6071</v>
      </c>
      <c r="B5966" s="1">
        <v>45714</v>
      </c>
      <c r="C5966">
        <v>2025</v>
      </c>
      <c r="D5966">
        <v>2</v>
      </c>
      <c r="E5966" t="s">
        <v>47</v>
      </c>
      <c r="F5966" t="s">
        <v>28</v>
      </c>
      <c r="G5966" t="s">
        <v>48</v>
      </c>
      <c r="H5966" t="s">
        <v>111</v>
      </c>
      <c r="I5966">
        <v>17297.18</v>
      </c>
      <c r="J5966">
        <v>14267.51</v>
      </c>
      <c r="K5966" t="s">
        <v>17</v>
      </c>
      <c r="L5966" t="b">
        <v>0</v>
      </c>
      <c r="N5966" s="2" t="b">
        <f t="shared" si="539"/>
        <v>1</v>
      </c>
      <c r="O5966" t="str">
        <f>IF(AND(E5955="HR",K5955="EXPENSE"),I5955&lt;J5955,"")</f>
        <v/>
      </c>
      <c r="Q5966" t="str">
        <f t="shared" si="537"/>
        <v/>
      </c>
    </row>
    <row r="5967" spans="1:17" hidden="1">
      <c r="A5967" t="s">
        <v>6072</v>
      </c>
      <c r="B5967" s="1">
        <v>45714</v>
      </c>
      <c r="C5967">
        <v>2025</v>
      </c>
      <c r="D5967">
        <v>2</v>
      </c>
      <c r="E5967" t="s">
        <v>19</v>
      </c>
      <c r="F5967" t="s">
        <v>24</v>
      </c>
      <c r="G5967" t="s">
        <v>132</v>
      </c>
      <c r="H5967" t="s">
        <v>138</v>
      </c>
      <c r="I5967">
        <v>4291.68</v>
      </c>
      <c r="J5967">
        <v>4340.4399999999996</v>
      </c>
      <c r="K5967" t="s">
        <v>17</v>
      </c>
      <c r="L5967" t="b">
        <v>0</v>
      </c>
      <c r="N5967" s="2" t="str">
        <f t="shared" si="539"/>
        <v/>
      </c>
      <c r="Q5967" t="str">
        <f t="shared" si="537"/>
        <v/>
      </c>
    </row>
    <row r="5968" spans="1:17">
      <c r="A5968" t="s">
        <v>6073</v>
      </c>
      <c r="B5968" s="1">
        <v>45714</v>
      </c>
      <c r="C5968">
        <v>2025</v>
      </c>
      <c r="D5968">
        <v>2</v>
      </c>
      <c r="E5968" t="s">
        <v>19</v>
      </c>
      <c r="F5968" t="s">
        <v>24</v>
      </c>
      <c r="G5968" t="s">
        <v>20</v>
      </c>
      <c r="H5968" t="s">
        <v>322</v>
      </c>
      <c r="I5968">
        <v>26876.62</v>
      </c>
      <c r="J5968">
        <v>5456.73</v>
      </c>
      <c r="K5968" t="s">
        <v>17</v>
      </c>
      <c r="L5968" t="b">
        <v>1</v>
      </c>
      <c r="N5968" s="2" t="str">
        <f t="shared" si="539"/>
        <v/>
      </c>
      <c r="Q5968" t="b">
        <f t="shared" si="537"/>
        <v>1</v>
      </c>
    </row>
    <row r="5969" spans="1:17" hidden="1">
      <c r="A5969" t="s">
        <v>6074</v>
      </c>
      <c r="B5969" s="1">
        <v>45714</v>
      </c>
      <c r="C5969">
        <v>2025</v>
      </c>
      <c r="D5969">
        <v>2</v>
      </c>
      <c r="E5969" t="s">
        <v>19</v>
      </c>
      <c r="F5969" t="s">
        <v>24</v>
      </c>
      <c r="G5969" t="s">
        <v>54</v>
      </c>
      <c r="H5969" t="s">
        <v>55</v>
      </c>
      <c r="I5969">
        <v>8250.68</v>
      </c>
      <c r="J5969">
        <v>8160.45</v>
      </c>
      <c r="K5969" t="s">
        <v>17</v>
      </c>
      <c r="L5969" t="b">
        <v>0</v>
      </c>
      <c r="N5969" s="2" t="str">
        <f t="shared" si="539"/>
        <v/>
      </c>
      <c r="Q5969" t="str">
        <f t="shared" si="537"/>
        <v/>
      </c>
    </row>
    <row r="5970" spans="1:17" hidden="1">
      <c r="A5970" t="s">
        <v>6075</v>
      </c>
      <c r="B5970" s="1">
        <v>45714</v>
      </c>
      <c r="C5970">
        <v>2025</v>
      </c>
      <c r="D5970">
        <v>2</v>
      </c>
      <c r="E5970" t="s">
        <v>23</v>
      </c>
      <c r="F5970" t="s">
        <v>14</v>
      </c>
      <c r="G5970" t="s">
        <v>30</v>
      </c>
      <c r="H5970" t="s">
        <v>33</v>
      </c>
      <c r="I5970">
        <v>8455.01</v>
      </c>
      <c r="J5970">
        <v>8091.89</v>
      </c>
      <c r="K5970" t="s">
        <v>17</v>
      </c>
      <c r="L5970" t="b">
        <v>0</v>
      </c>
      <c r="N5970" s="2" t="str">
        <f t="shared" si="539"/>
        <v/>
      </c>
      <c r="Q5970" t="str">
        <f t="shared" si="537"/>
        <v/>
      </c>
    </row>
    <row r="5971" spans="1:17" hidden="1">
      <c r="A5971" t="s">
        <v>6076</v>
      </c>
      <c r="B5971" s="1">
        <v>45714</v>
      </c>
      <c r="C5971">
        <v>2025</v>
      </c>
      <c r="D5971">
        <v>2</v>
      </c>
      <c r="E5971" t="s">
        <v>23</v>
      </c>
      <c r="F5971" t="s">
        <v>14</v>
      </c>
      <c r="G5971" t="s">
        <v>141</v>
      </c>
      <c r="H5971" t="s">
        <v>153</v>
      </c>
      <c r="I5971">
        <v>5800.44</v>
      </c>
      <c r="J5971">
        <v>5335.69</v>
      </c>
      <c r="K5971" t="s">
        <v>17</v>
      </c>
      <c r="L5971" t="b">
        <v>0</v>
      </c>
      <c r="N5971" s="2" t="str">
        <f t="shared" si="539"/>
        <v/>
      </c>
      <c r="Q5971" t="str">
        <f t="shared" si="537"/>
        <v/>
      </c>
    </row>
    <row r="5972" spans="1:17" hidden="1">
      <c r="A5972" t="s">
        <v>6077</v>
      </c>
      <c r="B5972" s="1">
        <v>45714</v>
      </c>
      <c r="C5972">
        <v>2025</v>
      </c>
      <c r="D5972">
        <v>2</v>
      </c>
      <c r="E5972" t="s">
        <v>37</v>
      </c>
      <c r="F5972" t="s">
        <v>14</v>
      </c>
      <c r="G5972" t="s">
        <v>38</v>
      </c>
      <c r="H5972" t="s">
        <v>39</v>
      </c>
      <c r="I5972">
        <v>7931.55</v>
      </c>
      <c r="J5972">
        <v>8435.17</v>
      </c>
      <c r="K5972" t="s">
        <v>17</v>
      </c>
      <c r="L5972" t="b">
        <v>0</v>
      </c>
      <c r="N5972" s="2" t="str">
        <f t="shared" si="539"/>
        <v/>
      </c>
      <c r="Q5972" t="str">
        <f t="shared" si="537"/>
        <v/>
      </c>
    </row>
    <row r="5973" spans="1:17" hidden="1">
      <c r="A5973" t="s">
        <v>6078</v>
      </c>
      <c r="B5973" s="1">
        <v>45714</v>
      </c>
      <c r="C5973">
        <v>2025</v>
      </c>
      <c r="D5973">
        <v>2</v>
      </c>
      <c r="E5973" t="s">
        <v>37</v>
      </c>
      <c r="F5973" t="s">
        <v>24</v>
      </c>
      <c r="G5973" t="s">
        <v>41</v>
      </c>
      <c r="H5973" t="s">
        <v>42</v>
      </c>
      <c r="I5973">
        <v>4884.79</v>
      </c>
      <c r="J5973">
        <v>5156.51</v>
      </c>
      <c r="K5973" t="s">
        <v>17</v>
      </c>
      <c r="L5973" t="b">
        <v>0</v>
      </c>
      <c r="N5973" s="2" t="str">
        <f t="shared" si="539"/>
        <v/>
      </c>
      <c r="Q5973" t="str">
        <f t="shared" si="537"/>
        <v/>
      </c>
    </row>
    <row r="5974" spans="1:17" hidden="1">
      <c r="A5974" t="s">
        <v>6079</v>
      </c>
      <c r="B5974" s="1">
        <v>45714</v>
      </c>
      <c r="C5974">
        <v>2025</v>
      </c>
      <c r="D5974">
        <v>2</v>
      </c>
      <c r="E5974" t="s">
        <v>37</v>
      </c>
      <c r="F5974" t="s">
        <v>24</v>
      </c>
      <c r="G5974" t="s">
        <v>41</v>
      </c>
      <c r="H5974" t="s">
        <v>42</v>
      </c>
      <c r="I5974">
        <v>6256.16</v>
      </c>
      <c r="J5974">
        <v>6299.91</v>
      </c>
      <c r="K5974" t="s">
        <v>17</v>
      </c>
      <c r="L5974" t="b">
        <v>0</v>
      </c>
      <c r="N5974" s="2" t="str">
        <f t="shared" si="539"/>
        <v/>
      </c>
      <c r="Q5974" t="str">
        <f t="shared" si="537"/>
        <v/>
      </c>
    </row>
    <row r="5975" spans="1:17" hidden="1">
      <c r="A5975" t="s">
        <v>6080</v>
      </c>
      <c r="B5975" s="1">
        <v>45715</v>
      </c>
      <c r="C5975">
        <v>2025</v>
      </c>
      <c r="D5975">
        <v>2</v>
      </c>
      <c r="E5975" t="s">
        <v>13</v>
      </c>
      <c r="F5975" t="s">
        <v>28</v>
      </c>
      <c r="G5975" t="s">
        <v>108</v>
      </c>
      <c r="H5975" t="s">
        <v>123</v>
      </c>
      <c r="I5975">
        <v>4665.3900000000003</v>
      </c>
      <c r="J5975">
        <v>4708.6000000000004</v>
      </c>
      <c r="K5975" t="s">
        <v>17</v>
      </c>
      <c r="L5975" t="b">
        <v>0</v>
      </c>
      <c r="N5975" s="2" t="str">
        <f t="shared" si="539"/>
        <v/>
      </c>
      <c r="Q5975" t="str">
        <f t="shared" si="537"/>
        <v/>
      </c>
    </row>
    <row r="5976" spans="1:17" hidden="1">
      <c r="A5976" t="s">
        <v>6081</v>
      </c>
      <c r="B5976" s="1">
        <v>45715</v>
      </c>
      <c r="C5976">
        <v>2025</v>
      </c>
      <c r="D5976">
        <v>2</v>
      </c>
      <c r="E5976" t="s">
        <v>19</v>
      </c>
      <c r="F5976" t="s">
        <v>14</v>
      </c>
      <c r="G5976" t="s">
        <v>132</v>
      </c>
      <c r="H5976" t="s">
        <v>138</v>
      </c>
      <c r="I5976">
        <v>8987.67</v>
      </c>
      <c r="J5976">
        <v>9032.92</v>
      </c>
      <c r="K5976" t="s">
        <v>17</v>
      </c>
      <c r="L5976" t="b">
        <v>0</v>
      </c>
      <c r="N5976" s="2" t="str">
        <f t="shared" si="539"/>
        <v/>
      </c>
      <c r="Q5976" t="str">
        <f t="shared" si="537"/>
        <v/>
      </c>
    </row>
    <row r="5977" spans="1:17" hidden="1">
      <c r="A5977" t="s">
        <v>6082</v>
      </c>
      <c r="B5977" s="1">
        <v>45715</v>
      </c>
      <c r="C5977">
        <v>2025</v>
      </c>
      <c r="D5977">
        <v>2</v>
      </c>
      <c r="E5977" t="s">
        <v>23</v>
      </c>
      <c r="F5977" t="s">
        <v>28</v>
      </c>
      <c r="G5977" t="s">
        <v>59</v>
      </c>
      <c r="H5977" t="s">
        <v>60</v>
      </c>
      <c r="I5977">
        <v>5992.89</v>
      </c>
      <c r="J5977">
        <v>5958.83</v>
      </c>
      <c r="K5977" t="s">
        <v>17</v>
      </c>
      <c r="L5977" t="b">
        <v>0</v>
      </c>
      <c r="N5977" s="2" t="str">
        <f t="shared" si="539"/>
        <v/>
      </c>
      <c r="Q5977" t="str">
        <f t="shared" si="537"/>
        <v/>
      </c>
    </row>
    <row r="5978" spans="1:17" hidden="1">
      <c r="A5978" t="s">
        <v>6083</v>
      </c>
      <c r="B5978" s="1">
        <v>45715</v>
      </c>
      <c r="C5978">
        <v>2025</v>
      </c>
      <c r="D5978">
        <v>2</v>
      </c>
      <c r="E5978" t="s">
        <v>23</v>
      </c>
      <c r="F5978" t="s">
        <v>24</v>
      </c>
      <c r="G5978" t="s">
        <v>25</v>
      </c>
      <c r="H5978" t="s">
        <v>95</v>
      </c>
      <c r="I5978">
        <v>6602.69</v>
      </c>
      <c r="J5978">
        <v>6791.19</v>
      </c>
      <c r="K5978" t="s">
        <v>17</v>
      </c>
      <c r="L5978" t="b">
        <v>0</v>
      </c>
      <c r="N5978" s="2" t="str">
        <f t="shared" si="539"/>
        <v/>
      </c>
      <c r="Q5978" t="str">
        <f t="shared" si="537"/>
        <v/>
      </c>
    </row>
    <row r="5979" spans="1:17" hidden="1">
      <c r="A5979" t="s">
        <v>6084</v>
      </c>
      <c r="B5979" s="1">
        <v>45715</v>
      </c>
      <c r="C5979">
        <v>2025</v>
      </c>
      <c r="D5979">
        <v>2</v>
      </c>
      <c r="E5979" t="s">
        <v>37</v>
      </c>
      <c r="F5979" t="s">
        <v>24</v>
      </c>
      <c r="G5979" t="s">
        <v>41</v>
      </c>
      <c r="H5979" t="s">
        <v>42</v>
      </c>
      <c r="I5979">
        <v>5679.17</v>
      </c>
      <c r="J5979">
        <v>5209.5200000000004</v>
      </c>
      <c r="K5979" t="s">
        <v>17</v>
      </c>
      <c r="L5979" t="b">
        <v>0</v>
      </c>
      <c r="N5979" s="2" t="str">
        <f t="shared" si="539"/>
        <v/>
      </c>
      <c r="Q5979" t="str">
        <f t="shared" si="537"/>
        <v/>
      </c>
    </row>
    <row r="5980" spans="1:17" hidden="1">
      <c r="A5980" t="s">
        <v>6085</v>
      </c>
      <c r="B5980" s="1">
        <v>45716</v>
      </c>
      <c r="C5980">
        <v>2025</v>
      </c>
      <c r="D5980">
        <v>2</v>
      </c>
      <c r="E5980" t="s">
        <v>13</v>
      </c>
      <c r="F5980" t="s">
        <v>14</v>
      </c>
      <c r="G5980" t="s">
        <v>15</v>
      </c>
      <c r="H5980" t="s">
        <v>89</v>
      </c>
      <c r="I5980">
        <v>3183.8</v>
      </c>
      <c r="J5980">
        <v>3373.58</v>
      </c>
      <c r="K5980" t="s">
        <v>17</v>
      </c>
      <c r="L5980" t="b">
        <v>0</v>
      </c>
      <c r="N5980" s="2" t="str">
        <f t="shared" si="539"/>
        <v/>
      </c>
      <c r="Q5980" t="str">
        <f t="shared" si="537"/>
        <v/>
      </c>
    </row>
    <row r="5981" spans="1:17" hidden="1">
      <c r="A5981" t="s">
        <v>6086</v>
      </c>
      <c r="B5981" s="1">
        <v>45716</v>
      </c>
      <c r="C5981">
        <v>2025</v>
      </c>
      <c r="D5981">
        <v>2</v>
      </c>
      <c r="E5981" t="s">
        <v>13</v>
      </c>
      <c r="F5981" t="s">
        <v>14</v>
      </c>
      <c r="G5981" t="s">
        <v>68</v>
      </c>
      <c r="H5981" t="s">
        <v>69</v>
      </c>
      <c r="I5981">
        <v>3639.37</v>
      </c>
      <c r="J5981">
        <v>3425.65</v>
      </c>
      <c r="K5981" t="s">
        <v>17</v>
      </c>
      <c r="L5981" t="b">
        <v>0</v>
      </c>
      <c r="N5981" s="2" t="str">
        <f t="shared" si="539"/>
        <v/>
      </c>
      <c r="Q5981" t="str">
        <f t="shared" si="537"/>
        <v/>
      </c>
    </row>
    <row r="5982" spans="1:17" hidden="1">
      <c r="A5982" t="s">
        <v>6087</v>
      </c>
      <c r="B5982" s="1">
        <v>45716</v>
      </c>
      <c r="C5982">
        <v>2025</v>
      </c>
      <c r="D5982">
        <v>2</v>
      </c>
      <c r="E5982" t="s">
        <v>13</v>
      </c>
      <c r="F5982" t="s">
        <v>14</v>
      </c>
      <c r="G5982" t="s">
        <v>102</v>
      </c>
      <c r="H5982" t="s">
        <v>145</v>
      </c>
      <c r="I5982">
        <v>2379.4</v>
      </c>
      <c r="J5982">
        <v>2240.39</v>
      </c>
      <c r="K5982" t="s">
        <v>17</v>
      </c>
      <c r="L5982" t="b">
        <v>0</v>
      </c>
      <c r="N5982" s="2" t="str">
        <f t="shared" si="539"/>
        <v/>
      </c>
      <c r="Q5982" t="str">
        <f t="shared" si="537"/>
        <v/>
      </c>
    </row>
    <row r="5983" spans="1:17" hidden="1">
      <c r="A5983" t="s">
        <v>6088</v>
      </c>
      <c r="B5983" s="1">
        <v>45716</v>
      </c>
      <c r="C5983">
        <v>2025</v>
      </c>
      <c r="D5983">
        <v>2</v>
      </c>
      <c r="E5983" t="s">
        <v>19</v>
      </c>
      <c r="F5983" t="s">
        <v>14</v>
      </c>
      <c r="G5983" t="s">
        <v>80</v>
      </c>
      <c r="H5983" t="s">
        <v>81</v>
      </c>
      <c r="I5983">
        <v>5055.24</v>
      </c>
      <c r="J5983">
        <v>5263.42</v>
      </c>
      <c r="K5983" t="s">
        <v>17</v>
      </c>
      <c r="L5983" t="b">
        <v>0</v>
      </c>
      <c r="N5983" s="2" t="str">
        <f t="shared" si="539"/>
        <v/>
      </c>
      <c r="Q5983" t="str">
        <f t="shared" si="537"/>
        <v/>
      </c>
    </row>
    <row r="5984" spans="1:17" hidden="1">
      <c r="A5984" t="s">
        <v>6089</v>
      </c>
      <c r="B5984" s="1">
        <v>45716</v>
      </c>
      <c r="C5984">
        <v>2025</v>
      </c>
      <c r="D5984">
        <v>2</v>
      </c>
      <c r="E5984" t="s">
        <v>19</v>
      </c>
      <c r="F5984" t="s">
        <v>28</v>
      </c>
      <c r="G5984" t="s">
        <v>132</v>
      </c>
      <c r="H5984" t="s">
        <v>133</v>
      </c>
      <c r="I5984">
        <v>6974.4</v>
      </c>
      <c r="J5984">
        <v>7451.5</v>
      </c>
      <c r="K5984" t="s">
        <v>17</v>
      </c>
      <c r="L5984" t="b">
        <v>0</v>
      </c>
      <c r="N5984" s="2" t="str">
        <f t="shared" si="539"/>
        <v/>
      </c>
      <c r="Q5984" t="str">
        <f t="shared" si="537"/>
        <v/>
      </c>
    </row>
    <row r="5985" spans="1:17" hidden="1">
      <c r="A5985" t="s">
        <v>6090</v>
      </c>
      <c r="B5985" s="1">
        <v>45716</v>
      </c>
      <c r="C5985">
        <v>2025</v>
      </c>
      <c r="D5985">
        <v>2</v>
      </c>
      <c r="E5985" t="s">
        <v>19</v>
      </c>
      <c r="F5985" t="s">
        <v>28</v>
      </c>
      <c r="G5985" t="s">
        <v>132</v>
      </c>
      <c r="H5985" t="s">
        <v>133</v>
      </c>
      <c r="I5985">
        <v>8389.68</v>
      </c>
      <c r="J5985">
        <v>7801.73</v>
      </c>
      <c r="K5985" t="s">
        <v>17</v>
      </c>
      <c r="L5985" t="b">
        <v>0</v>
      </c>
      <c r="N5985" s="2" t="str">
        <f t="shared" si="539"/>
        <v/>
      </c>
      <c r="Q5985" t="str">
        <f t="shared" si="537"/>
        <v/>
      </c>
    </row>
    <row r="5986" spans="1:17" hidden="1">
      <c r="A5986" t="s">
        <v>6091</v>
      </c>
      <c r="B5986" s="1">
        <v>45716</v>
      </c>
      <c r="C5986">
        <v>2025</v>
      </c>
      <c r="D5986">
        <v>2</v>
      </c>
      <c r="E5986" t="s">
        <v>23</v>
      </c>
      <c r="F5986" t="s">
        <v>14</v>
      </c>
      <c r="G5986" t="s">
        <v>141</v>
      </c>
      <c r="H5986" t="s">
        <v>153</v>
      </c>
      <c r="I5986">
        <v>6132.79</v>
      </c>
      <c r="J5986">
        <v>5621.55</v>
      </c>
      <c r="K5986" t="s">
        <v>17</v>
      </c>
      <c r="L5986" t="b">
        <v>0</v>
      </c>
      <c r="N5986" s="2" t="str">
        <f t="shared" si="539"/>
        <v/>
      </c>
      <c r="Q5986" t="str">
        <f t="shared" si="537"/>
        <v/>
      </c>
    </row>
    <row r="5987" spans="1:17" hidden="1">
      <c r="A5987" t="s">
        <v>6092</v>
      </c>
      <c r="B5987" s="1">
        <v>45716</v>
      </c>
      <c r="C5987">
        <v>2025</v>
      </c>
      <c r="D5987">
        <v>2</v>
      </c>
      <c r="E5987" t="s">
        <v>23</v>
      </c>
      <c r="F5987" t="s">
        <v>14</v>
      </c>
      <c r="G5987" t="s">
        <v>141</v>
      </c>
      <c r="H5987" t="s">
        <v>142</v>
      </c>
      <c r="I5987">
        <v>4530.74</v>
      </c>
      <c r="J5987">
        <v>4932.3100000000004</v>
      </c>
      <c r="K5987" t="s">
        <v>17</v>
      </c>
      <c r="L5987" t="b">
        <v>0</v>
      </c>
      <c r="N5987" s="2" t="str">
        <f t="shared" si="539"/>
        <v/>
      </c>
      <c r="Q5987" t="str">
        <f t="shared" si="537"/>
        <v/>
      </c>
    </row>
    <row r="5988" spans="1:17" hidden="1">
      <c r="A5988" t="s">
        <v>6093</v>
      </c>
      <c r="B5988" s="1">
        <v>45716</v>
      </c>
      <c r="C5988">
        <v>2025</v>
      </c>
      <c r="D5988">
        <v>2</v>
      </c>
      <c r="E5988" t="s">
        <v>23</v>
      </c>
      <c r="F5988" t="s">
        <v>28</v>
      </c>
      <c r="G5988" t="s">
        <v>30</v>
      </c>
      <c r="H5988" t="s">
        <v>106</v>
      </c>
      <c r="I5988">
        <v>7385.1</v>
      </c>
      <c r="J5988">
        <v>7242.83</v>
      </c>
      <c r="K5988" t="s">
        <v>17</v>
      </c>
      <c r="L5988" t="b">
        <v>0</v>
      </c>
      <c r="N5988" s="2" t="str">
        <f t="shared" si="539"/>
        <v/>
      </c>
      <c r="Q5988" t="str">
        <f t="shared" si="537"/>
        <v/>
      </c>
    </row>
    <row r="5989" spans="1:17" hidden="1">
      <c r="A5989" t="s">
        <v>6094</v>
      </c>
      <c r="B5989" s="1">
        <v>45716</v>
      </c>
      <c r="C5989">
        <v>2025</v>
      </c>
      <c r="D5989">
        <v>2</v>
      </c>
      <c r="E5989" t="s">
        <v>23</v>
      </c>
      <c r="F5989" t="s">
        <v>28</v>
      </c>
      <c r="G5989" t="s">
        <v>30</v>
      </c>
      <c r="H5989" t="s">
        <v>33</v>
      </c>
      <c r="I5989">
        <v>6541.33</v>
      </c>
      <c r="J5989">
        <v>5966.49</v>
      </c>
      <c r="K5989" t="s">
        <v>17</v>
      </c>
      <c r="L5989" t="b">
        <v>0</v>
      </c>
      <c r="N5989" s="2" t="str">
        <f t="shared" si="539"/>
        <v/>
      </c>
      <c r="Q5989" t="str">
        <f t="shared" si="537"/>
        <v/>
      </c>
    </row>
    <row r="5990" spans="1:17" hidden="1">
      <c r="A5990" t="s">
        <v>6095</v>
      </c>
      <c r="B5990" s="1">
        <v>45716</v>
      </c>
      <c r="C5990">
        <v>2025</v>
      </c>
      <c r="D5990">
        <v>2</v>
      </c>
      <c r="E5990" t="s">
        <v>37</v>
      </c>
      <c r="F5990" t="s">
        <v>14</v>
      </c>
      <c r="G5990" t="s">
        <v>62</v>
      </c>
      <c r="H5990" t="s">
        <v>66</v>
      </c>
      <c r="I5990">
        <v>5762.9</v>
      </c>
      <c r="J5990">
        <v>5736.46</v>
      </c>
      <c r="K5990" t="s">
        <v>17</v>
      </c>
      <c r="L5990" t="b">
        <v>0</v>
      </c>
      <c r="N5990" s="2" t="str">
        <f t="shared" si="539"/>
        <v/>
      </c>
      <c r="Q5990" t="str">
        <f t="shared" si="537"/>
        <v/>
      </c>
    </row>
    <row r="5991" spans="1:17" hidden="1">
      <c r="A5991" t="s">
        <v>6096</v>
      </c>
      <c r="B5991" s="1">
        <v>45716</v>
      </c>
      <c r="C5991">
        <v>2025</v>
      </c>
      <c r="D5991">
        <v>2</v>
      </c>
      <c r="E5991" t="s">
        <v>37</v>
      </c>
      <c r="F5991" t="s">
        <v>28</v>
      </c>
      <c r="G5991" t="s">
        <v>62</v>
      </c>
      <c r="H5991" t="s">
        <v>63</v>
      </c>
      <c r="I5991">
        <v>5059.96</v>
      </c>
      <c r="J5991">
        <v>4632.16</v>
      </c>
      <c r="K5991" t="s">
        <v>17</v>
      </c>
      <c r="L5991" t="b">
        <v>0</v>
      </c>
      <c r="N5991" s="2" t="str">
        <f t="shared" si="539"/>
        <v/>
      </c>
      <c r="Q5991" t="str">
        <f t="shared" si="537"/>
        <v/>
      </c>
    </row>
    <row r="5992" spans="1:17" hidden="1">
      <c r="A5992" t="s">
        <v>6097</v>
      </c>
      <c r="B5992" s="1">
        <v>45716</v>
      </c>
      <c r="C5992">
        <v>2025</v>
      </c>
      <c r="D5992">
        <v>2</v>
      </c>
      <c r="E5992" t="s">
        <v>37</v>
      </c>
      <c r="F5992" t="s">
        <v>28</v>
      </c>
      <c r="G5992" t="s">
        <v>98</v>
      </c>
      <c r="H5992" t="s">
        <v>185</v>
      </c>
      <c r="I5992">
        <v>4469.1400000000003</v>
      </c>
      <c r="J5992">
        <v>4347.91</v>
      </c>
      <c r="K5992" t="s">
        <v>17</v>
      </c>
      <c r="L5992" t="b">
        <v>0</v>
      </c>
      <c r="N5992" s="2" t="str">
        <f t="shared" si="539"/>
        <v/>
      </c>
      <c r="Q5992" t="str">
        <f t="shared" si="537"/>
        <v/>
      </c>
    </row>
    <row r="5993" spans="1:17" hidden="1">
      <c r="A5993" t="s">
        <v>6098</v>
      </c>
      <c r="B5993" s="1">
        <v>45717</v>
      </c>
      <c r="C5993">
        <v>2025</v>
      </c>
      <c r="D5993">
        <v>3</v>
      </c>
      <c r="E5993" t="s">
        <v>13</v>
      </c>
      <c r="F5993" t="s">
        <v>24</v>
      </c>
      <c r="G5993" t="s">
        <v>102</v>
      </c>
      <c r="H5993" t="s">
        <v>103</v>
      </c>
      <c r="I5993">
        <v>2650.94</v>
      </c>
      <c r="J5993">
        <v>2767.2</v>
      </c>
      <c r="K5993" t="s">
        <v>17</v>
      </c>
      <c r="L5993" t="b">
        <v>0</v>
      </c>
      <c r="N5993" s="2" t="str">
        <f t="shared" si="539"/>
        <v/>
      </c>
      <c r="Q5993" t="str">
        <f t="shared" si="537"/>
        <v/>
      </c>
    </row>
    <row r="5994" spans="1:17" hidden="1">
      <c r="A5994" t="s">
        <v>6099</v>
      </c>
      <c r="B5994" s="1">
        <v>45717</v>
      </c>
      <c r="C5994">
        <v>2025</v>
      </c>
      <c r="D5994">
        <v>3</v>
      </c>
      <c r="E5994" t="s">
        <v>47</v>
      </c>
      <c r="F5994" t="s">
        <v>14</v>
      </c>
      <c r="G5994" t="s">
        <v>91</v>
      </c>
      <c r="H5994" t="s">
        <v>128</v>
      </c>
      <c r="I5994">
        <v>9089.07</v>
      </c>
      <c r="J5994">
        <v>7692.07</v>
      </c>
      <c r="K5994" t="s">
        <v>17</v>
      </c>
      <c r="L5994" t="b">
        <v>0</v>
      </c>
      <c r="N5994" s="2" t="b">
        <f t="shared" si="539"/>
        <v>1</v>
      </c>
      <c r="O5994" t="str">
        <f t="shared" ref="O5994:O5995" si="540">IF(AND(E5983="HR",K5983="EXPENSE"),I5983&lt;J5983,"")</f>
        <v/>
      </c>
      <c r="Q5994" t="str">
        <f t="shared" si="537"/>
        <v/>
      </c>
    </row>
    <row r="5995" spans="1:17" hidden="1">
      <c r="A5995" t="s">
        <v>6100</v>
      </c>
      <c r="B5995" s="1">
        <v>45717</v>
      </c>
      <c r="C5995">
        <v>2025</v>
      </c>
      <c r="D5995">
        <v>3</v>
      </c>
      <c r="E5995" t="s">
        <v>47</v>
      </c>
      <c r="F5995" t="s">
        <v>28</v>
      </c>
      <c r="G5995" t="s">
        <v>77</v>
      </c>
      <c r="H5995" t="s">
        <v>130</v>
      </c>
      <c r="I5995">
        <v>13432.1</v>
      </c>
      <c r="J5995">
        <v>11536.52</v>
      </c>
      <c r="K5995" t="s">
        <v>17</v>
      </c>
      <c r="L5995" t="b">
        <v>0</v>
      </c>
      <c r="N5995" s="2" t="b">
        <f t="shared" si="539"/>
        <v>1</v>
      </c>
      <c r="O5995" t="str">
        <f t="shared" si="540"/>
        <v/>
      </c>
      <c r="Q5995" t="str">
        <f t="shared" si="537"/>
        <v/>
      </c>
    </row>
    <row r="5996" spans="1:17" hidden="1">
      <c r="A5996" t="s">
        <v>6101</v>
      </c>
      <c r="B5996" s="1">
        <v>45717</v>
      </c>
      <c r="C5996">
        <v>2025</v>
      </c>
      <c r="D5996">
        <v>3</v>
      </c>
      <c r="E5996" t="s">
        <v>19</v>
      </c>
      <c r="F5996" t="s">
        <v>14</v>
      </c>
      <c r="G5996" t="s">
        <v>54</v>
      </c>
      <c r="H5996" t="s">
        <v>163</v>
      </c>
      <c r="I5996">
        <v>5418.01</v>
      </c>
      <c r="J5996">
        <v>5172.8999999999996</v>
      </c>
      <c r="K5996" t="s">
        <v>17</v>
      </c>
      <c r="L5996" t="b">
        <v>0</v>
      </c>
      <c r="N5996" s="2" t="str">
        <f t="shared" si="539"/>
        <v/>
      </c>
      <c r="Q5996" t="str">
        <f t="shared" si="537"/>
        <v/>
      </c>
    </row>
    <row r="5997" spans="1:17" hidden="1">
      <c r="A5997" t="s">
        <v>6102</v>
      </c>
      <c r="B5997" s="1">
        <v>45717</v>
      </c>
      <c r="C5997">
        <v>2025</v>
      </c>
      <c r="D5997">
        <v>3</v>
      </c>
      <c r="E5997" t="s">
        <v>23</v>
      </c>
      <c r="F5997" t="s">
        <v>14</v>
      </c>
      <c r="G5997" t="s">
        <v>25</v>
      </c>
      <c r="H5997" t="s">
        <v>35</v>
      </c>
      <c r="I5997">
        <v>6905.71</v>
      </c>
      <c r="J5997">
        <v>7031.48</v>
      </c>
      <c r="K5997" t="s">
        <v>17</v>
      </c>
      <c r="L5997" t="b">
        <v>0</v>
      </c>
      <c r="N5997" s="2" t="str">
        <f t="shared" si="539"/>
        <v/>
      </c>
      <c r="Q5997" t="str">
        <f t="shared" si="537"/>
        <v/>
      </c>
    </row>
    <row r="5998" spans="1:17" hidden="1">
      <c r="A5998" t="s">
        <v>6103</v>
      </c>
      <c r="B5998" s="1">
        <v>45717</v>
      </c>
      <c r="C5998">
        <v>2025</v>
      </c>
      <c r="D5998">
        <v>3</v>
      </c>
      <c r="E5998" t="s">
        <v>23</v>
      </c>
      <c r="F5998" t="s">
        <v>14</v>
      </c>
      <c r="G5998" t="s">
        <v>141</v>
      </c>
      <c r="H5998" t="s">
        <v>142</v>
      </c>
      <c r="I5998">
        <v>5529.77</v>
      </c>
      <c r="J5998">
        <v>5195.3100000000004</v>
      </c>
      <c r="K5998" t="s">
        <v>17</v>
      </c>
      <c r="L5998" t="b">
        <v>0</v>
      </c>
      <c r="N5998" s="2" t="str">
        <f t="shared" si="539"/>
        <v/>
      </c>
      <c r="Q5998" t="str">
        <f t="shared" si="537"/>
        <v/>
      </c>
    </row>
    <row r="5999" spans="1:17" hidden="1">
      <c r="A5999" t="s">
        <v>6104</v>
      </c>
      <c r="B5999" s="1">
        <v>45717</v>
      </c>
      <c r="C5999">
        <v>2025</v>
      </c>
      <c r="D5999">
        <v>3</v>
      </c>
      <c r="E5999" t="s">
        <v>23</v>
      </c>
      <c r="F5999" t="s">
        <v>28</v>
      </c>
      <c r="G5999" t="s">
        <v>59</v>
      </c>
      <c r="H5999" t="s">
        <v>60</v>
      </c>
      <c r="I5999">
        <v>5338.22</v>
      </c>
      <c r="J5999">
        <v>5853.91</v>
      </c>
      <c r="K5999" t="s">
        <v>17</v>
      </c>
      <c r="L5999" t="b">
        <v>0</v>
      </c>
      <c r="N5999" s="2" t="str">
        <f t="shared" si="539"/>
        <v/>
      </c>
      <c r="Q5999" t="str">
        <f t="shared" si="537"/>
        <v/>
      </c>
    </row>
    <row r="6000" spans="1:17" hidden="1">
      <c r="A6000" t="s">
        <v>6105</v>
      </c>
      <c r="B6000" s="1">
        <v>45717</v>
      </c>
      <c r="C6000">
        <v>2025</v>
      </c>
      <c r="D6000">
        <v>3</v>
      </c>
      <c r="E6000" t="s">
        <v>23</v>
      </c>
      <c r="F6000" t="s">
        <v>24</v>
      </c>
      <c r="G6000" t="s">
        <v>25</v>
      </c>
      <c r="H6000" t="s">
        <v>35</v>
      </c>
      <c r="I6000">
        <v>6277.7</v>
      </c>
      <c r="J6000">
        <v>5844.14</v>
      </c>
      <c r="K6000" t="s">
        <v>17</v>
      </c>
      <c r="L6000" t="b">
        <v>0</v>
      </c>
      <c r="N6000" s="2" t="str">
        <f t="shared" si="539"/>
        <v/>
      </c>
      <c r="Q6000" t="str">
        <f t="shared" ref="Q6000:Q6063" si="541">IF(L6000=TRUE,OR(H6000="Apex Solutions Inc",H6000="Global Trade Partners",H6000="NovaTech Services"),"")</f>
        <v/>
      </c>
    </row>
    <row r="6001" spans="1:17" hidden="1">
      <c r="A6001" t="s">
        <v>6106</v>
      </c>
      <c r="B6001" s="1">
        <v>45717</v>
      </c>
      <c r="C6001">
        <v>2025</v>
      </c>
      <c r="D6001">
        <v>3</v>
      </c>
      <c r="E6001" t="s">
        <v>37</v>
      </c>
      <c r="F6001" t="s">
        <v>24</v>
      </c>
      <c r="G6001" t="s">
        <v>98</v>
      </c>
      <c r="H6001" t="s">
        <v>99</v>
      </c>
      <c r="I6001">
        <v>4554.51</v>
      </c>
      <c r="J6001">
        <v>4114.82</v>
      </c>
      <c r="K6001" t="s">
        <v>17</v>
      </c>
      <c r="L6001" t="b">
        <v>0</v>
      </c>
      <c r="N6001" s="2" t="str">
        <f t="shared" si="539"/>
        <v/>
      </c>
      <c r="Q6001" t="str">
        <f t="shared" si="541"/>
        <v/>
      </c>
    </row>
    <row r="6002" spans="1:17" hidden="1">
      <c r="A6002" t="s">
        <v>6107</v>
      </c>
      <c r="B6002" s="1">
        <v>45718</v>
      </c>
      <c r="C6002">
        <v>2025</v>
      </c>
      <c r="D6002">
        <v>3</v>
      </c>
      <c r="E6002" t="s">
        <v>13</v>
      </c>
      <c r="F6002" t="s">
        <v>28</v>
      </c>
      <c r="G6002" t="s">
        <v>102</v>
      </c>
      <c r="H6002" t="s">
        <v>145</v>
      </c>
      <c r="I6002">
        <v>3169.8</v>
      </c>
      <c r="J6002">
        <v>3204.72</v>
      </c>
      <c r="K6002" t="s">
        <v>17</v>
      </c>
      <c r="L6002" t="b">
        <v>0</v>
      </c>
      <c r="N6002" s="2" t="str">
        <f t="shared" si="539"/>
        <v/>
      </c>
      <c r="Q6002" t="str">
        <f t="shared" si="541"/>
        <v/>
      </c>
    </row>
    <row r="6003" spans="1:17" hidden="1">
      <c r="A6003" t="s">
        <v>6108</v>
      </c>
      <c r="B6003" s="1">
        <v>45718</v>
      </c>
      <c r="C6003">
        <v>2025</v>
      </c>
      <c r="D6003">
        <v>3</v>
      </c>
      <c r="E6003" t="s">
        <v>13</v>
      </c>
      <c r="F6003" t="s">
        <v>24</v>
      </c>
      <c r="G6003" t="s">
        <v>108</v>
      </c>
      <c r="H6003" t="s">
        <v>126</v>
      </c>
      <c r="I6003">
        <v>3755.13</v>
      </c>
      <c r="J6003">
        <v>3727.93</v>
      </c>
      <c r="K6003" t="s">
        <v>17</v>
      </c>
      <c r="L6003" t="b">
        <v>0</v>
      </c>
      <c r="N6003" s="2" t="str">
        <f t="shared" si="539"/>
        <v/>
      </c>
      <c r="Q6003" t="str">
        <f t="shared" si="541"/>
        <v/>
      </c>
    </row>
    <row r="6004" spans="1:17" hidden="1">
      <c r="A6004" t="s">
        <v>6109</v>
      </c>
      <c r="B6004" s="1">
        <v>45718</v>
      </c>
      <c r="C6004">
        <v>2025</v>
      </c>
      <c r="D6004">
        <v>3</v>
      </c>
      <c r="E6004" t="s">
        <v>47</v>
      </c>
      <c r="F6004" t="s">
        <v>24</v>
      </c>
      <c r="G6004" t="s">
        <v>48</v>
      </c>
      <c r="H6004" t="s">
        <v>189</v>
      </c>
      <c r="I6004">
        <v>13190.48</v>
      </c>
      <c r="J6004">
        <v>10887.26</v>
      </c>
      <c r="K6004" t="s">
        <v>17</v>
      </c>
      <c r="L6004" t="b">
        <v>0</v>
      </c>
      <c r="N6004" s="2" t="b">
        <f t="shared" si="539"/>
        <v>1</v>
      </c>
      <c r="O6004" t="b">
        <f>IF(AND(E5993="HR",K5993="EXPENSE"),I5993&lt;J5993,"")</f>
        <v>1</v>
      </c>
      <c r="Q6004" t="str">
        <f t="shared" si="541"/>
        <v/>
      </c>
    </row>
    <row r="6005" spans="1:17" hidden="1">
      <c r="A6005" t="s">
        <v>6110</v>
      </c>
      <c r="B6005" s="1">
        <v>45718</v>
      </c>
      <c r="C6005">
        <v>2025</v>
      </c>
      <c r="D6005">
        <v>3</v>
      </c>
      <c r="E6005" t="s">
        <v>19</v>
      </c>
      <c r="F6005" t="s">
        <v>28</v>
      </c>
      <c r="G6005" t="s">
        <v>132</v>
      </c>
      <c r="H6005" t="s">
        <v>138</v>
      </c>
      <c r="I6005">
        <v>6371.65</v>
      </c>
      <c r="J6005">
        <v>6887.73</v>
      </c>
      <c r="K6005" t="s">
        <v>17</v>
      </c>
      <c r="L6005" t="b">
        <v>0</v>
      </c>
      <c r="N6005" s="2" t="str">
        <f t="shared" si="539"/>
        <v/>
      </c>
      <c r="Q6005" t="str">
        <f t="shared" si="541"/>
        <v/>
      </c>
    </row>
    <row r="6006" spans="1:17" hidden="1">
      <c r="A6006" t="s">
        <v>6111</v>
      </c>
      <c r="B6006" s="1">
        <v>45718</v>
      </c>
      <c r="C6006">
        <v>2025</v>
      </c>
      <c r="D6006">
        <v>3</v>
      </c>
      <c r="E6006" t="s">
        <v>19</v>
      </c>
      <c r="F6006" t="s">
        <v>24</v>
      </c>
      <c r="G6006" t="s">
        <v>132</v>
      </c>
      <c r="H6006" t="s">
        <v>138</v>
      </c>
      <c r="I6006">
        <v>10832.32</v>
      </c>
      <c r="J6006">
        <v>9988.36</v>
      </c>
      <c r="K6006" t="s">
        <v>17</v>
      </c>
      <c r="L6006" t="b">
        <v>0</v>
      </c>
      <c r="N6006" s="2" t="str">
        <f t="shared" si="539"/>
        <v/>
      </c>
      <c r="Q6006" t="str">
        <f t="shared" si="541"/>
        <v/>
      </c>
    </row>
    <row r="6007" spans="1:17" hidden="1">
      <c r="A6007" t="s">
        <v>6112</v>
      </c>
      <c r="B6007" s="1">
        <v>45718</v>
      </c>
      <c r="C6007">
        <v>2025</v>
      </c>
      <c r="D6007">
        <v>3</v>
      </c>
      <c r="E6007" t="s">
        <v>23</v>
      </c>
      <c r="F6007" t="s">
        <v>14</v>
      </c>
      <c r="G6007" t="s">
        <v>25</v>
      </c>
      <c r="H6007" t="s">
        <v>26</v>
      </c>
      <c r="I6007">
        <v>3413.15</v>
      </c>
      <c r="J6007">
        <v>3272.2</v>
      </c>
      <c r="K6007" t="s">
        <v>17</v>
      </c>
      <c r="L6007" t="b">
        <v>0</v>
      </c>
      <c r="N6007" s="2" t="str">
        <f t="shared" si="539"/>
        <v/>
      </c>
      <c r="Q6007" t="str">
        <f t="shared" si="541"/>
        <v/>
      </c>
    </row>
    <row r="6008" spans="1:17" hidden="1">
      <c r="A6008" t="s">
        <v>6113</v>
      </c>
      <c r="B6008" s="1">
        <v>45718</v>
      </c>
      <c r="C6008">
        <v>2025</v>
      </c>
      <c r="D6008">
        <v>3</v>
      </c>
      <c r="E6008" t="s">
        <v>23</v>
      </c>
      <c r="F6008" t="s">
        <v>28</v>
      </c>
      <c r="G6008" t="s">
        <v>141</v>
      </c>
      <c r="H6008" t="s">
        <v>153</v>
      </c>
      <c r="I6008">
        <v>4739.9799999999996</v>
      </c>
      <c r="J6008">
        <v>4281.9399999999996</v>
      </c>
      <c r="K6008" t="s">
        <v>17</v>
      </c>
      <c r="L6008" t="b">
        <v>0</v>
      </c>
      <c r="N6008" s="2" t="str">
        <f t="shared" si="539"/>
        <v/>
      </c>
      <c r="Q6008" t="str">
        <f t="shared" si="541"/>
        <v/>
      </c>
    </row>
    <row r="6009" spans="1:17" hidden="1">
      <c r="A6009" t="s">
        <v>6114</v>
      </c>
      <c r="B6009" s="1">
        <v>45718</v>
      </c>
      <c r="C6009">
        <v>2025</v>
      </c>
      <c r="D6009">
        <v>3</v>
      </c>
      <c r="E6009" t="s">
        <v>37</v>
      </c>
      <c r="F6009" t="s">
        <v>28</v>
      </c>
      <c r="G6009" t="s">
        <v>62</v>
      </c>
      <c r="H6009" t="s">
        <v>360</v>
      </c>
      <c r="I6009">
        <v>6807</v>
      </c>
      <c r="J6009">
        <v>7475.07</v>
      </c>
      <c r="K6009" t="s">
        <v>17</v>
      </c>
      <c r="L6009" t="b">
        <v>0</v>
      </c>
      <c r="N6009" s="2" t="str">
        <f t="shared" si="539"/>
        <v/>
      </c>
      <c r="Q6009" t="str">
        <f t="shared" si="541"/>
        <v/>
      </c>
    </row>
    <row r="6010" spans="1:17" hidden="1">
      <c r="A6010" t="s">
        <v>6115</v>
      </c>
      <c r="B6010" s="1">
        <v>45719</v>
      </c>
      <c r="C6010">
        <v>2025</v>
      </c>
      <c r="D6010">
        <v>3</v>
      </c>
      <c r="E6010" t="s">
        <v>13</v>
      </c>
      <c r="F6010" t="s">
        <v>24</v>
      </c>
      <c r="G6010" t="s">
        <v>68</v>
      </c>
      <c r="H6010" t="s">
        <v>213</v>
      </c>
      <c r="I6010">
        <v>4240.87</v>
      </c>
      <c r="J6010">
        <v>3855.73</v>
      </c>
      <c r="K6010" t="s">
        <v>17</v>
      </c>
      <c r="L6010" t="b">
        <v>0</v>
      </c>
      <c r="N6010" s="2" t="str">
        <f t="shared" si="539"/>
        <v/>
      </c>
      <c r="Q6010" t="str">
        <f t="shared" si="541"/>
        <v/>
      </c>
    </row>
    <row r="6011" spans="1:17" hidden="1">
      <c r="A6011" t="s">
        <v>6116</v>
      </c>
      <c r="B6011" s="1">
        <v>45719</v>
      </c>
      <c r="C6011">
        <v>2025</v>
      </c>
      <c r="D6011">
        <v>3</v>
      </c>
      <c r="E6011" t="s">
        <v>47</v>
      </c>
      <c r="F6011" t="s">
        <v>14</v>
      </c>
      <c r="G6011" t="s">
        <v>77</v>
      </c>
      <c r="H6011" t="s">
        <v>147</v>
      </c>
      <c r="I6011">
        <v>19801.97</v>
      </c>
      <c r="J6011">
        <v>16291.56</v>
      </c>
      <c r="K6011" t="s">
        <v>17</v>
      </c>
      <c r="L6011" t="b">
        <v>0</v>
      </c>
      <c r="N6011" s="2" t="b">
        <f t="shared" si="539"/>
        <v>1</v>
      </c>
      <c r="O6011" t="str">
        <f t="shared" ref="O6011:O6014" si="542">IF(AND(E6000="HR",K6000="EXPENSE"),I6000&lt;J6000,"")</f>
        <v/>
      </c>
      <c r="Q6011" t="str">
        <f t="shared" si="541"/>
        <v/>
      </c>
    </row>
    <row r="6012" spans="1:17" hidden="1">
      <c r="A6012" t="s">
        <v>6117</v>
      </c>
      <c r="B6012" s="1">
        <v>45719</v>
      </c>
      <c r="C6012">
        <v>2025</v>
      </c>
      <c r="D6012">
        <v>3</v>
      </c>
      <c r="E6012" t="s">
        <v>47</v>
      </c>
      <c r="F6012" t="s">
        <v>28</v>
      </c>
      <c r="G6012" t="s">
        <v>91</v>
      </c>
      <c r="H6012" t="s">
        <v>92</v>
      </c>
      <c r="I6012">
        <v>13743.6</v>
      </c>
      <c r="J6012">
        <v>11925.49</v>
      </c>
      <c r="K6012" t="s">
        <v>17</v>
      </c>
      <c r="L6012" t="b">
        <v>0</v>
      </c>
      <c r="N6012" s="2" t="b">
        <f t="shared" si="539"/>
        <v>1</v>
      </c>
      <c r="O6012" t="str">
        <f t="shared" si="542"/>
        <v/>
      </c>
      <c r="Q6012" t="str">
        <f t="shared" si="541"/>
        <v/>
      </c>
    </row>
    <row r="6013" spans="1:17" hidden="1">
      <c r="A6013" t="s">
        <v>6118</v>
      </c>
      <c r="B6013" s="1">
        <v>45719</v>
      </c>
      <c r="C6013">
        <v>2025</v>
      </c>
      <c r="D6013">
        <v>3</v>
      </c>
      <c r="E6013" t="s">
        <v>47</v>
      </c>
      <c r="F6013" t="s">
        <v>28</v>
      </c>
      <c r="G6013" t="s">
        <v>77</v>
      </c>
      <c r="H6013" t="s">
        <v>78</v>
      </c>
      <c r="I6013">
        <v>18254.45</v>
      </c>
      <c r="J6013">
        <v>15864.1</v>
      </c>
      <c r="K6013" t="s">
        <v>17</v>
      </c>
      <c r="L6013" t="b">
        <v>0</v>
      </c>
      <c r="N6013" s="2" t="b">
        <f t="shared" si="539"/>
        <v>1</v>
      </c>
      <c r="O6013" t="b">
        <f t="shared" si="542"/>
        <v>1</v>
      </c>
      <c r="Q6013" t="str">
        <f t="shared" si="541"/>
        <v/>
      </c>
    </row>
    <row r="6014" spans="1:17" hidden="1">
      <c r="A6014" t="s">
        <v>6119</v>
      </c>
      <c r="B6014" s="1">
        <v>45719</v>
      </c>
      <c r="C6014">
        <v>2025</v>
      </c>
      <c r="D6014">
        <v>3</v>
      </c>
      <c r="E6014" t="s">
        <v>47</v>
      </c>
      <c r="F6014" t="s">
        <v>24</v>
      </c>
      <c r="G6014" t="s">
        <v>48</v>
      </c>
      <c r="H6014" t="s">
        <v>49</v>
      </c>
      <c r="I6014">
        <v>12559.23</v>
      </c>
      <c r="J6014">
        <v>10851.87</v>
      </c>
      <c r="K6014" t="s">
        <v>17</v>
      </c>
      <c r="L6014" t="b">
        <v>0</v>
      </c>
      <c r="N6014" s="2" t="b">
        <f t="shared" si="539"/>
        <v>1</v>
      </c>
      <c r="O6014" t="b">
        <f t="shared" si="542"/>
        <v>0</v>
      </c>
      <c r="Q6014" t="str">
        <f t="shared" si="541"/>
        <v/>
      </c>
    </row>
    <row r="6015" spans="1:17" hidden="1">
      <c r="A6015" t="s">
        <v>6120</v>
      </c>
      <c r="B6015" s="1">
        <v>45719</v>
      </c>
      <c r="C6015">
        <v>2025</v>
      </c>
      <c r="D6015">
        <v>3</v>
      </c>
      <c r="E6015" t="s">
        <v>19</v>
      </c>
      <c r="F6015" t="s">
        <v>14</v>
      </c>
      <c r="G6015" t="s">
        <v>54</v>
      </c>
      <c r="H6015" t="s">
        <v>163</v>
      </c>
      <c r="I6015">
        <v>6729.15</v>
      </c>
      <c r="J6015">
        <v>6643.09</v>
      </c>
      <c r="K6015" t="s">
        <v>17</v>
      </c>
      <c r="L6015" t="b">
        <v>0</v>
      </c>
      <c r="N6015" s="2" t="str">
        <f t="shared" si="539"/>
        <v/>
      </c>
      <c r="Q6015" t="str">
        <f t="shared" si="541"/>
        <v/>
      </c>
    </row>
    <row r="6016" spans="1:17" hidden="1">
      <c r="A6016" t="s">
        <v>6121</v>
      </c>
      <c r="B6016" s="1">
        <v>45719</v>
      </c>
      <c r="C6016">
        <v>2025</v>
      </c>
      <c r="D6016">
        <v>3</v>
      </c>
      <c r="E6016" t="s">
        <v>19</v>
      </c>
      <c r="F6016" t="s">
        <v>28</v>
      </c>
      <c r="G6016" t="s">
        <v>20</v>
      </c>
      <c r="H6016" t="s">
        <v>174</v>
      </c>
      <c r="I6016">
        <v>7337.58</v>
      </c>
      <c r="J6016">
        <v>6864.48</v>
      </c>
      <c r="K6016" t="s">
        <v>17</v>
      </c>
      <c r="L6016" t="b">
        <v>0</v>
      </c>
      <c r="N6016" s="2" t="str">
        <f t="shared" si="539"/>
        <v/>
      </c>
      <c r="Q6016" t="str">
        <f t="shared" si="541"/>
        <v/>
      </c>
    </row>
    <row r="6017" spans="1:17" hidden="1">
      <c r="A6017" t="s">
        <v>6122</v>
      </c>
      <c r="B6017" s="1">
        <v>45719</v>
      </c>
      <c r="C6017">
        <v>2025</v>
      </c>
      <c r="D6017">
        <v>3</v>
      </c>
      <c r="E6017" t="s">
        <v>23</v>
      </c>
      <c r="F6017" t="s">
        <v>14</v>
      </c>
      <c r="G6017" t="s">
        <v>25</v>
      </c>
      <c r="H6017" t="s">
        <v>95</v>
      </c>
      <c r="I6017">
        <v>7689.44</v>
      </c>
      <c r="J6017">
        <v>7513.9</v>
      </c>
      <c r="K6017" t="s">
        <v>17</v>
      </c>
      <c r="L6017" t="b">
        <v>0</v>
      </c>
      <c r="N6017" s="2" t="str">
        <f t="shared" si="539"/>
        <v/>
      </c>
      <c r="Q6017" t="str">
        <f t="shared" si="541"/>
        <v/>
      </c>
    </row>
    <row r="6018" spans="1:17" hidden="1">
      <c r="A6018" t="s">
        <v>6123</v>
      </c>
      <c r="B6018" s="1">
        <v>45719</v>
      </c>
      <c r="C6018">
        <v>2025</v>
      </c>
      <c r="D6018">
        <v>3</v>
      </c>
      <c r="E6018" t="s">
        <v>23</v>
      </c>
      <c r="F6018" t="s">
        <v>28</v>
      </c>
      <c r="G6018" t="s">
        <v>25</v>
      </c>
      <c r="H6018" t="s">
        <v>35</v>
      </c>
      <c r="I6018">
        <v>3797.85</v>
      </c>
      <c r="J6018">
        <v>3746.19</v>
      </c>
      <c r="K6018" t="s">
        <v>17</v>
      </c>
      <c r="L6018" t="b">
        <v>0</v>
      </c>
      <c r="N6018" s="2" t="str">
        <f t="shared" si="539"/>
        <v/>
      </c>
      <c r="Q6018" t="str">
        <f t="shared" si="541"/>
        <v/>
      </c>
    </row>
    <row r="6019" spans="1:17" hidden="1">
      <c r="A6019" t="s">
        <v>6124</v>
      </c>
      <c r="B6019" s="1">
        <v>45720</v>
      </c>
      <c r="C6019">
        <v>2025</v>
      </c>
      <c r="D6019">
        <v>3</v>
      </c>
      <c r="E6019" t="s">
        <v>13</v>
      </c>
      <c r="F6019" t="s">
        <v>14</v>
      </c>
      <c r="G6019" t="s">
        <v>102</v>
      </c>
      <c r="H6019" t="s">
        <v>145</v>
      </c>
      <c r="I6019">
        <v>3685.74</v>
      </c>
      <c r="J6019">
        <v>3760.69</v>
      </c>
      <c r="K6019" t="s">
        <v>17</v>
      </c>
      <c r="L6019" t="b">
        <v>0</v>
      </c>
      <c r="N6019" s="2" t="str">
        <f t="shared" ref="N6019:N6082" si="543">IF(AND(E6019="IT",K6019="EXPENSE"),I6019&gt;J6019,"")</f>
        <v/>
      </c>
      <c r="Q6019" t="str">
        <f t="shared" si="541"/>
        <v/>
      </c>
    </row>
    <row r="6020" spans="1:17" hidden="1">
      <c r="A6020" t="s">
        <v>6125</v>
      </c>
      <c r="B6020" s="1">
        <v>45720</v>
      </c>
      <c r="C6020">
        <v>2025</v>
      </c>
      <c r="D6020">
        <v>3</v>
      </c>
      <c r="E6020" t="s">
        <v>13</v>
      </c>
      <c r="F6020" t="s">
        <v>24</v>
      </c>
      <c r="G6020" t="s">
        <v>108</v>
      </c>
      <c r="H6020" t="s">
        <v>123</v>
      </c>
      <c r="I6020">
        <v>3616.97</v>
      </c>
      <c r="J6020">
        <v>3675.01</v>
      </c>
      <c r="K6020" t="s">
        <v>17</v>
      </c>
      <c r="L6020" t="b">
        <v>0</v>
      </c>
      <c r="N6020" s="2" t="str">
        <f t="shared" si="543"/>
        <v/>
      </c>
      <c r="Q6020" t="str">
        <f t="shared" si="541"/>
        <v/>
      </c>
    </row>
    <row r="6021" spans="1:17" hidden="1">
      <c r="A6021" t="s">
        <v>6126</v>
      </c>
      <c r="B6021" s="1">
        <v>45720</v>
      </c>
      <c r="C6021">
        <v>2025</v>
      </c>
      <c r="D6021">
        <v>3</v>
      </c>
      <c r="E6021" t="s">
        <v>47</v>
      </c>
      <c r="F6021" t="s">
        <v>28</v>
      </c>
      <c r="G6021" t="s">
        <v>91</v>
      </c>
      <c r="H6021" t="s">
        <v>92</v>
      </c>
      <c r="I6021">
        <v>18349.52</v>
      </c>
      <c r="J6021">
        <v>15536.07</v>
      </c>
      <c r="K6021" t="s">
        <v>17</v>
      </c>
      <c r="L6021" t="b">
        <v>0</v>
      </c>
      <c r="N6021" s="2" t="b">
        <f t="shared" si="543"/>
        <v>1</v>
      </c>
      <c r="O6021" t="b">
        <f>IF(AND(E6010="HR",K6010="EXPENSE"),I6010&lt;J6010,"")</f>
        <v>0</v>
      </c>
      <c r="Q6021" t="str">
        <f t="shared" si="541"/>
        <v/>
      </c>
    </row>
    <row r="6022" spans="1:17">
      <c r="A6022" t="s">
        <v>6127</v>
      </c>
      <c r="B6022" s="1">
        <v>45720</v>
      </c>
      <c r="C6022">
        <v>2025</v>
      </c>
      <c r="D6022">
        <v>3</v>
      </c>
      <c r="E6022" t="s">
        <v>19</v>
      </c>
      <c r="F6022" t="s">
        <v>14</v>
      </c>
      <c r="G6022" t="s">
        <v>132</v>
      </c>
      <c r="H6022" t="s">
        <v>322</v>
      </c>
      <c r="I6022">
        <v>17617.490000000002</v>
      </c>
      <c r="J6022">
        <v>5433.05</v>
      </c>
      <c r="K6022" t="s">
        <v>17</v>
      </c>
      <c r="L6022" t="b">
        <v>1</v>
      </c>
      <c r="N6022" s="2" t="str">
        <f t="shared" si="543"/>
        <v/>
      </c>
      <c r="Q6022" t="b">
        <f t="shared" si="541"/>
        <v>1</v>
      </c>
    </row>
    <row r="6023" spans="1:17" hidden="1">
      <c r="A6023" t="s">
        <v>6128</v>
      </c>
      <c r="B6023" s="1">
        <v>45720</v>
      </c>
      <c r="C6023">
        <v>2025</v>
      </c>
      <c r="D6023">
        <v>3</v>
      </c>
      <c r="E6023" t="s">
        <v>19</v>
      </c>
      <c r="F6023" t="s">
        <v>14</v>
      </c>
      <c r="G6023" t="s">
        <v>80</v>
      </c>
      <c r="H6023" t="s">
        <v>113</v>
      </c>
      <c r="I6023">
        <v>6334.03</v>
      </c>
      <c r="J6023">
        <v>6392.62</v>
      </c>
      <c r="K6023" t="s">
        <v>17</v>
      </c>
      <c r="L6023" t="b">
        <v>0</v>
      </c>
      <c r="N6023" s="2" t="str">
        <f t="shared" si="543"/>
        <v/>
      </c>
      <c r="Q6023" t="str">
        <f t="shared" si="541"/>
        <v/>
      </c>
    </row>
    <row r="6024" spans="1:17" hidden="1">
      <c r="A6024" t="s">
        <v>6129</v>
      </c>
      <c r="B6024" s="1">
        <v>45720</v>
      </c>
      <c r="C6024">
        <v>2025</v>
      </c>
      <c r="D6024">
        <v>3</v>
      </c>
      <c r="E6024" t="s">
        <v>19</v>
      </c>
      <c r="F6024" t="s">
        <v>28</v>
      </c>
      <c r="G6024" t="s">
        <v>54</v>
      </c>
      <c r="H6024" t="s">
        <v>55</v>
      </c>
      <c r="I6024">
        <v>6787.43</v>
      </c>
      <c r="J6024">
        <v>7320.15</v>
      </c>
      <c r="K6024" t="s">
        <v>17</v>
      </c>
      <c r="L6024" t="b">
        <v>0</v>
      </c>
      <c r="N6024" s="2" t="str">
        <f t="shared" si="543"/>
        <v/>
      </c>
      <c r="Q6024" t="str">
        <f t="shared" si="541"/>
        <v/>
      </c>
    </row>
    <row r="6025" spans="1:17" hidden="1">
      <c r="A6025" t="s">
        <v>6130</v>
      </c>
      <c r="B6025" s="1">
        <v>45720</v>
      </c>
      <c r="C6025">
        <v>2025</v>
      </c>
      <c r="D6025">
        <v>3</v>
      </c>
      <c r="E6025" t="s">
        <v>19</v>
      </c>
      <c r="F6025" t="s">
        <v>28</v>
      </c>
      <c r="G6025" t="s">
        <v>80</v>
      </c>
      <c r="H6025" t="s">
        <v>113</v>
      </c>
      <c r="I6025">
        <v>7919.66</v>
      </c>
      <c r="J6025">
        <v>7750.94</v>
      </c>
      <c r="K6025" t="s">
        <v>17</v>
      </c>
      <c r="L6025" t="b">
        <v>0</v>
      </c>
      <c r="N6025" s="2" t="str">
        <f t="shared" si="543"/>
        <v/>
      </c>
      <c r="Q6025" t="str">
        <f t="shared" si="541"/>
        <v/>
      </c>
    </row>
    <row r="6026" spans="1:17" hidden="1">
      <c r="A6026" t="s">
        <v>6131</v>
      </c>
      <c r="B6026" s="1">
        <v>45720</v>
      </c>
      <c r="C6026">
        <v>2025</v>
      </c>
      <c r="D6026">
        <v>3</v>
      </c>
      <c r="E6026" t="s">
        <v>23</v>
      </c>
      <c r="F6026" t="s">
        <v>14</v>
      </c>
      <c r="G6026" t="s">
        <v>59</v>
      </c>
      <c r="H6026" t="s">
        <v>60</v>
      </c>
      <c r="I6026">
        <v>4516.55</v>
      </c>
      <c r="J6026">
        <v>4298.51</v>
      </c>
      <c r="K6026" t="s">
        <v>17</v>
      </c>
      <c r="L6026" t="b">
        <v>0</v>
      </c>
      <c r="N6026" s="2" t="str">
        <f t="shared" si="543"/>
        <v/>
      </c>
      <c r="Q6026" t="str">
        <f t="shared" si="541"/>
        <v/>
      </c>
    </row>
    <row r="6027" spans="1:17" hidden="1">
      <c r="A6027" t="s">
        <v>6132</v>
      </c>
      <c r="B6027" s="1">
        <v>45720</v>
      </c>
      <c r="C6027">
        <v>2025</v>
      </c>
      <c r="D6027">
        <v>3</v>
      </c>
      <c r="E6027" t="s">
        <v>37</v>
      </c>
      <c r="F6027" t="s">
        <v>14</v>
      </c>
      <c r="G6027" t="s">
        <v>38</v>
      </c>
      <c r="H6027" t="s">
        <v>39</v>
      </c>
      <c r="I6027">
        <v>5568.52</v>
      </c>
      <c r="J6027">
        <v>5622.02</v>
      </c>
      <c r="K6027" t="s">
        <v>17</v>
      </c>
      <c r="L6027" t="b">
        <v>0</v>
      </c>
      <c r="N6027" s="2" t="str">
        <f t="shared" si="543"/>
        <v/>
      </c>
      <c r="Q6027" t="str">
        <f t="shared" si="541"/>
        <v/>
      </c>
    </row>
    <row r="6028" spans="1:17" hidden="1">
      <c r="A6028" t="s">
        <v>6133</v>
      </c>
      <c r="B6028" s="1">
        <v>45720</v>
      </c>
      <c r="C6028">
        <v>2025</v>
      </c>
      <c r="D6028">
        <v>3</v>
      </c>
      <c r="E6028" t="s">
        <v>37</v>
      </c>
      <c r="F6028" t="s">
        <v>24</v>
      </c>
      <c r="G6028" t="s">
        <v>98</v>
      </c>
      <c r="H6028" t="s">
        <v>99</v>
      </c>
      <c r="I6028">
        <v>4969.34</v>
      </c>
      <c r="J6028">
        <v>4705.04</v>
      </c>
      <c r="K6028" t="s">
        <v>17</v>
      </c>
      <c r="L6028" t="b">
        <v>0</v>
      </c>
      <c r="N6028" s="2" t="str">
        <f t="shared" si="543"/>
        <v/>
      </c>
      <c r="Q6028" t="str">
        <f t="shared" si="541"/>
        <v/>
      </c>
    </row>
    <row r="6029" spans="1:17" hidden="1">
      <c r="A6029" t="s">
        <v>6134</v>
      </c>
      <c r="B6029" s="1">
        <v>45720</v>
      </c>
      <c r="C6029">
        <v>2025</v>
      </c>
      <c r="D6029">
        <v>3</v>
      </c>
      <c r="E6029" t="s">
        <v>37</v>
      </c>
      <c r="F6029" t="s">
        <v>24</v>
      </c>
      <c r="G6029" t="s">
        <v>38</v>
      </c>
      <c r="H6029" t="s">
        <v>39</v>
      </c>
      <c r="I6029">
        <v>4274.5</v>
      </c>
      <c r="J6029">
        <v>4485.12</v>
      </c>
      <c r="K6029" t="s">
        <v>17</v>
      </c>
      <c r="L6029" t="b">
        <v>0</v>
      </c>
      <c r="N6029" s="2" t="str">
        <f t="shared" si="543"/>
        <v/>
      </c>
      <c r="Q6029" t="str">
        <f t="shared" si="541"/>
        <v/>
      </c>
    </row>
    <row r="6030" spans="1:17" hidden="1">
      <c r="A6030" t="s">
        <v>6135</v>
      </c>
      <c r="B6030" s="1">
        <v>45720</v>
      </c>
      <c r="C6030">
        <v>2025</v>
      </c>
      <c r="D6030">
        <v>3</v>
      </c>
      <c r="E6030" t="s">
        <v>37</v>
      </c>
      <c r="F6030" t="s">
        <v>24</v>
      </c>
      <c r="G6030" t="s">
        <v>41</v>
      </c>
      <c r="H6030" t="s">
        <v>42</v>
      </c>
      <c r="I6030">
        <v>5368.19</v>
      </c>
      <c r="J6030">
        <v>5830.12</v>
      </c>
      <c r="K6030" t="s">
        <v>17</v>
      </c>
      <c r="L6030" t="b">
        <v>0</v>
      </c>
      <c r="N6030" s="2" t="str">
        <f t="shared" si="543"/>
        <v/>
      </c>
      <c r="Q6030" t="str">
        <f t="shared" si="541"/>
        <v/>
      </c>
    </row>
    <row r="6031" spans="1:17" hidden="1">
      <c r="A6031" t="s">
        <v>6136</v>
      </c>
      <c r="B6031" s="1">
        <v>45721</v>
      </c>
      <c r="C6031">
        <v>2025</v>
      </c>
      <c r="D6031">
        <v>3</v>
      </c>
      <c r="E6031" t="s">
        <v>13</v>
      </c>
      <c r="F6031" t="s">
        <v>28</v>
      </c>
      <c r="G6031" t="s">
        <v>102</v>
      </c>
      <c r="H6031" t="s">
        <v>103</v>
      </c>
      <c r="I6031">
        <v>5012.67</v>
      </c>
      <c r="J6031">
        <v>4587.1899999999996</v>
      </c>
      <c r="K6031" t="s">
        <v>17</v>
      </c>
      <c r="L6031" t="b">
        <v>0</v>
      </c>
      <c r="N6031" s="2" t="str">
        <f t="shared" si="543"/>
        <v/>
      </c>
      <c r="Q6031" t="str">
        <f t="shared" si="541"/>
        <v/>
      </c>
    </row>
    <row r="6032" spans="1:17" hidden="1">
      <c r="A6032" t="s">
        <v>6137</v>
      </c>
      <c r="B6032" s="1">
        <v>45721</v>
      </c>
      <c r="C6032">
        <v>2025</v>
      </c>
      <c r="D6032">
        <v>3</v>
      </c>
      <c r="E6032" t="s">
        <v>13</v>
      </c>
      <c r="F6032" t="s">
        <v>28</v>
      </c>
      <c r="G6032" t="s">
        <v>108</v>
      </c>
      <c r="H6032" t="s">
        <v>109</v>
      </c>
      <c r="I6032">
        <v>4578.17</v>
      </c>
      <c r="J6032">
        <v>4213.3</v>
      </c>
      <c r="K6032" t="s">
        <v>17</v>
      </c>
      <c r="L6032" t="b">
        <v>0</v>
      </c>
      <c r="N6032" s="2" t="str">
        <f t="shared" si="543"/>
        <v/>
      </c>
      <c r="Q6032" t="str">
        <f t="shared" si="541"/>
        <v/>
      </c>
    </row>
    <row r="6033" spans="1:17" hidden="1">
      <c r="A6033" t="s">
        <v>6138</v>
      </c>
      <c r="B6033" s="1">
        <v>45721</v>
      </c>
      <c r="C6033">
        <v>2025</v>
      </c>
      <c r="D6033">
        <v>3</v>
      </c>
      <c r="E6033" t="s">
        <v>47</v>
      </c>
      <c r="F6033" t="s">
        <v>28</v>
      </c>
      <c r="G6033" t="s">
        <v>77</v>
      </c>
      <c r="H6033" t="s">
        <v>130</v>
      </c>
      <c r="I6033">
        <v>15080.44</v>
      </c>
      <c r="J6033">
        <v>12970.93</v>
      </c>
      <c r="K6033" t="s">
        <v>17</v>
      </c>
      <c r="L6033" t="b">
        <v>0</v>
      </c>
      <c r="N6033" s="2" t="b">
        <f t="shared" si="543"/>
        <v>1</v>
      </c>
      <c r="O6033" t="str">
        <f t="shared" ref="O6033:O6034" si="544">IF(AND(E6022="HR",K6022="EXPENSE"),I6022&lt;J6022,"")</f>
        <v/>
      </c>
      <c r="Q6033" t="str">
        <f t="shared" si="541"/>
        <v/>
      </c>
    </row>
    <row r="6034" spans="1:17" hidden="1">
      <c r="A6034" t="s">
        <v>6139</v>
      </c>
      <c r="B6034" s="1">
        <v>45721</v>
      </c>
      <c r="C6034">
        <v>2025</v>
      </c>
      <c r="D6034">
        <v>3</v>
      </c>
      <c r="E6034" t="s">
        <v>47</v>
      </c>
      <c r="F6034" t="s">
        <v>24</v>
      </c>
      <c r="G6034" t="s">
        <v>48</v>
      </c>
      <c r="H6034" t="s">
        <v>49</v>
      </c>
      <c r="I6034">
        <v>13834.38</v>
      </c>
      <c r="J6034">
        <v>11622.58</v>
      </c>
      <c r="K6034" t="s">
        <v>17</v>
      </c>
      <c r="L6034" t="b">
        <v>0</v>
      </c>
      <c r="N6034" s="2" t="b">
        <f t="shared" si="543"/>
        <v>1</v>
      </c>
      <c r="O6034" t="str">
        <f t="shared" si="544"/>
        <v/>
      </c>
      <c r="Q6034" t="str">
        <f t="shared" si="541"/>
        <v/>
      </c>
    </row>
    <row r="6035" spans="1:17" hidden="1">
      <c r="A6035" t="s">
        <v>6140</v>
      </c>
      <c r="B6035" s="1">
        <v>45721</v>
      </c>
      <c r="C6035">
        <v>2025</v>
      </c>
      <c r="D6035">
        <v>3</v>
      </c>
      <c r="E6035" t="s">
        <v>19</v>
      </c>
      <c r="F6035" t="s">
        <v>28</v>
      </c>
      <c r="G6035" t="s">
        <v>80</v>
      </c>
      <c r="H6035" t="s">
        <v>150</v>
      </c>
      <c r="I6035">
        <v>6098.41</v>
      </c>
      <c r="J6035">
        <v>6273.73</v>
      </c>
      <c r="K6035" t="s">
        <v>17</v>
      </c>
      <c r="L6035" t="b">
        <v>0</v>
      </c>
      <c r="N6035" s="2" t="str">
        <f t="shared" si="543"/>
        <v/>
      </c>
      <c r="Q6035" t="str">
        <f t="shared" si="541"/>
        <v/>
      </c>
    </row>
    <row r="6036" spans="1:17" hidden="1">
      <c r="A6036" t="s">
        <v>6141</v>
      </c>
      <c r="B6036" s="1">
        <v>45721</v>
      </c>
      <c r="C6036">
        <v>2025</v>
      </c>
      <c r="D6036">
        <v>3</v>
      </c>
      <c r="E6036" t="s">
        <v>23</v>
      </c>
      <c r="F6036" t="s">
        <v>28</v>
      </c>
      <c r="G6036" t="s">
        <v>59</v>
      </c>
      <c r="H6036" t="s">
        <v>60</v>
      </c>
      <c r="I6036">
        <v>6515.97</v>
      </c>
      <c r="J6036">
        <v>6837.82</v>
      </c>
      <c r="K6036" t="s">
        <v>17</v>
      </c>
      <c r="L6036" t="b">
        <v>0</v>
      </c>
      <c r="N6036" s="2" t="str">
        <f t="shared" si="543"/>
        <v/>
      </c>
      <c r="Q6036" t="str">
        <f t="shared" si="541"/>
        <v/>
      </c>
    </row>
    <row r="6037" spans="1:17" hidden="1">
      <c r="A6037" t="s">
        <v>6142</v>
      </c>
      <c r="B6037" s="1">
        <v>45721</v>
      </c>
      <c r="C6037">
        <v>2025</v>
      </c>
      <c r="D6037">
        <v>3</v>
      </c>
      <c r="E6037" t="s">
        <v>23</v>
      </c>
      <c r="F6037" t="s">
        <v>24</v>
      </c>
      <c r="G6037" t="s">
        <v>141</v>
      </c>
      <c r="H6037" t="s">
        <v>142</v>
      </c>
      <c r="I6037">
        <v>3702.44</v>
      </c>
      <c r="J6037">
        <v>3386.43</v>
      </c>
      <c r="K6037" t="s">
        <v>17</v>
      </c>
      <c r="L6037" t="b">
        <v>0</v>
      </c>
      <c r="N6037" s="2" t="str">
        <f t="shared" si="543"/>
        <v/>
      </c>
      <c r="Q6037" t="str">
        <f t="shared" si="541"/>
        <v/>
      </c>
    </row>
    <row r="6038" spans="1:17" hidden="1">
      <c r="A6038" t="s">
        <v>6143</v>
      </c>
      <c r="B6038" s="1">
        <v>45721</v>
      </c>
      <c r="C6038">
        <v>2025</v>
      </c>
      <c r="D6038">
        <v>3</v>
      </c>
      <c r="E6038" t="s">
        <v>23</v>
      </c>
      <c r="F6038" t="s">
        <v>24</v>
      </c>
      <c r="G6038" t="s">
        <v>141</v>
      </c>
      <c r="H6038" t="s">
        <v>153</v>
      </c>
      <c r="I6038">
        <v>8070.66</v>
      </c>
      <c r="J6038">
        <v>7542.17</v>
      </c>
      <c r="K6038" t="s">
        <v>17</v>
      </c>
      <c r="L6038" t="b">
        <v>0</v>
      </c>
      <c r="N6038" s="2" t="str">
        <f t="shared" si="543"/>
        <v/>
      </c>
      <c r="Q6038" t="str">
        <f t="shared" si="541"/>
        <v/>
      </c>
    </row>
    <row r="6039" spans="1:17" hidden="1">
      <c r="A6039" t="s">
        <v>6144</v>
      </c>
      <c r="B6039" s="1">
        <v>45721</v>
      </c>
      <c r="C6039">
        <v>2025</v>
      </c>
      <c r="D6039">
        <v>3</v>
      </c>
      <c r="E6039" t="s">
        <v>37</v>
      </c>
      <c r="F6039" t="s">
        <v>24</v>
      </c>
      <c r="G6039" t="s">
        <v>62</v>
      </c>
      <c r="H6039" t="s">
        <v>66</v>
      </c>
      <c r="I6039">
        <v>5447.33</v>
      </c>
      <c r="J6039">
        <v>5313.31</v>
      </c>
      <c r="K6039" t="s">
        <v>17</v>
      </c>
      <c r="L6039" t="b">
        <v>0</v>
      </c>
      <c r="N6039" s="2" t="str">
        <f t="shared" si="543"/>
        <v/>
      </c>
      <c r="Q6039" t="str">
        <f t="shared" si="541"/>
        <v/>
      </c>
    </row>
    <row r="6040" spans="1:17" hidden="1">
      <c r="A6040" t="s">
        <v>6145</v>
      </c>
      <c r="B6040" s="1">
        <v>45722</v>
      </c>
      <c r="C6040">
        <v>2025</v>
      </c>
      <c r="D6040">
        <v>3</v>
      </c>
      <c r="E6040" t="s">
        <v>13</v>
      </c>
      <c r="F6040" t="s">
        <v>14</v>
      </c>
      <c r="G6040" t="s">
        <v>108</v>
      </c>
      <c r="H6040" t="s">
        <v>126</v>
      </c>
      <c r="I6040">
        <v>3782.69</v>
      </c>
      <c r="J6040">
        <v>4075.77</v>
      </c>
      <c r="K6040" t="s">
        <v>17</v>
      </c>
      <c r="L6040" t="b">
        <v>0</v>
      </c>
      <c r="N6040" s="2" t="str">
        <f t="shared" si="543"/>
        <v/>
      </c>
      <c r="Q6040" t="str">
        <f t="shared" si="541"/>
        <v/>
      </c>
    </row>
    <row r="6041" spans="1:17" hidden="1">
      <c r="A6041" t="s">
        <v>6146</v>
      </c>
      <c r="B6041" s="1">
        <v>45722</v>
      </c>
      <c r="C6041">
        <v>2025</v>
      </c>
      <c r="D6041">
        <v>3</v>
      </c>
      <c r="E6041" t="s">
        <v>13</v>
      </c>
      <c r="F6041" t="s">
        <v>14</v>
      </c>
      <c r="G6041" t="s">
        <v>15</v>
      </c>
      <c r="H6041" t="s">
        <v>16</v>
      </c>
      <c r="I6041">
        <v>3916.37</v>
      </c>
      <c r="J6041">
        <v>3757.77</v>
      </c>
      <c r="K6041" t="s">
        <v>17</v>
      </c>
      <c r="L6041" t="b">
        <v>0</v>
      </c>
      <c r="N6041" s="2" t="str">
        <f t="shared" si="543"/>
        <v/>
      </c>
      <c r="Q6041" t="str">
        <f t="shared" si="541"/>
        <v/>
      </c>
    </row>
    <row r="6042" spans="1:17" hidden="1">
      <c r="A6042" t="s">
        <v>6147</v>
      </c>
      <c r="B6042" s="1">
        <v>45722</v>
      </c>
      <c r="C6042">
        <v>2025</v>
      </c>
      <c r="D6042">
        <v>3</v>
      </c>
      <c r="E6042" t="s">
        <v>13</v>
      </c>
      <c r="F6042" t="s">
        <v>14</v>
      </c>
      <c r="G6042" t="s">
        <v>102</v>
      </c>
      <c r="H6042" t="s">
        <v>103</v>
      </c>
      <c r="I6042">
        <v>2355</v>
      </c>
      <c r="J6042">
        <v>2512.42</v>
      </c>
      <c r="K6042" t="s">
        <v>17</v>
      </c>
      <c r="L6042" t="b">
        <v>0</v>
      </c>
      <c r="N6042" s="2" t="str">
        <f t="shared" si="543"/>
        <v/>
      </c>
      <c r="Q6042" t="str">
        <f t="shared" si="541"/>
        <v/>
      </c>
    </row>
    <row r="6043" spans="1:17" hidden="1">
      <c r="A6043" t="s">
        <v>6148</v>
      </c>
      <c r="B6043" s="1">
        <v>45722</v>
      </c>
      <c r="C6043">
        <v>2025</v>
      </c>
      <c r="D6043">
        <v>3</v>
      </c>
      <c r="E6043" t="s">
        <v>13</v>
      </c>
      <c r="F6043" t="s">
        <v>24</v>
      </c>
      <c r="G6043" t="s">
        <v>68</v>
      </c>
      <c r="H6043" t="s">
        <v>213</v>
      </c>
      <c r="I6043">
        <v>3158.48</v>
      </c>
      <c r="J6043">
        <v>3339.65</v>
      </c>
      <c r="K6043" t="s">
        <v>17</v>
      </c>
      <c r="L6043" t="b">
        <v>0</v>
      </c>
      <c r="N6043" s="2" t="str">
        <f t="shared" si="543"/>
        <v/>
      </c>
      <c r="Q6043" t="str">
        <f t="shared" si="541"/>
        <v/>
      </c>
    </row>
    <row r="6044" spans="1:17" hidden="1">
      <c r="A6044" t="s">
        <v>6149</v>
      </c>
      <c r="B6044" s="1">
        <v>45722</v>
      </c>
      <c r="C6044">
        <v>2025</v>
      </c>
      <c r="D6044">
        <v>3</v>
      </c>
      <c r="E6044" t="s">
        <v>47</v>
      </c>
      <c r="F6044" t="s">
        <v>24</v>
      </c>
      <c r="G6044" t="s">
        <v>51</v>
      </c>
      <c r="H6044" t="s">
        <v>52</v>
      </c>
      <c r="I6044">
        <v>12218.71</v>
      </c>
      <c r="J6044">
        <v>10541.16</v>
      </c>
      <c r="K6044" t="s">
        <v>17</v>
      </c>
      <c r="L6044" t="b">
        <v>0</v>
      </c>
      <c r="N6044" s="2" t="b">
        <f t="shared" si="543"/>
        <v>1</v>
      </c>
      <c r="O6044" t="str">
        <f t="shared" ref="O6044:O6045" si="545">IF(AND(E6033="HR",K6033="EXPENSE"),I6033&lt;J6033,"")</f>
        <v/>
      </c>
      <c r="Q6044" t="str">
        <f t="shared" si="541"/>
        <v/>
      </c>
    </row>
    <row r="6045" spans="1:17" hidden="1">
      <c r="A6045" t="s">
        <v>6150</v>
      </c>
      <c r="B6045" s="1">
        <v>45722</v>
      </c>
      <c r="C6045">
        <v>2025</v>
      </c>
      <c r="D6045">
        <v>3</v>
      </c>
      <c r="E6045" t="s">
        <v>47</v>
      </c>
      <c r="F6045" t="s">
        <v>24</v>
      </c>
      <c r="G6045" t="s">
        <v>48</v>
      </c>
      <c r="H6045" t="s">
        <v>75</v>
      </c>
      <c r="I6045">
        <v>9345.94</v>
      </c>
      <c r="J6045">
        <v>7721.98</v>
      </c>
      <c r="K6045" t="s">
        <v>17</v>
      </c>
      <c r="L6045" t="b">
        <v>0</v>
      </c>
      <c r="N6045" s="2" t="b">
        <f t="shared" si="543"/>
        <v>1</v>
      </c>
      <c r="O6045" t="str">
        <f t="shared" si="545"/>
        <v/>
      </c>
      <c r="Q6045" t="str">
        <f t="shared" si="541"/>
        <v/>
      </c>
    </row>
    <row r="6046" spans="1:17" hidden="1">
      <c r="A6046" t="s">
        <v>6151</v>
      </c>
      <c r="B6046" s="1">
        <v>45722</v>
      </c>
      <c r="C6046">
        <v>2025</v>
      </c>
      <c r="D6046">
        <v>3</v>
      </c>
      <c r="E6046" t="s">
        <v>19</v>
      </c>
      <c r="F6046" t="s">
        <v>14</v>
      </c>
      <c r="G6046" t="s">
        <v>54</v>
      </c>
      <c r="H6046" t="s">
        <v>55</v>
      </c>
      <c r="I6046">
        <v>5318.12</v>
      </c>
      <c r="J6046">
        <v>5180.83</v>
      </c>
      <c r="K6046" t="s">
        <v>17</v>
      </c>
      <c r="L6046" t="b">
        <v>0</v>
      </c>
      <c r="N6046" s="2" t="str">
        <f t="shared" si="543"/>
        <v/>
      </c>
      <c r="Q6046" t="str">
        <f t="shared" si="541"/>
        <v/>
      </c>
    </row>
    <row r="6047" spans="1:17" hidden="1">
      <c r="A6047" t="s">
        <v>6152</v>
      </c>
      <c r="B6047" s="1">
        <v>45722</v>
      </c>
      <c r="C6047">
        <v>2025</v>
      </c>
      <c r="D6047">
        <v>3</v>
      </c>
      <c r="E6047" t="s">
        <v>19</v>
      </c>
      <c r="F6047" t="s">
        <v>14</v>
      </c>
      <c r="G6047" t="s">
        <v>132</v>
      </c>
      <c r="H6047" t="s">
        <v>171</v>
      </c>
      <c r="I6047">
        <v>6339.04</v>
      </c>
      <c r="J6047">
        <v>6041.5</v>
      </c>
      <c r="K6047" t="s">
        <v>17</v>
      </c>
      <c r="L6047" t="b">
        <v>0</v>
      </c>
      <c r="N6047" s="2" t="str">
        <f t="shared" si="543"/>
        <v/>
      </c>
      <c r="Q6047" t="str">
        <f t="shared" si="541"/>
        <v/>
      </c>
    </row>
    <row r="6048" spans="1:17" hidden="1">
      <c r="A6048" t="s">
        <v>6153</v>
      </c>
      <c r="B6048" s="1">
        <v>45722</v>
      </c>
      <c r="C6048">
        <v>2025</v>
      </c>
      <c r="D6048">
        <v>3</v>
      </c>
      <c r="E6048" t="s">
        <v>19</v>
      </c>
      <c r="F6048" t="s">
        <v>24</v>
      </c>
      <c r="G6048" t="s">
        <v>20</v>
      </c>
      <c r="H6048" t="s">
        <v>136</v>
      </c>
      <c r="I6048">
        <v>9841.56</v>
      </c>
      <c r="J6048">
        <v>10325.280000000001</v>
      </c>
      <c r="K6048" t="s">
        <v>17</v>
      </c>
      <c r="L6048" t="b">
        <v>0</v>
      </c>
      <c r="N6048" s="2" t="str">
        <f t="shared" si="543"/>
        <v/>
      </c>
      <c r="Q6048" t="str">
        <f t="shared" si="541"/>
        <v/>
      </c>
    </row>
    <row r="6049" spans="1:17" hidden="1">
      <c r="A6049" t="s">
        <v>6154</v>
      </c>
      <c r="B6049" s="1">
        <v>45722</v>
      </c>
      <c r="C6049">
        <v>2025</v>
      </c>
      <c r="D6049">
        <v>3</v>
      </c>
      <c r="E6049" t="s">
        <v>23</v>
      </c>
      <c r="F6049" t="s">
        <v>14</v>
      </c>
      <c r="G6049" t="s">
        <v>25</v>
      </c>
      <c r="H6049" t="s">
        <v>26</v>
      </c>
      <c r="I6049">
        <v>3975.15</v>
      </c>
      <c r="J6049">
        <v>4077.46</v>
      </c>
      <c r="K6049" t="s">
        <v>17</v>
      </c>
      <c r="L6049" t="b">
        <v>0</v>
      </c>
      <c r="N6049" s="2" t="str">
        <f t="shared" si="543"/>
        <v/>
      </c>
      <c r="Q6049" t="str">
        <f t="shared" si="541"/>
        <v/>
      </c>
    </row>
    <row r="6050" spans="1:17" hidden="1">
      <c r="A6050" t="s">
        <v>6155</v>
      </c>
      <c r="B6050" s="1">
        <v>45722</v>
      </c>
      <c r="C6050">
        <v>2025</v>
      </c>
      <c r="D6050">
        <v>3</v>
      </c>
      <c r="E6050" t="s">
        <v>23</v>
      </c>
      <c r="F6050" t="s">
        <v>28</v>
      </c>
      <c r="G6050" t="s">
        <v>141</v>
      </c>
      <c r="H6050" t="s">
        <v>153</v>
      </c>
      <c r="I6050">
        <v>6641.91</v>
      </c>
      <c r="J6050">
        <v>6457.56</v>
      </c>
      <c r="K6050" t="s">
        <v>17</v>
      </c>
      <c r="L6050" t="b">
        <v>0</v>
      </c>
      <c r="N6050" s="2" t="str">
        <f t="shared" si="543"/>
        <v/>
      </c>
      <c r="Q6050" t="str">
        <f t="shared" si="541"/>
        <v/>
      </c>
    </row>
    <row r="6051" spans="1:17" hidden="1">
      <c r="A6051" t="s">
        <v>6156</v>
      </c>
      <c r="B6051" s="1">
        <v>45722</v>
      </c>
      <c r="C6051">
        <v>2025</v>
      </c>
      <c r="D6051">
        <v>3</v>
      </c>
      <c r="E6051" t="s">
        <v>37</v>
      </c>
      <c r="F6051" t="s">
        <v>28</v>
      </c>
      <c r="G6051" t="s">
        <v>41</v>
      </c>
      <c r="H6051" t="s">
        <v>42</v>
      </c>
      <c r="I6051">
        <v>2405.5700000000002</v>
      </c>
      <c r="J6051">
        <v>2392.0700000000002</v>
      </c>
      <c r="K6051" t="s">
        <v>17</v>
      </c>
      <c r="L6051" t="b">
        <v>0</v>
      </c>
      <c r="N6051" s="2" t="str">
        <f t="shared" si="543"/>
        <v/>
      </c>
      <c r="Q6051" t="str">
        <f t="shared" si="541"/>
        <v/>
      </c>
    </row>
    <row r="6052" spans="1:17" hidden="1">
      <c r="A6052" t="s">
        <v>6157</v>
      </c>
      <c r="B6052" s="1">
        <v>45722</v>
      </c>
      <c r="C6052">
        <v>2025</v>
      </c>
      <c r="D6052">
        <v>3</v>
      </c>
      <c r="E6052" t="s">
        <v>37</v>
      </c>
      <c r="F6052" t="s">
        <v>24</v>
      </c>
      <c r="G6052" t="s">
        <v>62</v>
      </c>
      <c r="H6052" t="s">
        <v>121</v>
      </c>
      <c r="I6052">
        <v>2911.74</v>
      </c>
      <c r="J6052">
        <v>3141.25</v>
      </c>
      <c r="K6052" t="s">
        <v>17</v>
      </c>
      <c r="L6052" t="b">
        <v>0</v>
      </c>
      <c r="N6052" s="2" t="str">
        <f t="shared" si="543"/>
        <v/>
      </c>
      <c r="Q6052" t="str">
        <f t="shared" si="541"/>
        <v/>
      </c>
    </row>
    <row r="6053" spans="1:17" hidden="1">
      <c r="A6053" t="s">
        <v>6158</v>
      </c>
      <c r="B6053" s="1">
        <v>45723</v>
      </c>
      <c r="C6053">
        <v>2025</v>
      </c>
      <c r="D6053">
        <v>3</v>
      </c>
      <c r="E6053" t="s">
        <v>19</v>
      </c>
      <c r="F6053" t="s">
        <v>28</v>
      </c>
      <c r="G6053" t="s">
        <v>132</v>
      </c>
      <c r="H6053" t="s">
        <v>171</v>
      </c>
      <c r="I6053">
        <v>5693.59</v>
      </c>
      <c r="J6053">
        <v>6192.1</v>
      </c>
      <c r="K6053" t="s">
        <v>17</v>
      </c>
      <c r="L6053" t="b">
        <v>0</v>
      </c>
      <c r="N6053" s="2" t="str">
        <f t="shared" si="543"/>
        <v/>
      </c>
      <c r="Q6053" t="str">
        <f t="shared" si="541"/>
        <v/>
      </c>
    </row>
    <row r="6054" spans="1:17" hidden="1">
      <c r="A6054" t="s">
        <v>6159</v>
      </c>
      <c r="B6054" s="1">
        <v>45723</v>
      </c>
      <c r="C6054">
        <v>2025</v>
      </c>
      <c r="D6054">
        <v>3</v>
      </c>
      <c r="E6054" t="s">
        <v>19</v>
      </c>
      <c r="F6054" t="s">
        <v>28</v>
      </c>
      <c r="G6054" t="s">
        <v>20</v>
      </c>
      <c r="H6054" t="s">
        <v>21</v>
      </c>
      <c r="I6054">
        <v>7929.59</v>
      </c>
      <c r="J6054">
        <v>8318.27</v>
      </c>
      <c r="K6054" t="s">
        <v>17</v>
      </c>
      <c r="L6054" t="b">
        <v>0</v>
      </c>
      <c r="N6054" s="2" t="str">
        <f t="shared" si="543"/>
        <v/>
      </c>
      <c r="Q6054" t="str">
        <f t="shared" si="541"/>
        <v/>
      </c>
    </row>
    <row r="6055" spans="1:17" hidden="1">
      <c r="A6055" t="s">
        <v>6160</v>
      </c>
      <c r="B6055" s="1">
        <v>45723</v>
      </c>
      <c r="C6055">
        <v>2025</v>
      </c>
      <c r="D6055">
        <v>3</v>
      </c>
      <c r="E6055" t="s">
        <v>23</v>
      </c>
      <c r="F6055" t="s">
        <v>14</v>
      </c>
      <c r="G6055" t="s">
        <v>25</v>
      </c>
      <c r="H6055" t="s">
        <v>26</v>
      </c>
      <c r="I6055">
        <v>6388.99</v>
      </c>
      <c r="J6055">
        <v>6879.49</v>
      </c>
      <c r="K6055" t="s">
        <v>17</v>
      </c>
      <c r="L6055" t="b">
        <v>0</v>
      </c>
      <c r="N6055" s="2" t="str">
        <f t="shared" si="543"/>
        <v/>
      </c>
      <c r="Q6055" t="str">
        <f t="shared" si="541"/>
        <v/>
      </c>
    </row>
    <row r="6056" spans="1:17" hidden="1">
      <c r="A6056" t="s">
        <v>6161</v>
      </c>
      <c r="B6056" s="1">
        <v>45723</v>
      </c>
      <c r="C6056">
        <v>2025</v>
      </c>
      <c r="D6056">
        <v>3</v>
      </c>
      <c r="E6056" t="s">
        <v>23</v>
      </c>
      <c r="F6056" t="s">
        <v>24</v>
      </c>
      <c r="G6056" t="s">
        <v>25</v>
      </c>
      <c r="H6056" t="s">
        <v>35</v>
      </c>
      <c r="I6056">
        <v>5192.57</v>
      </c>
      <c r="J6056">
        <v>4883.03</v>
      </c>
      <c r="K6056" t="s">
        <v>17</v>
      </c>
      <c r="L6056" t="b">
        <v>0</v>
      </c>
      <c r="N6056" s="2" t="str">
        <f t="shared" si="543"/>
        <v/>
      </c>
      <c r="Q6056" t="str">
        <f t="shared" si="541"/>
        <v/>
      </c>
    </row>
    <row r="6057" spans="1:17" hidden="1">
      <c r="A6057" t="s">
        <v>6162</v>
      </c>
      <c r="B6057" s="1">
        <v>45723</v>
      </c>
      <c r="C6057">
        <v>2025</v>
      </c>
      <c r="D6057">
        <v>3</v>
      </c>
      <c r="E6057" t="s">
        <v>37</v>
      </c>
      <c r="F6057" t="s">
        <v>14</v>
      </c>
      <c r="G6057" t="s">
        <v>41</v>
      </c>
      <c r="H6057" t="s">
        <v>42</v>
      </c>
      <c r="I6057">
        <v>5732.52</v>
      </c>
      <c r="J6057">
        <v>5829.37</v>
      </c>
      <c r="K6057" t="s">
        <v>17</v>
      </c>
      <c r="L6057" t="b">
        <v>0</v>
      </c>
      <c r="N6057" s="2" t="str">
        <f t="shared" si="543"/>
        <v/>
      </c>
      <c r="Q6057" t="str">
        <f t="shared" si="541"/>
        <v/>
      </c>
    </row>
    <row r="6058" spans="1:17" hidden="1">
      <c r="A6058" t="s">
        <v>6163</v>
      </c>
      <c r="B6058" s="1">
        <v>45724</v>
      </c>
      <c r="C6058">
        <v>2025</v>
      </c>
      <c r="D6058">
        <v>3</v>
      </c>
      <c r="E6058" t="s">
        <v>13</v>
      </c>
      <c r="F6058" t="s">
        <v>14</v>
      </c>
      <c r="G6058" t="s">
        <v>108</v>
      </c>
      <c r="H6058" t="s">
        <v>109</v>
      </c>
      <c r="I6058">
        <v>3137.54</v>
      </c>
      <c r="J6058">
        <v>3415.19</v>
      </c>
      <c r="K6058" t="s">
        <v>17</v>
      </c>
      <c r="L6058" t="b">
        <v>0</v>
      </c>
      <c r="N6058" s="2" t="str">
        <f t="shared" si="543"/>
        <v/>
      </c>
      <c r="Q6058" t="str">
        <f t="shared" si="541"/>
        <v/>
      </c>
    </row>
    <row r="6059" spans="1:17" hidden="1">
      <c r="A6059" t="s">
        <v>6164</v>
      </c>
      <c r="B6059" s="1">
        <v>45724</v>
      </c>
      <c r="C6059">
        <v>2025</v>
      </c>
      <c r="D6059">
        <v>3</v>
      </c>
      <c r="E6059" t="s">
        <v>47</v>
      </c>
      <c r="F6059" t="s">
        <v>14</v>
      </c>
      <c r="G6059" t="s">
        <v>77</v>
      </c>
      <c r="H6059" t="s">
        <v>147</v>
      </c>
      <c r="I6059">
        <v>14876.03</v>
      </c>
      <c r="J6059">
        <v>12893.75</v>
      </c>
      <c r="K6059" t="s">
        <v>17</v>
      </c>
      <c r="L6059" t="b">
        <v>0</v>
      </c>
      <c r="N6059" s="2" t="b">
        <f t="shared" si="543"/>
        <v>1</v>
      </c>
      <c r="O6059" t="str">
        <f t="shared" ref="O6059:O6062" si="546">IF(AND(E6048="HR",K6048="EXPENSE"),I6048&lt;J6048,"")</f>
        <v/>
      </c>
      <c r="Q6059" t="str">
        <f t="shared" si="541"/>
        <v/>
      </c>
    </row>
    <row r="6060" spans="1:17" hidden="1">
      <c r="A6060" t="s">
        <v>6165</v>
      </c>
      <c r="B6060" s="1">
        <v>45724</v>
      </c>
      <c r="C6060">
        <v>2025</v>
      </c>
      <c r="D6060">
        <v>3</v>
      </c>
      <c r="E6060" t="s">
        <v>47</v>
      </c>
      <c r="F6060" t="s">
        <v>14</v>
      </c>
      <c r="G6060" t="s">
        <v>91</v>
      </c>
      <c r="H6060" t="s">
        <v>128</v>
      </c>
      <c r="I6060">
        <v>18027.96</v>
      </c>
      <c r="J6060">
        <v>15217.54</v>
      </c>
      <c r="K6060" t="s">
        <v>17</v>
      </c>
      <c r="L6060" t="b">
        <v>0</v>
      </c>
      <c r="N6060" s="2" t="b">
        <f t="shared" si="543"/>
        <v>1</v>
      </c>
      <c r="O6060" t="str">
        <f t="shared" si="546"/>
        <v/>
      </c>
      <c r="Q6060" t="str">
        <f t="shared" si="541"/>
        <v/>
      </c>
    </row>
    <row r="6061" spans="1:17" hidden="1">
      <c r="A6061" t="s">
        <v>6166</v>
      </c>
      <c r="B6061" s="1">
        <v>45724</v>
      </c>
      <c r="C6061">
        <v>2025</v>
      </c>
      <c r="D6061">
        <v>3</v>
      </c>
      <c r="E6061" t="s">
        <v>47</v>
      </c>
      <c r="F6061" t="s">
        <v>28</v>
      </c>
      <c r="G6061" t="s">
        <v>51</v>
      </c>
      <c r="H6061" t="s">
        <v>72</v>
      </c>
      <c r="I6061">
        <v>17731.580000000002</v>
      </c>
      <c r="J6061">
        <v>14821.41</v>
      </c>
      <c r="K6061" t="s">
        <v>17</v>
      </c>
      <c r="L6061" t="b">
        <v>0</v>
      </c>
      <c r="N6061" s="2" t="b">
        <f t="shared" si="543"/>
        <v>1</v>
      </c>
      <c r="O6061" t="str">
        <f t="shared" si="546"/>
        <v/>
      </c>
      <c r="Q6061" t="str">
        <f t="shared" si="541"/>
        <v/>
      </c>
    </row>
    <row r="6062" spans="1:17" hidden="1">
      <c r="A6062" t="s">
        <v>6167</v>
      </c>
      <c r="B6062" s="1">
        <v>45724</v>
      </c>
      <c r="C6062">
        <v>2025</v>
      </c>
      <c r="D6062">
        <v>3</v>
      </c>
      <c r="E6062" t="s">
        <v>47</v>
      </c>
      <c r="F6062" t="s">
        <v>24</v>
      </c>
      <c r="G6062" t="s">
        <v>51</v>
      </c>
      <c r="H6062" t="s">
        <v>52</v>
      </c>
      <c r="I6062">
        <v>10816.64</v>
      </c>
      <c r="J6062">
        <v>9280.7800000000007</v>
      </c>
      <c r="K6062" t="s">
        <v>17</v>
      </c>
      <c r="L6062" t="b">
        <v>0</v>
      </c>
      <c r="N6062" s="2" t="b">
        <f t="shared" si="543"/>
        <v>1</v>
      </c>
      <c r="O6062" t="str">
        <f t="shared" si="546"/>
        <v/>
      </c>
      <c r="Q6062" t="str">
        <f t="shared" si="541"/>
        <v/>
      </c>
    </row>
    <row r="6063" spans="1:17">
      <c r="A6063" t="s">
        <v>6168</v>
      </c>
      <c r="B6063" s="1">
        <v>45724</v>
      </c>
      <c r="C6063">
        <v>2025</v>
      </c>
      <c r="D6063">
        <v>3</v>
      </c>
      <c r="E6063" t="s">
        <v>19</v>
      </c>
      <c r="F6063" t="s">
        <v>28</v>
      </c>
      <c r="G6063" t="s">
        <v>132</v>
      </c>
      <c r="H6063" t="s">
        <v>322</v>
      </c>
      <c r="I6063">
        <v>26252.09</v>
      </c>
      <c r="J6063">
        <v>5841.67</v>
      </c>
      <c r="K6063" t="s">
        <v>17</v>
      </c>
      <c r="L6063" t="b">
        <v>1</v>
      </c>
      <c r="N6063" s="2" t="str">
        <f t="shared" si="543"/>
        <v/>
      </c>
      <c r="Q6063" t="b">
        <f t="shared" si="541"/>
        <v>1</v>
      </c>
    </row>
    <row r="6064" spans="1:17" hidden="1">
      <c r="A6064" t="s">
        <v>6169</v>
      </c>
      <c r="B6064" s="1">
        <v>45724</v>
      </c>
      <c r="C6064">
        <v>2025</v>
      </c>
      <c r="D6064">
        <v>3</v>
      </c>
      <c r="E6064" t="s">
        <v>23</v>
      </c>
      <c r="F6064" t="s">
        <v>28</v>
      </c>
      <c r="G6064" t="s">
        <v>59</v>
      </c>
      <c r="H6064" t="s">
        <v>60</v>
      </c>
      <c r="I6064">
        <v>2367.63</v>
      </c>
      <c r="J6064">
        <v>2138.46</v>
      </c>
      <c r="K6064" t="s">
        <v>17</v>
      </c>
      <c r="L6064" t="b">
        <v>0</v>
      </c>
      <c r="N6064" s="2" t="str">
        <f t="shared" si="543"/>
        <v/>
      </c>
      <c r="Q6064" t="str">
        <f t="shared" ref="Q6064:Q6127" si="547">IF(L6064=TRUE,OR(H6064="Apex Solutions Inc",H6064="Global Trade Partners",H6064="NovaTech Services"),"")</f>
        <v/>
      </c>
    </row>
    <row r="6065" spans="1:17" hidden="1">
      <c r="A6065" t="s">
        <v>6170</v>
      </c>
      <c r="B6065" s="1">
        <v>45724</v>
      </c>
      <c r="C6065">
        <v>2025</v>
      </c>
      <c r="D6065">
        <v>3</v>
      </c>
      <c r="E6065" t="s">
        <v>23</v>
      </c>
      <c r="F6065" t="s">
        <v>28</v>
      </c>
      <c r="G6065" t="s">
        <v>25</v>
      </c>
      <c r="H6065" t="s">
        <v>35</v>
      </c>
      <c r="I6065">
        <v>6167.17</v>
      </c>
      <c r="J6065">
        <v>6012.56</v>
      </c>
      <c r="K6065" t="s">
        <v>17</v>
      </c>
      <c r="L6065" t="b">
        <v>0</v>
      </c>
      <c r="N6065" s="2" t="str">
        <f t="shared" si="543"/>
        <v/>
      </c>
      <c r="Q6065" t="str">
        <f t="shared" si="547"/>
        <v/>
      </c>
    </row>
    <row r="6066" spans="1:17" hidden="1">
      <c r="A6066" t="s">
        <v>6171</v>
      </c>
      <c r="B6066" s="1">
        <v>45724</v>
      </c>
      <c r="C6066">
        <v>2025</v>
      </c>
      <c r="D6066">
        <v>3</v>
      </c>
      <c r="E6066" t="s">
        <v>37</v>
      </c>
      <c r="F6066" t="s">
        <v>28</v>
      </c>
      <c r="G6066" t="s">
        <v>98</v>
      </c>
      <c r="H6066" t="s">
        <v>185</v>
      </c>
      <c r="I6066">
        <v>6455.55</v>
      </c>
      <c r="J6066">
        <v>5908.63</v>
      </c>
      <c r="K6066" t="s">
        <v>17</v>
      </c>
      <c r="L6066" t="b">
        <v>0</v>
      </c>
      <c r="N6066" s="2" t="str">
        <f t="shared" si="543"/>
        <v/>
      </c>
      <c r="Q6066" t="str">
        <f t="shared" si="547"/>
        <v/>
      </c>
    </row>
    <row r="6067" spans="1:17" hidden="1">
      <c r="A6067" t="s">
        <v>6172</v>
      </c>
      <c r="B6067" s="1">
        <v>45725</v>
      </c>
      <c r="C6067">
        <v>2025</v>
      </c>
      <c r="D6067">
        <v>3</v>
      </c>
      <c r="E6067" t="s">
        <v>13</v>
      </c>
      <c r="F6067" t="s">
        <v>24</v>
      </c>
      <c r="G6067" t="s">
        <v>15</v>
      </c>
      <c r="H6067" t="s">
        <v>45</v>
      </c>
      <c r="I6067">
        <v>2719.27</v>
      </c>
      <c r="J6067">
        <v>2556.31</v>
      </c>
      <c r="K6067" t="s">
        <v>17</v>
      </c>
      <c r="L6067" t="b">
        <v>0</v>
      </c>
      <c r="N6067" s="2" t="str">
        <f t="shared" si="543"/>
        <v/>
      </c>
      <c r="Q6067" t="str">
        <f t="shared" si="547"/>
        <v/>
      </c>
    </row>
    <row r="6068" spans="1:17" hidden="1">
      <c r="A6068" t="s">
        <v>6173</v>
      </c>
      <c r="B6068" s="1">
        <v>45725</v>
      </c>
      <c r="C6068">
        <v>2025</v>
      </c>
      <c r="D6068">
        <v>3</v>
      </c>
      <c r="E6068" t="s">
        <v>13</v>
      </c>
      <c r="F6068" t="s">
        <v>24</v>
      </c>
      <c r="G6068" t="s">
        <v>102</v>
      </c>
      <c r="H6068" t="s">
        <v>103</v>
      </c>
      <c r="I6068">
        <v>1301.07</v>
      </c>
      <c r="J6068">
        <v>1345.98</v>
      </c>
      <c r="K6068" t="s">
        <v>17</v>
      </c>
      <c r="L6068" t="b">
        <v>0</v>
      </c>
      <c r="N6068" s="2" t="str">
        <f t="shared" si="543"/>
        <v/>
      </c>
      <c r="Q6068" t="str">
        <f t="shared" si="547"/>
        <v/>
      </c>
    </row>
    <row r="6069" spans="1:17" hidden="1">
      <c r="A6069" t="s">
        <v>6174</v>
      </c>
      <c r="B6069" s="1">
        <v>45725</v>
      </c>
      <c r="C6069">
        <v>2025</v>
      </c>
      <c r="D6069">
        <v>3</v>
      </c>
      <c r="E6069" t="s">
        <v>23</v>
      </c>
      <c r="F6069" t="s">
        <v>28</v>
      </c>
      <c r="G6069" t="s">
        <v>141</v>
      </c>
      <c r="H6069" t="s">
        <v>153</v>
      </c>
      <c r="I6069">
        <v>2914.48</v>
      </c>
      <c r="J6069">
        <v>3114.69</v>
      </c>
      <c r="K6069" t="s">
        <v>17</v>
      </c>
      <c r="L6069" t="b">
        <v>0</v>
      </c>
      <c r="N6069" s="2" t="str">
        <f t="shared" si="543"/>
        <v/>
      </c>
      <c r="Q6069" t="str">
        <f t="shared" si="547"/>
        <v/>
      </c>
    </row>
    <row r="6070" spans="1:17" hidden="1">
      <c r="A6070" t="s">
        <v>6175</v>
      </c>
      <c r="B6070" s="1">
        <v>45725</v>
      </c>
      <c r="C6070">
        <v>2025</v>
      </c>
      <c r="D6070">
        <v>3</v>
      </c>
      <c r="E6070" t="s">
        <v>37</v>
      </c>
      <c r="F6070" t="s">
        <v>14</v>
      </c>
      <c r="G6070" t="s">
        <v>98</v>
      </c>
      <c r="H6070" t="s">
        <v>99</v>
      </c>
      <c r="I6070">
        <v>3711.06</v>
      </c>
      <c r="J6070">
        <v>3850.98</v>
      </c>
      <c r="K6070" t="s">
        <v>17</v>
      </c>
      <c r="L6070" t="b">
        <v>0</v>
      </c>
      <c r="N6070" s="2" t="str">
        <f t="shared" si="543"/>
        <v/>
      </c>
      <c r="Q6070" t="str">
        <f t="shared" si="547"/>
        <v/>
      </c>
    </row>
    <row r="6071" spans="1:17" hidden="1">
      <c r="A6071" t="s">
        <v>6176</v>
      </c>
      <c r="B6071" s="1">
        <v>45725</v>
      </c>
      <c r="C6071">
        <v>2025</v>
      </c>
      <c r="D6071">
        <v>3</v>
      </c>
      <c r="E6071" t="s">
        <v>37</v>
      </c>
      <c r="F6071" t="s">
        <v>14</v>
      </c>
      <c r="G6071" t="s">
        <v>38</v>
      </c>
      <c r="H6071" t="s">
        <v>118</v>
      </c>
      <c r="I6071">
        <v>4286.74</v>
      </c>
      <c r="J6071">
        <v>4085.18</v>
      </c>
      <c r="K6071" t="s">
        <v>17</v>
      </c>
      <c r="L6071" t="b">
        <v>0</v>
      </c>
      <c r="N6071" s="2" t="str">
        <f t="shared" si="543"/>
        <v/>
      </c>
      <c r="Q6071" t="str">
        <f t="shared" si="547"/>
        <v/>
      </c>
    </row>
    <row r="6072" spans="1:17" hidden="1">
      <c r="A6072" t="s">
        <v>6177</v>
      </c>
      <c r="B6072" s="1">
        <v>45725</v>
      </c>
      <c r="C6072">
        <v>2025</v>
      </c>
      <c r="D6072">
        <v>3</v>
      </c>
      <c r="E6072" t="s">
        <v>37</v>
      </c>
      <c r="F6072" t="s">
        <v>24</v>
      </c>
      <c r="G6072" t="s">
        <v>38</v>
      </c>
      <c r="H6072" t="s">
        <v>227</v>
      </c>
      <c r="I6072">
        <v>2882.55</v>
      </c>
      <c r="J6072">
        <v>2789.1</v>
      </c>
      <c r="K6072" t="s">
        <v>17</v>
      </c>
      <c r="L6072" t="b">
        <v>0</v>
      </c>
      <c r="N6072" s="2" t="str">
        <f t="shared" si="543"/>
        <v/>
      </c>
      <c r="Q6072" t="str">
        <f t="shared" si="547"/>
        <v/>
      </c>
    </row>
    <row r="6073" spans="1:17" hidden="1">
      <c r="A6073" t="s">
        <v>6178</v>
      </c>
      <c r="B6073" s="1">
        <v>45726</v>
      </c>
      <c r="C6073">
        <v>2025</v>
      </c>
      <c r="D6073">
        <v>3</v>
      </c>
      <c r="E6073" t="s">
        <v>13</v>
      </c>
      <c r="F6073" t="s">
        <v>24</v>
      </c>
      <c r="G6073" t="s">
        <v>68</v>
      </c>
      <c r="H6073" t="s">
        <v>87</v>
      </c>
      <c r="I6073">
        <v>1650.12</v>
      </c>
      <c r="J6073">
        <v>1813.89</v>
      </c>
      <c r="K6073" t="s">
        <v>17</v>
      </c>
      <c r="L6073" t="b">
        <v>0</v>
      </c>
      <c r="N6073" s="2" t="str">
        <f t="shared" si="543"/>
        <v/>
      </c>
      <c r="Q6073" t="str">
        <f t="shared" si="547"/>
        <v/>
      </c>
    </row>
    <row r="6074" spans="1:17" hidden="1">
      <c r="A6074" t="s">
        <v>6179</v>
      </c>
      <c r="B6074" s="1">
        <v>45726</v>
      </c>
      <c r="C6074">
        <v>2025</v>
      </c>
      <c r="D6074">
        <v>3</v>
      </c>
      <c r="E6074" t="s">
        <v>47</v>
      </c>
      <c r="F6074" t="s">
        <v>24</v>
      </c>
      <c r="G6074" t="s">
        <v>91</v>
      </c>
      <c r="H6074" t="s">
        <v>249</v>
      </c>
      <c r="I6074">
        <v>11163.4</v>
      </c>
      <c r="J6074">
        <v>9185.18</v>
      </c>
      <c r="K6074" t="s">
        <v>17</v>
      </c>
      <c r="L6074" t="b">
        <v>0</v>
      </c>
      <c r="N6074" s="2" t="b">
        <f t="shared" si="543"/>
        <v>1</v>
      </c>
      <c r="O6074" t="str">
        <f t="shared" ref="O6074:O6075" si="548">IF(AND(E6063="HR",K6063="EXPENSE"),I6063&lt;J6063,"")</f>
        <v/>
      </c>
      <c r="Q6074" t="str">
        <f t="shared" si="547"/>
        <v/>
      </c>
    </row>
    <row r="6075" spans="1:17" hidden="1">
      <c r="A6075" t="s">
        <v>6180</v>
      </c>
      <c r="B6075" s="1">
        <v>45726</v>
      </c>
      <c r="C6075">
        <v>2025</v>
      </c>
      <c r="D6075">
        <v>3</v>
      </c>
      <c r="E6075" t="s">
        <v>47</v>
      </c>
      <c r="F6075" t="s">
        <v>24</v>
      </c>
      <c r="G6075" t="s">
        <v>48</v>
      </c>
      <c r="H6075" t="s">
        <v>189</v>
      </c>
      <c r="I6075">
        <v>10664.97</v>
      </c>
      <c r="J6075">
        <v>9092.9699999999993</v>
      </c>
      <c r="K6075" t="s">
        <v>17</v>
      </c>
      <c r="L6075" t="b">
        <v>0</v>
      </c>
      <c r="N6075" s="2" t="b">
        <f t="shared" si="543"/>
        <v>1</v>
      </c>
      <c r="O6075" t="str">
        <f t="shared" si="548"/>
        <v/>
      </c>
      <c r="Q6075" t="str">
        <f t="shared" si="547"/>
        <v/>
      </c>
    </row>
    <row r="6076" spans="1:17" hidden="1">
      <c r="A6076" t="s">
        <v>6181</v>
      </c>
      <c r="B6076" s="1">
        <v>45726</v>
      </c>
      <c r="C6076">
        <v>2025</v>
      </c>
      <c r="D6076">
        <v>3</v>
      </c>
      <c r="E6076" t="s">
        <v>19</v>
      </c>
      <c r="F6076" t="s">
        <v>14</v>
      </c>
      <c r="G6076" t="s">
        <v>132</v>
      </c>
      <c r="H6076" t="s">
        <v>171</v>
      </c>
      <c r="I6076">
        <v>7064.16</v>
      </c>
      <c r="J6076">
        <v>7052.14</v>
      </c>
      <c r="K6076" t="s">
        <v>17</v>
      </c>
      <c r="L6076" t="b">
        <v>0</v>
      </c>
      <c r="N6076" s="2" t="str">
        <f t="shared" si="543"/>
        <v/>
      </c>
      <c r="Q6076" t="str">
        <f t="shared" si="547"/>
        <v/>
      </c>
    </row>
    <row r="6077" spans="1:17" hidden="1">
      <c r="A6077" t="s">
        <v>6182</v>
      </c>
      <c r="B6077" s="1">
        <v>45726</v>
      </c>
      <c r="C6077">
        <v>2025</v>
      </c>
      <c r="D6077">
        <v>3</v>
      </c>
      <c r="E6077" t="s">
        <v>19</v>
      </c>
      <c r="F6077" t="s">
        <v>14</v>
      </c>
      <c r="G6077" t="s">
        <v>54</v>
      </c>
      <c r="H6077" t="s">
        <v>163</v>
      </c>
      <c r="I6077">
        <v>4286.6000000000004</v>
      </c>
      <c r="J6077">
        <v>4519.78</v>
      </c>
      <c r="K6077" t="s">
        <v>17</v>
      </c>
      <c r="L6077" t="b">
        <v>0</v>
      </c>
      <c r="N6077" s="2" t="str">
        <f t="shared" si="543"/>
        <v/>
      </c>
      <c r="Q6077" t="str">
        <f t="shared" si="547"/>
        <v/>
      </c>
    </row>
    <row r="6078" spans="1:17" hidden="1">
      <c r="A6078" t="s">
        <v>6183</v>
      </c>
      <c r="B6078" s="1">
        <v>45726</v>
      </c>
      <c r="C6078">
        <v>2025</v>
      </c>
      <c r="D6078">
        <v>3</v>
      </c>
      <c r="E6078" t="s">
        <v>19</v>
      </c>
      <c r="F6078" t="s">
        <v>14</v>
      </c>
      <c r="G6078" t="s">
        <v>20</v>
      </c>
      <c r="H6078" t="s">
        <v>136</v>
      </c>
      <c r="I6078">
        <v>8331.4699999999993</v>
      </c>
      <c r="J6078">
        <v>7597.54</v>
      </c>
      <c r="K6078" t="s">
        <v>17</v>
      </c>
      <c r="L6078" t="b">
        <v>0</v>
      </c>
      <c r="N6078" s="2" t="str">
        <f t="shared" si="543"/>
        <v/>
      </c>
      <c r="Q6078" t="str">
        <f t="shared" si="547"/>
        <v/>
      </c>
    </row>
    <row r="6079" spans="1:17" hidden="1">
      <c r="A6079" t="s">
        <v>6184</v>
      </c>
      <c r="B6079" s="1">
        <v>45726</v>
      </c>
      <c r="C6079">
        <v>2025</v>
      </c>
      <c r="D6079">
        <v>3</v>
      </c>
      <c r="E6079" t="s">
        <v>23</v>
      </c>
      <c r="F6079" t="s">
        <v>14</v>
      </c>
      <c r="G6079" t="s">
        <v>30</v>
      </c>
      <c r="H6079" t="s">
        <v>33</v>
      </c>
      <c r="I6079">
        <v>3812.38</v>
      </c>
      <c r="J6079">
        <v>4123.76</v>
      </c>
      <c r="K6079" t="s">
        <v>17</v>
      </c>
      <c r="L6079" t="b">
        <v>0</v>
      </c>
      <c r="N6079" s="2" t="str">
        <f t="shared" si="543"/>
        <v/>
      </c>
      <c r="Q6079" t="str">
        <f t="shared" si="547"/>
        <v/>
      </c>
    </row>
    <row r="6080" spans="1:17" hidden="1">
      <c r="A6080" t="s">
        <v>6185</v>
      </c>
      <c r="B6080" s="1">
        <v>45726</v>
      </c>
      <c r="C6080">
        <v>2025</v>
      </c>
      <c r="D6080">
        <v>3</v>
      </c>
      <c r="E6080" t="s">
        <v>37</v>
      </c>
      <c r="F6080" t="s">
        <v>14</v>
      </c>
      <c r="G6080" t="s">
        <v>41</v>
      </c>
      <c r="H6080" t="s">
        <v>42</v>
      </c>
      <c r="I6080">
        <v>5894.87</v>
      </c>
      <c r="J6080">
        <v>6296.94</v>
      </c>
      <c r="K6080" t="s">
        <v>17</v>
      </c>
      <c r="L6080" t="b">
        <v>0</v>
      </c>
      <c r="N6080" s="2" t="str">
        <f t="shared" si="543"/>
        <v/>
      </c>
      <c r="Q6080" t="str">
        <f t="shared" si="547"/>
        <v/>
      </c>
    </row>
    <row r="6081" spans="1:17" hidden="1">
      <c r="A6081" t="s">
        <v>6186</v>
      </c>
      <c r="B6081" s="1">
        <v>45727</v>
      </c>
      <c r="C6081">
        <v>2025</v>
      </c>
      <c r="D6081">
        <v>3</v>
      </c>
      <c r="E6081" t="s">
        <v>13</v>
      </c>
      <c r="F6081" t="s">
        <v>14</v>
      </c>
      <c r="G6081" t="s">
        <v>68</v>
      </c>
      <c r="H6081" t="s">
        <v>69</v>
      </c>
      <c r="I6081">
        <v>3428.97</v>
      </c>
      <c r="J6081">
        <v>3221.76</v>
      </c>
      <c r="K6081" t="s">
        <v>17</v>
      </c>
      <c r="L6081" t="b">
        <v>0</v>
      </c>
      <c r="N6081" s="2" t="str">
        <f t="shared" si="543"/>
        <v/>
      </c>
      <c r="Q6081" t="str">
        <f t="shared" si="547"/>
        <v/>
      </c>
    </row>
    <row r="6082" spans="1:17" hidden="1">
      <c r="A6082" t="s">
        <v>6187</v>
      </c>
      <c r="B6082" s="1">
        <v>45727</v>
      </c>
      <c r="C6082">
        <v>2025</v>
      </c>
      <c r="D6082">
        <v>3</v>
      </c>
      <c r="E6082" t="s">
        <v>13</v>
      </c>
      <c r="F6082" t="s">
        <v>14</v>
      </c>
      <c r="G6082" t="s">
        <v>102</v>
      </c>
      <c r="H6082" t="s">
        <v>145</v>
      </c>
      <c r="I6082">
        <v>6065.01</v>
      </c>
      <c r="J6082">
        <v>6561.82</v>
      </c>
      <c r="K6082" t="s">
        <v>17</v>
      </c>
      <c r="L6082" t="b">
        <v>0</v>
      </c>
      <c r="N6082" s="2" t="str">
        <f t="shared" si="543"/>
        <v/>
      </c>
      <c r="Q6082" t="str">
        <f t="shared" si="547"/>
        <v/>
      </c>
    </row>
    <row r="6083" spans="1:17" hidden="1">
      <c r="A6083" t="s">
        <v>6188</v>
      </c>
      <c r="B6083" s="1">
        <v>45727</v>
      </c>
      <c r="C6083">
        <v>2025</v>
      </c>
      <c r="D6083">
        <v>3</v>
      </c>
      <c r="E6083" t="s">
        <v>13</v>
      </c>
      <c r="F6083" t="s">
        <v>28</v>
      </c>
      <c r="G6083" t="s">
        <v>68</v>
      </c>
      <c r="H6083" t="s">
        <v>87</v>
      </c>
      <c r="I6083">
        <v>4207.71</v>
      </c>
      <c r="J6083">
        <v>3834.24</v>
      </c>
      <c r="K6083" t="s">
        <v>17</v>
      </c>
      <c r="L6083" t="b">
        <v>0</v>
      </c>
      <c r="N6083" s="2" t="str">
        <f t="shared" ref="N6083:N6146" si="549">IF(AND(E6083="IT",K6083="EXPENSE"),I6083&gt;J6083,"")</f>
        <v/>
      </c>
      <c r="Q6083" t="str">
        <f t="shared" si="547"/>
        <v/>
      </c>
    </row>
    <row r="6084" spans="1:17" hidden="1">
      <c r="A6084" t="s">
        <v>6189</v>
      </c>
      <c r="B6084" s="1">
        <v>45727</v>
      </c>
      <c r="C6084">
        <v>2025</v>
      </c>
      <c r="D6084">
        <v>3</v>
      </c>
      <c r="E6084" t="s">
        <v>13</v>
      </c>
      <c r="F6084" t="s">
        <v>28</v>
      </c>
      <c r="G6084" t="s">
        <v>108</v>
      </c>
      <c r="H6084" t="s">
        <v>109</v>
      </c>
      <c r="I6084">
        <v>3741.51</v>
      </c>
      <c r="J6084">
        <v>3754.27</v>
      </c>
      <c r="K6084" t="s">
        <v>17</v>
      </c>
      <c r="L6084" t="b">
        <v>0</v>
      </c>
      <c r="N6084" s="2" t="str">
        <f t="shared" si="549"/>
        <v/>
      </c>
      <c r="Q6084" t="str">
        <f t="shared" si="547"/>
        <v/>
      </c>
    </row>
    <row r="6085" spans="1:17" hidden="1">
      <c r="A6085" t="s">
        <v>6190</v>
      </c>
      <c r="B6085" s="1">
        <v>45727</v>
      </c>
      <c r="C6085">
        <v>2025</v>
      </c>
      <c r="D6085">
        <v>3</v>
      </c>
      <c r="E6085" t="s">
        <v>19</v>
      </c>
      <c r="F6085" t="s">
        <v>28</v>
      </c>
      <c r="G6085" t="s">
        <v>132</v>
      </c>
      <c r="H6085" t="s">
        <v>171</v>
      </c>
      <c r="I6085">
        <v>6021.42</v>
      </c>
      <c r="J6085">
        <v>5804.28</v>
      </c>
      <c r="K6085" t="s">
        <v>17</v>
      </c>
      <c r="L6085" t="b">
        <v>0</v>
      </c>
      <c r="N6085" s="2" t="str">
        <f t="shared" si="549"/>
        <v/>
      </c>
      <c r="Q6085" t="str">
        <f t="shared" si="547"/>
        <v/>
      </c>
    </row>
    <row r="6086" spans="1:17" hidden="1">
      <c r="A6086" t="s">
        <v>6191</v>
      </c>
      <c r="B6086" s="1">
        <v>45727</v>
      </c>
      <c r="C6086">
        <v>2025</v>
      </c>
      <c r="D6086">
        <v>3</v>
      </c>
      <c r="E6086" t="s">
        <v>23</v>
      </c>
      <c r="F6086" t="s">
        <v>14</v>
      </c>
      <c r="G6086" t="s">
        <v>141</v>
      </c>
      <c r="H6086" t="s">
        <v>209</v>
      </c>
      <c r="I6086">
        <v>4347.03</v>
      </c>
      <c r="J6086">
        <v>4349.03</v>
      </c>
      <c r="K6086" t="s">
        <v>17</v>
      </c>
      <c r="L6086" t="b">
        <v>0</v>
      </c>
      <c r="N6086" s="2" t="str">
        <f t="shared" si="549"/>
        <v/>
      </c>
      <c r="Q6086" t="str">
        <f t="shared" si="547"/>
        <v/>
      </c>
    </row>
    <row r="6087" spans="1:17" hidden="1">
      <c r="A6087" t="s">
        <v>6192</v>
      </c>
      <c r="B6087" s="1">
        <v>45727</v>
      </c>
      <c r="C6087">
        <v>2025</v>
      </c>
      <c r="D6087">
        <v>3</v>
      </c>
      <c r="E6087" t="s">
        <v>23</v>
      </c>
      <c r="F6087" t="s">
        <v>24</v>
      </c>
      <c r="G6087" t="s">
        <v>30</v>
      </c>
      <c r="H6087" t="s">
        <v>33</v>
      </c>
      <c r="I6087">
        <v>11069.27</v>
      </c>
      <c r="J6087">
        <v>12063.16</v>
      </c>
      <c r="K6087" t="s">
        <v>17</v>
      </c>
      <c r="L6087" t="b">
        <v>0</v>
      </c>
      <c r="N6087" s="2" t="str">
        <f t="shared" si="549"/>
        <v/>
      </c>
      <c r="Q6087" t="str">
        <f t="shared" si="547"/>
        <v/>
      </c>
    </row>
    <row r="6088" spans="1:17" hidden="1">
      <c r="A6088" t="s">
        <v>6193</v>
      </c>
      <c r="B6088" s="1">
        <v>45727</v>
      </c>
      <c r="C6088">
        <v>2025</v>
      </c>
      <c r="D6088">
        <v>3</v>
      </c>
      <c r="E6088" t="s">
        <v>23</v>
      </c>
      <c r="F6088" t="s">
        <v>24</v>
      </c>
      <c r="G6088" t="s">
        <v>25</v>
      </c>
      <c r="H6088" t="s">
        <v>26</v>
      </c>
      <c r="I6088">
        <v>10506.28</v>
      </c>
      <c r="J6088">
        <v>11290.39</v>
      </c>
      <c r="K6088" t="s">
        <v>17</v>
      </c>
      <c r="L6088" t="b">
        <v>0</v>
      </c>
      <c r="N6088" s="2" t="str">
        <f t="shared" si="549"/>
        <v/>
      </c>
      <c r="Q6088" t="str">
        <f t="shared" si="547"/>
        <v/>
      </c>
    </row>
    <row r="6089" spans="1:17" hidden="1">
      <c r="A6089" t="s">
        <v>6194</v>
      </c>
      <c r="B6089" s="1">
        <v>45727</v>
      </c>
      <c r="C6089">
        <v>2025</v>
      </c>
      <c r="D6089">
        <v>3</v>
      </c>
      <c r="E6089" t="s">
        <v>37</v>
      </c>
      <c r="F6089" t="s">
        <v>28</v>
      </c>
      <c r="G6089" t="s">
        <v>41</v>
      </c>
      <c r="H6089" t="s">
        <v>42</v>
      </c>
      <c r="I6089">
        <v>5617.17</v>
      </c>
      <c r="J6089">
        <v>5664.55</v>
      </c>
      <c r="K6089" t="s">
        <v>17</v>
      </c>
      <c r="L6089" t="b">
        <v>0</v>
      </c>
      <c r="N6089" s="2" t="str">
        <f t="shared" si="549"/>
        <v/>
      </c>
      <c r="Q6089" t="str">
        <f t="shared" si="547"/>
        <v/>
      </c>
    </row>
    <row r="6090" spans="1:17" hidden="1">
      <c r="A6090" t="s">
        <v>6195</v>
      </c>
      <c r="B6090" s="1">
        <v>45728</v>
      </c>
      <c r="C6090">
        <v>2025</v>
      </c>
      <c r="D6090">
        <v>3</v>
      </c>
      <c r="E6090" t="s">
        <v>13</v>
      </c>
      <c r="F6090" t="s">
        <v>28</v>
      </c>
      <c r="G6090" t="s">
        <v>108</v>
      </c>
      <c r="H6090" t="s">
        <v>109</v>
      </c>
      <c r="I6090">
        <v>5372.69</v>
      </c>
      <c r="J6090">
        <v>4884.6099999999997</v>
      </c>
      <c r="K6090" t="s">
        <v>17</v>
      </c>
      <c r="L6090" t="b">
        <v>0</v>
      </c>
      <c r="N6090" s="2" t="str">
        <f t="shared" si="549"/>
        <v/>
      </c>
      <c r="Q6090" t="str">
        <f t="shared" si="547"/>
        <v/>
      </c>
    </row>
    <row r="6091" spans="1:17" hidden="1">
      <c r="A6091" t="s">
        <v>6196</v>
      </c>
      <c r="B6091" s="1">
        <v>45728</v>
      </c>
      <c r="C6091">
        <v>2025</v>
      </c>
      <c r="D6091">
        <v>3</v>
      </c>
      <c r="E6091" t="s">
        <v>19</v>
      </c>
      <c r="F6091" t="s">
        <v>14</v>
      </c>
      <c r="G6091" t="s">
        <v>80</v>
      </c>
      <c r="H6091" t="s">
        <v>113</v>
      </c>
      <c r="I6091">
        <v>4211.17</v>
      </c>
      <c r="J6091">
        <v>4248.96</v>
      </c>
      <c r="K6091" t="s">
        <v>17</v>
      </c>
      <c r="L6091" t="b">
        <v>0</v>
      </c>
      <c r="N6091" s="2" t="str">
        <f t="shared" si="549"/>
        <v/>
      </c>
      <c r="Q6091" t="str">
        <f t="shared" si="547"/>
        <v/>
      </c>
    </row>
    <row r="6092" spans="1:17" hidden="1">
      <c r="A6092" t="s">
        <v>6197</v>
      </c>
      <c r="B6092" s="1">
        <v>45728</v>
      </c>
      <c r="C6092">
        <v>2025</v>
      </c>
      <c r="D6092">
        <v>3</v>
      </c>
      <c r="E6092" t="s">
        <v>19</v>
      </c>
      <c r="F6092" t="s">
        <v>28</v>
      </c>
      <c r="G6092" t="s">
        <v>80</v>
      </c>
      <c r="H6092" t="s">
        <v>81</v>
      </c>
      <c r="I6092">
        <v>6271.38</v>
      </c>
      <c r="J6092">
        <v>5653.77</v>
      </c>
      <c r="K6092" t="s">
        <v>17</v>
      </c>
      <c r="L6092" t="b">
        <v>0</v>
      </c>
      <c r="N6092" s="2" t="str">
        <f t="shared" si="549"/>
        <v/>
      </c>
      <c r="Q6092" t="str">
        <f t="shared" si="547"/>
        <v/>
      </c>
    </row>
    <row r="6093" spans="1:17" hidden="1">
      <c r="A6093" t="s">
        <v>6198</v>
      </c>
      <c r="B6093" s="1">
        <v>45728</v>
      </c>
      <c r="C6093">
        <v>2025</v>
      </c>
      <c r="D6093">
        <v>3</v>
      </c>
      <c r="E6093" t="s">
        <v>19</v>
      </c>
      <c r="F6093" t="s">
        <v>24</v>
      </c>
      <c r="G6093" t="s">
        <v>54</v>
      </c>
      <c r="H6093" t="s">
        <v>163</v>
      </c>
      <c r="I6093">
        <v>6652.66</v>
      </c>
      <c r="J6093">
        <v>6267.05</v>
      </c>
      <c r="K6093" t="s">
        <v>17</v>
      </c>
      <c r="L6093" t="b">
        <v>0</v>
      </c>
      <c r="N6093" s="2" t="str">
        <f t="shared" si="549"/>
        <v/>
      </c>
      <c r="Q6093" t="str">
        <f t="shared" si="547"/>
        <v/>
      </c>
    </row>
    <row r="6094" spans="1:17" hidden="1">
      <c r="A6094" t="s">
        <v>6199</v>
      </c>
      <c r="B6094" s="1">
        <v>45728</v>
      </c>
      <c r="C6094">
        <v>2025</v>
      </c>
      <c r="D6094">
        <v>3</v>
      </c>
      <c r="E6094" t="s">
        <v>23</v>
      </c>
      <c r="F6094" t="s">
        <v>24</v>
      </c>
      <c r="G6094" t="s">
        <v>141</v>
      </c>
      <c r="H6094" t="s">
        <v>142</v>
      </c>
      <c r="I6094">
        <v>4038</v>
      </c>
      <c r="J6094">
        <v>3967.79</v>
      </c>
      <c r="K6094" t="s">
        <v>17</v>
      </c>
      <c r="L6094" t="b">
        <v>0</v>
      </c>
      <c r="N6094" s="2" t="str">
        <f t="shared" si="549"/>
        <v/>
      </c>
      <c r="Q6094" t="str">
        <f t="shared" si="547"/>
        <v/>
      </c>
    </row>
    <row r="6095" spans="1:17" hidden="1">
      <c r="A6095" t="s">
        <v>6200</v>
      </c>
      <c r="B6095" s="1">
        <v>45728</v>
      </c>
      <c r="C6095">
        <v>2025</v>
      </c>
      <c r="D6095">
        <v>3</v>
      </c>
      <c r="E6095" t="s">
        <v>37</v>
      </c>
      <c r="F6095" t="s">
        <v>14</v>
      </c>
      <c r="G6095" t="s">
        <v>38</v>
      </c>
      <c r="H6095" t="s">
        <v>227</v>
      </c>
      <c r="I6095">
        <v>4151.6099999999997</v>
      </c>
      <c r="J6095">
        <v>4359.45</v>
      </c>
      <c r="K6095" t="s">
        <v>17</v>
      </c>
      <c r="L6095" t="b">
        <v>0</v>
      </c>
      <c r="N6095" s="2" t="str">
        <f t="shared" si="549"/>
        <v/>
      </c>
      <c r="Q6095" t="str">
        <f t="shared" si="547"/>
        <v/>
      </c>
    </row>
    <row r="6096" spans="1:17" hidden="1">
      <c r="A6096" t="s">
        <v>6201</v>
      </c>
      <c r="B6096" s="1">
        <v>45728</v>
      </c>
      <c r="C6096">
        <v>2025</v>
      </c>
      <c r="D6096">
        <v>3</v>
      </c>
      <c r="E6096" t="s">
        <v>37</v>
      </c>
      <c r="F6096" t="s">
        <v>24</v>
      </c>
      <c r="G6096" t="s">
        <v>38</v>
      </c>
      <c r="H6096" t="s">
        <v>39</v>
      </c>
      <c r="I6096">
        <v>2815.39</v>
      </c>
      <c r="J6096">
        <v>2894.72</v>
      </c>
      <c r="K6096" t="s">
        <v>17</v>
      </c>
      <c r="L6096" t="b">
        <v>0</v>
      </c>
      <c r="N6096" s="2" t="str">
        <f t="shared" si="549"/>
        <v/>
      </c>
      <c r="Q6096" t="str">
        <f t="shared" si="547"/>
        <v/>
      </c>
    </row>
    <row r="6097" spans="1:17" hidden="1">
      <c r="A6097" t="s">
        <v>6202</v>
      </c>
      <c r="B6097" s="1">
        <v>45729</v>
      </c>
      <c r="C6097">
        <v>2025</v>
      </c>
      <c r="D6097">
        <v>3</v>
      </c>
      <c r="E6097" t="s">
        <v>19</v>
      </c>
      <c r="F6097" t="s">
        <v>28</v>
      </c>
      <c r="G6097" t="s">
        <v>54</v>
      </c>
      <c r="H6097" t="s">
        <v>57</v>
      </c>
      <c r="I6097">
        <v>4912.79</v>
      </c>
      <c r="J6097">
        <v>5379.04</v>
      </c>
      <c r="K6097" t="s">
        <v>17</v>
      </c>
      <c r="L6097" t="b">
        <v>0</v>
      </c>
      <c r="N6097" s="2" t="str">
        <f t="shared" si="549"/>
        <v/>
      </c>
      <c r="Q6097" t="str">
        <f t="shared" si="547"/>
        <v/>
      </c>
    </row>
    <row r="6098" spans="1:17" hidden="1">
      <c r="A6098" t="s">
        <v>6203</v>
      </c>
      <c r="B6098" s="1">
        <v>45729</v>
      </c>
      <c r="C6098">
        <v>2025</v>
      </c>
      <c r="D6098">
        <v>3</v>
      </c>
      <c r="E6098" t="s">
        <v>23</v>
      </c>
      <c r="F6098" t="s">
        <v>14</v>
      </c>
      <c r="G6098" t="s">
        <v>30</v>
      </c>
      <c r="H6098" t="s">
        <v>31</v>
      </c>
      <c r="I6098">
        <v>4811.26</v>
      </c>
      <c r="J6098">
        <v>4729.66</v>
      </c>
      <c r="K6098" t="s">
        <v>17</v>
      </c>
      <c r="L6098" t="b">
        <v>0</v>
      </c>
      <c r="N6098" s="2" t="str">
        <f t="shared" si="549"/>
        <v/>
      </c>
      <c r="Q6098" t="str">
        <f t="shared" si="547"/>
        <v/>
      </c>
    </row>
    <row r="6099" spans="1:17" hidden="1">
      <c r="A6099" t="s">
        <v>6204</v>
      </c>
      <c r="B6099" s="1">
        <v>45729</v>
      </c>
      <c r="C6099">
        <v>2025</v>
      </c>
      <c r="D6099">
        <v>3</v>
      </c>
      <c r="E6099" t="s">
        <v>37</v>
      </c>
      <c r="F6099" t="s">
        <v>14</v>
      </c>
      <c r="G6099" t="s">
        <v>38</v>
      </c>
      <c r="H6099" t="s">
        <v>227</v>
      </c>
      <c r="I6099">
        <v>5911.09</v>
      </c>
      <c r="J6099">
        <v>6410.22</v>
      </c>
      <c r="K6099" t="s">
        <v>17</v>
      </c>
      <c r="L6099" t="b">
        <v>0</v>
      </c>
      <c r="N6099" s="2" t="str">
        <f t="shared" si="549"/>
        <v/>
      </c>
      <c r="Q6099" t="str">
        <f t="shared" si="547"/>
        <v/>
      </c>
    </row>
    <row r="6100" spans="1:17" hidden="1">
      <c r="A6100" t="s">
        <v>6205</v>
      </c>
      <c r="B6100" s="1">
        <v>45729</v>
      </c>
      <c r="C6100">
        <v>2025</v>
      </c>
      <c r="D6100">
        <v>3</v>
      </c>
      <c r="E6100" t="s">
        <v>37</v>
      </c>
      <c r="F6100" t="s">
        <v>28</v>
      </c>
      <c r="G6100" t="s">
        <v>41</v>
      </c>
      <c r="H6100" t="s">
        <v>42</v>
      </c>
      <c r="I6100">
        <v>3773.05</v>
      </c>
      <c r="J6100">
        <v>3579.45</v>
      </c>
      <c r="K6100" t="s">
        <v>17</v>
      </c>
      <c r="L6100" t="b">
        <v>0</v>
      </c>
      <c r="N6100" s="2" t="str">
        <f t="shared" si="549"/>
        <v/>
      </c>
      <c r="Q6100" t="str">
        <f t="shared" si="547"/>
        <v/>
      </c>
    </row>
    <row r="6101" spans="1:17" hidden="1">
      <c r="A6101" t="s">
        <v>6206</v>
      </c>
      <c r="B6101" s="1">
        <v>45729</v>
      </c>
      <c r="C6101">
        <v>2025</v>
      </c>
      <c r="D6101">
        <v>3</v>
      </c>
      <c r="E6101" t="s">
        <v>37</v>
      </c>
      <c r="F6101" t="s">
        <v>24</v>
      </c>
      <c r="G6101" t="s">
        <v>83</v>
      </c>
      <c r="H6101" t="s">
        <v>84</v>
      </c>
      <c r="I6101">
        <v>117420.42</v>
      </c>
      <c r="J6101">
        <v>111549.4</v>
      </c>
      <c r="K6101" t="s">
        <v>85</v>
      </c>
      <c r="L6101" t="b">
        <v>0</v>
      </c>
      <c r="N6101" s="2" t="str">
        <f t="shared" si="549"/>
        <v/>
      </c>
      <c r="Q6101" t="str">
        <f t="shared" si="547"/>
        <v/>
      </c>
    </row>
    <row r="6102" spans="1:17" hidden="1">
      <c r="A6102" t="s">
        <v>6207</v>
      </c>
      <c r="B6102" s="1">
        <v>45730</v>
      </c>
      <c r="C6102">
        <v>2025</v>
      </c>
      <c r="D6102">
        <v>3</v>
      </c>
      <c r="E6102" t="s">
        <v>47</v>
      </c>
      <c r="F6102" t="s">
        <v>14</v>
      </c>
      <c r="G6102" t="s">
        <v>77</v>
      </c>
      <c r="H6102" t="s">
        <v>147</v>
      </c>
      <c r="I6102">
        <v>11168.78</v>
      </c>
      <c r="J6102">
        <v>9640.26</v>
      </c>
      <c r="K6102" t="s">
        <v>17</v>
      </c>
      <c r="L6102" t="b">
        <v>0</v>
      </c>
      <c r="N6102" s="2" t="b">
        <f t="shared" si="549"/>
        <v>1</v>
      </c>
      <c r="O6102" t="str">
        <f t="shared" ref="O6102:O6104" si="550">IF(AND(E6091="HR",K6091="EXPENSE"),I6091&lt;J6091,"")</f>
        <v/>
      </c>
      <c r="Q6102" t="str">
        <f t="shared" si="547"/>
        <v/>
      </c>
    </row>
    <row r="6103" spans="1:17" hidden="1">
      <c r="A6103" t="s">
        <v>6208</v>
      </c>
      <c r="B6103" s="1">
        <v>45730</v>
      </c>
      <c r="C6103">
        <v>2025</v>
      </c>
      <c r="D6103">
        <v>3</v>
      </c>
      <c r="E6103" t="s">
        <v>47</v>
      </c>
      <c r="F6103" t="s">
        <v>28</v>
      </c>
      <c r="G6103" t="s">
        <v>91</v>
      </c>
      <c r="H6103" t="s">
        <v>249</v>
      </c>
      <c r="I6103">
        <v>14522.71</v>
      </c>
      <c r="J6103">
        <v>12459.04</v>
      </c>
      <c r="K6103" t="s">
        <v>17</v>
      </c>
      <c r="L6103" t="b">
        <v>0</v>
      </c>
      <c r="N6103" s="2" t="b">
        <f t="shared" si="549"/>
        <v>1</v>
      </c>
      <c r="O6103" t="str">
        <f t="shared" si="550"/>
        <v/>
      </c>
      <c r="Q6103" t="str">
        <f t="shared" si="547"/>
        <v/>
      </c>
    </row>
    <row r="6104" spans="1:17" hidden="1">
      <c r="A6104" t="s">
        <v>6209</v>
      </c>
      <c r="B6104" s="1">
        <v>45730</v>
      </c>
      <c r="C6104">
        <v>2025</v>
      </c>
      <c r="D6104">
        <v>3</v>
      </c>
      <c r="E6104" t="s">
        <v>47</v>
      </c>
      <c r="F6104" t="s">
        <v>24</v>
      </c>
      <c r="G6104" t="s">
        <v>51</v>
      </c>
      <c r="H6104" t="s">
        <v>52</v>
      </c>
      <c r="I6104">
        <v>19586.55</v>
      </c>
      <c r="J6104">
        <v>16155.77</v>
      </c>
      <c r="K6104" t="s">
        <v>17</v>
      </c>
      <c r="L6104" t="b">
        <v>0</v>
      </c>
      <c r="N6104" s="2" t="b">
        <f t="shared" si="549"/>
        <v>1</v>
      </c>
      <c r="O6104" t="str">
        <f t="shared" si="550"/>
        <v/>
      </c>
      <c r="Q6104" t="str">
        <f t="shared" si="547"/>
        <v/>
      </c>
    </row>
    <row r="6105" spans="1:17" hidden="1">
      <c r="A6105" t="s">
        <v>6210</v>
      </c>
      <c r="B6105" s="1">
        <v>45730</v>
      </c>
      <c r="C6105">
        <v>2025</v>
      </c>
      <c r="D6105">
        <v>3</v>
      </c>
      <c r="E6105" t="s">
        <v>19</v>
      </c>
      <c r="F6105" t="s">
        <v>24</v>
      </c>
      <c r="G6105" t="s">
        <v>20</v>
      </c>
      <c r="H6105" t="s">
        <v>21</v>
      </c>
      <c r="I6105">
        <v>7709.17</v>
      </c>
      <c r="J6105">
        <v>8460.5300000000007</v>
      </c>
      <c r="K6105" t="s">
        <v>17</v>
      </c>
      <c r="L6105" t="b">
        <v>0</v>
      </c>
      <c r="N6105" s="2" t="str">
        <f t="shared" si="549"/>
        <v/>
      </c>
      <c r="Q6105" t="str">
        <f t="shared" si="547"/>
        <v/>
      </c>
    </row>
    <row r="6106" spans="1:17" hidden="1">
      <c r="A6106" t="s">
        <v>6211</v>
      </c>
      <c r="B6106" s="1">
        <v>45730</v>
      </c>
      <c r="C6106">
        <v>2025</v>
      </c>
      <c r="D6106">
        <v>3</v>
      </c>
      <c r="E6106" t="s">
        <v>23</v>
      </c>
      <c r="F6106" t="s">
        <v>28</v>
      </c>
      <c r="G6106" t="s">
        <v>141</v>
      </c>
      <c r="H6106" t="s">
        <v>209</v>
      </c>
      <c r="I6106">
        <v>6288.99</v>
      </c>
      <c r="J6106">
        <v>6473.71</v>
      </c>
      <c r="K6106" t="s">
        <v>17</v>
      </c>
      <c r="L6106" t="b">
        <v>0</v>
      </c>
      <c r="N6106" s="2" t="str">
        <f t="shared" si="549"/>
        <v/>
      </c>
      <c r="Q6106" t="str">
        <f t="shared" si="547"/>
        <v/>
      </c>
    </row>
    <row r="6107" spans="1:17" hidden="1">
      <c r="A6107" t="s">
        <v>6212</v>
      </c>
      <c r="B6107" s="1">
        <v>45730</v>
      </c>
      <c r="C6107">
        <v>2025</v>
      </c>
      <c r="D6107">
        <v>3</v>
      </c>
      <c r="E6107" t="s">
        <v>23</v>
      </c>
      <c r="F6107" t="s">
        <v>28</v>
      </c>
      <c r="G6107" t="s">
        <v>30</v>
      </c>
      <c r="H6107" t="s">
        <v>106</v>
      </c>
      <c r="I6107">
        <v>6420.61</v>
      </c>
      <c r="J6107">
        <v>6221.6</v>
      </c>
      <c r="K6107" t="s">
        <v>17</v>
      </c>
      <c r="L6107" t="b">
        <v>0</v>
      </c>
      <c r="N6107" s="2" t="str">
        <f t="shared" si="549"/>
        <v/>
      </c>
      <c r="Q6107" t="str">
        <f t="shared" si="547"/>
        <v/>
      </c>
    </row>
    <row r="6108" spans="1:17" hidden="1">
      <c r="A6108" t="s">
        <v>6213</v>
      </c>
      <c r="B6108" s="1">
        <v>45730</v>
      </c>
      <c r="C6108">
        <v>2025</v>
      </c>
      <c r="D6108">
        <v>3</v>
      </c>
      <c r="E6108" t="s">
        <v>23</v>
      </c>
      <c r="F6108" t="s">
        <v>28</v>
      </c>
      <c r="G6108" t="s">
        <v>25</v>
      </c>
      <c r="H6108" t="s">
        <v>35</v>
      </c>
      <c r="I6108">
        <v>5781.27</v>
      </c>
      <c r="J6108">
        <v>5853.47</v>
      </c>
      <c r="K6108" t="s">
        <v>17</v>
      </c>
      <c r="L6108" t="b">
        <v>0</v>
      </c>
      <c r="N6108" s="2" t="str">
        <f t="shared" si="549"/>
        <v/>
      </c>
      <c r="Q6108" t="str">
        <f t="shared" si="547"/>
        <v/>
      </c>
    </row>
    <row r="6109" spans="1:17" hidden="1">
      <c r="A6109" t="s">
        <v>6214</v>
      </c>
      <c r="B6109" s="1">
        <v>45730</v>
      </c>
      <c r="C6109">
        <v>2025</v>
      </c>
      <c r="D6109">
        <v>3</v>
      </c>
      <c r="E6109" t="s">
        <v>37</v>
      </c>
      <c r="F6109" t="s">
        <v>14</v>
      </c>
      <c r="G6109" t="s">
        <v>38</v>
      </c>
      <c r="H6109" t="s">
        <v>39</v>
      </c>
      <c r="I6109">
        <v>5130.1400000000003</v>
      </c>
      <c r="J6109">
        <v>5398.77</v>
      </c>
      <c r="K6109" t="s">
        <v>17</v>
      </c>
      <c r="L6109" t="b">
        <v>0</v>
      </c>
      <c r="N6109" s="2" t="str">
        <f t="shared" si="549"/>
        <v/>
      </c>
      <c r="Q6109" t="str">
        <f t="shared" si="547"/>
        <v/>
      </c>
    </row>
    <row r="6110" spans="1:17" hidden="1">
      <c r="A6110" t="s">
        <v>6215</v>
      </c>
      <c r="B6110" s="1">
        <v>45731</v>
      </c>
      <c r="C6110">
        <v>2025</v>
      </c>
      <c r="D6110">
        <v>3</v>
      </c>
      <c r="E6110" t="s">
        <v>13</v>
      </c>
      <c r="F6110" t="s">
        <v>14</v>
      </c>
      <c r="G6110" t="s">
        <v>108</v>
      </c>
      <c r="H6110" t="s">
        <v>126</v>
      </c>
      <c r="I6110">
        <v>3443.35</v>
      </c>
      <c r="J6110">
        <v>3725.38</v>
      </c>
      <c r="K6110" t="s">
        <v>17</v>
      </c>
      <c r="L6110" t="b">
        <v>0</v>
      </c>
      <c r="N6110" s="2" t="str">
        <f t="shared" si="549"/>
        <v/>
      </c>
      <c r="Q6110" t="str">
        <f t="shared" si="547"/>
        <v/>
      </c>
    </row>
    <row r="6111" spans="1:17" hidden="1">
      <c r="A6111" t="s">
        <v>6216</v>
      </c>
      <c r="B6111" s="1">
        <v>45731</v>
      </c>
      <c r="C6111">
        <v>2025</v>
      </c>
      <c r="D6111">
        <v>3</v>
      </c>
      <c r="E6111" t="s">
        <v>47</v>
      </c>
      <c r="F6111" t="s">
        <v>28</v>
      </c>
      <c r="G6111" t="s">
        <v>51</v>
      </c>
      <c r="H6111" t="s">
        <v>189</v>
      </c>
      <c r="I6111">
        <v>12602.71</v>
      </c>
      <c r="J6111">
        <v>10661.36</v>
      </c>
      <c r="K6111" t="s">
        <v>17</v>
      </c>
      <c r="L6111" t="b">
        <v>0</v>
      </c>
      <c r="N6111" s="2" t="b">
        <f t="shared" si="549"/>
        <v>1</v>
      </c>
      <c r="O6111" t="str">
        <f>IF(AND(E6100="HR",K6100="EXPENSE"),I6100&lt;J6100,"")</f>
        <v/>
      </c>
      <c r="Q6111" t="str">
        <f t="shared" si="547"/>
        <v/>
      </c>
    </row>
    <row r="6112" spans="1:17" hidden="1">
      <c r="A6112" t="s">
        <v>6217</v>
      </c>
      <c r="B6112" s="1">
        <v>45731</v>
      </c>
      <c r="C6112">
        <v>2025</v>
      </c>
      <c r="D6112">
        <v>3</v>
      </c>
      <c r="E6112" t="s">
        <v>19</v>
      </c>
      <c r="F6112" t="s">
        <v>14</v>
      </c>
      <c r="G6112" t="s">
        <v>20</v>
      </c>
      <c r="H6112" t="s">
        <v>174</v>
      </c>
      <c r="I6112">
        <v>4087.38</v>
      </c>
      <c r="J6112">
        <v>3802.23</v>
      </c>
      <c r="K6112" t="s">
        <v>17</v>
      </c>
      <c r="L6112" t="b">
        <v>0</v>
      </c>
      <c r="N6112" s="2" t="str">
        <f t="shared" si="549"/>
        <v/>
      </c>
      <c r="Q6112" t="str">
        <f t="shared" si="547"/>
        <v/>
      </c>
    </row>
    <row r="6113" spans="1:17" hidden="1">
      <c r="A6113" t="s">
        <v>6218</v>
      </c>
      <c r="B6113" s="1">
        <v>45731</v>
      </c>
      <c r="C6113">
        <v>2025</v>
      </c>
      <c r="D6113">
        <v>3</v>
      </c>
      <c r="E6113" t="s">
        <v>19</v>
      </c>
      <c r="F6113" t="s">
        <v>24</v>
      </c>
      <c r="G6113" t="s">
        <v>80</v>
      </c>
      <c r="H6113" t="s">
        <v>217</v>
      </c>
      <c r="I6113">
        <v>6000.51</v>
      </c>
      <c r="J6113">
        <v>6026.97</v>
      </c>
      <c r="K6113" t="s">
        <v>17</v>
      </c>
      <c r="L6113" t="b">
        <v>0</v>
      </c>
      <c r="N6113" s="2" t="str">
        <f t="shared" si="549"/>
        <v/>
      </c>
      <c r="Q6113" t="str">
        <f t="shared" si="547"/>
        <v/>
      </c>
    </row>
    <row r="6114" spans="1:17" hidden="1">
      <c r="A6114" t="s">
        <v>6219</v>
      </c>
      <c r="B6114" s="1">
        <v>45732</v>
      </c>
      <c r="C6114">
        <v>2025</v>
      </c>
      <c r="D6114">
        <v>3</v>
      </c>
      <c r="E6114" t="s">
        <v>13</v>
      </c>
      <c r="F6114" t="s">
        <v>24</v>
      </c>
      <c r="G6114" t="s">
        <v>68</v>
      </c>
      <c r="H6114" t="s">
        <v>69</v>
      </c>
      <c r="I6114">
        <v>2238.89</v>
      </c>
      <c r="J6114">
        <v>2120.63</v>
      </c>
      <c r="K6114" t="s">
        <v>17</v>
      </c>
      <c r="L6114" t="b">
        <v>0</v>
      </c>
      <c r="N6114" s="2" t="str">
        <f t="shared" si="549"/>
        <v/>
      </c>
      <c r="Q6114" t="str">
        <f t="shared" si="547"/>
        <v/>
      </c>
    </row>
    <row r="6115" spans="1:17" hidden="1">
      <c r="A6115" t="s">
        <v>6220</v>
      </c>
      <c r="B6115" s="1">
        <v>45732</v>
      </c>
      <c r="C6115">
        <v>2025</v>
      </c>
      <c r="D6115">
        <v>3</v>
      </c>
      <c r="E6115" t="s">
        <v>47</v>
      </c>
      <c r="F6115" t="s">
        <v>14</v>
      </c>
      <c r="G6115" t="s">
        <v>48</v>
      </c>
      <c r="H6115" t="s">
        <v>75</v>
      </c>
      <c r="I6115">
        <v>22532.06</v>
      </c>
      <c r="J6115">
        <v>18584.2</v>
      </c>
      <c r="K6115" t="s">
        <v>17</v>
      </c>
      <c r="L6115" t="b">
        <v>0</v>
      </c>
      <c r="N6115" s="2" t="b">
        <f t="shared" si="549"/>
        <v>1</v>
      </c>
      <c r="O6115" t="str">
        <f t="shared" ref="O6115:O6116" si="551">IF(AND(E6104="HR",K6104="EXPENSE"),I6104&lt;J6104,"")</f>
        <v/>
      </c>
      <c r="Q6115" t="str">
        <f t="shared" si="547"/>
        <v/>
      </c>
    </row>
    <row r="6116" spans="1:17" hidden="1">
      <c r="A6116" t="s">
        <v>6221</v>
      </c>
      <c r="B6116" s="1">
        <v>45732</v>
      </c>
      <c r="C6116">
        <v>2025</v>
      </c>
      <c r="D6116">
        <v>3</v>
      </c>
      <c r="E6116" t="s">
        <v>47</v>
      </c>
      <c r="F6116" t="s">
        <v>28</v>
      </c>
      <c r="G6116" t="s">
        <v>91</v>
      </c>
      <c r="H6116" t="s">
        <v>92</v>
      </c>
      <c r="I6116">
        <v>17717.12</v>
      </c>
      <c r="J6116">
        <v>15070.77</v>
      </c>
      <c r="K6116" t="s">
        <v>17</v>
      </c>
      <c r="L6116" t="b">
        <v>0</v>
      </c>
      <c r="N6116" s="2" t="b">
        <f t="shared" si="549"/>
        <v>1</v>
      </c>
      <c r="O6116" t="str">
        <f t="shared" si="551"/>
        <v/>
      </c>
      <c r="Q6116" t="str">
        <f t="shared" si="547"/>
        <v/>
      </c>
    </row>
    <row r="6117" spans="1:17" hidden="1">
      <c r="A6117" t="s">
        <v>6222</v>
      </c>
      <c r="B6117" s="1">
        <v>45732</v>
      </c>
      <c r="C6117">
        <v>2025</v>
      </c>
      <c r="D6117">
        <v>3</v>
      </c>
      <c r="E6117" t="s">
        <v>19</v>
      </c>
      <c r="F6117" t="s">
        <v>28</v>
      </c>
      <c r="G6117" t="s">
        <v>20</v>
      </c>
      <c r="H6117" t="s">
        <v>136</v>
      </c>
      <c r="I6117">
        <v>5893.59</v>
      </c>
      <c r="J6117">
        <v>6021.49</v>
      </c>
      <c r="K6117" t="s">
        <v>17</v>
      </c>
      <c r="L6117" t="b">
        <v>0</v>
      </c>
      <c r="N6117" s="2" t="str">
        <f t="shared" si="549"/>
        <v/>
      </c>
      <c r="Q6117" t="str">
        <f t="shared" si="547"/>
        <v/>
      </c>
    </row>
    <row r="6118" spans="1:17" hidden="1">
      <c r="A6118" t="s">
        <v>6223</v>
      </c>
      <c r="B6118" s="1">
        <v>45732</v>
      </c>
      <c r="C6118">
        <v>2025</v>
      </c>
      <c r="D6118">
        <v>3</v>
      </c>
      <c r="E6118" t="s">
        <v>23</v>
      </c>
      <c r="F6118" t="s">
        <v>14</v>
      </c>
      <c r="G6118" t="s">
        <v>59</v>
      </c>
      <c r="H6118" t="s">
        <v>155</v>
      </c>
      <c r="I6118">
        <v>7069.91</v>
      </c>
      <c r="J6118">
        <v>7674.55</v>
      </c>
      <c r="K6118" t="s">
        <v>17</v>
      </c>
      <c r="L6118" t="b">
        <v>0</v>
      </c>
      <c r="N6118" s="2" t="str">
        <f t="shared" si="549"/>
        <v/>
      </c>
      <c r="Q6118" t="str">
        <f t="shared" si="547"/>
        <v/>
      </c>
    </row>
    <row r="6119" spans="1:17" hidden="1">
      <c r="A6119" t="s">
        <v>6224</v>
      </c>
      <c r="B6119" s="1">
        <v>45732</v>
      </c>
      <c r="C6119">
        <v>2025</v>
      </c>
      <c r="D6119">
        <v>3</v>
      </c>
      <c r="E6119" t="s">
        <v>23</v>
      </c>
      <c r="F6119" t="s">
        <v>24</v>
      </c>
      <c r="G6119" t="s">
        <v>141</v>
      </c>
      <c r="H6119" t="s">
        <v>142</v>
      </c>
      <c r="I6119">
        <v>4528.93</v>
      </c>
      <c r="J6119">
        <v>4117.26</v>
      </c>
      <c r="K6119" t="s">
        <v>17</v>
      </c>
      <c r="L6119" t="b">
        <v>0</v>
      </c>
      <c r="N6119" s="2" t="str">
        <f t="shared" si="549"/>
        <v/>
      </c>
      <c r="Q6119" t="str">
        <f t="shared" si="547"/>
        <v/>
      </c>
    </row>
    <row r="6120" spans="1:17" hidden="1">
      <c r="A6120" t="s">
        <v>6225</v>
      </c>
      <c r="B6120" s="1">
        <v>45732</v>
      </c>
      <c r="C6120">
        <v>2025</v>
      </c>
      <c r="D6120">
        <v>3</v>
      </c>
      <c r="E6120" t="s">
        <v>37</v>
      </c>
      <c r="F6120" t="s">
        <v>24</v>
      </c>
      <c r="G6120" t="s">
        <v>41</v>
      </c>
      <c r="H6120" t="s">
        <v>42</v>
      </c>
      <c r="I6120">
        <v>4286.49</v>
      </c>
      <c r="J6120">
        <v>4227.8100000000004</v>
      </c>
      <c r="K6120" t="s">
        <v>17</v>
      </c>
      <c r="L6120" t="b">
        <v>0</v>
      </c>
      <c r="N6120" s="2" t="str">
        <f t="shared" si="549"/>
        <v/>
      </c>
      <c r="Q6120" t="str">
        <f t="shared" si="547"/>
        <v/>
      </c>
    </row>
    <row r="6121" spans="1:17" hidden="1">
      <c r="A6121" t="s">
        <v>6226</v>
      </c>
      <c r="B6121" s="1">
        <v>45733</v>
      </c>
      <c r="C6121">
        <v>2025</v>
      </c>
      <c r="D6121">
        <v>3</v>
      </c>
      <c r="E6121" t="s">
        <v>13</v>
      </c>
      <c r="F6121" t="s">
        <v>28</v>
      </c>
      <c r="G6121" t="s">
        <v>108</v>
      </c>
      <c r="H6121" t="s">
        <v>109</v>
      </c>
      <c r="I6121">
        <v>4027.72</v>
      </c>
      <c r="J6121">
        <v>3897.31</v>
      </c>
      <c r="K6121" t="s">
        <v>17</v>
      </c>
      <c r="L6121" t="b">
        <v>0</v>
      </c>
      <c r="N6121" s="2" t="str">
        <f t="shared" si="549"/>
        <v/>
      </c>
      <c r="Q6121" t="str">
        <f t="shared" si="547"/>
        <v/>
      </c>
    </row>
    <row r="6122" spans="1:17" hidden="1">
      <c r="A6122" t="s">
        <v>6227</v>
      </c>
      <c r="B6122" s="1">
        <v>45733</v>
      </c>
      <c r="C6122">
        <v>2025</v>
      </c>
      <c r="D6122">
        <v>3</v>
      </c>
      <c r="E6122" t="s">
        <v>19</v>
      </c>
      <c r="F6122" t="s">
        <v>24</v>
      </c>
      <c r="G6122" t="s">
        <v>20</v>
      </c>
      <c r="H6122" t="s">
        <v>174</v>
      </c>
      <c r="I6122">
        <v>7119.94</v>
      </c>
      <c r="J6122">
        <v>7036.14</v>
      </c>
      <c r="K6122" t="s">
        <v>17</v>
      </c>
      <c r="L6122" t="b">
        <v>0</v>
      </c>
      <c r="N6122" s="2" t="str">
        <f t="shared" si="549"/>
        <v/>
      </c>
      <c r="Q6122" t="str">
        <f t="shared" si="547"/>
        <v/>
      </c>
    </row>
    <row r="6123" spans="1:17" hidden="1">
      <c r="A6123" t="s">
        <v>6228</v>
      </c>
      <c r="B6123" s="1">
        <v>45733</v>
      </c>
      <c r="C6123">
        <v>2025</v>
      </c>
      <c r="D6123">
        <v>3</v>
      </c>
      <c r="E6123" t="s">
        <v>37</v>
      </c>
      <c r="F6123" t="s">
        <v>28</v>
      </c>
      <c r="G6123" t="s">
        <v>41</v>
      </c>
      <c r="H6123" t="s">
        <v>42</v>
      </c>
      <c r="I6123">
        <v>7021.15</v>
      </c>
      <c r="J6123">
        <v>7542.14</v>
      </c>
      <c r="K6123" t="s">
        <v>17</v>
      </c>
      <c r="L6123" t="b">
        <v>0</v>
      </c>
      <c r="N6123" s="2" t="str">
        <f t="shared" si="549"/>
        <v/>
      </c>
      <c r="Q6123" t="str">
        <f t="shared" si="547"/>
        <v/>
      </c>
    </row>
    <row r="6124" spans="1:17" hidden="1">
      <c r="A6124" t="s">
        <v>6229</v>
      </c>
      <c r="B6124" s="1">
        <v>45734</v>
      </c>
      <c r="C6124">
        <v>2025</v>
      </c>
      <c r="D6124">
        <v>3</v>
      </c>
      <c r="E6124" t="s">
        <v>13</v>
      </c>
      <c r="F6124" t="s">
        <v>28</v>
      </c>
      <c r="G6124" t="s">
        <v>102</v>
      </c>
      <c r="H6124" t="s">
        <v>145</v>
      </c>
      <c r="I6124">
        <v>1254.08</v>
      </c>
      <c r="J6124">
        <v>1290.58</v>
      </c>
      <c r="K6124" t="s">
        <v>17</v>
      </c>
      <c r="L6124" t="b">
        <v>0</v>
      </c>
      <c r="N6124" s="2" t="str">
        <f t="shared" si="549"/>
        <v/>
      </c>
      <c r="Q6124" t="str">
        <f t="shared" si="547"/>
        <v/>
      </c>
    </row>
    <row r="6125" spans="1:17" hidden="1">
      <c r="A6125" t="s">
        <v>6230</v>
      </c>
      <c r="B6125" s="1">
        <v>45734</v>
      </c>
      <c r="C6125">
        <v>2025</v>
      </c>
      <c r="D6125">
        <v>3</v>
      </c>
      <c r="E6125" t="s">
        <v>13</v>
      </c>
      <c r="F6125" t="s">
        <v>28</v>
      </c>
      <c r="G6125" t="s">
        <v>15</v>
      </c>
      <c r="H6125" t="s">
        <v>16</v>
      </c>
      <c r="I6125">
        <v>5032.47</v>
      </c>
      <c r="J6125">
        <v>5480.72</v>
      </c>
      <c r="K6125" t="s">
        <v>17</v>
      </c>
      <c r="L6125" t="b">
        <v>0</v>
      </c>
      <c r="N6125" s="2" t="str">
        <f t="shared" si="549"/>
        <v/>
      </c>
      <c r="Q6125" t="str">
        <f t="shared" si="547"/>
        <v/>
      </c>
    </row>
    <row r="6126" spans="1:17" hidden="1">
      <c r="A6126" t="s">
        <v>6231</v>
      </c>
      <c r="B6126" s="1">
        <v>45734</v>
      </c>
      <c r="C6126">
        <v>2025</v>
      </c>
      <c r="D6126">
        <v>3</v>
      </c>
      <c r="E6126" t="s">
        <v>13</v>
      </c>
      <c r="F6126" t="s">
        <v>24</v>
      </c>
      <c r="G6126" t="s">
        <v>108</v>
      </c>
      <c r="H6126" t="s">
        <v>109</v>
      </c>
      <c r="I6126">
        <v>2269.96</v>
      </c>
      <c r="J6126">
        <v>2426.5</v>
      </c>
      <c r="K6126" t="s">
        <v>17</v>
      </c>
      <c r="L6126" t="b">
        <v>0</v>
      </c>
      <c r="N6126" s="2" t="str">
        <f t="shared" si="549"/>
        <v/>
      </c>
      <c r="Q6126" t="str">
        <f t="shared" si="547"/>
        <v/>
      </c>
    </row>
    <row r="6127" spans="1:17" hidden="1">
      <c r="A6127" t="s">
        <v>6232</v>
      </c>
      <c r="B6127" s="1">
        <v>45734</v>
      </c>
      <c r="C6127">
        <v>2025</v>
      </c>
      <c r="D6127">
        <v>3</v>
      </c>
      <c r="E6127" t="s">
        <v>37</v>
      </c>
      <c r="F6127" t="s">
        <v>28</v>
      </c>
      <c r="G6127" t="s">
        <v>62</v>
      </c>
      <c r="H6127" t="s">
        <v>121</v>
      </c>
      <c r="I6127">
        <v>7261.88</v>
      </c>
      <c r="J6127">
        <v>7366.43</v>
      </c>
      <c r="K6127" t="s">
        <v>17</v>
      </c>
      <c r="L6127" t="b">
        <v>0</v>
      </c>
      <c r="N6127" s="2" t="str">
        <f t="shared" si="549"/>
        <v/>
      </c>
      <c r="Q6127" t="str">
        <f t="shared" si="547"/>
        <v/>
      </c>
    </row>
    <row r="6128" spans="1:17" hidden="1">
      <c r="A6128" t="s">
        <v>6233</v>
      </c>
      <c r="B6128" s="1">
        <v>45734</v>
      </c>
      <c r="C6128">
        <v>2025</v>
      </c>
      <c r="D6128">
        <v>3</v>
      </c>
      <c r="E6128" t="s">
        <v>37</v>
      </c>
      <c r="F6128" t="s">
        <v>24</v>
      </c>
      <c r="G6128" t="s">
        <v>38</v>
      </c>
      <c r="H6128" t="s">
        <v>118</v>
      </c>
      <c r="I6128">
        <v>4975.01</v>
      </c>
      <c r="J6128">
        <v>4712.5</v>
      </c>
      <c r="K6128" t="s">
        <v>17</v>
      </c>
      <c r="L6128" t="b">
        <v>0</v>
      </c>
      <c r="N6128" s="2" t="str">
        <f t="shared" si="549"/>
        <v/>
      </c>
      <c r="Q6128" t="str">
        <f t="shared" ref="Q6128:Q6191" si="552">IF(L6128=TRUE,OR(H6128="Apex Solutions Inc",H6128="Global Trade Partners",H6128="NovaTech Services"),"")</f>
        <v/>
      </c>
    </row>
    <row r="6129" spans="1:17" hidden="1">
      <c r="A6129" t="s">
        <v>6234</v>
      </c>
      <c r="B6129" s="1">
        <v>45734</v>
      </c>
      <c r="C6129">
        <v>2025</v>
      </c>
      <c r="D6129">
        <v>3</v>
      </c>
      <c r="E6129" t="s">
        <v>37</v>
      </c>
      <c r="F6129" t="s">
        <v>24</v>
      </c>
      <c r="G6129" t="s">
        <v>41</v>
      </c>
      <c r="H6129" t="s">
        <v>42</v>
      </c>
      <c r="I6129">
        <v>4176.99</v>
      </c>
      <c r="J6129">
        <v>4565.1000000000004</v>
      </c>
      <c r="K6129" t="s">
        <v>17</v>
      </c>
      <c r="L6129" t="b">
        <v>0</v>
      </c>
      <c r="N6129" s="2" t="str">
        <f t="shared" si="549"/>
        <v/>
      </c>
      <c r="Q6129" t="str">
        <f t="shared" si="552"/>
        <v/>
      </c>
    </row>
    <row r="6130" spans="1:17" hidden="1">
      <c r="A6130" t="s">
        <v>6235</v>
      </c>
      <c r="B6130" s="1">
        <v>45734</v>
      </c>
      <c r="C6130">
        <v>2025</v>
      </c>
      <c r="D6130">
        <v>3</v>
      </c>
      <c r="E6130" t="s">
        <v>37</v>
      </c>
      <c r="F6130" t="s">
        <v>14</v>
      </c>
      <c r="G6130" t="s">
        <v>83</v>
      </c>
      <c r="H6130" t="s">
        <v>84</v>
      </c>
      <c r="I6130">
        <v>300026.53999999998</v>
      </c>
      <c r="J6130">
        <v>285025.21000000002</v>
      </c>
      <c r="K6130" t="s">
        <v>85</v>
      </c>
      <c r="L6130" t="b">
        <v>0</v>
      </c>
      <c r="N6130" s="2" t="str">
        <f t="shared" si="549"/>
        <v/>
      </c>
      <c r="Q6130" t="str">
        <f t="shared" si="552"/>
        <v/>
      </c>
    </row>
    <row r="6131" spans="1:17" hidden="1">
      <c r="A6131" t="s">
        <v>6236</v>
      </c>
      <c r="B6131" s="1">
        <v>45735</v>
      </c>
      <c r="C6131">
        <v>2025</v>
      </c>
      <c r="D6131">
        <v>3</v>
      </c>
      <c r="E6131" t="s">
        <v>13</v>
      </c>
      <c r="F6131" t="s">
        <v>24</v>
      </c>
      <c r="G6131" t="s">
        <v>108</v>
      </c>
      <c r="H6131" t="s">
        <v>126</v>
      </c>
      <c r="I6131">
        <v>2557.62</v>
      </c>
      <c r="J6131">
        <v>2574.0100000000002</v>
      </c>
      <c r="K6131" t="s">
        <v>17</v>
      </c>
      <c r="L6131" t="b">
        <v>0</v>
      </c>
      <c r="N6131" s="2" t="str">
        <f t="shared" si="549"/>
        <v/>
      </c>
      <c r="Q6131" t="str">
        <f t="shared" si="552"/>
        <v/>
      </c>
    </row>
    <row r="6132" spans="1:17" hidden="1">
      <c r="A6132" t="s">
        <v>6237</v>
      </c>
      <c r="B6132" s="1">
        <v>45735</v>
      </c>
      <c r="C6132">
        <v>2025</v>
      </c>
      <c r="D6132">
        <v>3</v>
      </c>
      <c r="E6132" t="s">
        <v>47</v>
      </c>
      <c r="F6132" t="s">
        <v>28</v>
      </c>
      <c r="G6132" t="s">
        <v>77</v>
      </c>
      <c r="H6132" t="s">
        <v>130</v>
      </c>
      <c r="I6132">
        <v>17645.87</v>
      </c>
      <c r="J6132">
        <v>14526.07</v>
      </c>
      <c r="K6132" t="s">
        <v>17</v>
      </c>
      <c r="L6132" t="b">
        <v>0</v>
      </c>
      <c r="N6132" s="2" t="b">
        <f t="shared" si="549"/>
        <v>1</v>
      </c>
      <c r="O6132" t="b">
        <f t="shared" ref="O6132:O6133" si="553">IF(AND(E6121="HR",K6121="EXPENSE"),I6121&lt;J6121,"")</f>
        <v>0</v>
      </c>
      <c r="Q6132" t="str">
        <f t="shared" si="552"/>
        <v/>
      </c>
    </row>
    <row r="6133" spans="1:17" hidden="1">
      <c r="A6133" t="s">
        <v>6238</v>
      </c>
      <c r="B6133" s="1">
        <v>45735</v>
      </c>
      <c r="C6133">
        <v>2025</v>
      </c>
      <c r="D6133">
        <v>3</v>
      </c>
      <c r="E6133" t="s">
        <v>47</v>
      </c>
      <c r="F6133" t="s">
        <v>24</v>
      </c>
      <c r="G6133" t="s">
        <v>77</v>
      </c>
      <c r="H6133" t="s">
        <v>130</v>
      </c>
      <c r="I6133">
        <v>16050.07</v>
      </c>
      <c r="J6133">
        <v>13626.73</v>
      </c>
      <c r="K6133" t="s">
        <v>17</v>
      </c>
      <c r="L6133" t="b">
        <v>0</v>
      </c>
      <c r="N6133" s="2" t="b">
        <f t="shared" si="549"/>
        <v>1</v>
      </c>
      <c r="O6133" t="str">
        <f t="shared" si="553"/>
        <v/>
      </c>
      <c r="Q6133" t="str">
        <f t="shared" si="552"/>
        <v/>
      </c>
    </row>
    <row r="6134" spans="1:17" hidden="1">
      <c r="A6134" t="s">
        <v>6239</v>
      </c>
      <c r="B6134" s="1">
        <v>45735</v>
      </c>
      <c r="C6134">
        <v>2025</v>
      </c>
      <c r="D6134">
        <v>3</v>
      </c>
      <c r="E6134" t="s">
        <v>23</v>
      </c>
      <c r="F6134" t="s">
        <v>28</v>
      </c>
      <c r="G6134" t="s">
        <v>25</v>
      </c>
      <c r="H6134" t="s">
        <v>26</v>
      </c>
      <c r="I6134">
        <v>6086.44</v>
      </c>
      <c r="J6134">
        <v>5548.39</v>
      </c>
      <c r="K6134" t="s">
        <v>17</v>
      </c>
      <c r="L6134" t="b">
        <v>0</v>
      </c>
      <c r="N6134" s="2" t="str">
        <f t="shared" si="549"/>
        <v/>
      </c>
      <c r="Q6134" t="str">
        <f t="shared" si="552"/>
        <v/>
      </c>
    </row>
    <row r="6135" spans="1:17" hidden="1">
      <c r="A6135" t="s">
        <v>6240</v>
      </c>
      <c r="B6135" s="1">
        <v>45735</v>
      </c>
      <c r="C6135">
        <v>2025</v>
      </c>
      <c r="D6135">
        <v>3</v>
      </c>
      <c r="E6135" t="s">
        <v>23</v>
      </c>
      <c r="F6135" t="s">
        <v>24</v>
      </c>
      <c r="G6135" t="s">
        <v>59</v>
      </c>
      <c r="H6135" t="s">
        <v>155</v>
      </c>
      <c r="I6135">
        <v>5519.26</v>
      </c>
      <c r="J6135">
        <v>5423.57</v>
      </c>
      <c r="K6135" t="s">
        <v>17</v>
      </c>
      <c r="L6135" t="b">
        <v>0</v>
      </c>
      <c r="N6135" s="2" t="str">
        <f t="shared" si="549"/>
        <v/>
      </c>
      <c r="Q6135" t="str">
        <f t="shared" si="552"/>
        <v/>
      </c>
    </row>
    <row r="6136" spans="1:17" hidden="1">
      <c r="A6136" t="s">
        <v>6241</v>
      </c>
      <c r="B6136" s="1">
        <v>45735</v>
      </c>
      <c r="C6136">
        <v>2025</v>
      </c>
      <c r="D6136">
        <v>3</v>
      </c>
      <c r="E6136" t="s">
        <v>37</v>
      </c>
      <c r="F6136" t="s">
        <v>28</v>
      </c>
      <c r="G6136" t="s">
        <v>62</v>
      </c>
      <c r="H6136" t="s">
        <v>360</v>
      </c>
      <c r="I6136">
        <v>6493.89</v>
      </c>
      <c r="J6136">
        <v>6617.69</v>
      </c>
      <c r="K6136" t="s">
        <v>17</v>
      </c>
      <c r="L6136" t="b">
        <v>0</v>
      </c>
      <c r="N6136" s="2" t="str">
        <f t="shared" si="549"/>
        <v/>
      </c>
      <c r="Q6136" t="str">
        <f t="shared" si="552"/>
        <v/>
      </c>
    </row>
    <row r="6137" spans="1:17" hidden="1">
      <c r="A6137" t="s">
        <v>6242</v>
      </c>
      <c r="B6137" s="1">
        <v>45736</v>
      </c>
      <c r="C6137">
        <v>2025</v>
      </c>
      <c r="D6137">
        <v>3</v>
      </c>
      <c r="E6137" t="s">
        <v>13</v>
      </c>
      <c r="F6137" t="s">
        <v>28</v>
      </c>
      <c r="G6137" t="s">
        <v>68</v>
      </c>
      <c r="H6137" t="s">
        <v>69</v>
      </c>
      <c r="I6137">
        <v>3996.72</v>
      </c>
      <c r="J6137">
        <v>4169.8999999999996</v>
      </c>
      <c r="K6137" t="s">
        <v>17</v>
      </c>
      <c r="L6137" t="b">
        <v>0</v>
      </c>
      <c r="N6137" s="2" t="str">
        <f t="shared" si="549"/>
        <v/>
      </c>
      <c r="Q6137" t="str">
        <f t="shared" si="552"/>
        <v/>
      </c>
    </row>
    <row r="6138" spans="1:17" hidden="1">
      <c r="A6138" t="s">
        <v>6243</v>
      </c>
      <c r="B6138" s="1">
        <v>45736</v>
      </c>
      <c r="C6138">
        <v>2025</v>
      </c>
      <c r="D6138">
        <v>3</v>
      </c>
      <c r="E6138" t="s">
        <v>47</v>
      </c>
      <c r="F6138" t="s">
        <v>14</v>
      </c>
      <c r="G6138" t="s">
        <v>77</v>
      </c>
      <c r="H6138" t="s">
        <v>130</v>
      </c>
      <c r="I6138">
        <v>17408.900000000001</v>
      </c>
      <c r="J6138">
        <v>14890.45</v>
      </c>
      <c r="K6138" t="s">
        <v>17</v>
      </c>
      <c r="L6138" t="b">
        <v>0</v>
      </c>
      <c r="N6138" s="2" t="b">
        <f t="shared" si="549"/>
        <v>1</v>
      </c>
      <c r="O6138" t="str">
        <f t="shared" ref="O6138:O6139" si="554">IF(AND(E6127="HR",K6127="EXPENSE"),I6127&lt;J6127,"")</f>
        <v/>
      </c>
      <c r="Q6138" t="str">
        <f t="shared" si="552"/>
        <v/>
      </c>
    </row>
    <row r="6139" spans="1:17" hidden="1">
      <c r="A6139" t="s">
        <v>6244</v>
      </c>
      <c r="B6139" s="1">
        <v>45736</v>
      </c>
      <c r="C6139">
        <v>2025</v>
      </c>
      <c r="D6139">
        <v>3</v>
      </c>
      <c r="E6139" t="s">
        <v>47</v>
      </c>
      <c r="F6139" t="s">
        <v>28</v>
      </c>
      <c r="G6139" t="s">
        <v>51</v>
      </c>
      <c r="H6139" t="s">
        <v>189</v>
      </c>
      <c r="I6139">
        <v>18593.080000000002</v>
      </c>
      <c r="J6139">
        <v>15658.08</v>
      </c>
      <c r="K6139" t="s">
        <v>17</v>
      </c>
      <c r="L6139" t="b">
        <v>0</v>
      </c>
      <c r="N6139" s="2" t="b">
        <f t="shared" si="549"/>
        <v>1</v>
      </c>
      <c r="O6139" t="str">
        <f t="shared" si="554"/>
        <v/>
      </c>
      <c r="Q6139" t="str">
        <f t="shared" si="552"/>
        <v/>
      </c>
    </row>
    <row r="6140" spans="1:17" hidden="1">
      <c r="A6140" t="s">
        <v>6245</v>
      </c>
      <c r="B6140" s="1">
        <v>45736</v>
      </c>
      <c r="C6140">
        <v>2025</v>
      </c>
      <c r="D6140">
        <v>3</v>
      </c>
      <c r="E6140" t="s">
        <v>19</v>
      </c>
      <c r="F6140" t="s">
        <v>14</v>
      </c>
      <c r="G6140" t="s">
        <v>54</v>
      </c>
      <c r="H6140" t="s">
        <v>57</v>
      </c>
      <c r="I6140">
        <v>5794.03</v>
      </c>
      <c r="J6140">
        <v>5837.8</v>
      </c>
      <c r="K6140" t="s">
        <v>17</v>
      </c>
      <c r="L6140" t="b">
        <v>0</v>
      </c>
      <c r="N6140" s="2" t="str">
        <f t="shared" si="549"/>
        <v/>
      </c>
      <c r="Q6140" t="str">
        <f t="shared" si="552"/>
        <v/>
      </c>
    </row>
    <row r="6141" spans="1:17" hidden="1">
      <c r="A6141" t="s">
        <v>6246</v>
      </c>
      <c r="B6141" s="1">
        <v>45737</v>
      </c>
      <c r="C6141">
        <v>2025</v>
      </c>
      <c r="D6141">
        <v>3</v>
      </c>
      <c r="E6141" t="s">
        <v>13</v>
      </c>
      <c r="F6141" t="s">
        <v>14</v>
      </c>
      <c r="G6141" t="s">
        <v>15</v>
      </c>
      <c r="H6141" t="s">
        <v>45</v>
      </c>
      <c r="I6141">
        <v>5302.03</v>
      </c>
      <c r="J6141">
        <v>5819.26</v>
      </c>
      <c r="K6141" t="s">
        <v>17</v>
      </c>
      <c r="L6141" t="b">
        <v>0</v>
      </c>
      <c r="N6141" s="2" t="str">
        <f t="shared" si="549"/>
        <v/>
      </c>
      <c r="Q6141" t="str">
        <f t="shared" si="552"/>
        <v/>
      </c>
    </row>
    <row r="6142" spans="1:17" hidden="1">
      <c r="A6142" t="s">
        <v>6247</v>
      </c>
      <c r="B6142" s="1">
        <v>45737</v>
      </c>
      <c r="C6142">
        <v>2025</v>
      </c>
      <c r="D6142">
        <v>3</v>
      </c>
      <c r="E6142" t="s">
        <v>47</v>
      </c>
      <c r="F6142" t="s">
        <v>14</v>
      </c>
      <c r="G6142" t="s">
        <v>91</v>
      </c>
      <c r="H6142" t="s">
        <v>92</v>
      </c>
      <c r="I6142">
        <v>15646.56</v>
      </c>
      <c r="J6142">
        <v>13362.44</v>
      </c>
      <c r="K6142" t="s">
        <v>17</v>
      </c>
      <c r="L6142" t="b">
        <v>0</v>
      </c>
      <c r="N6142" s="2" t="b">
        <f t="shared" si="549"/>
        <v>1</v>
      </c>
      <c r="O6142" t="b">
        <f>IF(AND(E6131="HR",K6131="EXPENSE"),I6131&lt;J6131,"")</f>
        <v>1</v>
      </c>
      <c r="Q6142" t="str">
        <f t="shared" si="552"/>
        <v/>
      </c>
    </row>
    <row r="6143" spans="1:17" hidden="1">
      <c r="A6143" t="s">
        <v>6248</v>
      </c>
      <c r="B6143" s="1">
        <v>45737</v>
      </c>
      <c r="C6143">
        <v>2025</v>
      </c>
      <c r="D6143">
        <v>3</v>
      </c>
      <c r="E6143" t="s">
        <v>19</v>
      </c>
      <c r="F6143" t="s">
        <v>14</v>
      </c>
      <c r="G6143" t="s">
        <v>132</v>
      </c>
      <c r="H6143" t="s">
        <v>138</v>
      </c>
      <c r="I6143">
        <v>4242.3599999999997</v>
      </c>
      <c r="J6143">
        <v>4505.6499999999996</v>
      </c>
      <c r="K6143" t="s">
        <v>17</v>
      </c>
      <c r="L6143" t="b">
        <v>0</v>
      </c>
      <c r="N6143" s="2" t="str">
        <f t="shared" si="549"/>
        <v/>
      </c>
      <c r="Q6143" t="str">
        <f t="shared" si="552"/>
        <v/>
      </c>
    </row>
    <row r="6144" spans="1:17" hidden="1">
      <c r="A6144" t="s">
        <v>6249</v>
      </c>
      <c r="B6144" s="1">
        <v>45737</v>
      </c>
      <c r="C6144">
        <v>2025</v>
      </c>
      <c r="D6144">
        <v>3</v>
      </c>
      <c r="E6144" t="s">
        <v>19</v>
      </c>
      <c r="F6144" t="s">
        <v>14</v>
      </c>
      <c r="G6144" t="s">
        <v>132</v>
      </c>
      <c r="H6144" t="s">
        <v>133</v>
      </c>
      <c r="I6144">
        <v>8025.73</v>
      </c>
      <c r="J6144">
        <v>8005.77</v>
      </c>
      <c r="K6144" t="s">
        <v>17</v>
      </c>
      <c r="L6144" t="b">
        <v>0</v>
      </c>
      <c r="N6144" s="2" t="str">
        <f t="shared" si="549"/>
        <v/>
      </c>
      <c r="Q6144" t="str">
        <f t="shared" si="552"/>
        <v/>
      </c>
    </row>
    <row r="6145" spans="1:17" hidden="1">
      <c r="A6145" t="s">
        <v>6250</v>
      </c>
      <c r="B6145" s="1">
        <v>45737</v>
      </c>
      <c r="C6145">
        <v>2025</v>
      </c>
      <c r="D6145">
        <v>3</v>
      </c>
      <c r="E6145" t="s">
        <v>23</v>
      </c>
      <c r="F6145" t="s">
        <v>14</v>
      </c>
      <c r="G6145" t="s">
        <v>141</v>
      </c>
      <c r="H6145" t="s">
        <v>209</v>
      </c>
      <c r="I6145">
        <v>4504.47</v>
      </c>
      <c r="J6145">
        <v>4441.1400000000003</v>
      </c>
      <c r="K6145" t="s">
        <v>17</v>
      </c>
      <c r="L6145" t="b">
        <v>0</v>
      </c>
      <c r="N6145" s="2" t="str">
        <f t="shared" si="549"/>
        <v/>
      </c>
      <c r="Q6145" t="str">
        <f t="shared" si="552"/>
        <v/>
      </c>
    </row>
    <row r="6146" spans="1:17" hidden="1">
      <c r="A6146" t="s">
        <v>6251</v>
      </c>
      <c r="B6146" s="1">
        <v>45737</v>
      </c>
      <c r="C6146">
        <v>2025</v>
      </c>
      <c r="D6146">
        <v>3</v>
      </c>
      <c r="E6146" t="s">
        <v>23</v>
      </c>
      <c r="F6146" t="s">
        <v>24</v>
      </c>
      <c r="G6146" t="s">
        <v>141</v>
      </c>
      <c r="H6146" t="s">
        <v>153</v>
      </c>
      <c r="I6146">
        <v>7591.27</v>
      </c>
      <c r="J6146">
        <v>7615.91</v>
      </c>
      <c r="K6146" t="s">
        <v>17</v>
      </c>
      <c r="L6146" t="b">
        <v>0</v>
      </c>
      <c r="N6146" s="2" t="str">
        <f t="shared" si="549"/>
        <v/>
      </c>
      <c r="Q6146" t="str">
        <f t="shared" si="552"/>
        <v/>
      </c>
    </row>
    <row r="6147" spans="1:17" hidden="1">
      <c r="A6147" t="s">
        <v>6252</v>
      </c>
      <c r="B6147" s="1">
        <v>45738</v>
      </c>
      <c r="C6147">
        <v>2025</v>
      </c>
      <c r="D6147">
        <v>3</v>
      </c>
      <c r="E6147" t="s">
        <v>47</v>
      </c>
      <c r="F6147" t="s">
        <v>14</v>
      </c>
      <c r="G6147" t="s">
        <v>91</v>
      </c>
      <c r="H6147" t="s">
        <v>128</v>
      </c>
      <c r="I6147">
        <v>15812.61</v>
      </c>
      <c r="J6147">
        <v>13644.07</v>
      </c>
      <c r="K6147" t="s">
        <v>17</v>
      </c>
      <c r="L6147" t="b">
        <v>0</v>
      </c>
      <c r="N6147" s="2" t="b">
        <f t="shared" ref="N6147:N6210" si="555">IF(AND(E6147="IT",K6147="EXPENSE"),I6147&gt;J6147,"")</f>
        <v>1</v>
      </c>
      <c r="O6147" t="str">
        <f t="shared" ref="O6147:O6148" si="556">IF(AND(E6136="HR",K6136="EXPENSE"),I6136&lt;J6136,"")</f>
        <v/>
      </c>
      <c r="Q6147" t="str">
        <f t="shared" si="552"/>
        <v/>
      </c>
    </row>
    <row r="6148" spans="1:17" hidden="1">
      <c r="A6148" t="s">
        <v>6253</v>
      </c>
      <c r="B6148" s="1">
        <v>45738</v>
      </c>
      <c r="C6148">
        <v>2025</v>
      </c>
      <c r="D6148">
        <v>3</v>
      </c>
      <c r="E6148" t="s">
        <v>47</v>
      </c>
      <c r="F6148" t="s">
        <v>24</v>
      </c>
      <c r="G6148" t="s">
        <v>91</v>
      </c>
      <c r="H6148" t="s">
        <v>92</v>
      </c>
      <c r="I6148">
        <v>9930.84</v>
      </c>
      <c r="J6148">
        <v>8622.11</v>
      </c>
      <c r="K6148" t="s">
        <v>17</v>
      </c>
      <c r="L6148" t="b">
        <v>0</v>
      </c>
      <c r="N6148" s="2" t="b">
        <f t="shared" si="555"/>
        <v>1</v>
      </c>
      <c r="O6148" t="b">
        <f t="shared" si="556"/>
        <v>1</v>
      </c>
      <c r="Q6148" t="str">
        <f t="shared" si="552"/>
        <v/>
      </c>
    </row>
    <row r="6149" spans="1:17" hidden="1">
      <c r="A6149" t="s">
        <v>6254</v>
      </c>
      <c r="B6149" s="1">
        <v>45738</v>
      </c>
      <c r="C6149">
        <v>2025</v>
      </c>
      <c r="D6149">
        <v>3</v>
      </c>
      <c r="E6149" t="s">
        <v>19</v>
      </c>
      <c r="F6149" t="s">
        <v>28</v>
      </c>
      <c r="G6149" t="s">
        <v>20</v>
      </c>
      <c r="H6149" t="s">
        <v>21</v>
      </c>
      <c r="I6149">
        <v>4475.32</v>
      </c>
      <c r="J6149">
        <v>4032.45</v>
      </c>
      <c r="K6149" t="s">
        <v>17</v>
      </c>
      <c r="L6149" t="b">
        <v>0</v>
      </c>
      <c r="N6149" s="2" t="str">
        <f t="shared" si="555"/>
        <v/>
      </c>
      <c r="Q6149" t="str">
        <f t="shared" si="552"/>
        <v/>
      </c>
    </row>
    <row r="6150" spans="1:17" hidden="1">
      <c r="A6150" t="s">
        <v>6255</v>
      </c>
      <c r="B6150" s="1">
        <v>45738</v>
      </c>
      <c r="C6150">
        <v>2025</v>
      </c>
      <c r="D6150">
        <v>3</v>
      </c>
      <c r="E6150" t="s">
        <v>19</v>
      </c>
      <c r="F6150" t="s">
        <v>24</v>
      </c>
      <c r="G6150" t="s">
        <v>80</v>
      </c>
      <c r="H6150" t="s">
        <v>113</v>
      </c>
      <c r="I6150">
        <v>7255.64</v>
      </c>
      <c r="J6150">
        <v>6852.33</v>
      </c>
      <c r="K6150" t="s">
        <v>17</v>
      </c>
      <c r="L6150" t="b">
        <v>0</v>
      </c>
      <c r="N6150" s="2" t="str">
        <f t="shared" si="555"/>
        <v/>
      </c>
      <c r="Q6150" t="str">
        <f t="shared" si="552"/>
        <v/>
      </c>
    </row>
    <row r="6151" spans="1:17" hidden="1">
      <c r="A6151" t="s">
        <v>6256</v>
      </c>
      <c r="B6151" s="1">
        <v>45738</v>
      </c>
      <c r="C6151">
        <v>2025</v>
      </c>
      <c r="D6151">
        <v>3</v>
      </c>
      <c r="E6151" t="s">
        <v>23</v>
      </c>
      <c r="F6151" t="s">
        <v>14</v>
      </c>
      <c r="G6151" t="s">
        <v>30</v>
      </c>
      <c r="H6151" t="s">
        <v>33</v>
      </c>
      <c r="I6151">
        <v>4320.84</v>
      </c>
      <c r="J6151">
        <v>4323.13</v>
      </c>
      <c r="K6151" t="s">
        <v>17</v>
      </c>
      <c r="L6151" t="b">
        <v>0</v>
      </c>
      <c r="N6151" s="2" t="str">
        <f t="shared" si="555"/>
        <v/>
      </c>
      <c r="Q6151" t="str">
        <f t="shared" si="552"/>
        <v/>
      </c>
    </row>
    <row r="6152" spans="1:17" hidden="1">
      <c r="A6152" t="s">
        <v>6257</v>
      </c>
      <c r="B6152" s="1">
        <v>45738</v>
      </c>
      <c r="C6152">
        <v>2025</v>
      </c>
      <c r="D6152">
        <v>3</v>
      </c>
      <c r="E6152" t="s">
        <v>23</v>
      </c>
      <c r="F6152" t="s">
        <v>28</v>
      </c>
      <c r="G6152" t="s">
        <v>141</v>
      </c>
      <c r="H6152" t="s">
        <v>153</v>
      </c>
      <c r="I6152">
        <v>5231.37</v>
      </c>
      <c r="J6152">
        <v>5074.3599999999997</v>
      </c>
      <c r="K6152" t="s">
        <v>17</v>
      </c>
      <c r="L6152" t="b">
        <v>0</v>
      </c>
      <c r="N6152" s="2" t="str">
        <f t="shared" si="555"/>
        <v/>
      </c>
      <c r="Q6152" t="str">
        <f t="shared" si="552"/>
        <v/>
      </c>
    </row>
    <row r="6153" spans="1:17" hidden="1">
      <c r="A6153" t="s">
        <v>6258</v>
      </c>
      <c r="B6153" s="1">
        <v>45738</v>
      </c>
      <c r="C6153">
        <v>2025</v>
      </c>
      <c r="D6153">
        <v>3</v>
      </c>
      <c r="E6153" t="s">
        <v>23</v>
      </c>
      <c r="F6153" t="s">
        <v>24</v>
      </c>
      <c r="G6153" t="s">
        <v>30</v>
      </c>
      <c r="H6153" t="s">
        <v>31</v>
      </c>
      <c r="I6153">
        <v>4621.4399999999996</v>
      </c>
      <c r="J6153">
        <v>4175.55</v>
      </c>
      <c r="K6153" t="s">
        <v>17</v>
      </c>
      <c r="L6153" t="b">
        <v>0</v>
      </c>
      <c r="N6153" s="2" t="str">
        <f t="shared" si="555"/>
        <v/>
      </c>
      <c r="Q6153" t="str">
        <f t="shared" si="552"/>
        <v/>
      </c>
    </row>
    <row r="6154" spans="1:17" hidden="1">
      <c r="A6154" t="s">
        <v>6259</v>
      </c>
      <c r="B6154" s="1">
        <v>45738</v>
      </c>
      <c r="C6154">
        <v>2025</v>
      </c>
      <c r="D6154">
        <v>3</v>
      </c>
      <c r="E6154" t="s">
        <v>23</v>
      </c>
      <c r="F6154" t="s">
        <v>24</v>
      </c>
      <c r="G6154" t="s">
        <v>59</v>
      </c>
      <c r="H6154" t="s">
        <v>60</v>
      </c>
      <c r="I6154">
        <v>8671.27</v>
      </c>
      <c r="J6154">
        <v>8240.09</v>
      </c>
      <c r="K6154" t="s">
        <v>17</v>
      </c>
      <c r="L6154" t="b">
        <v>0</v>
      </c>
      <c r="N6154" s="2" t="str">
        <f t="shared" si="555"/>
        <v/>
      </c>
      <c r="Q6154" t="str">
        <f t="shared" si="552"/>
        <v/>
      </c>
    </row>
    <row r="6155" spans="1:17" hidden="1">
      <c r="A6155" t="s">
        <v>6260</v>
      </c>
      <c r="B6155" s="1">
        <v>45738</v>
      </c>
      <c r="C6155">
        <v>2025</v>
      </c>
      <c r="D6155">
        <v>3</v>
      </c>
      <c r="E6155" t="s">
        <v>37</v>
      </c>
      <c r="F6155" t="s">
        <v>14</v>
      </c>
      <c r="G6155" t="s">
        <v>98</v>
      </c>
      <c r="H6155" t="s">
        <v>99</v>
      </c>
      <c r="I6155">
        <v>3908.28</v>
      </c>
      <c r="J6155">
        <v>3822.73</v>
      </c>
      <c r="K6155" t="s">
        <v>17</v>
      </c>
      <c r="L6155" t="b">
        <v>0</v>
      </c>
      <c r="N6155" s="2" t="str">
        <f t="shared" si="555"/>
        <v/>
      </c>
      <c r="Q6155" t="str">
        <f t="shared" si="552"/>
        <v/>
      </c>
    </row>
    <row r="6156" spans="1:17" hidden="1">
      <c r="A6156" t="s">
        <v>6261</v>
      </c>
      <c r="B6156" s="1">
        <v>45738</v>
      </c>
      <c r="C6156">
        <v>2025</v>
      </c>
      <c r="D6156">
        <v>3</v>
      </c>
      <c r="E6156" t="s">
        <v>37</v>
      </c>
      <c r="F6156" t="s">
        <v>14</v>
      </c>
      <c r="G6156" t="s">
        <v>62</v>
      </c>
      <c r="H6156" t="s">
        <v>63</v>
      </c>
      <c r="I6156">
        <v>2622.44</v>
      </c>
      <c r="J6156">
        <v>2819.42</v>
      </c>
      <c r="K6156" t="s">
        <v>17</v>
      </c>
      <c r="L6156" t="b">
        <v>0</v>
      </c>
      <c r="N6156" s="2" t="str">
        <f t="shared" si="555"/>
        <v/>
      </c>
      <c r="Q6156" t="str">
        <f t="shared" si="552"/>
        <v/>
      </c>
    </row>
    <row r="6157" spans="1:17" hidden="1">
      <c r="A6157" t="s">
        <v>6262</v>
      </c>
      <c r="B6157" s="1">
        <v>45738</v>
      </c>
      <c r="C6157">
        <v>2025</v>
      </c>
      <c r="D6157">
        <v>3</v>
      </c>
      <c r="E6157" t="s">
        <v>37</v>
      </c>
      <c r="F6157" t="s">
        <v>28</v>
      </c>
      <c r="G6157" t="s">
        <v>38</v>
      </c>
      <c r="H6157" t="s">
        <v>227</v>
      </c>
      <c r="I6157">
        <v>6997.94</v>
      </c>
      <c r="J6157">
        <v>6691.9</v>
      </c>
      <c r="K6157" t="s">
        <v>17</v>
      </c>
      <c r="L6157" t="b">
        <v>0</v>
      </c>
      <c r="N6157" s="2" t="str">
        <f t="shared" si="555"/>
        <v/>
      </c>
      <c r="Q6157" t="str">
        <f t="shared" si="552"/>
        <v/>
      </c>
    </row>
    <row r="6158" spans="1:17" hidden="1">
      <c r="A6158" t="s">
        <v>6263</v>
      </c>
      <c r="B6158" s="1">
        <v>45738</v>
      </c>
      <c r="C6158">
        <v>2025</v>
      </c>
      <c r="D6158">
        <v>3</v>
      </c>
      <c r="E6158" t="s">
        <v>37</v>
      </c>
      <c r="F6158" t="s">
        <v>28</v>
      </c>
      <c r="G6158" t="s">
        <v>98</v>
      </c>
      <c r="H6158" t="s">
        <v>185</v>
      </c>
      <c r="I6158">
        <v>6030.97</v>
      </c>
      <c r="J6158">
        <v>6456.44</v>
      </c>
      <c r="K6158" t="s">
        <v>17</v>
      </c>
      <c r="L6158" t="b">
        <v>0</v>
      </c>
      <c r="N6158" s="2" t="str">
        <f t="shared" si="555"/>
        <v/>
      </c>
      <c r="Q6158" t="str">
        <f t="shared" si="552"/>
        <v/>
      </c>
    </row>
    <row r="6159" spans="1:17" hidden="1">
      <c r="A6159" t="s">
        <v>6264</v>
      </c>
      <c r="B6159" s="1">
        <v>45738</v>
      </c>
      <c r="C6159">
        <v>2025</v>
      </c>
      <c r="D6159">
        <v>3</v>
      </c>
      <c r="E6159" t="s">
        <v>37</v>
      </c>
      <c r="F6159" t="s">
        <v>24</v>
      </c>
      <c r="G6159" t="s">
        <v>38</v>
      </c>
      <c r="H6159" t="s">
        <v>39</v>
      </c>
      <c r="I6159">
        <v>5634.57</v>
      </c>
      <c r="J6159">
        <v>5971.15</v>
      </c>
      <c r="K6159" t="s">
        <v>17</v>
      </c>
      <c r="L6159" t="b">
        <v>0</v>
      </c>
      <c r="N6159" s="2" t="str">
        <f t="shared" si="555"/>
        <v/>
      </c>
      <c r="Q6159" t="str">
        <f t="shared" si="552"/>
        <v/>
      </c>
    </row>
    <row r="6160" spans="1:17" hidden="1">
      <c r="A6160" t="s">
        <v>6265</v>
      </c>
      <c r="B6160" s="1">
        <v>45739</v>
      </c>
      <c r="C6160">
        <v>2025</v>
      </c>
      <c r="D6160">
        <v>3</v>
      </c>
      <c r="E6160" t="s">
        <v>47</v>
      </c>
      <c r="F6160" t="s">
        <v>28</v>
      </c>
      <c r="G6160" t="s">
        <v>51</v>
      </c>
      <c r="H6160" t="s">
        <v>189</v>
      </c>
      <c r="I6160">
        <v>11181.68</v>
      </c>
      <c r="J6160">
        <v>9439.0400000000009</v>
      </c>
      <c r="K6160" t="s">
        <v>17</v>
      </c>
      <c r="L6160" t="b">
        <v>0</v>
      </c>
      <c r="N6160" s="2" t="b">
        <f t="shared" si="555"/>
        <v>1</v>
      </c>
      <c r="O6160" t="str">
        <f>IF(AND(E6149="HR",K6149="EXPENSE"),I6149&lt;J6149,"")</f>
        <v/>
      </c>
      <c r="Q6160" t="str">
        <f t="shared" si="552"/>
        <v/>
      </c>
    </row>
    <row r="6161" spans="1:17" hidden="1">
      <c r="A6161" t="s">
        <v>6266</v>
      </c>
      <c r="B6161" s="1">
        <v>45739</v>
      </c>
      <c r="C6161">
        <v>2025</v>
      </c>
      <c r="D6161">
        <v>3</v>
      </c>
      <c r="E6161" t="s">
        <v>19</v>
      </c>
      <c r="F6161" t="s">
        <v>28</v>
      </c>
      <c r="G6161" t="s">
        <v>80</v>
      </c>
      <c r="H6161" t="s">
        <v>150</v>
      </c>
      <c r="I6161">
        <v>6641.12</v>
      </c>
      <c r="J6161">
        <v>7113.47</v>
      </c>
      <c r="K6161" t="s">
        <v>17</v>
      </c>
      <c r="L6161" t="b">
        <v>0</v>
      </c>
      <c r="N6161" s="2" t="str">
        <f t="shared" si="555"/>
        <v/>
      </c>
      <c r="Q6161" t="str">
        <f t="shared" si="552"/>
        <v/>
      </c>
    </row>
    <row r="6162" spans="1:17" hidden="1">
      <c r="A6162" t="s">
        <v>6267</v>
      </c>
      <c r="B6162" s="1">
        <v>45740</v>
      </c>
      <c r="C6162">
        <v>2025</v>
      </c>
      <c r="D6162">
        <v>3</v>
      </c>
      <c r="E6162" t="s">
        <v>13</v>
      </c>
      <c r="F6162" t="s">
        <v>14</v>
      </c>
      <c r="G6162" t="s">
        <v>102</v>
      </c>
      <c r="H6162" t="s">
        <v>278</v>
      </c>
      <c r="I6162">
        <v>5644.18</v>
      </c>
      <c r="J6162">
        <v>5817.28</v>
      </c>
      <c r="K6162" t="s">
        <v>17</v>
      </c>
      <c r="L6162" t="b">
        <v>0</v>
      </c>
      <c r="N6162" s="2" t="str">
        <f t="shared" si="555"/>
        <v/>
      </c>
      <c r="Q6162" t="str">
        <f t="shared" si="552"/>
        <v/>
      </c>
    </row>
    <row r="6163" spans="1:17" hidden="1">
      <c r="A6163" t="s">
        <v>6268</v>
      </c>
      <c r="B6163" s="1">
        <v>45740</v>
      </c>
      <c r="C6163">
        <v>2025</v>
      </c>
      <c r="D6163">
        <v>3</v>
      </c>
      <c r="E6163" t="s">
        <v>47</v>
      </c>
      <c r="F6163" t="s">
        <v>14</v>
      </c>
      <c r="G6163" t="s">
        <v>48</v>
      </c>
      <c r="H6163" t="s">
        <v>191</v>
      </c>
      <c r="I6163">
        <v>17864.97</v>
      </c>
      <c r="J6163">
        <v>15315.97</v>
      </c>
      <c r="K6163" t="s">
        <v>17</v>
      </c>
      <c r="L6163" t="b">
        <v>0</v>
      </c>
      <c r="N6163" s="2" t="b">
        <f t="shared" si="555"/>
        <v>1</v>
      </c>
      <c r="O6163" t="str">
        <f t="shared" ref="O6163:O6164" si="557">IF(AND(E6152="HR",K6152="EXPENSE"),I6152&lt;J6152,"")</f>
        <v/>
      </c>
      <c r="Q6163" t="str">
        <f t="shared" si="552"/>
        <v/>
      </c>
    </row>
    <row r="6164" spans="1:17" hidden="1">
      <c r="A6164" t="s">
        <v>6269</v>
      </c>
      <c r="B6164" s="1">
        <v>45740</v>
      </c>
      <c r="C6164">
        <v>2025</v>
      </c>
      <c r="D6164">
        <v>3</v>
      </c>
      <c r="E6164" t="s">
        <v>47</v>
      </c>
      <c r="F6164" t="s">
        <v>28</v>
      </c>
      <c r="G6164" t="s">
        <v>91</v>
      </c>
      <c r="H6164" t="s">
        <v>254</v>
      </c>
      <c r="I6164">
        <v>9460.23</v>
      </c>
      <c r="J6164">
        <v>8187.98</v>
      </c>
      <c r="K6164" t="s">
        <v>17</v>
      </c>
      <c r="L6164" t="b">
        <v>0</v>
      </c>
      <c r="N6164" s="2" t="b">
        <f t="shared" si="555"/>
        <v>1</v>
      </c>
      <c r="O6164" t="str">
        <f t="shared" si="557"/>
        <v/>
      </c>
      <c r="Q6164" t="str">
        <f t="shared" si="552"/>
        <v/>
      </c>
    </row>
    <row r="6165" spans="1:17" hidden="1">
      <c r="A6165" t="s">
        <v>6270</v>
      </c>
      <c r="B6165" s="1">
        <v>45740</v>
      </c>
      <c r="C6165">
        <v>2025</v>
      </c>
      <c r="D6165">
        <v>3</v>
      </c>
      <c r="E6165" t="s">
        <v>19</v>
      </c>
      <c r="F6165" t="s">
        <v>24</v>
      </c>
      <c r="G6165" t="s">
        <v>20</v>
      </c>
      <c r="H6165" t="s">
        <v>21</v>
      </c>
      <c r="I6165">
        <v>7226.27</v>
      </c>
      <c r="J6165">
        <v>7052.78</v>
      </c>
      <c r="K6165" t="s">
        <v>17</v>
      </c>
      <c r="L6165" t="b">
        <v>0</v>
      </c>
      <c r="N6165" s="2" t="str">
        <f t="shared" si="555"/>
        <v/>
      </c>
      <c r="Q6165" t="str">
        <f t="shared" si="552"/>
        <v/>
      </c>
    </row>
    <row r="6166" spans="1:17" hidden="1">
      <c r="A6166" t="s">
        <v>6271</v>
      </c>
      <c r="B6166" s="1">
        <v>45740</v>
      </c>
      <c r="C6166">
        <v>2025</v>
      </c>
      <c r="D6166">
        <v>3</v>
      </c>
      <c r="E6166" t="s">
        <v>23</v>
      </c>
      <c r="F6166" t="s">
        <v>14</v>
      </c>
      <c r="G6166" t="s">
        <v>59</v>
      </c>
      <c r="H6166" t="s">
        <v>60</v>
      </c>
      <c r="I6166">
        <v>4025.85</v>
      </c>
      <c r="J6166">
        <v>4131.33</v>
      </c>
      <c r="K6166" t="s">
        <v>17</v>
      </c>
      <c r="L6166" t="b">
        <v>0</v>
      </c>
      <c r="N6166" s="2" t="str">
        <f t="shared" si="555"/>
        <v/>
      </c>
      <c r="Q6166" t="str">
        <f t="shared" si="552"/>
        <v/>
      </c>
    </row>
    <row r="6167" spans="1:17" hidden="1">
      <c r="A6167" t="s">
        <v>6272</v>
      </c>
      <c r="B6167" s="1">
        <v>45740</v>
      </c>
      <c r="C6167">
        <v>2025</v>
      </c>
      <c r="D6167">
        <v>3</v>
      </c>
      <c r="E6167" t="s">
        <v>23</v>
      </c>
      <c r="F6167" t="s">
        <v>14</v>
      </c>
      <c r="G6167" t="s">
        <v>141</v>
      </c>
      <c r="H6167" t="s">
        <v>209</v>
      </c>
      <c r="I6167">
        <v>5635.3</v>
      </c>
      <c r="J6167">
        <v>5336.1</v>
      </c>
      <c r="K6167" t="s">
        <v>17</v>
      </c>
      <c r="L6167" t="b">
        <v>0</v>
      </c>
      <c r="N6167" s="2" t="str">
        <f t="shared" si="555"/>
        <v/>
      </c>
      <c r="Q6167" t="str">
        <f t="shared" si="552"/>
        <v/>
      </c>
    </row>
    <row r="6168" spans="1:17" hidden="1">
      <c r="A6168" t="s">
        <v>6273</v>
      </c>
      <c r="B6168" s="1">
        <v>45740</v>
      </c>
      <c r="C6168">
        <v>2025</v>
      </c>
      <c r="D6168">
        <v>3</v>
      </c>
      <c r="E6168" t="s">
        <v>23</v>
      </c>
      <c r="F6168" t="s">
        <v>28</v>
      </c>
      <c r="G6168" t="s">
        <v>141</v>
      </c>
      <c r="H6168" t="s">
        <v>209</v>
      </c>
      <c r="I6168">
        <v>7445.81</v>
      </c>
      <c r="J6168">
        <v>7080.02</v>
      </c>
      <c r="K6168" t="s">
        <v>17</v>
      </c>
      <c r="L6168" t="b">
        <v>0</v>
      </c>
      <c r="N6168" s="2" t="str">
        <f t="shared" si="555"/>
        <v/>
      </c>
      <c r="Q6168" t="str">
        <f t="shared" si="552"/>
        <v/>
      </c>
    </row>
    <row r="6169" spans="1:17" hidden="1">
      <c r="A6169" t="s">
        <v>6274</v>
      </c>
      <c r="B6169" s="1">
        <v>45740</v>
      </c>
      <c r="C6169">
        <v>2025</v>
      </c>
      <c r="D6169">
        <v>3</v>
      </c>
      <c r="E6169" t="s">
        <v>37</v>
      </c>
      <c r="F6169" t="s">
        <v>24</v>
      </c>
      <c r="G6169" t="s">
        <v>41</v>
      </c>
      <c r="H6169" t="s">
        <v>42</v>
      </c>
      <c r="I6169">
        <v>4208.84</v>
      </c>
      <c r="J6169">
        <v>4038.02</v>
      </c>
      <c r="K6169" t="s">
        <v>17</v>
      </c>
      <c r="L6169" t="b">
        <v>0</v>
      </c>
      <c r="N6169" s="2" t="str">
        <f t="shared" si="555"/>
        <v/>
      </c>
      <c r="Q6169" t="str">
        <f t="shared" si="552"/>
        <v/>
      </c>
    </row>
    <row r="6170" spans="1:17" hidden="1">
      <c r="A6170" t="s">
        <v>6275</v>
      </c>
      <c r="B6170" s="1">
        <v>45741</v>
      </c>
      <c r="C6170">
        <v>2025</v>
      </c>
      <c r="D6170">
        <v>3</v>
      </c>
      <c r="E6170" t="s">
        <v>13</v>
      </c>
      <c r="F6170" t="s">
        <v>14</v>
      </c>
      <c r="G6170" t="s">
        <v>102</v>
      </c>
      <c r="H6170" t="s">
        <v>278</v>
      </c>
      <c r="I6170">
        <v>2482.3000000000002</v>
      </c>
      <c r="J6170">
        <v>2312.2399999999998</v>
      </c>
      <c r="K6170" t="s">
        <v>17</v>
      </c>
      <c r="L6170" t="b">
        <v>0</v>
      </c>
      <c r="N6170" s="2" t="str">
        <f t="shared" si="555"/>
        <v/>
      </c>
      <c r="Q6170" t="str">
        <f t="shared" si="552"/>
        <v/>
      </c>
    </row>
    <row r="6171" spans="1:17" hidden="1">
      <c r="A6171" t="s">
        <v>6276</v>
      </c>
      <c r="B6171" s="1">
        <v>45741</v>
      </c>
      <c r="C6171">
        <v>2025</v>
      </c>
      <c r="D6171">
        <v>3</v>
      </c>
      <c r="E6171" t="s">
        <v>13</v>
      </c>
      <c r="F6171" t="s">
        <v>24</v>
      </c>
      <c r="G6171" t="s">
        <v>108</v>
      </c>
      <c r="H6171" t="s">
        <v>123</v>
      </c>
      <c r="I6171">
        <v>2142.4</v>
      </c>
      <c r="J6171">
        <v>2242.94</v>
      </c>
      <c r="K6171" t="s">
        <v>17</v>
      </c>
      <c r="L6171" t="b">
        <v>0</v>
      </c>
      <c r="N6171" s="2" t="str">
        <f t="shared" si="555"/>
        <v/>
      </c>
      <c r="Q6171" t="str">
        <f t="shared" si="552"/>
        <v/>
      </c>
    </row>
    <row r="6172" spans="1:17" hidden="1">
      <c r="A6172" t="s">
        <v>6277</v>
      </c>
      <c r="B6172" s="1">
        <v>45741</v>
      </c>
      <c r="C6172">
        <v>2025</v>
      </c>
      <c r="D6172">
        <v>3</v>
      </c>
      <c r="E6172" t="s">
        <v>19</v>
      </c>
      <c r="F6172" t="s">
        <v>28</v>
      </c>
      <c r="G6172" t="s">
        <v>54</v>
      </c>
      <c r="H6172" t="s">
        <v>57</v>
      </c>
      <c r="I6172">
        <v>2722.79</v>
      </c>
      <c r="J6172">
        <v>2984.18</v>
      </c>
      <c r="K6172" t="s">
        <v>17</v>
      </c>
      <c r="L6172" t="b">
        <v>0</v>
      </c>
      <c r="N6172" s="2" t="str">
        <f t="shared" si="555"/>
        <v/>
      </c>
      <c r="Q6172" t="str">
        <f t="shared" si="552"/>
        <v/>
      </c>
    </row>
    <row r="6173" spans="1:17" hidden="1">
      <c r="A6173" t="s">
        <v>6278</v>
      </c>
      <c r="B6173" s="1">
        <v>45741</v>
      </c>
      <c r="C6173">
        <v>2025</v>
      </c>
      <c r="D6173">
        <v>3</v>
      </c>
      <c r="E6173" t="s">
        <v>19</v>
      </c>
      <c r="F6173" t="s">
        <v>24</v>
      </c>
      <c r="G6173" t="s">
        <v>80</v>
      </c>
      <c r="H6173" t="s">
        <v>81</v>
      </c>
      <c r="I6173">
        <v>8305.92</v>
      </c>
      <c r="J6173">
        <v>8239.18</v>
      </c>
      <c r="K6173" t="s">
        <v>17</v>
      </c>
      <c r="L6173" t="b">
        <v>0</v>
      </c>
      <c r="N6173" s="2" t="str">
        <f t="shared" si="555"/>
        <v/>
      </c>
      <c r="Q6173" t="str">
        <f t="shared" si="552"/>
        <v/>
      </c>
    </row>
    <row r="6174" spans="1:17" hidden="1">
      <c r="A6174" t="s">
        <v>6279</v>
      </c>
      <c r="B6174" s="1">
        <v>45741</v>
      </c>
      <c r="C6174">
        <v>2025</v>
      </c>
      <c r="D6174">
        <v>3</v>
      </c>
      <c r="E6174" t="s">
        <v>37</v>
      </c>
      <c r="F6174" t="s">
        <v>14</v>
      </c>
      <c r="G6174" t="s">
        <v>98</v>
      </c>
      <c r="H6174" t="s">
        <v>99</v>
      </c>
      <c r="I6174">
        <v>2904.91</v>
      </c>
      <c r="J6174">
        <v>2702.56</v>
      </c>
      <c r="K6174" t="s">
        <v>17</v>
      </c>
      <c r="L6174" t="b">
        <v>0</v>
      </c>
      <c r="N6174" s="2" t="str">
        <f t="shared" si="555"/>
        <v/>
      </c>
      <c r="Q6174" t="str">
        <f t="shared" si="552"/>
        <v/>
      </c>
    </row>
    <row r="6175" spans="1:17" hidden="1">
      <c r="A6175" t="s">
        <v>6280</v>
      </c>
      <c r="B6175" s="1">
        <v>45741</v>
      </c>
      <c r="C6175">
        <v>2025</v>
      </c>
      <c r="D6175">
        <v>3</v>
      </c>
      <c r="E6175" t="s">
        <v>37</v>
      </c>
      <c r="F6175" t="s">
        <v>14</v>
      </c>
      <c r="G6175" t="s">
        <v>38</v>
      </c>
      <c r="H6175" t="s">
        <v>227</v>
      </c>
      <c r="I6175">
        <v>4833.22</v>
      </c>
      <c r="J6175">
        <v>4857.99</v>
      </c>
      <c r="K6175" t="s">
        <v>17</v>
      </c>
      <c r="L6175" t="b">
        <v>0</v>
      </c>
      <c r="N6175" s="2" t="str">
        <f t="shared" si="555"/>
        <v/>
      </c>
      <c r="Q6175" t="str">
        <f t="shared" si="552"/>
        <v/>
      </c>
    </row>
    <row r="6176" spans="1:17" hidden="1">
      <c r="A6176" t="s">
        <v>6281</v>
      </c>
      <c r="B6176" s="1">
        <v>45741</v>
      </c>
      <c r="C6176">
        <v>2025</v>
      </c>
      <c r="D6176">
        <v>3</v>
      </c>
      <c r="E6176" t="s">
        <v>37</v>
      </c>
      <c r="F6176" t="s">
        <v>28</v>
      </c>
      <c r="G6176" t="s">
        <v>98</v>
      </c>
      <c r="H6176" t="s">
        <v>99</v>
      </c>
      <c r="I6176">
        <v>4853.78</v>
      </c>
      <c r="J6176">
        <v>5222.38</v>
      </c>
      <c r="K6176" t="s">
        <v>17</v>
      </c>
      <c r="L6176" t="b">
        <v>0</v>
      </c>
      <c r="N6176" s="2" t="str">
        <f t="shared" si="555"/>
        <v/>
      </c>
      <c r="Q6176" t="str">
        <f t="shared" si="552"/>
        <v/>
      </c>
    </row>
    <row r="6177" spans="1:17" hidden="1">
      <c r="A6177" t="s">
        <v>6282</v>
      </c>
      <c r="B6177" s="1">
        <v>45741</v>
      </c>
      <c r="C6177">
        <v>2025</v>
      </c>
      <c r="D6177">
        <v>3</v>
      </c>
      <c r="E6177" t="s">
        <v>37</v>
      </c>
      <c r="F6177" t="s">
        <v>24</v>
      </c>
      <c r="G6177" t="s">
        <v>98</v>
      </c>
      <c r="H6177" t="s">
        <v>185</v>
      </c>
      <c r="I6177">
        <v>5275.7</v>
      </c>
      <c r="J6177">
        <v>5149.68</v>
      </c>
      <c r="K6177" t="s">
        <v>17</v>
      </c>
      <c r="L6177" t="b">
        <v>0</v>
      </c>
      <c r="N6177" s="2" t="str">
        <f t="shared" si="555"/>
        <v/>
      </c>
      <c r="Q6177" t="str">
        <f t="shared" si="552"/>
        <v/>
      </c>
    </row>
    <row r="6178" spans="1:17" hidden="1">
      <c r="A6178" t="s">
        <v>6283</v>
      </c>
      <c r="B6178" s="1">
        <v>45742</v>
      </c>
      <c r="C6178">
        <v>2025</v>
      </c>
      <c r="D6178">
        <v>3</v>
      </c>
      <c r="E6178" t="s">
        <v>13</v>
      </c>
      <c r="F6178" t="s">
        <v>14</v>
      </c>
      <c r="G6178" t="s">
        <v>108</v>
      </c>
      <c r="H6178" t="s">
        <v>109</v>
      </c>
      <c r="I6178">
        <v>2967.16</v>
      </c>
      <c r="J6178">
        <v>3084.15</v>
      </c>
      <c r="K6178" t="s">
        <v>17</v>
      </c>
      <c r="L6178" t="b">
        <v>0</v>
      </c>
      <c r="N6178" s="2" t="str">
        <f t="shared" si="555"/>
        <v/>
      </c>
      <c r="Q6178" t="str">
        <f t="shared" si="552"/>
        <v/>
      </c>
    </row>
    <row r="6179" spans="1:17" hidden="1">
      <c r="A6179" t="s">
        <v>6284</v>
      </c>
      <c r="B6179" s="1">
        <v>45742</v>
      </c>
      <c r="C6179">
        <v>2025</v>
      </c>
      <c r="D6179">
        <v>3</v>
      </c>
      <c r="E6179" t="s">
        <v>13</v>
      </c>
      <c r="F6179" t="s">
        <v>24</v>
      </c>
      <c r="G6179" t="s">
        <v>15</v>
      </c>
      <c r="H6179" t="s">
        <v>45</v>
      </c>
      <c r="I6179">
        <v>3312.89</v>
      </c>
      <c r="J6179">
        <v>3402.34</v>
      </c>
      <c r="K6179" t="s">
        <v>17</v>
      </c>
      <c r="L6179" t="b">
        <v>0</v>
      </c>
      <c r="N6179" s="2" t="str">
        <f t="shared" si="555"/>
        <v/>
      </c>
      <c r="Q6179" t="str">
        <f t="shared" si="552"/>
        <v/>
      </c>
    </row>
    <row r="6180" spans="1:17" hidden="1">
      <c r="A6180" t="s">
        <v>6285</v>
      </c>
      <c r="B6180" s="1">
        <v>45742</v>
      </c>
      <c r="C6180">
        <v>2025</v>
      </c>
      <c r="D6180">
        <v>3</v>
      </c>
      <c r="E6180" t="s">
        <v>19</v>
      </c>
      <c r="F6180" t="s">
        <v>28</v>
      </c>
      <c r="G6180" t="s">
        <v>80</v>
      </c>
      <c r="H6180" t="s">
        <v>113</v>
      </c>
      <c r="I6180">
        <v>7638.25</v>
      </c>
      <c r="J6180">
        <v>8224.67</v>
      </c>
      <c r="K6180" t="s">
        <v>17</v>
      </c>
      <c r="L6180" t="b">
        <v>0</v>
      </c>
      <c r="N6180" s="2" t="str">
        <f t="shared" si="555"/>
        <v/>
      </c>
      <c r="Q6180" t="str">
        <f t="shared" si="552"/>
        <v/>
      </c>
    </row>
    <row r="6181" spans="1:17" hidden="1">
      <c r="A6181" t="s">
        <v>6286</v>
      </c>
      <c r="B6181" s="1">
        <v>45742</v>
      </c>
      <c r="C6181">
        <v>2025</v>
      </c>
      <c r="D6181">
        <v>3</v>
      </c>
      <c r="E6181" t="s">
        <v>23</v>
      </c>
      <c r="F6181" t="s">
        <v>14</v>
      </c>
      <c r="G6181" t="s">
        <v>25</v>
      </c>
      <c r="H6181" t="s">
        <v>35</v>
      </c>
      <c r="I6181">
        <v>4101.84</v>
      </c>
      <c r="J6181">
        <v>4179.3599999999997</v>
      </c>
      <c r="K6181" t="s">
        <v>17</v>
      </c>
      <c r="L6181" t="b">
        <v>0</v>
      </c>
      <c r="N6181" s="2" t="str">
        <f t="shared" si="555"/>
        <v/>
      </c>
      <c r="Q6181" t="str">
        <f t="shared" si="552"/>
        <v/>
      </c>
    </row>
    <row r="6182" spans="1:17" hidden="1">
      <c r="A6182" t="s">
        <v>6287</v>
      </c>
      <c r="B6182" s="1">
        <v>45743</v>
      </c>
      <c r="C6182">
        <v>2025</v>
      </c>
      <c r="D6182">
        <v>3</v>
      </c>
      <c r="E6182" t="s">
        <v>13</v>
      </c>
      <c r="F6182" t="s">
        <v>28</v>
      </c>
      <c r="G6182" t="s">
        <v>102</v>
      </c>
      <c r="H6182" t="s">
        <v>278</v>
      </c>
      <c r="I6182">
        <v>4376.8500000000004</v>
      </c>
      <c r="J6182">
        <v>4608.5200000000004</v>
      </c>
      <c r="K6182" t="s">
        <v>17</v>
      </c>
      <c r="L6182" t="b">
        <v>0</v>
      </c>
      <c r="N6182" s="2" t="str">
        <f t="shared" si="555"/>
        <v/>
      </c>
      <c r="Q6182" t="str">
        <f t="shared" si="552"/>
        <v/>
      </c>
    </row>
    <row r="6183" spans="1:17" hidden="1">
      <c r="A6183" t="s">
        <v>6288</v>
      </c>
      <c r="B6183" s="1">
        <v>45743</v>
      </c>
      <c r="C6183">
        <v>2025</v>
      </c>
      <c r="D6183">
        <v>3</v>
      </c>
      <c r="E6183" t="s">
        <v>13</v>
      </c>
      <c r="F6183" t="s">
        <v>24</v>
      </c>
      <c r="G6183" t="s">
        <v>68</v>
      </c>
      <c r="H6183" t="s">
        <v>213</v>
      </c>
      <c r="I6183">
        <v>2461.17</v>
      </c>
      <c r="J6183">
        <v>2533.42</v>
      </c>
      <c r="K6183" t="s">
        <v>17</v>
      </c>
      <c r="L6183" t="b">
        <v>0</v>
      </c>
      <c r="N6183" s="2" t="str">
        <f t="shared" si="555"/>
        <v/>
      </c>
      <c r="Q6183" t="str">
        <f t="shared" si="552"/>
        <v/>
      </c>
    </row>
    <row r="6184" spans="1:17" hidden="1">
      <c r="A6184" t="s">
        <v>6289</v>
      </c>
      <c r="B6184" s="1">
        <v>45743</v>
      </c>
      <c r="C6184">
        <v>2025</v>
      </c>
      <c r="D6184">
        <v>3</v>
      </c>
      <c r="E6184" t="s">
        <v>23</v>
      </c>
      <c r="F6184" t="s">
        <v>28</v>
      </c>
      <c r="G6184" t="s">
        <v>30</v>
      </c>
      <c r="H6184" t="s">
        <v>33</v>
      </c>
      <c r="I6184">
        <v>5558.13</v>
      </c>
      <c r="J6184">
        <v>5605.95</v>
      </c>
      <c r="K6184" t="s">
        <v>17</v>
      </c>
      <c r="L6184" t="b">
        <v>0</v>
      </c>
      <c r="N6184" s="2" t="str">
        <f t="shared" si="555"/>
        <v/>
      </c>
      <c r="Q6184" t="str">
        <f t="shared" si="552"/>
        <v/>
      </c>
    </row>
    <row r="6185" spans="1:17" hidden="1">
      <c r="A6185" t="s">
        <v>6290</v>
      </c>
      <c r="B6185" s="1">
        <v>45743</v>
      </c>
      <c r="C6185">
        <v>2025</v>
      </c>
      <c r="D6185">
        <v>3</v>
      </c>
      <c r="E6185" t="s">
        <v>37</v>
      </c>
      <c r="F6185" t="s">
        <v>14</v>
      </c>
      <c r="G6185" t="s">
        <v>62</v>
      </c>
      <c r="H6185" t="s">
        <v>360</v>
      </c>
      <c r="I6185">
        <v>3970.52</v>
      </c>
      <c r="J6185">
        <v>3861.43</v>
      </c>
      <c r="K6185" t="s">
        <v>17</v>
      </c>
      <c r="L6185" t="b">
        <v>0</v>
      </c>
      <c r="N6185" s="2" t="str">
        <f t="shared" si="555"/>
        <v/>
      </c>
      <c r="Q6185" t="str">
        <f t="shared" si="552"/>
        <v/>
      </c>
    </row>
    <row r="6186" spans="1:17" hidden="1">
      <c r="A6186" t="s">
        <v>6291</v>
      </c>
      <c r="B6186" s="1">
        <v>45743</v>
      </c>
      <c r="C6186">
        <v>2025</v>
      </c>
      <c r="D6186">
        <v>3</v>
      </c>
      <c r="E6186" t="s">
        <v>37</v>
      </c>
      <c r="F6186" t="s">
        <v>14</v>
      </c>
      <c r="G6186" t="s">
        <v>98</v>
      </c>
      <c r="H6186" t="s">
        <v>99</v>
      </c>
      <c r="I6186">
        <v>4007.39</v>
      </c>
      <c r="J6186">
        <v>3649.43</v>
      </c>
      <c r="K6186" t="s">
        <v>17</v>
      </c>
      <c r="L6186" t="b">
        <v>0</v>
      </c>
      <c r="N6186" s="2" t="str">
        <f t="shared" si="555"/>
        <v/>
      </c>
      <c r="Q6186" t="str">
        <f t="shared" si="552"/>
        <v/>
      </c>
    </row>
    <row r="6187" spans="1:17" hidden="1">
      <c r="A6187" t="s">
        <v>6292</v>
      </c>
      <c r="B6187" s="1">
        <v>45743</v>
      </c>
      <c r="C6187">
        <v>2025</v>
      </c>
      <c r="D6187">
        <v>3</v>
      </c>
      <c r="E6187" t="s">
        <v>37</v>
      </c>
      <c r="F6187" t="s">
        <v>28</v>
      </c>
      <c r="G6187" t="s">
        <v>83</v>
      </c>
      <c r="H6187" t="s">
        <v>84</v>
      </c>
      <c r="I6187">
        <v>175466.59</v>
      </c>
      <c r="J6187">
        <v>166693.26</v>
      </c>
      <c r="K6187" t="s">
        <v>85</v>
      </c>
      <c r="L6187" t="b">
        <v>0</v>
      </c>
      <c r="N6187" s="2" t="str">
        <f t="shared" si="555"/>
        <v/>
      </c>
      <c r="Q6187" t="str">
        <f t="shared" si="552"/>
        <v/>
      </c>
    </row>
    <row r="6188" spans="1:17" hidden="1">
      <c r="A6188" t="s">
        <v>6293</v>
      </c>
      <c r="B6188" s="1">
        <v>45744</v>
      </c>
      <c r="C6188">
        <v>2025</v>
      </c>
      <c r="D6188">
        <v>3</v>
      </c>
      <c r="E6188" t="s">
        <v>13</v>
      </c>
      <c r="F6188" t="s">
        <v>28</v>
      </c>
      <c r="G6188" t="s">
        <v>108</v>
      </c>
      <c r="H6188" t="s">
        <v>123</v>
      </c>
      <c r="I6188">
        <v>4822.68</v>
      </c>
      <c r="J6188">
        <v>5281.22</v>
      </c>
      <c r="K6188" t="s">
        <v>17</v>
      </c>
      <c r="L6188" t="b">
        <v>0</v>
      </c>
      <c r="N6188" s="2" t="str">
        <f t="shared" si="555"/>
        <v/>
      </c>
      <c r="Q6188" t="str">
        <f t="shared" si="552"/>
        <v/>
      </c>
    </row>
    <row r="6189" spans="1:17" hidden="1">
      <c r="A6189" t="s">
        <v>6294</v>
      </c>
      <c r="B6189" s="1">
        <v>45744</v>
      </c>
      <c r="C6189">
        <v>2025</v>
      </c>
      <c r="D6189">
        <v>3</v>
      </c>
      <c r="E6189" t="s">
        <v>47</v>
      </c>
      <c r="F6189" t="s">
        <v>14</v>
      </c>
      <c r="G6189" t="s">
        <v>48</v>
      </c>
      <c r="H6189" t="s">
        <v>189</v>
      </c>
      <c r="I6189">
        <v>16147.21</v>
      </c>
      <c r="J6189">
        <v>13946</v>
      </c>
      <c r="K6189" t="s">
        <v>17</v>
      </c>
      <c r="L6189" t="b">
        <v>0</v>
      </c>
      <c r="N6189" s="2" t="b">
        <f t="shared" si="555"/>
        <v>1</v>
      </c>
      <c r="O6189" t="b">
        <f t="shared" ref="O6189:O6190" si="558">IF(AND(E6178="HR",K6178="EXPENSE"),I6178&lt;J6178,"")</f>
        <v>1</v>
      </c>
      <c r="Q6189" t="str">
        <f t="shared" si="552"/>
        <v/>
      </c>
    </row>
    <row r="6190" spans="1:17" hidden="1">
      <c r="A6190" t="s">
        <v>6295</v>
      </c>
      <c r="B6190" s="1">
        <v>45744</v>
      </c>
      <c r="C6190">
        <v>2025</v>
      </c>
      <c r="D6190">
        <v>3</v>
      </c>
      <c r="E6190" t="s">
        <v>47</v>
      </c>
      <c r="F6190" t="s">
        <v>24</v>
      </c>
      <c r="G6190" t="s">
        <v>91</v>
      </c>
      <c r="H6190" t="s">
        <v>254</v>
      </c>
      <c r="I6190">
        <v>13083.2</v>
      </c>
      <c r="J6190">
        <v>10876.38</v>
      </c>
      <c r="K6190" t="s">
        <v>17</v>
      </c>
      <c r="L6190" t="b">
        <v>0</v>
      </c>
      <c r="N6190" s="2" t="b">
        <f t="shared" si="555"/>
        <v>1</v>
      </c>
      <c r="O6190" t="b">
        <f t="shared" si="558"/>
        <v>1</v>
      </c>
      <c r="Q6190" t="str">
        <f t="shared" si="552"/>
        <v/>
      </c>
    </row>
    <row r="6191" spans="1:17" hidden="1">
      <c r="A6191" t="s">
        <v>6296</v>
      </c>
      <c r="B6191" s="1">
        <v>45744</v>
      </c>
      <c r="C6191">
        <v>2025</v>
      </c>
      <c r="D6191">
        <v>3</v>
      </c>
      <c r="E6191" t="s">
        <v>19</v>
      </c>
      <c r="F6191" t="s">
        <v>14</v>
      </c>
      <c r="G6191" t="s">
        <v>54</v>
      </c>
      <c r="H6191" t="s">
        <v>57</v>
      </c>
      <c r="I6191">
        <v>8045.08</v>
      </c>
      <c r="J6191">
        <v>8163.87</v>
      </c>
      <c r="K6191" t="s">
        <v>17</v>
      </c>
      <c r="L6191" t="b">
        <v>0</v>
      </c>
      <c r="N6191" s="2" t="str">
        <f t="shared" si="555"/>
        <v/>
      </c>
      <c r="Q6191" t="str">
        <f t="shared" si="552"/>
        <v/>
      </c>
    </row>
    <row r="6192" spans="1:17" hidden="1">
      <c r="A6192" t="s">
        <v>6297</v>
      </c>
      <c r="B6192" s="1">
        <v>45744</v>
      </c>
      <c r="C6192">
        <v>2025</v>
      </c>
      <c r="D6192">
        <v>3</v>
      </c>
      <c r="E6192" t="s">
        <v>19</v>
      </c>
      <c r="F6192" t="s">
        <v>24</v>
      </c>
      <c r="G6192" t="s">
        <v>20</v>
      </c>
      <c r="H6192" t="s">
        <v>174</v>
      </c>
      <c r="I6192">
        <v>6693.47</v>
      </c>
      <c r="J6192">
        <v>7349.33</v>
      </c>
      <c r="K6192" t="s">
        <v>17</v>
      </c>
      <c r="L6192" t="b">
        <v>0</v>
      </c>
      <c r="N6192" s="2" t="str">
        <f t="shared" si="555"/>
        <v/>
      </c>
      <c r="Q6192" t="str">
        <f t="shared" ref="Q6192:Q6255" si="559">IF(L6192=TRUE,OR(H6192="Apex Solutions Inc",H6192="Global Trade Partners",H6192="NovaTech Services"),"")</f>
        <v/>
      </c>
    </row>
    <row r="6193" spans="1:17" hidden="1">
      <c r="A6193" t="s">
        <v>6298</v>
      </c>
      <c r="B6193" s="1">
        <v>45744</v>
      </c>
      <c r="C6193">
        <v>2025</v>
      </c>
      <c r="D6193">
        <v>3</v>
      </c>
      <c r="E6193" t="s">
        <v>23</v>
      </c>
      <c r="F6193" t="s">
        <v>24</v>
      </c>
      <c r="G6193" t="s">
        <v>141</v>
      </c>
      <c r="H6193" t="s">
        <v>153</v>
      </c>
      <c r="I6193">
        <v>1864.25</v>
      </c>
      <c r="J6193">
        <v>2040.95</v>
      </c>
      <c r="K6193" t="s">
        <v>17</v>
      </c>
      <c r="L6193" t="b">
        <v>0</v>
      </c>
      <c r="N6193" s="2" t="str">
        <f t="shared" si="555"/>
        <v/>
      </c>
      <c r="Q6193" t="str">
        <f t="shared" si="559"/>
        <v/>
      </c>
    </row>
    <row r="6194" spans="1:17" hidden="1">
      <c r="A6194" t="s">
        <v>6299</v>
      </c>
      <c r="B6194" s="1">
        <v>45744</v>
      </c>
      <c r="C6194">
        <v>2025</v>
      </c>
      <c r="D6194">
        <v>3</v>
      </c>
      <c r="E6194" t="s">
        <v>37</v>
      </c>
      <c r="F6194" t="s">
        <v>14</v>
      </c>
      <c r="G6194" t="s">
        <v>38</v>
      </c>
      <c r="H6194" t="s">
        <v>227</v>
      </c>
      <c r="I6194">
        <v>4965.7</v>
      </c>
      <c r="J6194">
        <v>5427.2</v>
      </c>
      <c r="K6194" t="s">
        <v>17</v>
      </c>
      <c r="L6194" t="b">
        <v>0</v>
      </c>
      <c r="N6194" s="2" t="str">
        <f t="shared" si="555"/>
        <v/>
      </c>
      <c r="Q6194" t="str">
        <f t="shared" si="559"/>
        <v/>
      </c>
    </row>
    <row r="6195" spans="1:17" hidden="1">
      <c r="A6195" t="s">
        <v>6300</v>
      </c>
      <c r="B6195" s="1">
        <v>45745</v>
      </c>
      <c r="C6195">
        <v>2025</v>
      </c>
      <c r="D6195">
        <v>3</v>
      </c>
      <c r="E6195" t="s">
        <v>13</v>
      </c>
      <c r="F6195" t="s">
        <v>14</v>
      </c>
      <c r="G6195" t="s">
        <v>68</v>
      </c>
      <c r="H6195" t="s">
        <v>69</v>
      </c>
      <c r="I6195">
        <v>2143.83</v>
      </c>
      <c r="J6195">
        <v>2222.63</v>
      </c>
      <c r="K6195" t="s">
        <v>17</v>
      </c>
      <c r="L6195" t="b">
        <v>0</v>
      </c>
      <c r="N6195" s="2" t="str">
        <f t="shared" si="555"/>
        <v/>
      </c>
      <c r="Q6195" t="str">
        <f t="shared" si="559"/>
        <v/>
      </c>
    </row>
    <row r="6196" spans="1:17" hidden="1">
      <c r="A6196" t="s">
        <v>6301</v>
      </c>
      <c r="B6196" s="1">
        <v>45745</v>
      </c>
      <c r="C6196">
        <v>2025</v>
      </c>
      <c r="D6196">
        <v>3</v>
      </c>
      <c r="E6196" t="s">
        <v>13</v>
      </c>
      <c r="F6196" t="s">
        <v>24</v>
      </c>
      <c r="G6196" t="s">
        <v>68</v>
      </c>
      <c r="H6196" t="s">
        <v>213</v>
      </c>
      <c r="I6196">
        <v>4022.71</v>
      </c>
      <c r="J6196">
        <v>4126.4799999999996</v>
      </c>
      <c r="K6196" t="s">
        <v>17</v>
      </c>
      <c r="L6196" t="b">
        <v>0</v>
      </c>
      <c r="N6196" s="2" t="str">
        <f t="shared" si="555"/>
        <v/>
      </c>
      <c r="Q6196" t="str">
        <f t="shared" si="559"/>
        <v/>
      </c>
    </row>
    <row r="6197" spans="1:17" hidden="1">
      <c r="A6197" t="s">
        <v>6302</v>
      </c>
      <c r="B6197" s="1">
        <v>45745</v>
      </c>
      <c r="C6197">
        <v>2025</v>
      </c>
      <c r="D6197">
        <v>3</v>
      </c>
      <c r="E6197" t="s">
        <v>47</v>
      </c>
      <c r="F6197" t="s">
        <v>24</v>
      </c>
      <c r="G6197" t="s">
        <v>51</v>
      </c>
      <c r="H6197" t="s">
        <v>52</v>
      </c>
      <c r="I6197">
        <v>19758.650000000001</v>
      </c>
      <c r="J6197">
        <v>16673.71</v>
      </c>
      <c r="K6197" t="s">
        <v>17</v>
      </c>
      <c r="L6197" t="b">
        <v>0</v>
      </c>
      <c r="N6197" s="2" t="b">
        <f t="shared" si="555"/>
        <v>1</v>
      </c>
      <c r="O6197" t="str">
        <f t="shared" ref="O6197:O6198" si="560">IF(AND(E6186="HR",K6186="EXPENSE"),I6186&lt;J6186,"")</f>
        <v/>
      </c>
      <c r="Q6197" t="str">
        <f t="shared" si="559"/>
        <v/>
      </c>
    </row>
    <row r="6198" spans="1:17" hidden="1">
      <c r="A6198" t="s">
        <v>6303</v>
      </c>
      <c r="B6198" s="1">
        <v>45745</v>
      </c>
      <c r="C6198">
        <v>2025</v>
      </c>
      <c r="D6198">
        <v>3</v>
      </c>
      <c r="E6198" t="s">
        <v>47</v>
      </c>
      <c r="F6198" t="s">
        <v>24</v>
      </c>
      <c r="G6198" t="s">
        <v>77</v>
      </c>
      <c r="H6198" t="s">
        <v>130</v>
      </c>
      <c r="I6198">
        <v>20022.95</v>
      </c>
      <c r="J6198">
        <v>16623.38</v>
      </c>
      <c r="K6198" t="s">
        <v>17</v>
      </c>
      <c r="L6198" t="b">
        <v>0</v>
      </c>
      <c r="N6198" s="2" t="b">
        <f t="shared" si="555"/>
        <v>1</v>
      </c>
      <c r="O6198" t="str">
        <f t="shared" si="560"/>
        <v/>
      </c>
      <c r="Q6198" t="str">
        <f t="shared" si="559"/>
        <v/>
      </c>
    </row>
    <row r="6199" spans="1:17" hidden="1">
      <c r="A6199" t="s">
        <v>6304</v>
      </c>
      <c r="B6199" s="1">
        <v>45745</v>
      </c>
      <c r="C6199">
        <v>2025</v>
      </c>
      <c r="D6199">
        <v>3</v>
      </c>
      <c r="E6199" t="s">
        <v>19</v>
      </c>
      <c r="F6199" t="s">
        <v>14</v>
      </c>
      <c r="G6199" t="s">
        <v>20</v>
      </c>
      <c r="H6199" t="s">
        <v>174</v>
      </c>
      <c r="I6199">
        <v>4348.9799999999996</v>
      </c>
      <c r="J6199">
        <v>4139.7</v>
      </c>
      <c r="K6199" t="s">
        <v>17</v>
      </c>
      <c r="L6199" t="b">
        <v>0</v>
      </c>
      <c r="N6199" s="2" t="str">
        <f t="shared" si="555"/>
        <v/>
      </c>
      <c r="Q6199" t="str">
        <f t="shared" si="559"/>
        <v/>
      </c>
    </row>
    <row r="6200" spans="1:17" hidden="1">
      <c r="A6200" t="s">
        <v>6305</v>
      </c>
      <c r="B6200" s="1">
        <v>45745</v>
      </c>
      <c r="C6200">
        <v>2025</v>
      </c>
      <c r="D6200">
        <v>3</v>
      </c>
      <c r="E6200" t="s">
        <v>19</v>
      </c>
      <c r="F6200" t="s">
        <v>28</v>
      </c>
      <c r="G6200" t="s">
        <v>54</v>
      </c>
      <c r="H6200" t="s">
        <v>163</v>
      </c>
      <c r="I6200">
        <v>5416.44</v>
      </c>
      <c r="J6200">
        <v>5047.22</v>
      </c>
      <c r="K6200" t="s">
        <v>17</v>
      </c>
      <c r="L6200" t="b">
        <v>0</v>
      </c>
      <c r="N6200" s="2" t="str">
        <f t="shared" si="555"/>
        <v/>
      </c>
      <c r="Q6200" t="str">
        <f t="shared" si="559"/>
        <v/>
      </c>
    </row>
    <row r="6201" spans="1:17" hidden="1">
      <c r="A6201" t="s">
        <v>6306</v>
      </c>
      <c r="B6201" s="1">
        <v>45745</v>
      </c>
      <c r="C6201">
        <v>2025</v>
      </c>
      <c r="D6201">
        <v>3</v>
      </c>
      <c r="E6201" t="s">
        <v>19</v>
      </c>
      <c r="F6201" t="s">
        <v>24</v>
      </c>
      <c r="G6201" t="s">
        <v>54</v>
      </c>
      <c r="H6201" t="s">
        <v>57</v>
      </c>
      <c r="I6201">
        <v>4688.68</v>
      </c>
      <c r="J6201">
        <v>4962.5200000000004</v>
      </c>
      <c r="K6201" t="s">
        <v>17</v>
      </c>
      <c r="L6201" t="b">
        <v>0</v>
      </c>
      <c r="N6201" s="2" t="str">
        <f t="shared" si="555"/>
        <v/>
      </c>
      <c r="Q6201" t="str">
        <f t="shared" si="559"/>
        <v/>
      </c>
    </row>
    <row r="6202" spans="1:17" hidden="1">
      <c r="A6202" t="s">
        <v>6307</v>
      </c>
      <c r="B6202" s="1">
        <v>45745</v>
      </c>
      <c r="C6202">
        <v>2025</v>
      </c>
      <c r="D6202">
        <v>3</v>
      </c>
      <c r="E6202" t="s">
        <v>37</v>
      </c>
      <c r="F6202" t="s">
        <v>24</v>
      </c>
      <c r="G6202" t="s">
        <v>41</v>
      </c>
      <c r="H6202" t="s">
        <v>42</v>
      </c>
      <c r="I6202">
        <v>3834</v>
      </c>
      <c r="J6202">
        <v>4216</v>
      </c>
      <c r="K6202" t="s">
        <v>17</v>
      </c>
      <c r="L6202" t="b">
        <v>0</v>
      </c>
      <c r="N6202" s="2" t="str">
        <f t="shared" si="555"/>
        <v/>
      </c>
      <c r="Q6202" t="str">
        <f t="shared" si="559"/>
        <v/>
      </c>
    </row>
    <row r="6203" spans="1:17" hidden="1">
      <c r="A6203" t="s">
        <v>6308</v>
      </c>
      <c r="B6203" s="1">
        <v>45746</v>
      </c>
      <c r="C6203">
        <v>2025</v>
      </c>
      <c r="D6203">
        <v>3</v>
      </c>
      <c r="E6203" t="s">
        <v>13</v>
      </c>
      <c r="F6203" t="s">
        <v>14</v>
      </c>
      <c r="G6203" t="s">
        <v>15</v>
      </c>
      <c r="H6203" t="s">
        <v>16</v>
      </c>
      <c r="I6203">
        <v>4266.42</v>
      </c>
      <c r="J6203">
        <v>4214.92</v>
      </c>
      <c r="K6203" t="s">
        <v>17</v>
      </c>
      <c r="L6203" t="b">
        <v>0</v>
      </c>
      <c r="N6203" s="2" t="str">
        <f t="shared" si="555"/>
        <v/>
      </c>
      <c r="Q6203" t="str">
        <f t="shared" si="559"/>
        <v/>
      </c>
    </row>
    <row r="6204" spans="1:17" hidden="1">
      <c r="A6204" t="s">
        <v>6309</v>
      </c>
      <c r="B6204" s="1">
        <v>45746</v>
      </c>
      <c r="C6204">
        <v>2025</v>
      </c>
      <c r="D6204">
        <v>3</v>
      </c>
      <c r="E6204" t="s">
        <v>13</v>
      </c>
      <c r="F6204" t="s">
        <v>28</v>
      </c>
      <c r="G6204" t="s">
        <v>108</v>
      </c>
      <c r="H6204" t="s">
        <v>109</v>
      </c>
      <c r="I6204">
        <v>5674.87</v>
      </c>
      <c r="J6204">
        <v>5820.07</v>
      </c>
      <c r="K6204" t="s">
        <v>17</v>
      </c>
      <c r="L6204" t="b">
        <v>0</v>
      </c>
      <c r="N6204" s="2" t="str">
        <f t="shared" si="555"/>
        <v/>
      </c>
      <c r="Q6204" t="str">
        <f t="shared" si="559"/>
        <v/>
      </c>
    </row>
    <row r="6205" spans="1:17" hidden="1">
      <c r="A6205" t="s">
        <v>6310</v>
      </c>
      <c r="B6205" s="1">
        <v>45746</v>
      </c>
      <c r="C6205">
        <v>2025</v>
      </c>
      <c r="D6205">
        <v>3</v>
      </c>
      <c r="E6205" t="s">
        <v>13</v>
      </c>
      <c r="F6205" t="s">
        <v>24</v>
      </c>
      <c r="G6205" t="s">
        <v>108</v>
      </c>
      <c r="H6205" t="s">
        <v>126</v>
      </c>
      <c r="I6205">
        <v>3084.34</v>
      </c>
      <c r="J6205">
        <v>3258.41</v>
      </c>
      <c r="K6205" t="s">
        <v>17</v>
      </c>
      <c r="L6205" t="b">
        <v>0</v>
      </c>
      <c r="N6205" s="2" t="str">
        <f t="shared" si="555"/>
        <v/>
      </c>
      <c r="Q6205" t="str">
        <f t="shared" si="559"/>
        <v/>
      </c>
    </row>
    <row r="6206" spans="1:17" hidden="1">
      <c r="A6206" t="s">
        <v>6311</v>
      </c>
      <c r="B6206" s="1">
        <v>45746</v>
      </c>
      <c r="C6206">
        <v>2025</v>
      </c>
      <c r="D6206">
        <v>3</v>
      </c>
      <c r="E6206" t="s">
        <v>47</v>
      </c>
      <c r="F6206" t="s">
        <v>14</v>
      </c>
      <c r="G6206" t="s">
        <v>77</v>
      </c>
      <c r="H6206" t="s">
        <v>147</v>
      </c>
      <c r="I6206">
        <v>22497.8</v>
      </c>
      <c r="J6206">
        <v>18786.09</v>
      </c>
      <c r="K6206" t="s">
        <v>17</v>
      </c>
      <c r="L6206" t="b">
        <v>0</v>
      </c>
      <c r="N6206" s="2" t="b">
        <f t="shared" si="555"/>
        <v>1</v>
      </c>
      <c r="O6206" t="b">
        <f>IF(AND(E6195="HR",K6195="EXPENSE"),I6195&lt;J6195,"")</f>
        <v>1</v>
      </c>
      <c r="Q6206" t="str">
        <f t="shared" si="559"/>
        <v/>
      </c>
    </row>
    <row r="6207" spans="1:17" hidden="1">
      <c r="A6207" t="s">
        <v>6312</v>
      </c>
      <c r="B6207" s="1">
        <v>45746</v>
      </c>
      <c r="C6207">
        <v>2025</v>
      </c>
      <c r="D6207">
        <v>3</v>
      </c>
      <c r="E6207" t="s">
        <v>19</v>
      </c>
      <c r="F6207" t="s">
        <v>24</v>
      </c>
      <c r="G6207" t="s">
        <v>80</v>
      </c>
      <c r="H6207" t="s">
        <v>217</v>
      </c>
      <c r="I6207">
        <v>7351.44</v>
      </c>
      <c r="J6207">
        <v>7649.47</v>
      </c>
      <c r="K6207" t="s">
        <v>17</v>
      </c>
      <c r="L6207" t="b">
        <v>0</v>
      </c>
      <c r="N6207" s="2" t="str">
        <f t="shared" si="555"/>
        <v/>
      </c>
      <c r="Q6207" t="str">
        <f t="shared" si="559"/>
        <v/>
      </c>
    </row>
    <row r="6208" spans="1:17" hidden="1">
      <c r="A6208" t="s">
        <v>6313</v>
      </c>
      <c r="B6208" s="1">
        <v>45746</v>
      </c>
      <c r="C6208">
        <v>2025</v>
      </c>
      <c r="D6208">
        <v>3</v>
      </c>
      <c r="E6208" t="s">
        <v>37</v>
      </c>
      <c r="F6208" t="s">
        <v>14</v>
      </c>
      <c r="G6208" t="s">
        <v>41</v>
      </c>
      <c r="H6208" t="s">
        <v>42</v>
      </c>
      <c r="I6208">
        <v>4350.99</v>
      </c>
      <c r="J6208">
        <v>4027.09</v>
      </c>
      <c r="K6208" t="s">
        <v>17</v>
      </c>
      <c r="L6208" t="b">
        <v>0</v>
      </c>
      <c r="N6208" s="2" t="str">
        <f t="shared" si="555"/>
        <v/>
      </c>
      <c r="Q6208" t="str">
        <f t="shared" si="559"/>
        <v/>
      </c>
    </row>
    <row r="6209" spans="1:17" hidden="1">
      <c r="A6209" t="s">
        <v>6314</v>
      </c>
      <c r="B6209" s="1">
        <v>45746</v>
      </c>
      <c r="C6209">
        <v>2025</v>
      </c>
      <c r="D6209">
        <v>3</v>
      </c>
      <c r="E6209" t="s">
        <v>37</v>
      </c>
      <c r="F6209" t="s">
        <v>28</v>
      </c>
      <c r="G6209" t="s">
        <v>62</v>
      </c>
      <c r="H6209" t="s">
        <v>63</v>
      </c>
      <c r="I6209">
        <v>8729.5300000000007</v>
      </c>
      <c r="J6209">
        <v>9567.2199999999993</v>
      </c>
      <c r="K6209" t="s">
        <v>17</v>
      </c>
      <c r="L6209" t="b">
        <v>0</v>
      </c>
      <c r="N6209" s="2" t="str">
        <f t="shared" si="555"/>
        <v/>
      </c>
      <c r="Q6209" t="str">
        <f t="shared" si="559"/>
        <v/>
      </c>
    </row>
    <row r="6210" spans="1:17" hidden="1">
      <c r="A6210" t="s">
        <v>6315</v>
      </c>
      <c r="B6210" s="1">
        <v>45746</v>
      </c>
      <c r="C6210">
        <v>2025</v>
      </c>
      <c r="D6210">
        <v>3</v>
      </c>
      <c r="E6210" t="s">
        <v>37</v>
      </c>
      <c r="F6210" t="s">
        <v>24</v>
      </c>
      <c r="G6210" t="s">
        <v>62</v>
      </c>
      <c r="H6210" t="s">
        <v>63</v>
      </c>
      <c r="I6210">
        <v>3658.04</v>
      </c>
      <c r="J6210">
        <v>3637.56</v>
      </c>
      <c r="K6210" t="s">
        <v>17</v>
      </c>
      <c r="L6210" t="b">
        <v>0</v>
      </c>
      <c r="N6210" s="2" t="str">
        <f t="shared" si="555"/>
        <v/>
      </c>
      <c r="Q6210" t="str">
        <f t="shared" si="559"/>
        <v/>
      </c>
    </row>
    <row r="6211" spans="1:17" hidden="1">
      <c r="A6211" t="s">
        <v>6316</v>
      </c>
      <c r="B6211" s="1">
        <v>45747</v>
      </c>
      <c r="C6211">
        <v>2025</v>
      </c>
      <c r="D6211">
        <v>3</v>
      </c>
      <c r="E6211" t="s">
        <v>13</v>
      </c>
      <c r="F6211" t="s">
        <v>24</v>
      </c>
      <c r="G6211" t="s">
        <v>108</v>
      </c>
      <c r="H6211" t="s">
        <v>126</v>
      </c>
      <c r="I6211">
        <v>3666.62</v>
      </c>
      <c r="J6211">
        <v>3983.52</v>
      </c>
      <c r="K6211" t="s">
        <v>17</v>
      </c>
      <c r="L6211" t="b">
        <v>0</v>
      </c>
      <c r="N6211" s="2" t="str">
        <f t="shared" ref="N6211:N6274" si="561">IF(AND(E6211="IT",K6211="EXPENSE"),I6211&gt;J6211,"")</f>
        <v/>
      </c>
      <c r="Q6211" t="str">
        <f t="shared" si="559"/>
        <v/>
      </c>
    </row>
    <row r="6212" spans="1:17" hidden="1">
      <c r="A6212" t="s">
        <v>6317</v>
      </c>
      <c r="B6212" s="1">
        <v>45747</v>
      </c>
      <c r="C6212">
        <v>2025</v>
      </c>
      <c r="D6212">
        <v>3</v>
      </c>
      <c r="E6212" t="s">
        <v>13</v>
      </c>
      <c r="F6212" t="s">
        <v>24</v>
      </c>
      <c r="G6212" t="s">
        <v>68</v>
      </c>
      <c r="H6212" t="s">
        <v>87</v>
      </c>
      <c r="I6212">
        <v>4262.18</v>
      </c>
      <c r="J6212">
        <v>4351.1400000000003</v>
      </c>
      <c r="K6212" t="s">
        <v>17</v>
      </c>
      <c r="L6212" t="b">
        <v>0</v>
      </c>
      <c r="N6212" s="2" t="str">
        <f t="shared" si="561"/>
        <v/>
      </c>
      <c r="Q6212" t="str">
        <f t="shared" si="559"/>
        <v/>
      </c>
    </row>
    <row r="6213" spans="1:17" hidden="1">
      <c r="A6213" t="s">
        <v>6318</v>
      </c>
      <c r="B6213" s="1">
        <v>45747</v>
      </c>
      <c r="C6213">
        <v>2025</v>
      </c>
      <c r="D6213">
        <v>3</v>
      </c>
      <c r="E6213" t="s">
        <v>47</v>
      </c>
      <c r="F6213" t="s">
        <v>14</v>
      </c>
      <c r="G6213" t="s">
        <v>91</v>
      </c>
      <c r="H6213" t="s">
        <v>254</v>
      </c>
      <c r="I6213">
        <v>21789.38</v>
      </c>
      <c r="J6213">
        <v>18321.919999999998</v>
      </c>
      <c r="K6213" t="s">
        <v>17</v>
      </c>
      <c r="L6213" t="b">
        <v>0</v>
      </c>
      <c r="N6213" s="2" t="b">
        <f t="shared" si="561"/>
        <v>1</v>
      </c>
      <c r="O6213" t="str">
        <f t="shared" ref="O6213:O6214" si="562">IF(AND(E6202="HR",K6202="EXPENSE"),I6202&lt;J6202,"")</f>
        <v/>
      </c>
      <c r="Q6213" t="str">
        <f t="shared" si="559"/>
        <v/>
      </c>
    </row>
    <row r="6214" spans="1:17" hidden="1">
      <c r="A6214" t="s">
        <v>6319</v>
      </c>
      <c r="B6214" s="1">
        <v>45747</v>
      </c>
      <c r="C6214">
        <v>2025</v>
      </c>
      <c r="D6214">
        <v>3</v>
      </c>
      <c r="E6214" t="s">
        <v>47</v>
      </c>
      <c r="F6214" t="s">
        <v>28</v>
      </c>
      <c r="G6214" t="s">
        <v>77</v>
      </c>
      <c r="H6214" t="s">
        <v>147</v>
      </c>
      <c r="I6214">
        <v>15284.26</v>
      </c>
      <c r="J6214">
        <v>12830.5</v>
      </c>
      <c r="K6214" t="s">
        <v>17</v>
      </c>
      <c r="L6214" t="b">
        <v>0</v>
      </c>
      <c r="N6214" s="2" t="b">
        <f t="shared" si="561"/>
        <v>1</v>
      </c>
      <c r="O6214" t="b">
        <f t="shared" si="562"/>
        <v>0</v>
      </c>
      <c r="Q6214" t="str">
        <f t="shared" si="559"/>
        <v/>
      </c>
    </row>
    <row r="6215" spans="1:17" hidden="1">
      <c r="A6215" t="s">
        <v>6320</v>
      </c>
      <c r="B6215" s="1">
        <v>45747</v>
      </c>
      <c r="C6215">
        <v>2025</v>
      </c>
      <c r="D6215">
        <v>3</v>
      </c>
      <c r="E6215" t="s">
        <v>19</v>
      </c>
      <c r="F6215" t="s">
        <v>24</v>
      </c>
      <c r="G6215" t="s">
        <v>80</v>
      </c>
      <c r="H6215" t="s">
        <v>217</v>
      </c>
      <c r="I6215">
        <v>7085.29</v>
      </c>
      <c r="J6215">
        <v>6931.45</v>
      </c>
      <c r="K6215" t="s">
        <v>17</v>
      </c>
      <c r="L6215" t="b">
        <v>0</v>
      </c>
      <c r="N6215" s="2" t="str">
        <f t="shared" si="561"/>
        <v/>
      </c>
      <c r="Q6215" t="str">
        <f t="shared" si="559"/>
        <v/>
      </c>
    </row>
    <row r="6216" spans="1:17" hidden="1">
      <c r="A6216" t="s">
        <v>6321</v>
      </c>
      <c r="B6216" s="1">
        <v>45747</v>
      </c>
      <c r="C6216">
        <v>2025</v>
      </c>
      <c r="D6216">
        <v>3</v>
      </c>
      <c r="E6216" t="s">
        <v>23</v>
      </c>
      <c r="F6216" t="s">
        <v>28</v>
      </c>
      <c r="G6216" t="s">
        <v>30</v>
      </c>
      <c r="H6216" t="s">
        <v>33</v>
      </c>
      <c r="I6216">
        <v>5477.07</v>
      </c>
      <c r="J6216">
        <v>5757.81</v>
      </c>
      <c r="K6216" t="s">
        <v>17</v>
      </c>
      <c r="L6216" t="b">
        <v>0</v>
      </c>
      <c r="N6216" s="2" t="str">
        <f t="shared" si="561"/>
        <v/>
      </c>
      <c r="Q6216" t="str">
        <f t="shared" si="559"/>
        <v/>
      </c>
    </row>
    <row r="6217" spans="1:17" hidden="1">
      <c r="A6217" t="s">
        <v>6322</v>
      </c>
      <c r="B6217" s="1">
        <v>45747</v>
      </c>
      <c r="C6217">
        <v>2025</v>
      </c>
      <c r="D6217">
        <v>3</v>
      </c>
      <c r="E6217" t="s">
        <v>37</v>
      </c>
      <c r="F6217" t="s">
        <v>14</v>
      </c>
      <c r="G6217" t="s">
        <v>62</v>
      </c>
      <c r="H6217" t="s">
        <v>360</v>
      </c>
      <c r="I6217">
        <v>6076.37</v>
      </c>
      <c r="J6217">
        <v>6389.4</v>
      </c>
      <c r="K6217" t="s">
        <v>17</v>
      </c>
      <c r="L6217" t="b">
        <v>0</v>
      </c>
      <c r="N6217" s="2" t="str">
        <f t="shared" si="561"/>
        <v/>
      </c>
      <c r="Q6217" t="str">
        <f t="shared" si="559"/>
        <v/>
      </c>
    </row>
    <row r="6218" spans="1:17" hidden="1">
      <c r="A6218" t="s">
        <v>6323</v>
      </c>
      <c r="B6218" s="1">
        <v>45747</v>
      </c>
      <c r="C6218">
        <v>2025</v>
      </c>
      <c r="D6218">
        <v>3</v>
      </c>
      <c r="E6218" t="s">
        <v>37</v>
      </c>
      <c r="F6218" t="s">
        <v>24</v>
      </c>
      <c r="G6218" t="s">
        <v>62</v>
      </c>
      <c r="H6218" t="s">
        <v>66</v>
      </c>
      <c r="I6218">
        <v>8033.95</v>
      </c>
      <c r="J6218">
        <v>8658.56</v>
      </c>
      <c r="K6218" t="s">
        <v>17</v>
      </c>
      <c r="L6218" t="b">
        <v>0</v>
      </c>
      <c r="N6218" s="2" t="str">
        <f t="shared" si="561"/>
        <v/>
      </c>
      <c r="Q6218" t="str">
        <f t="shared" si="559"/>
        <v/>
      </c>
    </row>
    <row r="6219" spans="1:17" hidden="1">
      <c r="A6219" t="s">
        <v>6324</v>
      </c>
      <c r="B6219" s="1">
        <v>45748</v>
      </c>
      <c r="C6219">
        <v>2025</v>
      </c>
      <c r="D6219">
        <v>4</v>
      </c>
      <c r="E6219" t="s">
        <v>47</v>
      </c>
      <c r="F6219" t="s">
        <v>28</v>
      </c>
      <c r="G6219" t="s">
        <v>91</v>
      </c>
      <c r="H6219" t="s">
        <v>254</v>
      </c>
      <c r="I6219">
        <v>20136.22</v>
      </c>
      <c r="J6219">
        <v>17330.810000000001</v>
      </c>
      <c r="K6219" t="s">
        <v>17</v>
      </c>
      <c r="L6219" t="b">
        <v>0</v>
      </c>
      <c r="N6219" s="2" t="b">
        <f t="shared" si="561"/>
        <v>1</v>
      </c>
      <c r="O6219" t="str">
        <f t="shared" ref="O6219:O6220" si="563">IF(AND(E6208="HR",K6208="EXPENSE"),I6208&lt;J6208,"")</f>
        <v/>
      </c>
      <c r="Q6219" t="str">
        <f t="shared" si="559"/>
        <v/>
      </c>
    </row>
    <row r="6220" spans="1:17" hidden="1">
      <c r="A6220" t="s">
        <v>6325</v>
      </c>
      <c r="B6220" s="1">
        <v>45748</v>
      </c>
      <c r="C6220">
        <v>2025</v>
      </c>
      <c r="D6220">
        <v>4</v>
      </c>
      <c r="E6220" t="s">
        <v>47</v>
      </c>
      <c r="F6220" t="s">
        <v>28</v>
      </c>
      <c r="G6220" t="s">
        <v>48</v>
      </c>
      <c r="H6220" t="s">
        <v>189</v>
      </c>
      <c r="I6220">
        <v>9127.48</v>
      </c>
      <c r="J6220">
        <v>7917.99</v>
      </c>
      <c r="K6220" t="s">
        <v>17</v>
      </c>
      <c r="L6220" t="b">
        <v>0</v>
      </c>
      <c r="N6220" s="2" t="b">
        <f t="shared" si="561"/>
        <v>1</v>
      </c>
      <c r="O6220" t="str">
        <f t="shared" si="563"/>
        <v/>
      </c>
      <c r="Q6220" t="str">
        <f t="shared" si="559"/>
        <v/>
      </c>
    </row>
    <row r="6221" spans="1:17" hidden="1">
      <c r="A6221" t="s">
        <v>6326</v>
      </c>
      <c r="B6221" s="1">
        <v>45748</v>
      </c>
      <c r="C6221">
        <v>2025</v>
      </c>
      <c r="D6221">
        <v>4</v>
      </c>
      <c r="E6221" t="s">
        <v>19</v>
      </c>
      <c r="F6221" t="s">
        <v>28</v>
      </c>
      <c r="G6221" t="s">
        <v>80</v>
      </c>
      <c r="H6221" t="s">
        <v>150</v>
      </c>
      <c r="I6221">
        <v>5122.87</v>
      </c>
      <c r="J6221">
        <v>5373.36</v>
      </c>
      <c r="K6221" t="s">
        <v>17</v>
      </c>
      <c r="L6221" t="b">
        <v>0</v>
      </c>
      <c r="N6221" s="2" t="str">
        <f t="shared" si="561"/>
        <v/>
      </c>
      <c r="Q6221" t="str">
        <f t="shared" si="559"/>
        <v/>
      </c>
    </row>
    <row r="6222" spans="1:17" hidden="1">
      <c r="A6222" t="s">
        <v>6327</v>
      </c>
      <c r="B6222" s="1">
        <v>45748</v>
      </c>
      <c r="C6222">
        <v>2025</v>
      </c>
      <c r="D6222">
        <v>4</v>
      </c>
      <c r="E6222" t="s">
        <v>37</v>
      </c>
      <c r="F6222" t="s">
        <v>28</v>
      </c>
      <c r="G6222" t="s">
        <v>38</v>
      </c>
      <c r="H6222" t="s">
        <v>118</v>
      </c>
      <c r="I6222">
        <v>3418.48</v>
      </c>
      <c r="J6222">
        <v>3499.27</v>
      </c>
      <c r="K6222" t="s">
        <v>17</v>
      </c>
      <c r="L6222" t="b">
        <v>0</v>
      </c>
      <c r="N6222" s="2" t="str">
        <f t="shared" si="561"/>
        <v/>
      </c>
      <c r="Q6222" t="str">
        <f t="shared" si="559"/>
        <v/>
      </c>
    </row>
    <row r="6223" spans="1:17" hidden="1">
      <c r="A6223" t="s">
        <v>6328</v>
      </c>
      <c r="B6223" s="1">
        <v>45748</v>
      </c>
      <c r="C6223">
        <v>2025</v>
      </c>
      <c r="D6223">
        <v>4</v>
      </c>
      <c r="E6223" t="s">
        <v>37</v>
      </c>
      <c r="F6223" t="s">
        <v>24</v>
      </c>
      <c r="G6223" t="s">
        <v>41</v>
      </c>
      <c r="H6223" t="s">
        <v>42</v>
      </c>
      <c r="I6223">
        <v>6228.34</v>
      </c>
      <c r="J6223">
        <v>6760.33</v>
      </c>
      <c r="K6223" t="s">
        <v>17</v>
      </c>
      <c r="L6223" t="b">
        <v>0</v>
      </c>
      <c r="N6223" s="2" t="str">
        <f t="shared" si="561"/>
        <v/>
      </c>
      <c r="Q6223" t="str">
        <f t="shared" si="559"/>
        <v/>
      </c>
    </row>
    <row r="6224" spans="1:17" hidden="1">
      <c r="A6224" t="s">
        <v>6329</v>
      </c>
      <c r="B6224" s="1">
        <v>45748</v>
      </c>
      <c r="C6224">
        <v>2025</v>
      </c>
      <c r="D6224">
        <v>4</v>
      </c>
      <c r="E6224" t="s">
        <v>37</v>
      </c>
      <c r="F6224" t="s">
        <v>24</v>
      </c>
      <c r="G6224" t="s">
        <v>62</v>
      </c>
      <c r="H6224" t="s">
        <v>66</v>
      </c>
      <c r="I6224">
        <v>4898.1099999999997</v>
      </c>
      <c r="J6224">
        <v>4699.8999999999996</v>
      </c>
      <c r="K6224" t="s">
        <v>17</v>
      </c>
      <c r="L6224" t="b">
        <v>0</v>
      </c>
      <c r="N6224" s="2" t="str">
        <f t="shared" si="561"/>
        <v/>
      </c>
      <c r="Q6224" t="str">
        <f t="shared" si="559"/>
        <v/>
      </c>
    </row>
    <row r="6225" spans="1:17" hidden="1">
      <c r="A6225" t="s">
        <v>6330</v>
      </c>
      <c r="B6225" s="1">
        <v>45749</v>
      </c>
      <c r="C6225">
        <v>2025</v>
      </c>
      <c r="D6225">
        <v>4</v>
      </c>
      <c r="E6225" t="s">
        <v>47</v>
      </c>
      <c r="F6225" t="s">
        <v>24</v>
      </c>
      <c r="G6225" t="s">
        <v>51</v>
      </c>
      <c r="H6225" t="s">
        <v>52</v>
      </c>
      <c r="I6225">
        <v>23009.360000000001</v>
      </c>
      <c r="J6225">
        <v>18999.04</v>
      </c>
      <c r="K6225" t="s">
        <v>17</v>
      </c>
      <c r="L6225" t="b">
        <v>0</v>
      </c>
      <c r="N6225" s="2" t="b">
        <f t="shared" si="561"/>
        <v>1</v>
      </c>
      <c r="O6225" t="str">
        <f>IF(AND(E6214="HR",K6214="EXPENSE"),I6214&lt;J6214,"")</f>
        <v/>
      </c>
      <c r="Q6225" t="str">
        <f t="shared" si="559"/>
        <v/>
      </c>
    </row>
    <row r="6226" spans="1:17" hidden="1">
      <c r="A6226" t="s">
        <v>6331</v>
      </c>
      <c r="B6226" s="1">
        <v>45749</v>
      </c>
      <c r="C6226">
        <v>2025</v>
      </c>
      <c r="D6226">
        <v>4</v>
      </c>
      <c r="E6226" t="s">
        <v>23</v>
      </c>
      <c r="F6226" t="s">
        <v>14</v>
      </c>
      <c r="G6226" t="s">
        <v>25</v>
      </c>
      <c r="H6226" t="s">
        <v>35</v>
      </c>
      <c r="I6226">
        <v>5733.06</v>
      </c>
      <c r="J6226">
        <v>5238.62</v>
      </c>
      <c r="K6226" t="s">
        <v>17</v>
      </c>
      <c r="L6226" t="b">
        <v>0</v>
      </c>
      <c r="N6226" s="2" t="str">
        <f t="shared" si="561"/>
        <v/>
      </c>
      <c r="Q6226" t="str">
        <f t="shared" si="559"/>
        <v/>
      </c>
    </row>
    <row r="6227" spans="1:17" hidden="1">
      <c r="A6227" t="s">
        <v>6332</v>
      </c>
      <c r="B6227" s="1">
        <v>45749</v>
      </c>
      <c r="C6227">
        <v>2025</v>
      </c>
      <c r="D6227">
        <v>4</v>
      </c>
      <c r="E6227" t="s">
        <v>37</v>
      </c>
      <c r="F6227" t="s">
        <v>28</v>
      </c>
      <c r="G6227" t="s">
        <v>83</v>
      </c>
      <c r="H6227" t="s">
        <v>84</v>
      </c>
      <c r="I6227">
        <v>191914.86</v>
      </c>
      <c r="J6227">
        <v>182319.12</v>
      </c>
      <c r="K6227" t="s">
        <v>85</v>
      </c>
      <c r="L6227" t="b">
        <v>0</v>
      </c>
      <c r="N6227" s="2" t="str">
        <f t="shared" si="561"/>
        <v/>
      </c>
      <c r="Q6227" t="str">
        <f t="shared" si="559"/>
        <v/>
      </c>
    </row>
    <row r="6228" spans="1:17" hidden="1">
      <c r="A6228" t="s">
        <v>6333</v>
      </c>
      <c r="B6228" s="1">
        <v>45750</v>
      </c>
      <c r="C6228">
        <v>2025</v>
      </c>
      <c r="D6228">
        <v>4</v>
      </c>
      <c r="E6228" t="s">
        <v>13</v>
      </c>
      <c r="F6228" t="s">
        <v>14</v>
      </c>
      <c r="G6228" t="s">
        <v>15</v>
      </c>
      <c r="H6228" t="s">
        <v>89</v>
      </c>
      <c r="I6228">
        <v>2270.98</v>
      </c>
      <c r="J6228">
        <v>2153.1999999999998</v>
      </c>
      <c r="K6228" t="s">
        <v>17</v>
      </c>
      <c r="L6228" t="b">
        <v>0</v>
      </c>
      <c r="N6228" s="2" t="str">
        <f t="shared" si="561"/>
        <v/>
      </c>
      <c r="Q6228" t="str">
        <f t="shared" si="559"/>
        <v/>
      </c>
    </row>
    <row r="6229" spans="1:17" hidden="1">
      <c r="A6229" t="s">
        <v>6334</v>
      </c>
      <c r="B6229" s="1">
        <v>45750</v>
      </c>
      <c r="C6229">
        <v>2025</v>
      </c>
      <c r="D6229">
        <v>4</v>
      </c>
      <c r="E6229" t="s">
        <v>13</v>
      </c>
      <c r="F6229" t="s">
        <v>24</v>
      </c>
      <c r="G6229" t="s">
        <v>68</v>
      </c>
      <c r="H6229" t="s">
        <v>213</v>
      </c>
      <c r="I6229">
        <v>3069.48</v>
      </c>
      <c r="J6229">
        <v>2781.77</v>
      </c>
      <c r="K6229" t="s">
        <v>17</v>
      </c>
      <c r="L6229" t="b">
        <v>0</v>
      </c>
      <c r="N6229" s="2" t="str">
        <f t="shared" si="561"/>
        <v/>
      </c>
      <c r="Q6229" t="str">
        <f t="shared" si="559"/>
        <v/>
      </c>
    </row>
    <row r="6230" spans="1:17" hidden="1">
      <c r="A6230" t="s">
        <v>6335</v>
      </c>
      <c r="B6230" s="1">
        <v>45750</v>
      </c>
      <c r="C6230">
        <v>2025</v>
      </c>
      <c r="D6230">
        <v>4</v>
      </c>
      <c r="E6230" t="s">
        <v>13</v>
      </c>
      <c r="F6230" t="s">
        <v>24</v>
      </c>
      <c r="G6230" t="s">
        <v>108</v>
      </c>
      <c r="H6230" t="s">
        <v>109</v>
      </c>
      <c r="I6230">
        <v>2429.81</v>
      </c>
      <c r="J6230">
        <v>2650.82</v>
      </c>
      <c r="K6230" t="s">
        <v>17</v>
      </c>
      <c r="L6230" t="b">
        <v>0</v>
      </c>
      <c r="N6230" s="2" t="str">
        <f t="shared" si="561"/>
        <v/>
      </c>
      <c r="Q6230" t="str">
        <f t="shared" si="559"/>
        <v/>
      </c>
    </row>
    <row r="6231" spans="1:17" hidden="1">
      <c r="A6231" t="s">
        <v>6336</v>
      </c>
      <c r="B6231" s="1">
        <v>45750</v>
      </c>
      <c r="C6231">
        <v>2025</v>
      </c>
      <c r="D6231">
        <v>4</v>
      </c>
      <c r="E6231" t="s">
        <v>19</v>
      </c>
      <c r="F6231" t="s">
        <v>14</v>
      </c>
      <c r="G6231" t="s">
        <v>80</v>
      </c>
      <c r="H6231" t="s">
        <v>150</v>
      </c>
      <c r="I6231">
        <v>9764.35</v>
      </c>
      <c r="J6231">
        <v>8894.59</v>
      </c>
      <c r="K6231" t="s">
        <v>17</v>
      </c>
      <c r="L6231" t="b">
        <v>0</v>
      </c>
      <c r="N6231" s="2" t="str">
        <f t="shared" si="561"/>
        <v/>
      </c>
      <c r="Q6231" t="str">
        <f t="shared" si="559"/>
        <v/>
      </c>
    </row>
    <row r="6232" spans="1:17" hidden="1">
      <c r="A6232" t="s">
        <v>6337</v>
      </c>
      <c r="B6232" s="1">
        <v>45750</v>
      </c>
      <c r="C6232">
        <v>2025</v>
      </c>
      <c r="D6232">
        <v>4</v>
      </c>
      <c r="E6232" t="s">
        <v>19</v>
      </c>
      <c r="F6232" t="s">
        <v>14</v>
      </c>
      <c r="G6232" t="s">
        <v>132</v>
      </c>
      <c r="H6232" t="s">
        <v>138</v>
      </c>
      <c r="I6232">
        <v>8990.25</v>
      </c>
      <c r="J6232">
        <v>9724.66</v>
      </c>
      <c r="K6232" t="s">
        <v>17</v>
      </c>
      <c r="L6232" t="b">
        <v>0</v>
      </c>
      <c r="N6232" s="2" t="str">
        <f t="shared" si="561"/>
        <v/>
      </c>
      <c r="Q6232" t="str">
        <f t="shared" si="559"/>
        <v/>
      </c>
    </row>
    <row r="6233" spans="1:17" hidden="1">
      <c r="A6233" t="s">
        <v>6338</v>
      </c>
      <c r="B6233" s="1">
        <v>45750</v>
      </c>
      <c r="C6233">
        <v>2025</v>
      </c>
      <c r="D6233">
        <v>4</v>
      </c>
      <c r="E6233" t="s">
        <v>19</v>
      </c>
      <c r="F6233" t="s">
        <v>24</v>
      </c>
      <c r="G6233" t="s">
        <v>80</v>
      </c>
      <c r="H6233" t="s">
        <v>81</v>
      </c>
      <c r="I6233">
        <v>7510.18</v>
      </c>
      <c r="J6233">
        <v>7279.15</v>
      </c>
      <c r="K6233" t="s">
        <v>17</v>
      </c>
      <c r="L6233" t="b">
        <v>0</v>
      </c>
      <c r="N6233" s="2" t="str">
        <f t="shared" si="561"/>
        <v/>
      </c>
      <c r="Q6233" t="str">
        <f t="shared" si="559"/>
        <v/>
      </c>
    </row>
    <row r="6234" spans="1:17" hidden="1">
      <c r="A6234" t="s">
        <v>6339</v>
      </c>
      <c r="B6234" s="1">
        <v>45750</v>
      </c>
      <c r="C6234">
        <v>2025</v>
      </c>
      <c r="D6234">
        <v>4</v>
      </c>
      <c r="E6234" t="s">
        <v>19</v>
      </c>
      <c r="F6234" t="s">
        <v>24</v>
      </c>
      <c r="G6234" t="s">
        <v>20</v>
      </c>
      <c r="H6234" t="s">
        <v>174</v>
      </c>
      <c r="I6234">
        <v>4701.6499999999996</v>
      </c>
      <c r="J6234">
        <v>4726</v>
      </c>
      <c r="K6234" t="s">
        <v>17</v>
      </c>
      <c r="L6234" t="b">
        <v>0</v>
      </c>
      <c r="N6234" s="2" t="str">
        <f t="shared" si="561"/>
        <v/>
      </c>
      <c r="Q6234" t="str">
        <f t="shared" si="559"/>
        <v/>
      </c>
    </row>
    <row r="6235" spans="1:17" hidden="1">
      <c r="A6235" t="s">
        <v>6340</v>
      </c>
      <c r="B6235" s="1">
        <v>45750</v>
      </c>
      <c r="C6235">
        <v>2025</v>
      </c>
      <c r="D6235">
        <v>4</v>
      </c>
      <c r="E6235" t="s">
        <v>37</v>
      </c>
      <c r="F6235" t="s">
        <v>28</v>
      </c>
      <c r="G6235" t="s">
        <v>98</v>
      </c>
      <c r="H6235" t="s">
        <v>99</v>
      </c>
      <c r="I6235">
        <v>4427.7299999999996</v>
      </c>
      <c r="J6235">
        <v>4782.6899999999996</v>
      </c>
      <c r="K6235" t="s">
        <v>17</v>
      </c>
      <c r="L6235" t="b">
        <v>0</v>
      </c>
      <c r="N6235" s="2" t="str">
        <f t="shared" si="561"/>
        <v/>
      </c>
      <c r="Q6235" t="str">
        <f t="shared" si="559"/>
        <v/>
      </c>
    </row>
    <row r="6236" spans="1:17" hidden="1">
      <c r="A6236" t="s">
        <v>6341</v>
      </c>
      <c r="B6236" s="1">
        <v>45750</v>
      </c>
      <c r="C6236">
        <v>2025</v>
      </c>
      <c r="D6236">
        <v>4</v>
      </c>
      <c r="E6236" t="s">
        <v>37</v>
      </c>
      <c r="F6236" t="s">
        <v>28</v>
      </c>
      <c r="G6236" t="s">
        <v>98</v>
      </c>
      <c r="H6236" t="s">
        <v>185</v>
      </c>
      <c r="I6236">
        <v>3869.5</v>
      </c>
      <c r="J6236">
        <v>3712.47</v>
      </c>
      <c r="K6236" t="s">
        <v>17</v>
      </c>
      <c r="L6236" t="b">
        <v>0</v>
      </c>
      <c r="N6236" s="2" t="str">
        <f t="shared" si="561"/>
        <v/>
      </c>
      <c r="Q6236" t="str">
        <f t="shared" si="559"/>
        <v/>
      </c>
    </row>
    <row r="6237" spans="1:17" hidden="1">
      <c r="A6237" t="s">
        <v>6342</v>
      </c>
      <c r="B6237" s="1">
        <v>45751</v>
      </c>
      <c r="C6237">
        <v>2025</v>
      </c>
      <c r="D6237">
        <v>4</v>
      </c>
      <c r="E6237" t="s">
        <v>13</v>
      </c>
      <c r="F6237" t="s">
        <v>28</v>
      </c>
      <c r="G6237" t="s">
        <v>68</v>
      </c>
      <c r="H6237" t="s">
        <v>87</v>
      </c>
      <c r="I6237">
        <v>1664.47</v>
      </c>
      <c r="J6237">
        <v>1800.39</v>
      </c>
      <c r="K6237" t="s">
        <v>17</v>
      </c>
      <c r="L6237" t="b">
        <v>0</v>
      </c>
      <c r="N6237" s="2" t="str">
        <f t="shared" si="561"/>
        <v/>
      </c>
      <c r="Q6237" t="str">
        <f t="shared" si="559"/>
        <v/>
      </c>
    </row>
    <row r="6238" spans="1:17" hidden="1">
      <c r="A6238" t="s">
        <v>6343</v>
      </c>
      <c r="B6238" s="1">
        <v>45751</v>
      </c>
      <c r="C6238">
        <v>2025</v>
      </c>
      <c r="D6238">
        <v>4</v>
      </c>
      <c r="E6238" t="s">
        <v>13</v>
      </c>
      <c r="F6238" t="s">
        <v>24</v>
      </c>
      <c r="G6238" t="s">
        <v>102</v>
      </c>
      <c r="H6238" t="s">
        <v>103</v>
      </c>
      <c r="I6238">
        <v>3894.35</v>
      </c>
      <c r="J6238">
        <v>3598.92</v>
      </c>
      <c r="K6238" t="s">
        <v>17</v>
      </c>
      <c r="L6238" t="b">
        <v>0</v>
      </c>
      <c r="N6238" s="2" t="str">
        <f t="shared" si="561"/>
        <v/>
      </c>
      <c r="Q6238" t="str">
        <f t="shared" si="559"/>
        <v/>
      </c>
    </row>
    <row r="6239" spans="1:17" hidden="1">
      <c r="A6239" t="s">
        <v>6344</v>
      </c>
      <c r="B6239" s="1">
        <v>45751</v>
      </c>
      <c r="C6239">
        <v>2025</v>
      </c>
      <c r="D6239">
        <v>4</v>
      </c>
      <c r="E6239" t="s">
        <v>47</v>
      </c>
      <c r="F6239" t="s">
        <v>24</v>
      </c>
      <c r="G6239" t="s">
        <v>48</v>
      </c>
      <c r="H6239" t="s">
        <v>49</v>
      </c>
      <c r="I6239">
        <v>23615.43</v>
      </c>
      <c r="J6239">
        <v>20000.57</v>
      </c>
      <c r="K6239" t="s">
        <v>17</v>
      </c>
      <c r="L6239" t="b">
        <v>0</v>
      </c>
      <c r="N6239" s="2" t="b">
        <f t="shared" si="561"/>
        <v>1</v>
      </c>
      <c r="O6239" t="b">
        <f>IF(AND(E6228="HR",K6228="EXPENSE"),I6228&lt;J6228,"")</f>
        <v>0</v>
      </c>
      <c r="Q6239" t="str">
        <f t="shared" si="559"/>
        <v/>
      </c>
    </row>
    <row r="6240" spans="1:17" hidden="1">
      <c r="A6240" t="s">
        <v>6345</v>
      </c>
      <c r="B6240" s="1">
        <v>45751</v>
      </c>
      <c r="C6240">
        <v>2025</v>
      </c>
      <c r="D6240">
        <v>4</v>
      </c>
      <c r="E6240" t="s">
        <v>19</v>
      </c>
      <c r="F6240" t="s">
        <v>24</v>
      </c>
      <c r="G6240" t="s">
        <v>20</v>
      </c>
      <c r="H6240" t="s">
        <v>21</v>
      </c>
      <c r="I6240">
        <v>3924.99</v>
      </c>
      <c r="J6240">
        <v>3675.31</v>
      </c>
      <c r="K6240" t="s">
        <v>17</v>
      </c>
      <c r="L6240" t="b">
        <v>0</v>
      </c>
      <c r="N6240" s="2" t="str">
        <f t="shared" si="561"/>
        <v/>
      </c>
      <c r="Q6240" t="str">
        <f t="shared" si="559"/>
        <v/>
      </c>
    </row>
    <row r="6241" spans="1:17" hidden="1">
      <c r="A6241" t="s">
        <v>6346</v>
      </c>
      <c r="B6241" s="1">
        <v>45751</v>
      </c>
      <c r="C6241">
        <v>2025</v>
      </c>
      <c r="D6241">
        <v>4</v>
      </c>
      <c r="E6241" t="s">
        <v>23</v>
      </c>
      <c r="F6241" t="s">
        <v>14</v>
      </c>
      <c r="G6241" t="s">
        <v>25</v>
      </c>
      <c r="H6241" t="s">
        <v>95</v>
      </c>
      <c r="I6241">
        <v>3121.37</v>
      </c>
      <c r="J6241">
        <v>2814.04</v>
      </c>
      <c r="K6241" t="s">
        <v>17</v>
      </c>
      <c r="L6241" t="b">
        <v>0</v>
      </c>
      <c r="N6241" s="2" t="str">
        <f t="shared" si="561"/>
        <v/>
      </c>
      <c r="Q6241" t="str">
        <f t="shared" si="559"/>
        <v/>
      </c>
    </row>
    <row r="6242" spans="1:17" hidden="1">
      <c r="A6242" t="s">
        <v>6347</v>
      </c>
      <c r="B6242" s="1">
        <v>45752</v>
      </c>
      <c r="C6242">
        <v>2025</v>
      </c>
      <c r="D6242">
        <v>4</v>
      </c>
      <c r="E6242" t="s">
        <v>13</v>
      </c>
      <c r="F6242" t="s">
        <v>14</v>
      </c>
      <c r="G6242" t="s">
        <v>68</v>
      </c>
      <c r="H6242" t="s">
        <v>87</v>
      </c>
      <c r="I6242">
        <v>3954.2</v>
      </c>
      <c r="J6242">
        <v>3596.53</v>
      </c>
      <c r="K6242" t="s">
        <v>17</v>
      </c>
      <c r="L6242" t="b">
        <v>0</v>
      </c>
      <c r="N6242" s="2" t="str">
        <f t="shared" si="561"/>
        <v/>
      </c>
      <c r="Q6242" t="str">
        <f t="shared" si="559"/>
        <v/>
      </c>
    </row>
    <row r="6243" spans="1:17" hidden="1">
      <c r="A6243" t="s">
        <v>6348</v>
      </c>
      <c r="B6243" s="1">
        <v>45752</v>
      </c>
      <c r="C6243">
        <v>2025</v>
      </c>
      <c r="D6243">
        <v>4</v>
      </c>
      <c r="E6243" t="s">
        <v>13</v>
      </c>
      <c r="F6243" t="s">
        <v>28</v>
      </c>
      <c r="G6243" t="s">
        <v>102</v>
      </c>
      <c r="H6243" t="s">
        <v>278</v>
      </c>
      <c r="I6243">
        <v>4744.4799999999996</v>
      </c>
      <c r="J6243">
        <v>4770.5200000000004</v>
      </c>
      <c r="K6243" t="s">
        <v>17</v>
      </c>
      <c r="L6243" t="b">
        <v>0</v>
      </c>
      <c r="N6243" s="2" t="str">
        <f t="shared" si="561"/>
        <v/>
      </c>
      <c r="Q6243" t="str">
        <f t="shared" si="559"/>
        <v/>
      </c>
    </row>
    <row r="6244" spans="1:17" hidden="1">
      <c r="A6244" t="s">
        <v>6349</v>
      </c>
      <c r="B6244" s="1">
        <v>45752</v>
      </c>
      <c r="C6244">
        <v>2025</v>
      </c>
      <c r="D6244">
        <v>4</v>
      </c>
      <c r="E6244" t="s">
        <v>47</v>
      </c>
      <c r="F6244" t="s">
        <v>14</v>
      </c>
      <c r="G6244" t="s">
        <v>48</v>
      </c>
      <c r="H6244" t="s">
        <v>191</v>
      </c>
      <c r="I6244">
        <v>18784.05</v>
      </c>
      <c r="J6244">
        <v>15425.95</v>
      </c>
      <c r="K6244" t="s">
        <v>17</v>
      </c>
      <c r="L6244" t="b">
        <v>0</v>
      </c>
      <c r="N6244" s="2" t="b">
        <f t="shared" si="561"/>
        <v>1</v>
      </c>
      <c r="O6244" t="str">
        <f>IF(AND(E6233="HR",K6233="EXPENSE"),I6233&lt;J6233,"")</f>
        <v/>
      </c>
      <c r="Q6244" t="str">
        <f t="shared" si="559"/>
        <v/>
      </c>
    </row>
    <row r="6245" spans="1:17" hidden="1">
      <c r="A6245" t="s">
        <v>6350</v>
      </c>
      <c r="B6245" s="1">
        <v>45752</v>
      </c>
      <c r="C6245">
        <v>2025</v>
      </c>
      <c r="D6245">
        <v>4</v>
      </c>
      <c r="E6245" t="s">
        <v>19</v>
      </c>
      <c r="F6245" t="s">
        <v>28</v>
      </c>
      <c r="G6245" t="s">
        <v>20</v>
      </c>
      <c r="H6245" t="s">
        <v>136</v>
      </c>
      <c r="I6245">
        <v>4745.96</v>
      </c>
      <c r="J6245">
        <v>4890.3500000000004</v>
      </c>
      <c r="K6245" t="s">
        <v>17</v>
      </c>
      <c r="L6245" t="b">
        <v>0</v>
      </c>
      <c r="N6245" s="2" t="str">
        <f t="shared" si="561"/>
        <v/>
      </c>
      <c r="Q6245" t="str">
        <f t="shared" si="559"/>
        <v/>
      </c>
    </row>
    <row r="6246" spans="1:17" hidden="1">
      <c r="A6246" t="s">
        <v>6351</v>
      </c>
      <c r="B6246" s="1">
        <v>45752</v>
      </c>
      <c r="C6246">
        <v>2025</v>
      </c>
      <c r="D6246">
        <v>4</v>
      </c>
      <c r="E6246" t="s">
        <v>37</v>
      </c>
      <c r="F6246" t="s">
        <v>14</v>
      </c>
      <c r="G6246" t="s">
        <v>38</v>
      </c>
      <c r="H6246" t="s">
        <v>227</v>
      </c>
      <c r="I6246">
        <v>5377.28</v>
      </c>
      <c r="J6246">
        <v>4866.1899999999996</v>
      </c>
      <c r="K6246" t="s">
        <v>17</v>
      </c>
      <c r="L6246" t="b">
        <v>0</v>
      </c>
      <c r="N6246" s="2" t="str">
        <f t="shared" si="561"/>
        <v/>
      </c>
      <c r="Q6246" t="str">
        <f t="shared" si="559"/>
        <v/>
      </c>
    </row>
    <row r="6247" spans="1:17" hidden="1">
      <c r="A6247" t="s">
        <v>6352</v>
      </c>
      <c r="B6247" s="1">
        <v>45752</v>
      </c>
      <c r="C6247">
        <v>2025</v>
      </c>
      <c r="D6247">
        <v>4</v>
      </c>
      <c r="E6247" t="s">
        <v>37</v>
      </c>
      <c r="F6247" t="s">
        <v>24</v>
      </c>
      <c r="G6247" t="s">
        <v>41</v>
      </c>
      <c r="H6247" t="s">
        <v>42</v>
      </c>
      <c r="I6247">
        <v>4496.92</v>
      </c>
      <c r="J6247">
        <v>4115.8100000000004</v>
      </c>
      <c r="K6247" t="s">
        <v>17</v>
      </c>
      <c r="L6247" t="b">
        <v>0</v>
      </c>
      <c r="N6247" s="2" t="str">
        <f t="shared" si="561"/>
        <v/>
      </c>
      <c r="Q6247" t="str">
        <f t="shared" si="559"/>
        <v/>
      </c>
    </row>
    <row r="6248" spans="1:17" hidden="1">
      <c r="A6248" t="s">
        <v>6353</v>
      </c>
      <c r="B6248" s="1">
        <v>45753</v>
      </c>
      <c r="C6248">
        <v>2025</v>
      </c>
      <c r="D6248">
        <v>4</v>
      </c>
      <c r="E6248" t="s">
        <v>13</v>
      </c>
      <c r="F6248" t="s">
        <v>28</v>
      </c>
      <c r="G6248" t="s">
        <v>68</v>
      </c>
      <c r="H6248" t="s">
        <v>87</v>
      </c>
      <c r="I6248">
        <v>2501.5300000000002</v>
      </c>
      <c r="J6248">
        <v>2500.75</v>
      </c>
      <c r="K6248" t="s">
        <v>17</v>
      </c>
      <c r="L6248" t="b">
        <v>0</v>
      </c>
      <c r="N6248" s="2" t="str">
        <f t="shared" si="561"/>
        <v/>
      </c>
      <c r="Q6248" t="str">
        <f t="shared" si="559"/>
        <v/>
      </c>
    </row>
    <row r="6249" spans="1:17" hidden="1">
      <c r="A6249" t="s">
        <v>6354</v>
      </c>
      <c r="B6249" s="1">
        <v>45753</v>
      </c>
      <c r="C6249">
        <v>2025</v>
      </c>
      <c r="D6249">
        <v>4</v>
      </c>
      <c r="E6249" t="s">
        <v>13</v>
      </c>
      <c r="F6249" t="s">
        <v>28</v>
      </c>
      <c r="G6249" t="s">
        <v>68</v>
      </c>
      <c r="H6249" t="s">
        <v>87</v>
      </c>
      <c r="I6249">
        <v>3553.88</v>
      </c>
      <c r="J6249">
        <v>3686.6</v>
      </c>
      <c r="K6249" t="s">
        <v>17</v>
      </c>
      <c r="L6249" t="b">
        <v>0</v>
      </c>
      <c r="N6249" s="2" t="str">
        <f t="shared" si="561"/>
        <v/>
      </c>
      <c r="Q6249" t="str">
        <f t="shared" si="559"/>
        <v/>
      </c>
    </row>
    <row r="6250" spans="1:17" hidden="1">
      <c r="A6250" t="s">
        <v>6355</v>
      </c>
      <c r="B6250" s="1">
        <v>45753</v>
      </c>
      <c r="C6250">
        <v>2025</v>
      </c>
      <c r="D6250">
        <v>4</v>
      </c>
      <c r="E6250" t="s">
        <v>47</v>
      </c>
      <c r="F6250" t="s">
        <v>14</v>
      </c>
      <c r="G6250" t="s">
        <v>91</v>
      </c>
      <c r="H6250" t="s">
        <v>92</v>
      </c>
      <c r="I6250">
        <v>20676.93</v>
      </c>
      <c r="J6250">
        <v>17275.45</v>
      </c>
      <c r="K6250" t="s">
        <v>17</v>
      </c>
      <c r="L6250" t="b">
        <v>0</v>
      </c>
      <c r="N6250" s="2" t="b">
        <f t="shared" si="561"/>
        <v>1</v>
      </c>
      <c r="O6250" t="str">
        <f>IF(AND(E6239="HR",K6239="EXPENSE"),I6239&lt;J6239,"")</f>
        <v/>
      </c>
      <c r="Q6250" t="str">
        <f t="shared" si="559"/>
        <v/>
      </c>
    </row>
    <row r="6251" spans="1:17" hidden="1">
      <c r="A6251" t="s">
        <v>6356</v>
      </c>
      <c r="B6251" s="1">
        <v>45753</v>
      </c>
      <c r="C6251">
        <v>2025</v>
      </c>
      <c r="D6251">
        <v>4</v>
      </c>
      <c r="E6251" t="s">
        <v>19</v>
      </c>
      <c r="F6251" t="s">
        <v>14</v>
      </c>
      <c r="G6251" t="s">
        <v>132</v>
      </c>
      <c r="H6251" t="s">
        <v>171</v>
      </c>
      <c r="I6251">
        <v>7068.74</v>
      </c>
      <c r="J6251">
        <v>6362.22</v>
      </c>
      <c r="K6251" t="s">
        <v>17</v>
      </c>
      <c r="L6251" t="b">
        <v>0</v>
      </c>
      <c r="N6251" s="2" t="str">
        <f t="shared" si="561"/>
        <v/>
      </c>
      <c r="Q6251" t="str">
        <f t="shared" si="559"/>
        <v/>
      </c>
    </row>
    <row r="6252" spans="1:17" hidden="1">
      <c r="A6252" t="s">
        <v>6357</v>
      </c>
      <c r="B6252" s="1">
        <v>45753</v>
      </c>
      <c r="C6252">
        <v>2025</v>
      </c>
      <c r="D6252">
        <v>4</v>
      </c>
      <c r="E6252" t="s">
        <v>19</v>
      </c>
      <c r="F6252" t="s">
        <v>28</v>
      </c>
      <c r="G6252" t="s">
        <v>54</v>
      </c>
      <c r="H6252" t="s">
        <v>163</v>
      </c>
      <c r="I6252">
        <v>7465.76</v>
      </c>
      <c r="J6252">
        <v>6962.45</v>
      </c>
      <c r="K6252" t="s">
        <v>17</v>
      </c>
      <c r="L6252" t="b">
        <v>0</v>
      </c>
      <c r="N6252" s="2" t="str">
        <f t="shared" si="561"/>
        <v/>
      </c>
      <c r="Q6252" t="str">
        <f t="shared" si="559"/>
        <v/>
      </c>
    </row>
    <row r="6253" spans="1:17" hidden="1">
      <c r="A6253" t="s">
        <v>6358</v>
      </c>
      <c r="B6253" s="1">
        <v>45753</v>
      </c>
      <c r="C6253">
        <v>2025</v>
      </c>
      <c r="D6253">
        <v>4</v>
      </c>
      <c r="E6253" t="s">
        <v>19</v>
      </c>
      <c r="F6253" t="s">
        <v>24</v>
      </c>
      <c r="G6253" t="s">
        <v>80</v>
      </c>
      <c r="H6253" t="s">
        <v>81</v>
      </c>
      <c r="I6253">
        <v>6066.81</v>
      </c>
      <c r="J6253">
        <v>6629.07</v>
      </c>
      <c r="K6253" t="s">
        <v>17</v>
      </c>
      <c r="L6253" t="b">
        <v>0</v>
      </c>
      <c r="N6253" s="2" t="str">
        <f t="shared" si="561"/>
        <v/>
      </c>
      <c r="Q6253" t="str">
        <f t="shared" si="559"/>
        <v/>
      </c>
    </row>
    <row r="6254" spans="1:17" hidden="1">
      <c r="A6254" t="s">
        <v>6359</v>
      </c>
      <c r="B6254" s="1">
        <v>45753</v>
      </c>
      <c r="C6254">
        <v>2025</v>
      </c>
      <c r="D6254">
        <v>4</v>
      </c>
      <c r="E6254" t="s">
        <v>19</v>
      </c>
      <c r="F6254" t="s">
        <v>24</v>
      </c>
      <c r="G6254" t="s">
        <v>132</v>
      </c>
      <c r="H6254" t="s">
        <v>133</v>
      </c>
      <c r="I6254">
        <v>7906.24</v>
      </c>
      <c r="J6254">
        <v>8543.98</v>
      </c>
      <c r="K6254" t="s">
        <v>17</v>
      </c>
      <c r="L6254" t="b">
        <v>0</v>
      </c>
      <c r="N6254" s="2" t="str">
        <f t="shared" si="561"/>
        <v/>
      </c>
      <c r="Q6254" t="str">
        <f t="shared" si="559"/>
        <v/>
      </c>
    </row>
    <row r="6255" spans="1:17" hidden="1">
      <c r="A6255" t="s">
        <v>6360</v>
      </c>
      <c r="B6255" s="1">
        <v>45753</v>
      </c>
      <c r="C6255">
        <v>2025</v>
      </c>
      <c r="D6255">
        <v>4</v>
      </c>
      <c r="E6255" t="s">
        <v>37</v>
      </c>
      <c r="F6255" t="s">
        <v>28</v>
      </c>
      <c r="G6255" t="s">
        <v>38</v>
      </c>
      <c r="H6255" t="s">
        <v>118</v>
      </c>
      <c r="I6255">
        <v>6633.19</v>
      </c>
      <c r="J6255">
        <v>6382.14</v>
      </c>
      <c r="K6255" t="s">
        <v>17</v>
      </c>
      <c r="L6255" t="b">
        <v>0</v>
      </c>
      <c r="N6255" s="2" t="str">
        <f t="shared" si="561"/>
        <v/>
      </c>
      <c r="Q6255" t="str">
        <f t="shared" si="559"/>
        <v/>
      </c>
    </row>
    <row r="6256" spans="1:17" hidden="1">
      <c r="A6256" t="s">
        <v>6361</v>
      </c>
      <c r="B6256" s="1">
        <v>45754</v>
      </c>
      <c r="C6256">
        <v>2025</v>
      </c>
      <c r="D6256">
        <v>4</v>
      </c>
      <c r="E6256" t="s">
        <v>13</v>
      </c>
      <c r="F6256" t="s">
        <v>14</v>
      </c>
      <c r="G6256" t="s">
        <v>108</v>
      </c>
      <c r="H6256" t="s">
        <v>123</v>
      </c>
      <c r="I6256">
        <v>4440.97</v>
      </c>
      <c r="J6256">
        <v>4559.8599999999997</v>
      </c>
      <c r="K6256" t="s">
        <v>17</v>
      </c>
      <c r="L6256" t="b">
        <v>0</v>
      </c>
      <c r="N6256" s="2" t="str">
        <f t="shared" si="561"/>
        <v/>
      </c>
      <c r="Q6256" t="str">
        <f t="shared" ref="Q6256:Q6319" si="564">IF(L6256=TRUE,OR(H6256="Apex Solutions Inc",H6256="Global Trade Partners",H6256="NovaTech Services"),"")</f>
        <v/>
      </c>
    </row>
    <row r="6257" spans="1:17" hidden="1">
      <c r="A6257" t="s">
        <v>6362</v>
      </c>
      <c r="B6257" s="1">
        <v>45754</v>
      </c>
      <c r="C6257">
        <v>2025</v>
      </c>
      <c r="D6257">
        <v>4</v>
      </c>
      <c r="E6257" t="s">
        <v>13</v>
      </c>
      <c r="F6257" t="s">
        <v>28</v>
      </c>
      <c r="G6257" t="s">
        <v>15</v>
      </c>
      <c r="H6257" t="s">
        <v>45</v>
      </c>
      <c r="I6257">
        <v>4844.47</v>
      </c>
      <c r="J6257">
        <v>5285.77</v>
      </c>
      <c r="K6257" t="s">
        <v>17</v>
      </c>
      <c r="L6257" t="b">
        <v>0</v>
      </c>
      <c r="N6257" s="2" t="str">
        <f t="shared" si="561"/>
        <v/>
      </c>
      <c r="Q6257" t="str">
        <f t="shared" si="564"/>
        <v/>
      </c>
    </row>
    <row r="6258" spans="1:17" hidden="1">
      <c r="A6258" t="s">
        <v>6363</v>
      </c>
      <c r="B6258" s="1">
        <v>45754</v>
      </c>
      <c r="C6258">
        <v>2025</v>
      </c>
      <c r="D6258">
        <v>4</v>
      </c>
      <c r="E6258" t="s">
        <v>13</v>
      </c>
      <c r="F6258" t="s">
        <v>24</v>
      </c>
      <c r="G6258" t="s">
        <v>15</v>
      </c>
      <c r="H6258" t="s">
        <v>16</v>
      </c>
      <c r="I6258">
        <v>2863.78</v>
      </c>
      <c r="J6258">
        <v>2587.21</v>
      </c>
      <c r="K6258" t="s">
        <v>17</v>
      </c>
      <c r="L6258" t="b">
        <v>0</v>
      </c>
      <c r="N6258" s="2" t="str">
        <f t="shared" si="561"/>
        <v/>
      </c>
      <c r="Q6258" t="str">
        <f t="shared" si="564"/>
        <v/>
      </c>
    </row>
    <row r="6259" spans="1:17" hidden="1">
      <c r="A6259" t="s">
        <v>6364</v>
      </c>
      <c r="B6259" s="1">
        <v>45754</v>
      </c>
      <c r="C6259">
        <v>2025</v>
      </c>
      <c r="D6259">
        <v>4</v>
      </c>
      <c r="E6259" t="s">
        <v>47</v>
      </c>
      <c r="F6259" t="s">
        <v>14</v>
      </c>
      <c r="G6259" t="s">
        <v>51</v>
      </c>
      <c r="H6259" t="s">
        <v>52</v>
      </c>
      <c r="I6259">
        <v>9270.69</v>
      </c>
      <c r="J6259">
        <v>7684.49</v>
      </c>
      <c r="K6259" t="s">
        <v>17</v>
      </c>
      <c r="L6259" t="b">
        <v>0</v>
      </c>
      <c r="N6259" s="2" t="b">
        <f t="shared" si="561"/>
        <v>1</v>
      </c>
      <c r="O6259" t="b">
        <f t="shared" ref="O6259:O6261" si="565">IF(AND(E6248="HR",K6248="EXPENSE"),I6248&lt;J6248,"")</f>
        <v>0</v>
      </c>
      <c r="Q6259" t="str">
        <f t="shared" si="564"/>
        <v/>
      </c>
    </row>
    <row r="6260" spans="1:17" hidden="1">
      <c r="A6260" t="s">
        <v>6365</v>
      </c>
      <c r="B6260" s="1">
        <v>45754</v>
      </c>
      <c r="C6260">
        <v>2025</v>
      </c>
      <c r="D6260">
        <v>4</v>
      </c>
      <c r="E6260" t="s">
        <v>47</v>
      </c>
      <c r="F6260" t="s">
        <v>24</v>
      </c>
      <c r="G6260" t="s">
        <v>48</v>
      </c>
      <c r="H6260" t="s">
        <v>75</v>
      </c>
      <c r="I6260">
        <v>10885.22</v>
      </c>
      <c r="J6260">
        <v>8929.0400000000009</v>
      </c>
      <c r="K6260" t="s">
        <v>17</v>
      </c>
      <c r="L6260" t="b">
        <v>0</v>
      </c>
      <c r="N6260" s="2" t="b">
        <f t="shared" si="561"/>
        <v>1</v>
      </c>
      <c r="O6260" t="b">
        <f t="shared" si="565"/>
        <v>1</v>
      </c>
      <c r="Q6260" t="str">
        <f t="shared" si="564"/>
        <v/>
      </c>
    </row>
    <row r="6261" spans="1:17" hidden="1">
      <c r="A6261" t="s">
        <v>6366</v>
      </c>
      <c r="B6261" s="1">
        <v>45754</v>
      </c>
      <c r="C6261">
        <v>2025</v>
      </c>
      <c r="D6261">
        <v>4</v>
      </c>
      <c r="E6261" t="s">
        <v>47</v>
      </c>
      <c r="F6261" t="s">
        <v>24</v>
      </c>
      <c r="G6261" t="s">
        <v>77</v>
      </c>
      <c r="H6261" t="s">
        <v>78</v>
      </c>
      <c r="I6261">
        <v>13512.93</v>
      </c>
      <c r="J6261">
        <v>11598.66</v>
      </c>
      <c r="K6261" t="s">
        <v>17</v>
      </c>
      <c r="L6261" t="b">
        <v>0</v>
      </c>
      <c r="N6261" s="2" t="b">
        <f t="shared" si="561"/>
        <v>1</v>
      </c>
      <c r="O6261" t="str">
        <f t="shared" si="565"/>
        <v/>
      </c>
      <c r="Q6261" t="str">
        <f t="shared" si="564"/>
        <v/>
      </c>
    </row>
    <row r="6262" spans="1:17" hidden="1">
      <c r="A6262" t="s">
        <v>6367</v>
      </c>
      <c r="B6262" s="1">
        <v>45754</v>
      </c>
      <c r="C6262">
        <v>2025</v>
      </c>
      <c r="D6262">
        <v>4</v>
      </c>
      <c r="E6262" t="s">
        <v>19</v>
      </c>
      <c r="F6262" t="s">
        <v>28</v>
      </c>
      <c r="G6262" t="s">
        <v>20</v>
      </c>
      <c r="H6262" t="s">
        <v>174</v>
      </c>
      <c r="I6262">
        <v>5386.7</v>
      </c>
      <c r="J6262">
        <v>5139.87</v>
      </c>
      <c r="K6262" t="s">
        <v>17</v>
      </c>
      <c r="L6262" t="b">
        <v>0</v>
      </c>
      <c r="N6262" s="2" t="str">
        <f t="shared" si="561"/>
        <v/>
      </c>
      <c r="Q6262" t="str">
        <f t="shared" si="564"/>
        <v/>
      </c>
    </row>
    <row r="6263" spans="1:17" hidden="1">
      <c r="A6263" t="s">
        <v>6368</v>
      </c>
      <c r="B6263" s="1">
        <v>45754</v>
      </c>
      <c r="C6263">
        <v>2025</v>
      </c>
      <c r="D6263">
        <v>4</v>
      </c>
      <c r="E6263" t="s">
        <v>23</v>
      </c>
      <c r="F6263" t="s">
        <v>14</v>
      </c>
      <c r="G6263" t="s">
        <v>141</v>
      </c>
      <c r="H6263" t="s">
        <v>209</v>
      </c>
      <c r="I6263">
        <v>5422.43</v>
      </c>
      <c r="J6263">
        <v>5521.12</v>
      </c>
      <c r="K6263" t="s">
        <v>17</v>
      </c>
      <c r="L6263" t="b">
        <v>0</v>
      </c>
      <c r="N6263" s="2" t="str">
        <f t="shared" si="561"/>
        <v/>
      </c>
      <c r="Q6263" t="str">
        <f t="shared" si="564"/>
        <v/>
      </c>
    </row>
    <row r="6264" spans="1:17" hidden="1">
      <c r="A6264" t="s">
        <v>6369</v>
      </c>
      <c r="B6264" s="1">
        <v>45754</v>
      </c>
      <c r="C6264">
        <v>2025</v>
      </c>
      <c r="D6264">
        <v>4</v>
      </c>
      <c r="E6264" t="s">
        <v>23</v>
      </c>
      <c r="F6264" t="s">
        <v>14</v>
      </c>
      <c r="G6264" t="s">
        <v>141</v>
      </c>
      <c r="H6264" t="s">
        <v>142</v>
      </c>
      <c r="I6264">
        <v>4512.42</v>
      </c>
      <c r="J6264">
        <v>4382.3100000000004</v>
      </c>
      <c r="K6264" t="s">
        <v>17</v>
      </c>
      <c r="L6264" t="b">
        <v>0</v>
      </c>
      <c r="N6264" s="2" t="str">
        <f t="shared" si="561"/>
        <v/>
      </c>
      <c r="Q6264" t="str">
        <f t="shared" si="564"/>
        <v/>
      </c>
    </row>
    <row r="6265" spans="1:17" hidden="1">
      <c r="A6265" t="s">
        <v>6370</v>
      </c>
      <c r="B6265" s="1">
        <v>45754</v>
      </c>
      <c r="C6265">
        <v>2025</v>
      </c>
      <c r="D6265">
        <v>4</v>
      </c>
      <c r="E6265" t="s">
        <v>37</v>
      </c>
      <c r="F6265" t="s">
        <v>14</v>
      </c>
      <c r="G6265" t="s">
        <v>98</v>
      </c>
      <c r="H6265" t="s">
        <v>185</v>
      </c>
      <c r="I6265">
        <v>6003.82</v>
      </c>
      <c r="J6265">
        <v>6131.25</v>
      </c>
      <c r="K6265" t="s">
        <v>17</v>
      </c>
      <c r="L6265" t="b">
        <v>0</v>
      </c>
      <c r="N6265" s="2" t="str">
        <f t="shared" si="561"/>
        <v/>
      </c>
      <c r="Q6265" t="str">
        <f t="shared" si="564"/>
        <v/>
      </c>
    </row>
    <row r="6266" spans="1:17" hidden="1">
      <c r="A6266" t="s">
        <v>6371</v>
      </c>
      <c r="B6266" s="1">
        <v>45755</v>
      </c>
      <c r="C6266">
        <v>2025</v>
      </c>
      <c r="D6266">
        <v>4</v>
      </c>
      <c r="E6266" t="s">
        <v>13</v>
      </c>
      <c r="F6266" t="s">
        <v>28</v>
      </c>
      <c r="G6266" t="s">
        <v>15</v>
      </c>
      <c r="H6266" t="s">
        <v>89</v>
      </c>
      <c r="I6266">
        <v>4259.03</v>
      </c>
      <c r="J6266">
        <v>3886.15</v>
      </c>
      <c r="K6266" t="s">
        <v>17</v>
      </c>
      <c r="L6266" t="b">
        <v>0</v>
      </c>
      <c r="N6266" s="2" t="str">
        <f t="shared" si="561"/>
        <v/>
      </c>
      <c r="Q6266" t="str">
        <f t="shared" si="564"/>
        <v/>
      </c>
    </row>
    <row r="6267" spans="1:17" hidden="1">
      <c r="A6267" t="s">
        <v>6372</v>
      </c>
      <c r="B6267" s="1">
        <v>45755</v>
      </c>
      <c r="C6267">
        <v>2025</v>
      </c>
      <c r="D6267">
        <v>4</v>
      </c>
      <c r="E6267" t="s">
        <v>47</v>
      </c>
      <c r="F6267" t="s">
        <v>28</v>
      </c>
      <c r="G6267" t="s">
        <v>77</v>
      </c>
      <c r="H6267" t="s">
        <v>130</v>
      </c>
      <c r="I6267">
        <v>14813.68</v>
      </c>
      <c r="J6267">
        <v>12264.32</v>
      </c>
      <c r="K6267" t="s">
        <v>17</v>
      </c>
      <c r="L6267" t="b">
        <v>0</v>
      </c>
      <c r="N6267" s="2" t="b">
        <f t="shared" si="561"/>
        <v>1</v>
      </c>
      <c r="O6267" t="b">
        <f>IF(AND(E6256="HR",K6256="EXPENSE"),I6256&lt;J6256,"")</f>
        <v>1</v>
      </c>
      <c r="Q6267" t="str">
        <f t="shared" si="564"/>
        <v/>
      </c>
    </row>
    <row r="6268" spans="1:17" hidden="1">
      <c r="A6268" t="s">
        <v>6373</v>
      </c>
      <c r="B6268" s="1">
        <v>45755</v>
      </c>
      <c r="C6268">
        <v>2025</v>
      </c>
      <c r="D6268">
        <v>4</v>
      </c>
      <c r="E6268" t="s">
        <v>19</v>
      </c>
      <c r="F6268" t="s">
        <v>14</v>
      </c>
      <c r="G6268" t="s">
        <v>80</v>
      </c>
      <c r="H6268" t="s">
        <v>150</v>
      </c>
      <c r="I6268">
        <v>4209.88</v>
      </c>
      <c r="J6268">
        <v>4305.26</v>
      </c>
      <c r="K6268" t="s">
        <v>17</v>
      </c>
      <c r="L6268" t="b">
        <v>0</v>
      </c>
      <c r="N6268" s="2" t="str">
        <f t="shared" si="561"/>
        <v/>
      </c>
      <c r="Q6268" t="str">
        <f t="shared" si="564"/>
        <v/>
      </c>
    </row>
    <row r="6269" spans="1:17" hidden="1">
      <c r="A6269" t="s">
        <v>6374</v>
      </c>
      <c r="B6269" s="1">
        <v>45755</v>
      </c>
      <c r="C6269">
        <v>2025</v>
      </c>
      <c r="D6269">
        <v>4</v>
      </c>
      <c r="E6269" t="s">
        <v>23</v>
      </c>
      <c r="F6269" t="s">
        <v>14</v>
      </c>
      <c r="G6269" t="s">
        <v>25</v>
      </c>
      <c r="H6269" t="s">
        <v>26</v>
      </c>
      <c r="I6269">
        <v>6173.34</v>
      </c>
      <c r="J6269">
        <v>6668.61</v>
      </c>
      <c r="K6269" t="s">
        <v>17</v>
      </c>
      <c r="L6269" t="b">
        <v>0</v>
      </c>
      <c r="N6269" s="2" t="str">
        <f t="shared" si="561"/>
        <v/>
      </c>
      <c r="Q6269" t="str">
        <f t="shared" si="564"/>
        <v/>
      </c>
    </row>
    <row r="6270" spans="1:17" hidden="1">
      <c r="A6270" t="s">
        <v>6375</v>
      </c>
      <c r="B6270" s="1">
        <v>45755</v>
      </c>
      <c r="C6270">
        <v>2025</v>
      </c>
      <c r="D6270">
        <v>4</v>
      </c>
      <c r="E6270" t="s">
        <v>23</v>
      </c>
      <c r="F6270" t="s">
        <v>14</v>
      </c>
      <c r="G6270" t="s">
        <v>25</v>
      </c>
      <c r="H6270" t="s">
        <v>26</v>
      </c>
      <c r="I6270">
        <v>4292.12</v>
      </c>
      <c r="J6270">
        <v>4295.6400000000003</v>
      </c>
      <c r="K6270" t="s">
        <v>17</v>
      </c>
      <c r="L6270" t="b">
        <v>0</v>
      </c>
      <c r="N6270" s="2" t="str">
        <f t="shared" si="561"/>
        <v/>
      </c>
      <c r="Q6270" t="str">
        <f t="shared" si="564"/>
        <v/>
      </c>
    </row>
    <row r="6271" spans="1:17" hidden="1">
      <c r="A6271" t="s">
        <v>6376</v>
      </c>
      <c r="B6271" s="1">
        <v>45755</v>
      </c>
      <c r="C6271">
        <v>2025</v>
      </c>
      <c r="D6271">
        <v>4</v>
      </c>
      <c r="E6271" t="s">
        <v>23</v>
      </c>
      <c r="F6271" t="s">
        <v>24</v>
      </c>
      <c r="G6271" t="s">
        <v>59</v>
      </c>
      <c r="H6271" t="s">
        <v>155</v>
      </c>
      <c r="I6271">
        <v>4879.1400000000003</v>
      </c>
      <c r="J6271">
        <v>4588.42</v>
      </c>
      <c r="K6271" t="s">
        <v>17</v>
      </c>
      <c r="L6271" t="b">
        <v>0</v>
      </c>
      <c r="N6271" s="2" t="str">
        <f t="shared" si="561"/>
        <v/>
      </c>
      <c r="Q6271" t="str">
        <f t="shared" si="564"/>
        <v/>
      </c>
    </row>
    <row r="6272" spans="1:17" hidden="1">
      <c r="A6272" t="s">
        <v>6377</v>
      </c>
      <c r="B6272" s="1">
        <v>45755</v>
      </c>
      <c r="C6272">
        <v>2025</v>
      </c>
      <c r="D6272">
        <v>4</v>
      </c>
      <c r="E6272" t="s">
        <v>37</v>
      </c>
      <c r="F6272" t="s">
        <v>14</v>
      </c>
      <c r="G6272" t="s">
        <v>62</v>
      </c>
      <c r="H6272" t="s">
        <v>66</v>
      </c>
      <c r="I6272">
        <v>6173.99</v>
      </c>
      <c r="J6272">
        <v>6632.54</v>
      </c>
      <c r="K6272" t="s">
        <v>17</v>
      </c>
      <c r="L6272" t="b">
        <v>0</v>
      </c>
      <c r="N6272" s="2" t="str">
        <f t="shared" si="561"/>
        <v/>
      </c>
      <c r="Q6272" t="str">
        <f t="shared" si="564"/>
        <v/>
      </c>
    </row>
    <row r="6273" spans="1:17" hidden="1">
      <c r="A6273" t="s">
        <v>6378</v>
      </c>
      <c r="B6273" s="1">
        <v>45756</v>
      </c>
      <c r="C6273">
        <v>2025</v>
      </c>
      <c r="D6273">
        <v>4</v>
      </c>
      <c r="E6273" t="s">
        <v>13</v>
      </c>
      <c r="F6273" t="s">
        <v>28</v>
      </c>
      <c r="G6273" t="s">
        <v>108</v>
      </c>
      <c r="H6273" t="s">
        <v>123</v>
      </c>
      <c r="I6273">
        <v>3154.99</v>
      </c>
      <c r="J6273">
        <v>3408.74</v>
      </c>
      <c r="K6273" t="s">
        <v>17</v>
      </c>
      <c r="L6273" t="b">
        <v>0</v>
      </c>
      <c r="N6273" s="2" t="str">
        <f t="shared" si="561"/>
        <v/>
      </c>
      <c r="Q6273" t="str">
        <f t="shared" si="564"/>
        <v/>
      </c>
    </row>
    <row r="6274" spans="1:17" hidden="1">
      <c r="A6274" t="s">
        <v>6379</v>
      </c>
      <c r="B6274" s="1">
        <v>45756</v>
      </c>
      <c r="C6274">
        <v>2025</v>
      </c>
      <c r="D6274">
        <v>4</v>
      </c>
      <c r="E6274" t="s">
        <v>47</v>
      </c>
      <c r="F6274" t="s">
        <v>14</v>
      </c>
      <c r="G6274" t="s">
        <v>77</v>
      </c>
      <c r="H6274" t="s">
        <v>147</v>
      </c>
      <c r="I6274">
        <v>15910.5</v>
      </c>
      <c r="J6274">
        <v>13482.01</v>
      </c>
      <c r="K6274" t="s">
        <v>17</v>
      </c>
      <c r="L6274" t="b">
        <v>0</v>
      </c>
      <c r="N6274" s="2" t="b">
        <f t="shared" si="561"/>
        <v>1</v>
      </c>
      <c r="O6274" t="str">
        <f t="shared" ref="O6274:O6276" si="566">IF(AND(E6263="HR",K6263="EXPENSE"),I6263&lt;J6263,"")</f>
        <v/>
      </c>
      <c r="Q6274" t="str">
        <f t="shared" si="564"/>
        <v/>
      </c>
    </row>
    <row r="6275" spans="1:17" hidden="1">
      <c r="A6275" t="s">
        <v>6380</v>
      </c>
      <c r="B6275" s="1">
        <v>45756</v>
      </c>
      <c r="C6275">
        <v>2025</v>
      </c>
      <c r="D6275">
        <v>4</v>
      </c>
      <c r="E6275" t="s">
        <v>47</v>
      </c>
      <c r="F6275" t="s">
        <v>28</v>
      </c>
      <c r="G6275" t="s">
        <v>51</v>
      </c>
      <c r="H6275" t="s">
        <v>189</v>
      </c>
      <c r="I6275">
        <v>20558.54</v>
      </c>
      <c r="J6275">
        <v>17853.48</v>
      </c>
      <c r="K6275" t="s">
        <v>17</v>
      </c>
      <c r="L6275" t="b">
        <v>0</v>
      </c>
      <c r="N6275" s="2" t="b">
        <f t="shared" ref="N6275:N6338" si="567">IF(AND(E6275="IT",K6275="EXPENSE"),I6275&gt;J6275,"")</f>
        <v>1</v>
      </c>
      <c r="O6275" t="str">
        <f t="shared" si="566"/>
        <v/>
      </c>
      <c r="Q6275" t="str">
        <f t="shared" si="564"/>
        <v/>
      </c>
    </row>
    <row r="6276" spans="1:17" hidden="1">
      <c r="A6276" t="s">
        <v>6381</v>
      </c>
      <c r="B6276" s="1">
        <v>45756</v>
      </c>
      <c r="C6276">
        <v>2025</v>
      </c>
      <c r="D6276">
        <v>4</v>
      </c>
      <c r="E6276" t="s">
        <v>47</v>
      </c>
      <c r="F6276" t="s">
        <v>24</v>
      </c>
      <c r="G6276" t="s">
        <v>91</v>
      </c>
      <c r="H6276" t="s">
        <v>254</v>
      </c>
      <c r="I6276">
        <v>10858.3</v>
      </c>
      <c r="J6276">
        <v>9251.59</v>
      </c>
      <c r="K6276" t="s">
        <v>17</v>
      </c>
      <c r="L6276" t="b">
        <v>0</v>
      </c>
      <c r="N6276" s="2" t="b">
        <f t="shared" si="567"/>
        <v>1</v>
      </c>
      <c r="O6276" t="str">
        <f t="shared" si="566"/>
        <v/>
      </c>
      <c r="Q6276" t="str">
        <f t="shared" si="564"/>
        <v/>
      </c>
    </row>
    <row r="6277" spans="1:17" hidden="1">
      <c r="A6277" t="s">
        <v>6382</v>
      </c>
      <c r="B6277" s="1">
        <v>45756</v>
      </c>
      <c r="C6277">
        <v>2025</v>
      </c>
      <c r="D6277">
        <v>4</v>
      </c>
      <c r="E6277" t="s">
        <v>19</v>
      </c>
      <c r="F6277" t="s">
        <v>14</v>
      </c>
      <c r="G6277" t="s">
        <v>54</v>
      </c>
      <c r="H6277" t="s">
        <v>55</v>
      </c>
      <c r="I6277">
        <v>6260.96</v>
      </c>
      <c r="J6277">
        <v>6584.72</v>
      </c>
      <c r="K6277" t="s">
        <v>17</v>
      </c>
      <c r="L6277" t="b">
        <v>0</v>
      </c>
      <c r="N6277" s="2" t="str">
        <f t="shared" si="567"/>
        <v/>
      </c>
      <c r="Q6277" t="str">
        <f t="shared" si="564"/>
        <v/>
      </c>
    </row>
    <row r="6278" spans="1:17" hidden="1">
      <c r="A6278" t="s">
        <v>6383</v>
      </c>
      <c r="B6278" s="1">
        <v>45756</v>
      </c>
      <c r="C6278">
        <v>2025</v>
      </c>
      <c r="D6278">
        <v>4</v>
      </c>
      <c r="E6278" t="s">
        <v>19</v>
      </c>
      <c r="F6278" t="s">
        <v>28</v>
      </c>
      <c r="G6278" t="s">
        <v>20</v>
      </c>
      <c r="H6278" t="s">
        <v>136</v>
      </c>
      <c r="I6278">
        <v>9497.7000000000007</v>
      </c>
      <c r="J6278">
        <v>10440.86</v>
      </c>
      <c r="K6278" t="s">
        <v>17</v>
      </c>
      <c r="L6278" t="b">
        <v>0</v>
      </c>
      <c r="N6278" s="2" t="str">
        <f t="shared" si="567"/>
        <v/>
      </c>
      <c r="Q6278" t="str">
        <f t="shared" si="564"/>
        <v/>
      </c>
    </row>
    <row r="6279" spans="1:17">
      <c r="A6279" t="s">
        <v>6384</v>
      </c>
      <c r="B6279" s="1">
        <v>45756</v>
      </c>
      <c r="C6279">
        <v>2025</v>
      </c>
      <c r="D6279">
        <v>4</v>
      </c>
      <c r="E6279" t="s">
        <v>19</v>
      </c>
      <c r="F6279" t="s">
        <v>28</v>
      </c>
      <c r="G6279" t="s">
        <v>54</v>
      </c>
      <c r="H6279" t="s">
        <v>651</v>
      </c>
      <c r="I6279">
        <v>20941.32</v>
      </c>
      <c r="J6279">
        <v>6627.17</v>
      </c>
      <c r="K6279" t="s">
        <v>17</v>
      </c>
      <c r="L6279" t="b">
        <v>1</v>
      </c>
      <c r="N6279" s="2" t="str">
        <f t="shared" si="567"/>
        <v/>
      </c>
      <c r="Q6279" t="b">
        <f t="shared" si="564"/>
        <v>1</v>
      </c>
    </row>
    <row r="6280" spans="1:17" hidden="1">
      <c r="A6280" t="s">
        <v>6385</v>
      </c>
      <c r="B6280" s="1">
        <v>45756</v>
      </c>
      <c r="C6280">
        <v>2025</v>
      </c>
      <c r="D6280">
        <v>4</v>
      </c>
      <c r="E6280" t="s">
        <v>37</v>
      </c>
      <c r="F6280" t="s">
        <v>14</v>
      </c>
      <c r="G6280" t="s">
        <v>62</v>
      </c>
      <c r="H6280" t="s">
        <v>121</v>
      </c>
      <c r="I6280">
        <v>5204.63</v>
      </c>
      <c r="J6280">
        <v>4908.49</v>
      </c>
      <c r="K6280" t="s">
        <v>17</v>
      </c>
      <c r="L6280" t="b">
        <v>0</v>
      </c>
      <c r="N6280" s="2" t="str">
        <f t="shared" si="567"/>
        <v/>
      </c>
      <c r="Q6280" t="str">
        <f t="shared" si="564"/>
        <v/>
      </c>
    </row>
    <row r="6281" spans="1:17" hidden="1">
      <c r="A6281" t="s">
        <v>6386</v>
      </c>
      <c r="B6281" s="1">
        <v>45756</v>
      </c>
      <c r="C6281">
        <v>2025</v>
      </c>
      <c r="D6281">
        <v>4</v>
      </c>
      <c r="E6281" t="s">
        <v>37</v>
      </c>
      <c r="F6281" t="s">
        <v>24</v>
      </c>
      <c r="G6281" t="s">
        <v>38</v>
      </c>
      <c r="H6281" t="s">
        <v>118</v>
      </c>
      <c r="I6281">
        <v>5937.1</v>
      </c>
      <c r="J6281">
        <v>6135.4</v>
      </c>
      <c r="K6281" t="s">
        <v>17</v>
      </c>
      <c r="L6281" t="b">
        <v>0</v>
      </c>
      <c r="N6281" s="2" t="str">
        <f t="shared" si="567"/>
        <v/>
      </c>
      <c r="Q6281" t="str">
        <f t="shared" si="564"/>
        <v/>
      </c>
    </row>
    <row r="6282" spans="1:17" hidden="1">
      <c r="A6282" t="s">
        <v>6387</v>
      </c>
      <c r="B6282" s="1">
        <v>45757</v>
      </c>
      <c r="C6282">
        <v>2025</v>
      </c>
      <c r="D6282">
        <v>4</v>
      </c>
      <c r="E6282" t="s">
        <v>13</v>
      </c>
      <c r="F6282" t="s">
        <v>14</v>
      </c>
      <c r="G6282" t="s">
        <v>108</v>
      </c>
      <c r="H6282" t="s">
        <v>123</v>
      </c>
      <c r="I6282">
        <v>3401.65</v>
      </c>
      <c r="J6282">
        <v>3677.24</v>
      </c>
      <c r="K6282" t="s">
        <v>17</v>
      </c>
      <c r="L6282" t="b">
        <v>0</v>
      </c>
      <c r="N6282" s="2" t="str">
        <f t="shared" si="567"/>
        <v/>
      </c>
      <c r="Q6282" t="str">
        <f t="shared" si="564"/>
        <v/>
      </c>
    </row>
    <row r="6283" spans="1:17" hidden="1">
      <c r="A6283" t="s">
        <v>6388</v>
      </c>
      <c r="B6283" s="1">
        <v>45757</v>
      </c>
      <c r="C6283">
        <v>2025</v>
      </c>
      <c r="D6283">
        <v>4</v>
      </c>
      <c r="E6283" t="s">
        <v>13</v>
      </c>
      <c r="F6283" t="s">
        <v>28</v>
      </c>
      <c r="G6283" t="s">
        <v>68</v>
      </c>
      <c r="H6283" t="s">
        <v>213</v>
      </c>
      <c r="I6283">
        <v>3396.41</v>
      </c>
      <c r="J6283">
        <v>3065.05</v>
      </c>
      <c r="K6283" t="s">
        <v>17</v>
      </c>
      <c r="L6283" t="b">
        <v>0</v>
      </c>
      <c r="N6283" s="2" t="str">
        <f t="shared" si="567"/>
        <v/>
      </c>
      <c r="Q6283" t="str">
        <f t="shared" si="564"/>
        <v/>
      </c>
    </row>
    <row r="6284" spans="1:17" hidden="1">
      <c r="A6284" t="s">
        <v>6389</v>
      </c>
      <c r="B6284" s="1">
        <v>45757</v>
      </c>
      <c r="C6284">
        <v>2025</v>
      </c>
      <c r="D6284">
        <v>4</v>
      </c>
      <c r="E6284" t="s">
        <v>13</v>
      </c>
      <c r="F6284" t="s">
        <v>24</v>
      </c>
      <c r="G6284" t="s">
        <v>102</v>
      </c>
      <c r="H6284" t="s">
        <v>145</v>
      </c>
      <c r="I6284">
        <v>3324.67</v>
      </c>
      <c r="J6284">
        <v>3199.72</v>
      </c>
      <c r="K6284" t="s">
        <v>17</v>
      </c>
      <c r="L6284" t="b">
        <v>0</v>
      </c>
      <c r="N6284" s="2" t="str">
        <f t="shared" si="567"/>
        <v/>
      </c>
      <c r="Q6284" t="str">
        <f t="shared" si="564"/>
        <v/>
      </c>
    </row>
    <row r="6285" spans="1:17" hidden="1">
      <c r="A6285" t="s">
        <v>6390</v>
      </c>
      <c r="B6285" s="1">
        <v>45757</v>
      </c>
      <c r="C6285">
        <v>2025</v>
      </c>
      <c r="D6285">
        <v>4</v>
      </c>
      <c r="E6285" t="s">
        <v>23</v>
      </c>
      <c r="F6285" t="s">
        <v>14</v>
      </c>
      <c r="G6285" t="s">
        <v>59</v>
      </c>
      <c r="H6285" t="s">
        <v>155</v>
      </c>
      <c r="I6285">
        <v>2981.67</v>
      </c>
      <c r="J6285">
        <v>2835.11</v>
      </c>
      <c r="K6285" t="s">
        <v>17</v>
      </c>
      <c r="L6285" t="b">
        <v>0</v>
      </c>
      <c r="N6285" s="2" t="str">
        <f t="shared" si="567"/>
        <v/>
      </c>
      <c r="Q6285" t="str">
        <f t="shared" si="564"/>
        <v/>
      </c>
    </row>
    <row r="6286" spans="1:17" hidden="1">
      <c r="A6286" t="s">
        <v>6391</v>
      </c>
      <c r="B6286" s="1">
        <v>45757</v>
      </c>
      <c r="C6286">
        <v>2025</v>
      </c>
      <c r="D6286">
        <v>4</v>
      </c>
      <c r="E6286" t="s">
        <v>23</v>
      </c>
      <c r="F6286" t="s">
        <v>24</v>
      </c>
      <c r="G6286" t="s">
        <v>25</v>
      </c>
      <c r="H6286" t="s">
        <v>95</v>
      </c>
      <c r="I6286">
        <v>6923.37</v>
      </c>
      <c r="J6286">
        <v>7436.12</v>
      </c>
      <c r="K6286" t="s">
        <v>17</v>
      </c>
      <c r="L6286" t="b">
        <v>0</v>
      </c>
      <c r="N6286" s="2" t="str">
        <f t="shared" si="567"/>
        <v/>
      </c>
      <c r="Q6286" t="str">
        <f t="shared" si="564"/>
        <v/>
      </c>
    </row>
    <row r="6287" spans="1:17" hidden="1">
      <c r="A6287" t="s">
        <v>6392</v>
      </c>
      <c r="B6287" s="1">
        <v>45757</v>
      </c>
      <c r="C6287">
        <v>2025</v>
      </c>
      <c r="D6287">
        <v>4</v>
      </c>
      <c r="E6287" t="s">
        <v>37</v>
      </c>
      <c r="F6287" t="s">
        <v>24</v>
      </c>
      <c r="G6287" t="s">
        <v>98</v>
      </c>
      <c r="H6287" t="s">
        <v>99</v>
      </c>
      <c r="I6287">
        <v>6633.25</v>
      </c>
      <c r="J6287">
        <v>6950.86</v>
      </c>
      <c r="K6287" t="s">
        <v>17</v>
      </c>
      <c r="L6287" t="b">
        <v>0</v>
      </c>
      <c r="N6287" s="2" t="str">
        <f t="shared" si="567"/>
        <v/>
      </c>
      <c r="Q6287" t="str">
        <f t="shared" si="564"/>
        <v/>
      </c>
    </row>
    <row r="6288" spans="1:17" hidden="1">
      <c r="A6288" t="s">
        <v>6393</v>
      </c>
      <c r="B6288" s="1">
        <v>45758</v>
      </c>
      <c r="C6288">
        <v>2025</v>
      </c>
      <c r="D6288">
        <v>4</v>
      </c>
      <c r="E6288" t="s">
        <v>47</v>
      </c>
      <c r="F6288" t="s">
        <v>24</v>
      </c>
      <c r="G6288" t="s">
        <v>51</v>
      </c>
      <c r="H6288" t="s">
        <v>72</v>
      </c>
      <c r="I6288">
        <v>15610.5</v>
      </c>
      <c r="J6288">
        <v>13429.09</v>
      </c>
      <c r="K6288" t="s">
        <v>17</v>
      </c>
      <c r="L6288" t="b">
        <v>0</v>
      </c>
      <c r="N6288" s="2" t="b">
        <f t="shared" si="567"/>
        <v>1</v>
      </c>
      <c r="O6288" t="str">
        <f>IF(AND(E6277="HR",K6277="EXPENSE"),I6277&lt;J6277,"")</f>
        <v/>
      </c>
      <c r="Q6288" t="str">
        <f t="shared" si="564"/>
        <v/>
      </c>
    </row>
    <row r="6289" spans="1:17" hidden="1">
      <c r="A6289" t="s">
        <v>6394</v>
      </c>
      <c r="B6289" s="1">
        <v>45758</v>
      </c>
      <c r="C6289">
        <v>2025</v>
      </c>
      <c r="D6289">
        <v>4</v>
      </c>
      <c r="E6289" t="s">
        <v>19</v>
      </c>
      <c r="F6289" t="s">
        <v>24</v>
      </c>
      <c r="G6289" t="s">
        <v>80</v>
      </c>
      <c r="H6289" t="s">
        <v>217</v>
      </c>
      <c r="I6289">
        <v>4285.03</v>
      </c>
      <c r="J6289">
        <v>3981.25</v>
      </c>
      <c r="K6289" t="s">
        <v>17</v>
      </c>
      <c r="L6289" t="b">
        <v>0</v>
      </c>
      <c r="N6289" s="2" t="str">
        <f t="shared" si="567"/>
        <v/>
      </c>
      <c r="Q6289" t="str">
        <f t="shared" si="564"/>
        <v/>
      </c>
    </row>
    <row r="6290" spans="1:17" hidden="1">
      <c r="A6290" t="s">
        <v>6395</v>
      </c>
      <c r="B6290" s="1">
        <v>45758</v>
      </c>
      <c r="C6290">
        <v>2025</v>
      </c>
      <c r="D6290">
        <v>4</v>
      </c>
      <c r="E6290" t="s">
        <v>23</v>
      </c>
      <c r="F6290" t="s">
        <v>14</v>
      </c>
      <c r="G6290" t="s">
        <v>141</v>
      </c>
      <c r="H6290" t="s">
        <v>142</v>
      </c>
      <c r="I6290">
        <v>6144.16</v>
      </c>
      <c r="J6290">
        <v>5549.34</v>
      </c>
      <c r="K6290" t="s">
        <v>17</v>
      </c>
      <c r="L6290" t="b">
        <v>0</v>
      </c>
      <c r="N6290" s="2" t="str">
        <f t="shared" si="567"/>
        <v/>
      </c>
      <c r="Q6290" t="str">
        <f t="shared" si="564"/>
        <v/>
      </c>
    </row>
    <row r="6291" spans="1:17" hidden="1">
      <c r="A6291" t="s">
        <v>6396</v>
      </c>
      <c r="B6291" s="1">
        <v>45758</v>
      </c>
      <c r="C6291">
        <v>2025</v>
      </c>
      <c r="D6291">
        <v>4</v>
      </c>
      <c r="E6291" t="s">
        <v>23</v>
      </c>
      <c r="F6291" t="s">
        <v>28</v>
      </c>
      <c r="G6291" t="s">
        <v>30</v>
      </c>
      <c r="H6291" t="s">
        <v>106</v>
      </c>
      <c r="I6291">
        <v>4581.6899999999996</v>
      </c>
      <c r="J6291">
        <v>4748.67</v>
      </c>
      <c r="K6291" t="s">
        <v>17</v>
      </c>
      <c r="L6291" t="b">
        <v>0</v>
      </c>
      <c r="N6291" s="2" t="str">
        <f t="shared" si="567"/>
        <v/>
      </c>
      <c r="Q6291" t="str">
        <f t="shared" si="564"/>
        <v/>
      </c>
    </row>
    <row r="6292" spans="1:17" hidden="1">
      <c r="A6292" t="s">
        <v>6397</v>
      </c>
      <c r="B6292" s="1">
        <v>45758</v>
      </c>
      <c r="C6292">
        <v>2025</v>
      </c>
      <c r="D6292">
        <v>4</v>
      </c>
      <c r="E6292" t="s">
        <v>37</v>
      </c>
      <c r="F6292" t="s">
        <v>28</v>
      </c>
      <c r="G6292" t="s">
        <v>62</v>
      </c>
      <c r="H6292" t="s">
        <v>66</v>
      </c>
      <c r="I6292">
        <v>4541.75</v>
      </c>
      <c r="J6292">
        <v>4656.47</v>
      </c>
      <c r="K6292" t="s">
        <v>17</v>
      </c>
      <c r="L6292" t="b">
        <v>0</v>
      </c>
      <c r="N6292" s="2" t="str">
        <f t="shared" si="567"/>
        <v/>
      </c>
      <c r="Q6292" t="str">
        <f t="shared" si="564"/>
        <v/>
      </c>
    </row>
    <row r="6293" spans="1:17" hidden="1">
      <c r="A6293" t="s">
        <v>6398</v>
      </c>
      <c r="B6293" s="1">
        <v>45758</v>
      </c>
      <c r="C6293">
        <v>2025</v>
      </c>
      <c r="D6293">
        <v>4</v>
      </c>
      <c r="E6293" t="s">
        <v>37</v>
      </c>
      <c r="F6293" t="s">
        <v>24</v>
      </c>
      <c r="G6293" t="s">
        <v>38</v>
      </c>
      <c r="H6293" t="s">
        <v>227</v>
      </c>
      <c r="I6293">
        <v>4682.09</v>
      </c>
      <c r="J6293">
        <v>4795.05</v>
      </c>
      <c r="K6293" t="s">
        <v>17</v>
      </c>
      <c r="L6293" t="b">
        <v>0</v>
      </c>
      <c r="N6293" s="2" t="str">
        <f t="shared" si="567"/>
        <v/>
      </c>
      <c r="Q6293" t="str">
        <f t="shared" si="564"/>
        <v/>
      </c>
    </row>
    <row r="6294" spans="1:17" hidden="1">
      <c r="A6294" t="s">
        <v>6399</v>
      </c>
      <c r="B6294" s="1">
        <v>45759</v>
      </c>
      <c r="C6294">
        <v>2025</v>
      </c>
      <c r="D6294">
        <v>4</v>
      </c>
      <c r="E6294" t="s">
        <v>13</v>
      </c>
      <c r="F6294" t="s">
        <v>14</v>
      </c>
      <c r="G6294" t="s">
        <v>15</v>
      </c>
      <c r="H6294" t="s">
        <v>16</v>
      </c>
      <c r="I6294">
        <v>6076.38</v>
      </c>
      <c r="J6294">
        <v>6122.1</v>
      </c>
      <c r="K6294" t="s">
        <v>17</v>
      </c>
      <c r="L6294" t="b">
        <v>0</v>
      </c>
      <c r="N6294" s="2" t="str">
        <f t="shared" si="567"/>
        <v/>
      </c>
      <c r="Q6294" t="str">
        <f t="shared" si="564"/>
        <v/>
      </c>
    </row>
    <row r="6295" spans="1:17" hidden="1">
      <c r="A6295" t="s">
        <v>6400</v>
      </c>
      <c r="B6295" s="1">
        <v>45759</v>
      </c>
      <c r="C6295">
        <v>2025</v>
      </c>
      <c r="D6295">
        <v>4</v>
      </c>
      <c r="E6295" t="s">
        <v>13</v>
      </c>
      <c r="F6295" t="s">
        <v>14</v>
      </c>
      <c r="G6295" t="s">
        <v>102</v>
      </c>
      <c r="H6295" t="s">
        <v>278</v>
      </c>
      <c r="I6295">
        <v>3173.96</v>
      </c>
      <c r="J6295">
        <v>3441.92</v>
      </c>
      <c r="K6295" t="s">
        <v>17</v>
      </c>
      <c r="L6295" t="b">
        <v>0</v>
      </c>
      <c r="N6295" s="2" t="str">
        <f t="shared" si="567"/>
        <v/>
      </c>
      <c r="Q6295" t="str">
        <f t="shared" si="564"/>
        <v/>
      </c>
    </row>
    <row r="6296" spans="1:17" hidden="1">
      <c r="A6296" t="s">
        <v>6401</v>
      </c>
      <c r="B6296" s="1">
        <v>45759</v>
      </c>
      <c r="C6296">
        <v>2025</v>
      </c>
      <c r="D6296">
        <v>4</v>
      </c>
      <c r="E6296" t="s">
        <v>13</v>
      </c>
      <c r="F6296" t="s">
        <v>24</v>
      </c>
      <c r="G6296" t="s">
        <v>102</v>
      </c>
      <c r="H6296" t="s">
        <v>103</v>
      </c>
      <c r="I6296">
        <v>3970.6</v>
      </c>
      <c r="J6296">
        <v>3677.72</v>
      </c>
      <c r="K6296" t="s">
        <v>17</v>
      </c>
      <c r="L6296" t="b">
        <v>0</v>
      </c>
      <c r="N6296" s="2" t="str">
        <f t="shared" si="567"/>
        <v/>
      </c>
      <c r="Q6296" t="str">
        <f t="shared" si="564"/>
        <v/>
      </c>
    </row>
    <row r="6297" spans="1:17" hidden="1">
      <c r="A6297" t="s">
        <v>6402</v>
      </c>
      <c r="B6297" s="1">
        <v>45759</v>
      </c>
      <c r="C6297">
        <v>2025</v>
      </c>
      <c r="D6297">
        <v>4</v>
      </c>
      <c r="E6297" t="s">
        <v>19</v>
      </c>
      <c r="F6297" t="s">
        <v>14</v>
      </c>
      <c r="G6297" t="s">
        <v>20</v>
      </c>
      <c r="H6297" t="s">
        <v>174</v>
      </c>
      <c r="I6297">
        <v>8752.64</v>
      </c>
      <c r="J6297">
        <v>9301.86</v>
      </c>
      <c r="K6297" t="s">
        <v>17</v>
      </c>
      <c r="L6297" t="b">
        <v>0</v>
      </c>
      <c r="N6297" s="2" t="str">
        <f t="shared" si="567"/>
        <v/>
      </c>
      <c r="Q6297" t="str">
        <f t="shared" si="564"/>
        <v/>
      </c>
    </row>
    <row r="6298" spans="1:17" hidden="1">
      <c r="A6298" t="s">
        <v>6403</v>
      </c>
      <c r="B6298" s="1">
        <v>45759</v>
      </c>
      <c r="C6298">
        <v>2025</v>
      </c>
      <c r="D6298">
        <v>4</v>
      </c>
      <c r="E6298" t="s">
        <v>23</v>
      </c>
      <c r="F6298" t="s">
        <v>24</v>
      </c>
      <c r="G6298" t="s">
        <v>141</v>
      </c>
      <c r="H6298" t="s">
        <v>142</v>
      </c>
      <c r="I6298">
        <v>7289.11</v>
      </c>
      <c r="J6298">
        <v>7092.54</v>
      </c>
      <c r="K6298" t="s">
        <v>17</v>
      </c>
      <c r="L6298" t="b">
        <v>0</v>
      </c>
      <c r="N6298" s="2" t="str">
        <f t="shared" si="567"/>
        <v/>
      </c>
      <c r="Q6298" t="str">
        <f t="shared" si="564"/>
        <v/>
      </c>
    </row>
    <row r="6299" spans="1:17" hidden="1">
      <c r="A6299" t="s">
        <v>6404</v>
      </c>
      <c r="B6299" s="1">
        <v>45759</v>
      </c>
      <c r="C6299">
        <v>2025</v>
      </c>
      <c r="D6299">
        <v>4</v>
      </c>
      <c r="E6299" t="s">
        <v>37</v>
      </c>
      <c r="F6299" t="s">
        <v>28</v>
      </c>
      <c r="G6299" t="s">
        <v>62</v>
      </c>
      <c r="H6299" t="s">
        <v>63</v>
      </c>
      <c r="I6299">
        <v>4267.5600000000004</v>
      </c>
      <c r="J6299">
        <v>4508.78</v>
      </c>
      <c r="K6299" t="s">
        <v>17</v>
      </c>
      <c r="L6299" t="b">
        <v>0</v>
      </c>
      <c r="N6299" s="2" t="str">
        <f t="shared" si="567"/>
        <v/>
      </c>
      <c r="Q6299" t="str">
        <f t="shared" si="564"/>
        <v/>
      </c>
    </row>
    <row r="6300" spans="1:17" hidden="1">
      <c r="A6300" t="s">
        <v>6405</v>
      </c>
      <c r="B6300" s="1">
        <v>45760</v>
      </c>
      <c r="C6300">
        <v>2025</v>
      </c>
      <c r="D6300">
        <v>4</v>
      </c>
      <c r="E6300" t="s">
        <v>13</v>
      </c>
      <c r="F6300" t="s">
        <v>14</v>
      </c>
      <c r="G6300" t="s">
        <v>15</v>
      </c>
      <c r="H6300" t="s">
        <v>45</v>
      </c>
      <c r="I6300">
        <v>3537.84</v>
      </c>
      <c r="J6300">
        <v>3262.7</v>
      </c>
      <c r="K6300" t="s">
        <v>17</v>
      </c>
      <c r="L6300" t="b">
        <v>0</v>
      </c>
      <c r="N6300" s="2" t="str">
        <f t="shared" si="567"/>
        <v/>
      </c>
      <c r="Q6300" t="str">
        <f t="shared" si="564"/>
        <v/>
      </c>
    </row>
    <row r="6301" spans="1:17" hidden="1">
      <c r="A6301" t="s">
        <v>6406</v>
      </c>
      <c r="B6301" s="1">
        <v>45760</v>
      </c>
      <c r="C6301">
        <v>2025</v>
      </c>
      <c r="D6301">
        <v>4</v>
      </c>
      <c r="E6301" t="s">
        <v>13</v>
      </c>
      <c r="F6301" t="s">
        <v>24</v>
      </c>
      <c r="G6301" t="s">
        <v>108</v>
      </c>
      <c r="H6301" t="s">
        <v>126</v>
      </c>
      <c r="I6301">
        <v>4826.72</v>
      </c>
      <c r="J6301">
        <v>5165.0200000000004</v>
      </c>
      <c r="K6301" t="s">
        <v>17</v>
      </c>
      <c r="L6301" t="b">
        <v>0</v>
      </c>
      <c r="N6301" s="2" t="str">
        <f t="shared" si="567"/>
        <v/>
      </c>
      <c r="Q6301" t="str">
        <f t="shared" si="564"/>
        <v/>
      </c>
    </row>
    <row r="6302" spans="1:17" hidden="1">
      <c r="A6302" t="s">
        <v>6407</v>
      </c>
      <c r="B6302" s="1">
        <v>45760</v>
      </c>
      <c r="C6302">
        <v>2025</v>
      </c>
      <c r="D6302">
        <v>4</v>
      </c>
      <c r="E6302" t="s">
        <v>47</v>
      </c>
      <c r="F6302" t="s">
        <v>14</v>
      </c>
      <c r="G6302" t="s">
        <v>91</v>
      </c>
      <c r="H6302" t="s">
        <v>254</v>
      </c>
      <c r="I6302">
        <v>17799.400000000001</v>
      </c>
      <c r="J6302">
        <v>15199.61</v>
      </c>
      <c r="K6302" t="s">
        <v>17</v>
      </c>
      <c r="L6302" t="b">
        <v>0</v>
      </c>
      <c r="N6302" s="2" t="b">
        <f t="shared" si="567"/>
        <v>1</v>
      </c>
      <c r="O6302" t="str">
        <f t="shared" ref="O6302:O6303" si="568">IF(AND(E6291="HR",K6291="EXPENSE"),I6291&lt;J6291,"")</f>
        <v/>
      </c>
      <c r="Q6302" t="str">
        <f t="shared" si="564"/>
        <v/>
      </c>
    </row>
    <row r="6303" spans="1:17" hidden="1">
      <c r="A6303" t="s">
        <v>6408</v>
      </c>
      <c r="B6303" s="1">
        <v>45760</v>
      </c>
      <c r="C6303">
        <v>2025</v>
      </c>
      <c r="D6303">
        <v>4</v>
      </c>
      <c r="E6303" t="s">
        <v>47</v>
      </c>
      <c r="F6303" t="s">
        <v>24</v>
      </c>
      <c r="G6303" t="s">
        <v>91</v>
      </c>
      <c r="H6303" t="s">
        <v>249</v>
      </c>
      <c r="I6303">
        <v>9418.7800000000007</v>
      </c>
      <c r="J6303">
        <v>7905.32</v>
      </c>
      <c r="K6303" t="s">
        <v>17</v>
      </c>
      <c r="L6303" t="b">
        <v>0</v>
      </c>
      <c r="N6303" s="2" t="b">
        <f t="shared" si="567"/>
        <v>1</v>
      </c>
      <c r="O6303" t="str">
        <f t="shared" si="568"/>
        <v/>
      </c>
      <c r="Q6303" t="str">
        <f t="shared" si="564"/>
        <v/>
      </c>
    </row>
    <row r="6304" spans="1:17" hidden="1">
      <c r="A6304" t="s">
        <v>6409</v>
      </c>
      <c r="B6304" s="1">
        <v>45760</v>
      </c>
      <c r="C6304">
        <v>2025</v>
      </c>
      <c r="D6304">
        <v>4</v>
      </c>
      <c r="E6304" t="s">
        <v>23</v>
      </c>
      <c r="F6304" t="s">
        <v>28</v>
      </c>
      <c r="G6304" t="s">
        <v>30</v>
      </c>
      <c r="H6304" t="s">
        <v>31</v>
      </c>
      <c r="I6304">
        <v>6815.72</v>
      </c>
      <c r="J6304">
        <v>6189.63</v>
      </c>
      <c r="K6304" t="s">
        <v>17</v>
      </c>
      <c r="L6304" t="b">
        <v>0</v>
      </c>
      <c r="N6304" s="2" t="str">
        <f t="shared" si="567"/>
        <v/>
      </c>
      <c r="Q6304" t="str">
        <f t="shared" si="564"/>
        <v/>
      </c>
    </row>
    <row r="6305" spans="1:17" hidden="1">
      <c r="A6305" t="s">
        <v>6410</v>
      </c>
      <c r="B6305" s="1">
        <v>45760</v>
      </c>
      <c r="C6305">
        <v>2025</v>
      </c>
      <c r="D6305">
        <v>4</v>
      </c>
      <c r="E6305" t="s">
        <v>23</v>
      </c>
      <c r="F6305" t="s">
        <v>24</v>
      </c>
      <c r="G6305" t="s">
        <v>141</v>
      </c>
      <c r="H6305" t="s">
        <v>153</v>
      </c>
      <c r="I6305">
        <v>5487.34</v>
      </c>
      <c r="J6305">
        <v>4982.67</v>
      </c>
      <c r="K6305" t="s">
        <v>17</v>
      </c>
      <c r="L6305" t="b">
        <v>0</v>
      </c>
      <c r="N6305" s="2" t="str">
        <f t="shared" si="567"/>
        <v/>
      </c>
      <c r="Q6305" t="str">
        <f t="shared" si="564"/>
        <v/>
      </c>
    </row>
    <row r="6306" spans="1:17" hidden="1">
      <c r="A6306" t="s">
        <v>6411</v>
      </c>
      <c r="B6306" s="1">
        <v>45760</v>
      </c>
      <c r="C6306">
        <v>2025</v>
      </c>
      <c r="D6306">
        <v>4</v>
      </c>
      <c r="E6306" t="s">
        <v>37</v>
      </c>
      <c r="F6306" t="s">
        <v>14</v>
      </c>
      <c r="G6306" t="s">
        <v>41</v>
      </c>
      <c r="H6306" t="s">
        <v>42</v>
      </c>
      <c r="I6306">
        <v>4122.03</v>
      </c>
      <c r="J6306">
        <v>4035.97</v>
      </c>
      <c r="K6306" t="s">
        <v>17</v>
      </c>
      <c r="L6306" t="b">
        <v>0</v>
      </c>
      <c r="N6306" s="2" t="str">
        <f t="shared" si="567"/>
        <v/>
      </c>
      <c r="Q6306" t="str">
        <f t="shared" si="564"/>
        <v/>
      </c>
    </row>
    <row r="6307" spans="1:17" hidden="1">
      <c r="A6307" t="s">
        <v>6412</v>
      </c>
      <c r="B6307" s="1">
        <v>45760</v>
      </c>
      <c r="C6307">
        <v>2025</v>
      </c>
      <c r="D6307">
        <v>4</v>
      </c>
      <c r="E6307" t="s">
        <v>37</v>
      </c>
      <c r="F6307" t="s">
        <v>14</v>
      </c>
      <c r="G6307" t="s">
        <v>62</v>
      </c>
      <c r="H6307" t="s">
        <v>360</v>
      </c>
      <c r="I6307">
        <v>5325.51</v>
      </c>
      <c r="J6307">
        <v>5323.76</v>
      </c>
      <c r="K6307" t="s">
        <v>17</v>
      </c>
      <c r="L6307" t="b">
        <v>0</v>
      </c>
      <c r="N6307" s="2" t="str">
        <f t="shared" si="567"/>
        <v/>
      </c>
      <c r="Q6307" t="str">
        <f t="shared" si="564"/>
        <v/>
      </c>
    </row>
    <row r="6308" spans="1:17" hidden="1">
      <c r="A6308" t="s">
        <v>6413</v>
      </c>
      <c r="B6308" s="1">
        <v>45760</v>
      </c>
      <c r="C6308">
        <v>2025</v>
      </c>
      <c r="D6308">
        <v>4</v>
      </c>
      <c r="E6308" t="s">
        <v>37</v>
      </c>
      <c r="F6308" t="s">
        <v>24</v>
      </c>
      <c r="G6308" t="s">
        <v>62</v>
      </c>
      <c r="H6308" t="s">
        <v>121</v>
      </c>
      <c r="I6308">
        <v>10063.94</v>
      </c>
      <c r="J6308">
        <v>9718.4599999999991</v>
      </c>
      <c r="K6308" t="s">
        <v>17</v>
      </c>
      <c r="L6308" t="b">
        <v>0</v>
      </c>
      <c r="N6308" s="2" t="str">
        <f t="shared" si="567"/>
        <v/>
      </c>
      <c r="Q6308" t="str">
        <f t="shared" si="564"/>
        <v/>
      </c>
    </row>
    <row r="6309" spans="1:17" hidden="1">
      <c r="A6309" t="s">
        <v>6414</v>
      </c>
      <c r="B6309" s="1">
        <v>45760</v>
      </c>
      <c r="C6309">
        <v>2025</v>
      </c>
      <c r="D6309">
        <v>4</v>
      </c>
      <c r="E6309" t="s">
        <v>37</v>
      </c>
      <c r="F6309" t="s">
        <v>24</v>
      </c>
      <c r="G6309" t="s">
        <v>38</v>
      </c>
      <c r="H6309" t="s">
        <v>39</v>
      </c>
      <c r="I6309">
        <v>5049.6000000000004</v>
      </c>
      <c r="J6309">
        <v>4990.33</v>
      </c>
      <c r="K6309" t="s">
        <v>17</v>
      </c>
      <c r="L6309" t="b">
        <v>0</v>
      </c>
      <c r="N6309" s="2" t="str">
        <f t="shared" si="567"/>
        <v/>
      </c>
      <c r="Q6309" t="str">
        <f t="shared" si="564"/>
        <v/>
      </c>
    </row>
    <row r="6310" spans="1:17" hidden="1">
      <c r="A6310" t="s">
        <v>6415</v>
      </c>
      <c r="B6310" s="1">
        <v>45761</v>
      </c>
      <c r="C6310">
        <v>2025</v>
      </c>
      <c r="D6310">
        <v>4</v>
      </c>
      <c r="E6310" t="s">
        <v>13</v>
      </c>
      <c r="F6310" t="s">
        <v>14</v>
      </c>
      <c r="G6310" t="s">
        <v>108</v>
      </c>
      <c r="H6310" t="s">
        <v>126</v>
      </c>
      <c r="I6310">
        <v>2828.57</v>
      </c>
      <c r="J6310">
        <v>2906.84</v>
      </c>
      <c r="K6310" t="s">
        <v>17</v>
      </c>
      <c r="L6310" t="b">
        <v>0</v>
      </c>
      <c r="N6310" s="2" t="str">
        <f t="shared" si="567"/>
        <v/>
      </c>
      <c r="Q6310" t="str">
        <f t="shared" si="564"/>
        <v/>
      </c>
    </row>
    <row r="6311" spans="1:17" hidden="1">
      <c r="A6311" t="s">
        <v>6416</v>
      </c>
      <c r="B6311" s="1">
        <v>45761</v>
      </c>
      <c r="C6311">
        <v>2025</v>
      </c>
      <c r="D6311">
        <v>4</v>
      </c>
      <c r="E6311" t="s">
        <v>47</v>
      </c>
      <c r="F6311" t="s">
        <v>14</v>
      </c>
      <c r="G6311" t="s">
        <v>91</v>
      </c>
      <c r="H6311" t="s">
        <v>128</v>
      </c>
      <c r="I6311">
        <v>20576.71</v>
      </c>
      <c r="J6311">
        <v>17298.990000000002</v>
      </c>
      <c r="K6311" t="s">
        <v>17</v>
      </c>
      <c r="L6311" t="b">
        <v>0</v>
      </c>
      <c r="N6311" s="2" t="b">
        <f t="shared" si="567"/>
        <v>1</v>
      </c>
      <c r="O6311" t="b">
        <f t="shared" ref="O6311:O6313" si="569">IF(AND(E6300="HR",K6300="EXPENSE"),I6300&lt;J6300,"")</f>
        <v>0</v>
      </c>
      <c r="Q6311" t="str">
        <f t="shared" si="564"/>
        <v/>
      </c>
    </row>
    <row r="6312" spans="1:17" hidden="1">
      <c r="A6312" t="s">
        <v>6417</v>
      </c>
      <c r="B6312" s="1">
        <v>45761</v>
      </c>
      <c r="C6312">
        <v>2025</v>
      </c>
      <c r="D6312">
        <v>4</v>
      </c>
      <c r="E6312" t="s">
        <v>47</v>
      </c>
      <c r="F6312" t="s">
        <v>24</v>
      </c>
      <c r="G6312" t="s">
        <v>77</v>
      </c>
      <c r="H6312" t="s">
        <v>147</v>
      </c>
      <c r="I6312">
        <v>16951.36</v>
      </c>
      <c r="J6312">
        <v>14026.66</v>
      </c>
      <c r="K6312" t="s">
        <v>17</v>
      </c>
      <c r="L6312" t="b">
        <v>0</v>
      </c>
      <c r="N6312" s="2" t="b">
        <f t="shared" si="567"/>
        <v>1</v>
      </c>
      <c r="O6312" t="b">
        <f t="shared" si="569"/>
        <v>1</v>
      </c>
      <c r="Q6312" t="str">
        <f t="shared" si="564"/>
        <v/>
      </c>
    </row>
    <row r="6313" spans="1:17" hidden="1">
      <c r="A6313" t="s">
        <v>6418</v>
      </c>
      <c r="B6313" s="1">
        <v>45761</v>
      </c>
      <c r="C6313">
        <v>2025</v>
      </c>
      <c r="D6313">
        <v>4</v>
      </c>
      <c r="E6313" t="s">
        <v>47</v>
      </c>
      <c r="F6313" t="s">
        <v>24</v>
      </c>
      <c r="G6313" t="s">
        <v>51</v>
      </c>
      <c r="H6313" t="s">
        <v>189</v>
      </c>
      <c r="I6313">
        <v>22272.84</v>
      </c>
      <c r="J6313">
        <v>19240.63</v>
      </c>
      <c r="K6313" t="s">
        <v>17</v>
      </c>
      <c r="L6313" t="b">
        <v>0</v>
      </c>
      <c r="N6313" s="2" t="b">
        <f t="shared" si="567"/>
        <v>1</v>
      </c>
      <c r="O6313" t="str">
        <f t="shared" si="569"/>
        <v/>
      </c>
      <c r="Q6313" t="str">
        <f t="shared" si="564"/>
        <v/>
      </c>
    </row>
    <row r="6314" spans="1:17" hidden="1">
      <c r="A6314" t="s">
        <v>6419</v>
      </c>
      <c r="B6314" s="1">
        <v>45761</v>
      </c>
      <c r="C6314">
        <v>2025</v>
      </c>
      <c r="D6314">
        <v>4</v>
      </c>
      <c r="E6314" t="s">
        <v>19</v>
      </c>
      <c r="F6314" t="s">
        <v>14</v>
      </c>
      <c r="G6314" t="s">
        <v>54</v>
      </c>
      <c r="H6314" t="s">
        <v>163</v>
      </c>
      <c r="I6314">
        <v>5639</v>
      </c>
      <c r="J6314">
        <v>5691.04</v>
      </c>
      <c r="K6314" t="s">
        <v>17</v>
      </c>
      <c r="L6314" t="b">
        <v>0</v>
      </c>
      <c r="N6314" s="2" t="str">
        <f t="shared" si="567"/>
        <v/>
      </c>
      <c r="Q6314" t="str">
        <f t="shared" si="564"/>
        <v/>
      </c>
    </row>
    <row r="6315" spans="1:17" hidden="1">
      <c r="A6315" t="s">
        <v>6420</v>
      </c>
      <c r="B6315" s="1">
        <v>45761</v>
      </c>
      <c r="C6315">
        <v>2025</v>
      </c>
      <c r="D6315">
        <v>4</v>
      </c>
      <c r="E6315" t="s">
        <v>19</v>
      </c>
      <c r="F6315" t="s">
        <v>28</v>
      </c>
      <c r="G6315" t="s">
        <v>132</v>
      </c>
      <c r="H6315" t="s">
        <v>171</v>
      </c>
      <c r="I6315">
        <v>4250.22</v>
      </c>
      <c r="J6315">
        <v>4483.25</v>
      </c>
      <c r="K6315" t="s">
        <v>17</v>
      </c>
      <c r="L6315" t="b">
        <v>0</v>
      </c>
      <c r="N6315" s="2" t="str">
        <f t="shared" si="567"/>
        <v/>
      </c>
      <c r="Q6315" t="str">
        <f t="shared" si="564"/>
        <v/>
      </c>
    </row>
    <row r="6316" spans="1:17" hidden="1">
      <c r="A6316" t="s">
        <v>6421</v>
      </c>
      <c r="B6316" s="1">
        <v>45761</v>
      </c>
      <c r="C6316">
        <v>2025</v>
      </c>
      <c r="D6316">
        <v>4</v>
      </c>
      <c r="E6316" t="s">
        <v>19</v>
      </c>
      <c r="F6316" t="s">
        <v>24</v>
      </c>
      <c r="G6316" t="s">
        <v>20</v>
      </c>
      <c r="H6316" t="s">
        <v>21</v>
      </c>
      <c r="I6316">
        <v>12203.17</v>
      </c>
      <c r="J6316">
        <v>12183.14</v>
      </c>
      <c r="K6316" t="s">
        <v>17</v>
      </c>
      <c r="L6316" t="b">
        <v>0</v>
      </c>
      <c r="N6316" s="2" t="str">
        <f t="shared" si="567"/>
        <v/>
      </c>
      <c r="Q6316" t="str">
        <f t="shared" si="564"/>
        <v/>
      </c>
    </row>
    <row r="6317" spans="1:17" hidden="1">
      <c r="A6317" t="s">
        <v>6422</v>
      </c>
      <c r="B6317" s="1">
        <v>45761</v>
      </c>
      <c r="C6317">
        <v>2025</v>
      </c>
      <c r="D6317">
        <v>4</v>
      </c>
      <c r="E6317" t="s">
        <v>37</v>
      </c>
      <c r="F6317" t="s">
        <v>14</v>
      </c>
      <c r="G6317" t="s">
        <v>98</v>
      </c>
      <c r="H6317" t="s">
        <v>185</v>
      </c>
      <c r="I6317">
        <v>4554.04</v>
      </c>
      <c r="J6317">
        <v>4890.17</v>
      </c>
      <c r="K6317" t="s">
        <v>17</v>
      </c>
      <c r="L6317" t="b">
        <v>0</v>
      </c>
      <c r="N6317" s="2" t="str">
        <f t="shared" si="567"/>
        <v/>
      </c>
      <c r="Q6317" t="str">
        <f t="shared" si="564"/>
        <v/>
      </c>
    </row>
    <row r="6318" spans="1:17" hidden="1">
      <c r="A6318" t="s">
        <v>6423</v>
      </c>
      <c r="B6318" s="1">
        <v>45762</v>
      </c>
      <c r="C6318">
        <v>2025</v>
      </c>
      <c r="D6318">
        <v>4</v>
      </c>
      <c r="E6318" t="s">
        <v>47</v>
      </c>
      <c r="F6318" t="s">
        <v>14</v>
      </c>
      <c r="G6318" t="s">
        <v>48</v>
      </c>
      <c r="H6318" t="s">
        <v>75</v>
      </c>
      <c r="I6318">
        <v>17398.54</v>
      </c>
      <c r="J6318">
        <v>14360.53</v>
      </c>
      <c r="K6318" t="s">
        <v>17</v>
      </c>
      <c r="L6318" t="b">
        <v>0</v>
      </c>
      <c r="N6318" s="2" t="b">
        <f t="shared" si="567"/>
        <v>1</v>
      </c>
      <c r="O6318" t="str">
        <f t="shared" ref="O6318:O6320" si="570">IF(AND(E6307="HR",K6307="EXPENSE"),I6307&lt;J6307,"")</f>
        <v/>
      </c>
      <c r="Q6318" t="str">
        <f t="shared" si="564"/>
        <v/>
      </c>
    </row>
    <row r="6319" spans="1:17" hidden="1">
      <c r="A6319" t="s">
        <v>6424</v>
      </c>
      <c r="B6319" s="1">
        <v>45762</v>
      </c>
      <c r="C6319">
        <v>2025</v>
      </c>
      <c r="D6319">
        <v>4</v>
      </c>
      <c r="E6319" t="s">
        <v>47</v>
      </c>
      <c r="F6319" t="s">
        <v>14</v>
      </c>
      <c r="G6319" t="s">
        <v>48</v>
      </c>
      <c r="H6319" t="s">
        <v>111</v>
      </c>
      <c r="I6319">
        <v>16100.53</v>
      </c>
      <c r="J6319">
        <v>13774.55</v>
      </c>
      <c r="K6319" t="s">
        <v>17</v>
      </c>
      <c r="L6319" t="b">
        <v>0</v>
      </c>
      <c r="N6319" s="2" t="b">
        <f t="shared" si="567"/>
        <v>1</v>
      </c>
      <c r="O6319" t="str">
        <f t="shared" si="570"/>
        <v/>
      </c>
      <c r="Q6319" t="str">
        <f t="shared" si="564"/>
        <v/>
      </c>
    </row>
    <row r="6320" spans="1:17" hidden="1">
      <c r="A6320" t="s">
        <v>6425</v>
      </c>
      <c r="B6320" s="1">
        <v>45762</v>
      </c>
      <c r="C6320">
        <v>2025</v>
      </c>
      <c r="D6320">
        <v>4</v>
      </c>
      <c r="E6320" t="s">
        <v>47</v>
      </c>
      <c r="F6320" t="s">
        <v>24</v>
      </c>
      <c r="G6320" t="s">
        <v>48</v>
      </c>
      <c r="H6320" t="s">
        <v>189</v>
      </c>
      <c r="I6320">
        <v>9512.57</v>
      </c>
      <c r="J6320">
        <v>8070.71</v>
      </c>
      <c r="K6320" t="s">
        <v>17</v>
      </c>
      <c r="L6320" t="b">
        <v>0</v>
      </c>
      <c r="N6320" s="2" t="b">
        <f t="shared" si="567"/>
        <v>1</v>
      </c>
      <c r="O6320" t="str">
        <f t="shared" si="570"/>
        <v/>
      </c>
      <c r="Q6320" t="str">
        <f t="shared" ref="Q6320:Q6383" si="571">IF(L6320=TRUE,OR(H6320="Apex Solutions Inc",H6320="Global Trade Partners",H6320="NovaTech Services"),"")</f>
        <v/>
      </c>
    </row>
    <row r="6321" spans="1:17" hidden="1">
      <c r="A6321" t="s">
        <v>6426</v>
      </c>
      <c r="B6321" s="1">
        <v>45762</v>
      </c>
      <c r="C6321">
        <v>2025</v>
      </c>
      <c r="D6321">
        <v>4</v>
      </c>
      <c r="E6321" t="s">
        <v>19</v>
      </c>
      <c r="F6321" t="s">
        <v>28</v>
      </c>
      <c r="G6321" t="s">
        <v>20</v>
      </c>
      <c r="H6321" t="s">
        <v>21</v>
      </c>
      <c r="I6321">
        <v>5751.53</v>
      </c>
      <c r="J6321">
        <v>5613.39</v>
      </c>
      <c r="K6321" t="s">
        <v>17</v>
      </c>
      <c r="L6321" t="b">
        <v>0</v>
      </c>
      <c r="N6321" s="2" t="str">
        <f t="shared" si="567"/>
        <v/>
      </c>
      <c r="Q6321" t="str">
        <f t="shared" si="571"/>
        <v/>
      </c>
    </row>
    <row r="6322" spans="1:17" hidden="1">
      <c r="A6322" t="s">
        <v>6427</v>
      </c>
      <c r="B6322" s="1">
        <v>45762</v>
      </c>
      <c r="C6322">
        <v>2025</v>
      </c>
      <c r="D6322">
        <v>4</v>
      </c>
      <c r="E6322" t="s">
        <v>19</v>
      </c>
      <c r="F6322" t="s">
        <v>28</v>
      </c>
      <c r="G6322" t="s">
        <v>54</v>
      </c>
      <c r="H6322" t="s">
        <v>163</v>
      </c>
      <c r="I6322">
        <v>5311.08</v>
      </c>
      <c r="J6322">
        <v>5635.35</v>
      </c>
      <c r="K6322" t="s">
        <v>17</v>
      </c>
      <c r="L6322" t="b">
        <v>0</v>
      </c>
      <c r="N6322" s="2" t="str">
        <f t="shared" si="567"/>
        <v/>
      </c>
      <c r="Q6322" t="str">
        <f t="shared" si="571"/>
        <v/>
      </c>
    </row>
    <row r="6323" spans="1:17" hidden="1">
      <c r="A6323" t="s">
        <v>6428</v>
      </c>
      <c r="B6323" s="1">
        <v>45762</v>
      </c>
      <c r="C6323">
        <v>2025</v>
      </c>
      <c r="D6323">
        <v>4</v>
      </c>
      <c r="E6323" t="s">
        <v>23</v>
      </c>
      <c r="F6323" t="s">
        <v>14</v>
      </c>
      <c r="G6323" t="s">
        <v>30</v>
      </c>
      <c r="H6323" t="s">
        <v>106</v>
      </c>
      <c r="I6323">
        <v>5347.36</v>
      </c>
      <c r="J6323">
        <v>5520.43</v>
      </c>
      <c r="K6323" t="s">
        <v>17</v>
      </c>
      <c r="L6323" t="b">
        <v>0</v>
      </c>
      <c r="N6323" s="2" t="str">
        <f t="shared" si="567"/>
        <v/>
      </c>
      <c r="Q6323" t="str">
        <f t="shared" si="571"/>
        <v/>
      </c>
    </row>
    <row r="6324" spans="1:17" hidden="1">
      <c r="A6324" t="s">
        <v>6429</v>
      </c>
      <c r="B6324" s="1">
        <v>45763</v>
      </c>
      <c r="C6324">
        <v>2025</v>
      </c>
      <c r="D6324">
        <v>4</v>
      </c>
      <c r="E6324" t="s">
        <v>13</v>
      </c>
      <c r="F6324" t="s">
        <v>14</v>
      </c>
      <c r="G6324" t="s">
        <v>108</v>
      </c>
      <c r="H6324" t="s">
        <v>109</v>
      </c>
      <c r="I6324">
        <v>3698.41</v>
      </c>
      <c r="J6324">
        <v>3678.7</v>
      </c>
      <c r="K6324" t="s">
        <v>17</v>
      </c>
      <c r="L6324" t="b">
        <v>0</v>
      </c>
      <c r="N6324" s="2" t="str">
        <f t="shared" si="567"/>
        <v/>
      </c>
      <c r="Q6324" t="str">
        <f t="shared" si="571"/>
        <v/>
      </c>
    </row>
    <row r="6325" spans="1:17" hidden="1">
      <c r="A6325" t="s">
        <v>6430</v>
      </c>
      <c r="B6325" s="1">
        <v>45763</v>
      </c>
      <c r="C6325">
        <v>2025</v>
      </c>
      <c r="D6325">
        <v>4</v>
      </c>
      <c r="E6325" t="s">
        <v>47</v>
      </c>
      <c r="F6325" t="s">
        <v>14</v>
      </c>
      <c r="G6325" t="s">
        <v>77</v>
      </c>
      <c r="H6325" t="s">
        <v>147</v>
      </c>
      <c r="I6325">
        <v>17721.900000000001</v>
      </c>
      <c r="J6325">
        <v>15183.82</v>
      </c>
      <c r="K6325" t="s">
        <v>17</v>
      </c>
      <c r="L6325" t="b">
        <v>0</v>
      </c>
      <c r="N6325" s="2" t="b">
        <f t="shared" si="567"/>
        <v>1</v>
      </c>
      <c r="O6325" t="str">
        <f t="shared" ref="O6325:O6328" si="572">IF(AND(E6314="HR",K6314="EXPENSE"),I6314&lt;J6314,"")</f>
        <v/>
      </c>
      <c r="Q6325" t="str">
        <f t="shared" si="571"/>
        <v/>
      </c>
    </row>
    <row r="6326" spans="1:17" hidden="1">
      <c r="A6326" t="s">
        <v>6431</v>
      </c>
      <c r="B6326" s="1">
        <v>45763</v>
      </c>
      <c r="C6326">
        <v>2025</v>
      </c>
      <c r="D6326">
        <v>4</v>
      </c>
      <c r="E6326" t="s">
        <v>47</v>
      </c>
      <c r="F6326" t="s">
        <v>14</v>
      </c>
      <c r="G6326" t="s">
        <v>91</v>
      </c>
      <c r="H6326" t="s">
        <v>128</v>
      </c>
      <c r="I6326">
        <v>20324.32</v>
      </c>
      <c r="J6326">
        <v>16968.2</v>
      </c>
      <c r="K6326" t="s">
        <v>17</v>
      </c>
      <c r="L6326" t="b">
        <v>0</v>
      </c>
      <c r="N6326" s="2" t="b">
        <f t="shared" si="567"/>
        <v>1</v>
      </c>
      <c r="O6326" t="str">
        <f t="shared" si="572"/>
        <v/>
      </c>
      <c r="Q6326" t="str">
        <f t="shared" si="571"/>
        <v/>
      </c>
    </row>
    <row r="6327" spans="1:17" hidden="1">
      <c r="A6327" t="s">
        <v>6432</v>
      </c>
      <c r="B6327" s="1">
        <v>45763</v>
      </c>
      <c r="C6327">
        <v>2025</v>
      </c>
      <c r="D6327">
        <v>4</v>
      </c>
      <c r="E6327" t="s">
        <v>47</v>
      </c>
      <c r="F6327" t="s">
        <v>28</v>
      </c>
      <c r="G6327" t="s">
        <v>51</v>
      </c>
      <c r="H6327" t="s">
        <v>72</v>
      </c>
      <c r="I6327">
        <v>13165.51</v>
      </c>
      <c r="J6327">
        <v>11194.5</v>
      </c>
      <c r="K6327" t="s">
        <v>17</v>
      </c>
      <c r="L6327" t="b">
        <v>0</v>
      </c>
      <c r="N6327" s="2" t="b">
        <f t="shared" si="567"/>
        <v>1</v>
      </c>
      <c r="O6327" t="str">
        <f t="shared" si="572"/>
        <v/>
      </c>
      <c r="Q6327" t="str">
        <f t="shared" si="571"/>
        <v/>
      </c>
    </row>
    <row r="6328" spans="1:17" hidden="1">
      <c r="A6328" t="s">
        <v>6433</v>
      </c>
      <c r="B6328" s="1">
        <v>45763</v>
      </c>
      <c r="C6328">
        <v>2025</v>
      </c>
      <c r="D6328">
        <v>4</v>
      </c>
      <c r="E6328" t="s">
        <v>47</v>
      </c>
      <c r="F6328" t="s">
        <v>24</v>
      </c>
      <c r="G6328" t="s">
        <v>91</v>
      </c>
      <c r="H6328" t="s">
        <v>92</v>
      </c>
      <c r="I6328">
        <v>11555.74</v>
      </c>
      <c r="J6328">
        <v>9762.76</v>
      </c>
      <c r="K6328" t="s">
        <v>17</v>
      </c>
      <c r="L6328" t="b">
        <v>0</v>
      </c>
      <c r="N6328" s="2" t="b">
        <f t="shared" si="567"/>
        <v>1</v>
      </c>
      <c r="O6328" t="str">
        <f t="shared" si="572"/>
        <v/>
      </c>
      <c r="Q6328" t="str">
        <f t="shared" si="571"/>
        <v/>
      </c>
    </row>
    <row r="6329" spans="1:17" hidden="1">
      <c r="A6329" t="s">
        <v>6434</v>
      </c>
      <c r="B6329" s="1">
        <v>45763</v>
      </c>
      <c r="C6329">
        <v>2025</v>
      </c>
      <c r="D6329">
        <v>4</v>
      </c>
      <c r="E6329" t="s">
        <v>19</v>
      </c>
      <c r="F6329" t="s">
        <v>14</v>
      </c>
      <c r="G6329" t="s">
        <v>20</v>
      </c>
      <c r="H6329" t="s">
        <v>174</v>
      </c>
      <c r="I6329">
        <v>6994.1</v>
      </c>
      <c r="J6329">
        <v>7041.32</v>
      </c>
      <c r="K6329" t="s">
        <v>17</v>
      </c>
      <c r="L6329" t="b">
        <v>0</v>
      </c>
      <c r="N6329" s="2" t="str">
        <f t="shared" si="567"/>
        <v/>
      </c>
      <c r="Q6329" t="str">
        <f t="shared" si="571"/>
        <v/>
      </c>
    </row>
    <row r="6330" spans="1:17" hidden="1">
      <c r="A6330" t="s">
        <v>6435</v>
      </c>
      <c r="B6330" s="1">
        <v>45763</v>
      </c>
      <c r="C6330">
        <v>2025</v>
      </c>
      <c r="D6330">
        <v>4</v>
      </c>
      <c r="E6330" t="s">
        <v>19</v>
      </c>
      <c r="F6330" t="s">
        <v>24</v>
      </c>
      <c r="G6330" t="s">
        <v>54</v>
      </c>
      <c r="H6330" t="s">
        <v>55</v>
      </c>
      <c r="I6330">
        <v>10154.74</v>
      </c>
      <c r="J6330">
        <v>10528.39</v>
      </c>
      <c r="K6330" t="s">
        <v>17</v>
      </c>
      <c r="L6330" t="b">
        <v>0</v>
      </c>
      <c r="N6330" s="2" t="str">
        <f t="shared" si="567"/>
        <v/>
      </c>
      <c r="Q6330" t="str">
        <f t="shared" si="571"/>
        <v/>
      </c>
    </row>
    <row r="6331" spans="1:17" hidden="1">
      <c r="A6331" t="s">
        <v>6436</v>
      </c>
      <c r="B6331" s="1">
        <v>45763</v>
      </c>
      <c r="C6331">
        <v>2025</v>
      </c>
      <c r="D6331">
        <v>4</v>
      </c>
      <c r="E6331" t="s">
        <v>23</v>
      </c>
      <c r="F6331" t="s">
        <v>24</v>
      </c>
      <c r="G6331" t="s">
        <v>30</v>
      </c>
      <c r="H6331" t="s">
        <v>106</v>
      </c>
      <c r="I6331">
        <v>6895.26</v>
      </c>
      <c r="J6331">
        <v>7432.54</v>
      </c>
      <c r="K6331" t="s">
        <v>17</v>
      </c>
      <c r="L6331" t="b">
        <v>0</v>
      </c>
      <c r="N6331" s="2" t="str">
        <f t="shared" si="567"/>
        <v/>
      </c>
      <c r="Q6331" t="str">
        <f t="shared" si="571"/>
        <v/>
      </c>
    </row>
    <row r="6332" spans="1:17" hidden="1">
      <c r="A6332" t="s">
        <v>6437</v>
      </c>
      <c r="B6332" s="1">
        <v>45764</v>
      </c>
      <c r="C6332">
        <v>2025</v>
      </c>
      <c r="D6332">
        <v>4</v>
      </c>
      <c r="E6332" t="s">
        <v>13</v>
      </c>
      <c r="F6332" t="s">
        <v>14</v>
      </c>
      <c r="G6332" t="s">
        <v>15</v>
      </c>
      <c r="H6332" t="s">
        <v>16</v>
      </c>
      <c r="I6332">
        <v>3520.32</v>
      </c>
      <c r="J6332">
        <v>3813.9</v>
      </c>
      <c r="K6332" t="s">
        <v>17</v>
      </c>
      <c r="L6332" t="b">
        <v>0</v>
      </c>
      <c r="N6332" s="2" t="str">
        <f t="shared" si="567"/>
        <v/>
      </c>
      <c r="Q6332" t="str">
        <f t="shared" si="571"/>
        <v/>
      </c>
    </row>
    <row r="6333" spans="1:17" hidden="1">
      <c r="A6333" t="s">
        <v>6438</v>
      </c>
      <c r="B6333" s="1">
        <v>45764</v>
      </c>
      <c r="C6333">
        <v>2025</v>
      </c>
      <c r="D6333">
        <v>4</v>
      </c>
      <c r="E6333" t="s">
        <v>47</v>
      </c>
      <c r="F6333" t="s">
        <v>14</v>
      </c>
      <c r="G6333" t="s">
        <v>48</v>
      </c>
      <c r="H6333" t="s">
        <v>75</v>
      </c>
      <c r="I6333">
        <v>17088.259999999998</v>
      </c>
      <c r="J6333">
        <v>14573.4</v>
      </c>
      <c r="K6333" t="s">
        <v>17</v>
      </c>
      <c r="L6333" t="b">
        <v>0</v>
      </c>
      <c r="N6333" s="2" t="b">
        <f t="shared" si="567"/>
        <v>1</v>
      </c>
      <c r="O6333" t="str">
        <f>IF(AND(E6322="HR",K6322="EXPENSE"),I6322&lt;J6322,"")</f>
        <v/>
      </c>
      <c r="Q6333" t="str">
        <f t="shared" si="571"/>
        <v/>
      </c>
    </row>
    <row r="6334" spans="1:17" hidden="1">
      <c r="A6334" t="s">
        <v>6439</v>
      </c>
      <c r="B6334" s="1">
        <v>45764</v>
      </c>
      <c r="C6334">
        <v>2025</v>
      </c>
      <c r="D6334">
        <v>4</v>
      </c>
      <c r="E6334" t="s">
        <v>23</v>
      </c>
      <c r="F6334" t="s">
        <v>28</v>
      </c>
      <c r="G6334" t="s">
        <v>25</v>
      </c>
      <c r="H6334" t="s">
        <v>26</v>
      </c>
      <c r="I6334">
        <v>1729.22</v>
      </c>
      <c r="J6334">
        <v>1670.94</v>
      </c>
      <c r="K6334" t="s">
        <v>17</v>
      </c>
      <c r="L6334" t="b">
        <v>0</v>
      </c>
      <c r="N6334" s="2" t="str">
        <f t="shared" si="567"/>
        <v/>
      </c>
      <c r="Q6334" t="str">
        <f t="shared" si="571"/>
        <v/>
      </c>
    </row>
    <row r="6335" spans="1:17" hidden="1">
      <c r="A6335" t="s">
        <v>6440</v>
      </c>
      <c r="B6335" s="1">
        <v>45764</v>
      </c>
      <c r="C6335">
        <v>2025</v>
      </c>
      <c r="D6335">
        <v>4</v>
      </c>
      <c r="E6335" t="s">
        <v>23</v>
      </c>
      <c r="F6335" t="s">
        <v>28</v>
      </c>
      <c r="G6335" t="s">
        <v>141</v>
      </c>
      <c r="H6335" t="s">
        <v>153</v>
      </c>
      <c r="I6335">
        <v>6382.51</v>
      </c>
      <c r="J6335">
        <v>6537.93</v>
      </c>
      <c r="K6335" t="s">
        <v>17</v>
      </c>
      <c r="L6335" t="b">
        <v>0</v>
      </c>
      <c r="N6335" s="2" t="str">
        <f t="shared" si="567"/>
        <v/>
      </c>
      <c r="Q6335" t="str">
        <f t="shared" si="571"/>
        <v/>
      </c>
    </row>
    <row r="6336" spans="1:17" hidden="1">
      <c r="A6336" t="s">
        <v>6441</v>
      </c>
      <c r="B6336" s="1">
        <v>45764</v>
      </c>
      <c r="C6336">
        <v>2025</v>
      </c>
      <c r="D6336">
        <v>4</v>
      </c>
      <c r="E6336" t="s">
        <v>37</v>
      </c>
      <c r="F6336" t="s">
        <v>14</v>
      </c>
      <c r="G6336" t="s">
        <v>98</v>
      </c>
      <c r="H6336" t="s">
        <v>185</v>
      </c>
      <c r="I6336">
        <v>6985.94</v>
      </c>
      <c r="J6336">
        <v>7651.82</v>
      </c>
      <c r="K6336" t="s">
        <v>17</v>
      </c>
      <c r="L6336" t="b">
        <v>0</v>
      </c>
      <c r="N6336" s="2" t="str">
        <f t="shared" si="567"/>
        <v/>
      </c>
      <c r="Q6336" t="str">
        <f t="shared" si="571"/>
        <v/>
      </c>
    </row>
    <row r="6337" spans="1:17" hidden="1">
      <c r="A6337" t="s">
        <v>6442</v>
      </c>
      <c r="B6337" s="1">
        <v>45764</v>
      </c>
      <c r="C6337">
        <v>2025</v>
      </c>
      <c r="D6337">
        <v>4</v>
      </c>
      <c r="E6337" t="s">
        <v>37</v>
      </c>
      <c r="F6337" t="s">
        <v>14</v>
      </c>
      <c r="G6337" t="s">
        <v>62</v>
      </c>
      <c r="H6337" t="s">
        <v>121</v>
      </c>
      <c r="I6337">
        <v>5163.63</v>
      </c>
      <c r="J6337">
        <v>5175.45</v>
      </c>
      <c r="K6337" t="s">
        <v>17</v>
      </c>
      <c r="L6337" t="b">
        <v>0</v>
      </c>
      <c r="N6337" s="2" t="str">
        <f t="shared" si="567"/>
        <v/>
      </c>
      <c r="Q6337" t="str">
        <f t="shared" si="571"/>
        <v/>
      </c>
    </row>
    <row r="6338" spans="1:17" hidden="1">
      <c r="A6338" t="s">
        <v>6443</v>
      </c>
      <c r="B6338" s="1">
        <v>45764</v>
      </c>
      <c r="C6338">
        <v>2025</v>
      </c>
      <c r="D6338">
        <v>4</v>
      </c>
      <c r="E6338" t="s">
        <v>37</v>
      </c>
      <c r="F6338" t="s">
        <v>28</v>
      </c>
      <c r="G6338" t="s">
        <v>98</v>
      </c>
      <c r="H6338" t="s">
        <v>185</v>
      </c>
      <c r="I6338">
        <v>4276.09</v>
      </c>
      <c r="J6338">
        <v>4385.24</v>
      </c>
      <c r="K6338" t="s">
        <v>17</v>
      </c>
      <c r="L6338" t="b">
        <v>0</v>
      </c>
      <c r="N6338" s="2" t="str">
        <f t="shared" si="567"/>
        <v/>
      </c>
      <c r="Q6338" t="str">
        <f t="shared" si="571"/>
        <v/>
      </c>
    </row>
    <row r="6339" spans="1:17" hidden="1">
      <c r="A6339" t="s">
        <v>6444</v>
      </c>
      <c r="B6339" s="1">
        <v>45764</v>
      </c>
      <c r="C6339">
        <v>2025</v>
      </c>
      <c r="D6339">
        <v>4</v>
      </c>
      <c r="E6339" t="s">
        <v>37</v>
      </c>
      <c r="F6339" t="s">
        <v>24</v>
      </c>
      <c r="G6339" t="s">
        <v>98</v>
      </c>
      <c r="H6339" t="s">
        <v>99</v>
      </c>
      <c r="I6339">
        <v>5574.81</v>
      </c>
      <c r="J6339">
        <v>5843.96</v>
      </c>
      <c r="K6339" t="s">
        <v>17</v>
      </c>
      <c r="L6339" t="b">
        <v>0</v>
      </c>
      <c r="N6339" s="2" t="str">
        <f t="shared" ref="N6339:N6402" si="573">IF(AND(E6339="IT",K6339="EXPENSE"),I6339&gt;J6339,"")</f>
        <v/>
      </c>
      <c r="Q6339" t="str">
        <f t="shared" si="571"/>
        <v/>
      </c>
    </row>
    <row r="6340" spans="1:17" hidden="1">
      <c r="A6340" t="s">
        <v>6445</v>
      </c>
      <c r="B6340" s="1">
        <v>45764</v>
      </c>
      <c r="C6340">
        <v>2025</v>
      </c>
      <c r="D6340">
        <v>4</v>
      </c>
      <c r="E6340" t="s">
        <v>37</v>
      </c>
      <c r="F6340" t="s">
        <v>24</v>
      </c>
      <c r="G6340" t="s">
        <v>41</v>
      </c>
      <c r="H6340" t="s">
        <v>42</v>
      </c>
      <c r="I6340">
        <v>7588.22</v>
      </c>
      <c r="J6340">
        <v>8279.74</v>
      </c>
      <c r="K6340" t="s">
        <v>17</v>
      </c>
      <c r="L6340" t="b">
        <v>0</v>
      </c>
      <c r="N6340" s="2" t="str">
        <f t="shared" si="573"/>
        <v/>
      </c>
      <c r="Q6340" t="str">
        <f t="shared" si="571"/>
        <v/>
      </c>
    </row>
    <row r="6341" spans="1:17" hidden="1">
      <c r="A6341" t="s">
        <v>6446</v>
      </c>
      <c r="B6341" s="1">
        <v>45765</v>
      </c>
      <c r="C6341">
        <v>2025</v>
      </c>
      <c r="D6341">
        <v>4</v>
      </c>
      <c r="E6341" t="s">
        <v>13</v>
      </c>
      <c r="F6341" t="s">
        <v>24</v>
      </c>
      <c r="G6341" t="s">
        <v>68</v>
      </c>
      <c r="H6341" t="s">
        <v>213</v>
      </c>
      <c r="I6341">
        <v>4618.87</v>
      </c>
      <c r="J6341">
        <v>4768.9799999999996</v>
      </c>
      <c r="K6341" t="s">
        <v>17</v>
      </c>
      <c r="L6341" t="b">
        <v>0</v>
      </c>
      <c r="N6341" s="2" t="str">
        <f t="shared" si="573"/>
        <v/>
      </c>
      <c r="Q6341" t="str">
        <f t="shared" si="571"/>
        <v/>
      </c>
    </row>
    <row r="6342" spans="1:17" hidden="1">
      <c r="A6342" t="s">
        <v>6447</v>
      </c>
      <c r="B6342" s="1">
        <v>45765</v>
      </c>
      <c r="C6342">
        <v>2025</v>
      </c>
      <c r="D6342">
        <v>4</v>
      </c>
      <c r="E6342" t="s">
        <v>19</v>
      </c>
      <c r="F6342" t="s">
        <v>14</v>
      </c>
      <c r="G6342" t="s">
        <v>132</v>
      </c>
      <c r="H6342" t="s">
        <v>171</v>
      </c>
      <c r="I6342">
        <v>6090.95</v>
      </c>
      <c r="J6342">
        <v>6261.19</v>
      </c>
      <c r="K6342" t="s">
        <v>17</v>
      </c>
      <c r="L6342" t="b">
        <v>0</v>
      </c>
      <c r="N6342" s="2" t="str">
        <f t="shared" si="573"/>
        <v/>
      </c>
      <c r="Q6342" t="str">
        <f t="shared" si="571"/>
        <v/>
      </c>
    </row>
    <row r="6343" spans="1:17" hidden="1">
      <c r="A6343" t="s">
        <v>6448</v>
      </c>
      <c r="B6343" s="1">
        <v>45765</v>
      </c>
      <c r="C6343">
        <v>2025</v>
      </c>
      <c r="D6343">
        <v>4</v>
      </c>
      <c r="E6343" t="s">
        <v>19</v>
      </c>
      <c r="F6343" t="s">
        <v>24</v>
      </c>
      <c r="G6343" t="s">
        <v>132</v>
      </c>
      <c r="H6343" t="s">
        <v>138</v>
      </c>
      <c r="I6343">
        <v>7789.8</v>
      </c>
      <c r="J6343">
        <v>7948.34</v>
      </c>
      <c r="K6343" t="s">
        <v>17</v>
      </c>
      <c r="L6343" t="b">
        <v>0</v>
      </c>
      <c r="N6343" s="2" t="str">
        <f t="shared" si="573"/>
        <v/>
      </c>
      <c r="Q6343" t="str">
        <f t="shared" si="571"/>
        <v/>
      </c>
    </row>
    <row r="6344" spans="1:17" hidden="1">
      <c r="A6344" t="s">
        <v>6449</v>
      </c>
      <c r="B6344" s="1">
        <v>45765</v>
      </c>
      <c r="C6344">
        <v>2025</v>
      </c>
      <c r="D6344">
        <v>4</v>
      </c>
      <c r="E6344" t="s">
        <v>23</v>
      </c>
      <c r="F6344" t="s">
        <v>28</v>
      </c>
      <c r="G6344" t="s">
        <v>30</v>
      </c>
      <c r="H6344" t="s">
        <v>33</v>
      </c>
      <c r="I6344">
        <v>6245.69</v>
      </c>
      <c r="J6344">
        <v>6614.75</v>
      </c>
      <c r="K6344" t="s">
        <v>17</v>
      </c>
      <c r="L6344" t="b">
        <v>0</v>
      </c>
      <c r="N6344" s="2" t="str">
        <f t="shared" si="573"/>
        <v/>
      </c>
      <c r="Q6344" t="str">
        <f t="shared" si="571"/>
        <v/>
      </c>
    </row>
    <row r="6345" spans="1:17" hidden="1">
      <c r="A6345" t="s">
        <v>6450</v>
      </c>
      <c r="B6345" s="1">
        <v>45765</v>
      </c>
      <c r="C6345">
        <v>2025</v>
      </c>
      <c r="D6345">
        <v>4</v>
      </c>
      <c r="E6345" t="s">
        <v>23</v>
      </c>
      <c r="F6345" t="s">
        <v>24</v>
      </c>
      <c r="G6345" t="s">
        <v>59</v>
      </c>
      <c r="H6345" t="s">
        <v>155</v>
      </c>
      <c r="I6345">
        <v>6874.25</v>
      </c>
      <c r="J6345">
        <v>7071.74</v>
      </c>
      <c r="K6345" t="s">
        <v>17</v>
      </c>
      <c r="L6345" t="b">
        <v>0</v>
      </c>
      <c r="N6345" s="2" t="str">
        <f t="shared" si="573"/>
        <v/>
      </c>
      <c r="Q6345" t="str">
        <f t="shared" si="571"/>
        <v/>
      </c>
    </row>
    <row r="6346" spans="1:17" hidden="1">
      <c r="A6346" t="s">
        <v>6451</v>
      </c>
      <c r="B6346" s="1">
        <v>45765</v>
      </c>
      <c r="C6346">
        <v>2025</v>
      </c>
      <c r="D6346">
        <v>4</v>
      </c>
      <c r="E6346" t="s">
        <v>37</v>
      </c>
      <c r="F6346" t="s">
        <v>24</v>
      </c>
      <c r="G6346" t="s">
        <v>98</v>
      </c>
      <c r="H6346" t="s">
        <v>185</v>
      </c>
      <c r="I6346">
        <v>9357.6299999999992</v>
      </c>
      <c r="J6346">
        <v>8571.2099999999991</v>
      </c>
      <c r="K6346" t="s">
        <v>17</v>
      </c>
      <c r="L6346" t="b">
        <v>0</v>
      </c>
      <c r="N6346" s="2" t="str">
        <f t="shared" si="573"/>
        <v/>
      </c>
      <c r="Q6346" t="str">
        <f t="shared" si="571"/>
        <v/>
      </c>
    </row>
    <row r="6347" spans="1:17" hidden="1">
      <c r="A6347" t="s">
        <v>6452</v>
      </c>
      <c r="B6347" s="1">
        <v>45766</v>
      </c>
      <c r="C6347">
        <v>2025</v>
      </c>
      <c r="D6347">
        <v>4</v>
      </c>
      <c r="E6347" t="s">
        <v>13</v>
      </c>
      <c r="F6347" t="s">
        <v>14</v>
      </c>
      <c r="G6347" t="s">
        <v>102</v>
      </c>
      <c r="H6347" t="s">
        <v>145</v>
      </c>
      <c r="I6347">
        <v>3921.62</v>
      </c>
      <c r="J6347">
        <v>3947.57</v>
      </c>
      <c r="K6347" t="s">
        <v>17</v>
      </c>
      <c r="L6347" t="b">
        <v>0</v>
      </c>
      <c r="N6347" s="2" t="str">
        <f t="shared" si="573"/>
        <v/>
      </c>
      <c r="Q6347" t="str">
        <f t="shared" si="571"/>
        <v/>
      </c>
    </row>
    <row r="6348" spans="1:17" hidden="1">
      <c r="A6348" t="s">
        <v>6453</v>
      </c>
      <c r="B6348" s="1">
        <v>45766</v>
      </c>
      <c r="C6348">
        <v>2025</v>
      </c>
      <c r="D6348">
        <v>4</v>
      </c>
      <c r="E6348" t="s">
        <v>13</v>
      </c>
      <c r="F6348" t="s">
        <v>24</v>
      </c>
      <c r="G6348" t="s">
        <v>68</v>
      </c>
      <c r="H6348" t="s">
        <v>87</v>
      </c>
      <c r="I6348">
        <v>5372.23</v>
      </c>
      <c r="J6348">
        <v>5154.22</v>
      </c>
      <c r="K6348" t="s">
        <v>17</v>
      </c>
      <c r="L6348" t="b">
        <v>0</v>
      </c>
      <c r="N6348" s="2" t="str">
        <f t="shared" si="573"/>
        <v/>
      </c>
      <c r="Q6348" t="str">
        <f t="shared" si="571"/>
        <v/>
      </c>
    </row>
    <row r="6349" spans="1:17" hidden="1">
      <c r="A6349" t="s">
        <v>6454</v>
      </c>
      <c r="B6349" s="1">
        <v>45766</v>
      </c>
      <c r="C6349">
        <v>2025</v>
      </c>
      <c r="D6349">
        <v>4</v>
      </c>
      <c r="E6349" t="s">
        <v>47</v>
      </c>
      <c r="F6349" t="s">
        <v>28</v>
      </c>
      <c r="G6349" t="s">
        <v>91</v>
      </c>
      <c r="H6349" t="s">
        <v>254</v>
      </c>
      <c r="I6349">
        <v>8382.91</v>
      </c>
      <c r="J6349">
        <v>6884.56</v>
      </c>
      <c r="K6349" t="s">
        <v>17</v>
      </c>
      <c r="L6349" t="b">
        <v>0</v>
      </c>
      <c r="N6349" s="2" t="b">
        <f t="shared" si="573"/>
        <v>1</v>
      </c>
      <c r="O6349" t="str">
        <f>IF(AND(E6338="HR",K6338="EXPENSE"),I6338&lt;J6338,"")</f>
        <v/>
      </c>
      <c r="Q6349" t="str">
        <f t="shared" si="571"/>
        <v/>
      </c>
    </row>
    <row r="6350" spans="1:17" hidden="1">
      <c r="A6350" t="s">
        <v>6455</v>
      </c>
      <c r="B6350" s="1">
        <v>45766</v>
      </c>
      <c r="C6350">
        <v>2025</v>
      </c>
      <c r="D6350">
        <v>4</v>
      </c>
      <c r="E6350" t="s">
        <v>19</v>
      </c>
      <c r="F6350" t="s">
        <v>28</v>
      </c>
      <c r="G6350" t="s">
        <v>54</v>
      </c>
      <c r="H6350" t="s">
        <v>163</v>
      </c>
      <c r="I6350">
        <v>6974.22</v>
      </c>
      <c r="J6350">
        <v>6343.97</v>
      </c>
      <c r="K6350" t="s">
        <v>17</v>
      </c>
      <c r="L6350" t="b">
        <v>0</v>
      </c>
      <c r="N6350" s="2" t="str">
        <f t="shared" si="573"/>
        <v/>
      </c>
      <c r="Q6350" t="str">
        <f t="shared" si="571"/>
        <v/>
      </c>
    </row>
    <row r="6351" spans="1:17" hidden="1">
      <c r="A6351" t="s">
        <v>6456</v>
      </c>
      <c r="B6351" s="1">
        <v>45766</v>
      </c>
      <c r="C6351">
        <v>2025</v>
      </c>
      <c r="D6351">
        <v>4</v>
      </c>
      <c r="E6351" t="s">
        <v>23</v>
      </c>
      <c r="F6351" t="s">
        <v>14</v>
      </c>
      <c r="G6351" t="s">
        <v>141</v>
      </c>
      <c r="H6351" t="s">
        <v>209</v>
      </c>
      <c r="I6351">
        <v>5399.55</v>
      </c>
      <c r="J6351">
        <v>5791.11</v>
      </c>
      <c r="K6351" t="s">
        <v>17</v>
      </c>
      <c r="L6351" t="b">
        <v>0</v>
      </c>
      <c r="N6351" s="2" t="str">
        <f t="shared" si="573"/>
        <v/>
      </c>
      <c r="Q6351" t="str">
        <f t="shared" si="571"/>
        <v/>
      </c>
    </row>
    <row r="6352" spans="1:17" hidden="1">
      <c r="A6352" t="s">
        <v>6457</v>
      </c>
      <c r="B6352" s="1">
        <v>45766</v>
      </c>
      <c r="C6352">
        <v>2025</v>
      </c>
      <c r="D6352">
        <v>4</v>
      </c>
      <c r="E6352" t="s">
        <v>23</v>
      </c>
      <c r="F6352" t="s">
        <v>28</v>
      </c>
      <c r="G6352" t="s">
        <v>25</v>
      </c>
      <c r="H6352" t="s">
        <v>95</v>
      </c>
      <c r="I6352">
        <v>5658.22</v>
      </c>
      <c r="J6352">
        <v>6138.92</v>
      </c>
      <c r="K6352" t="s">
        <v>17</v>
      </c>
      <c r="L6352" t="b">
        <v>0</v>
      </c>
      <c r="N6352" s="2" t="str">
        <f t="shared" si="573"/>
        <v/>
      </c>
      <c r="Q6352" t="str">
        <f t="shared" si="571"/>
        <v/>
      </c>
    </row>
    <row r="6353" spans="1:17" hidden="1">
      <c r="A6353" t="s">
        <v>6458</v>
      </c>
      <c r="B6353" s="1">
        <v>45766</v>
      </c>
      <c r="C6353">
        <v>2025</v>
      </c>
      <c r="D6353">
        <v>4</v>
      </c>
      <c r="E6353" t="s">
        <v>37</v>
      </c>
      <c r="F6353" t="s">
        <v>14</v>
      </c>
      <c r="G6353" t="s">
        <v>83</v>
      </c>
      <c r="H6353" t="s">
        <v>84</v>
      </c>
      <c r="I6353">
        <v>298935.7</v>
      </c>
      <c r="J6353">
        <v>283988.92</v>
      </c>
      <c r="K6353" t="s">
        <v>85</v>
      </c>
      <c r="L6353" t="b">
        <v>0</v>
      </c>
      <c r="N6353" s="2" t="str">
        <f t="shared" si="573"/>
        <v/>
      </c>
      <c r="Q6353" t="str">
        <f t="shared" si="571"/>
        <v/>
      </c>
    </row>
    <row r="6354" spans="1:17" hidden="1">
      <c r="A6354" t="s">
        <v>6459</v>
      </c>
      <c r="B6354" s="1">
        <v>45767</v>
      </c>
      <c r="C6354">
        <v>2025</v>
      </c>
      <c r="D6354">
        <v>4</v>
      </c>
      <c r="E6354" t="s">
        <v>13</v>
      </c>
      <c r="F6354" t="s">
        <v>14</v>
      </c>
      <c r="G6354" t="s">
        <v>15</v>
      </c>
      <c r="H6354" t="s">
        <v>16</v>
      </c>
      <c r="I6354">
        <v>4136.43</v>
      </c>
      <c r="J6354">
        <v>4141.29</v>
      </c>
      <c r="K6354" t="s">
        <v>17</v>
      </c>
      <c r="L6354" t="b">
        <v>0</v>
      </c>
      <c r="N6354" s="2" t="str">
        <f t="shared" si="573"/>
        <v/>
      </c>
      <c r="Q6354" t="str">
        <f t="shared" si="571"/>
        <v/>
      </c>
    </row>
    <row r="6355" spans="1:17" hidden="1">
      <c r="A6355" t="s">
        <v>6460</v>
      </c>
      <c r="B6355" s="1">
        <v>45767</v>
      </c>
      <c r="C6355">
        <v>2025</v>
      </c>
      <c r="D6355">
        <v>4</v>
      </c>
      <c r="E6355" t="s">
        <v>19</v>
      </c>
      <c r="F6355" t="s">
        <v>14</v>
      </c>
      <c r="G6355" t="s">
        <v>132</v>
      </c>
      <c r="H6355" t="s">
        <v>138</v>
      </c>
      <c r="I6355">
        <v>4911.59</v>
      </c>
      <c r="J6355">
        <v>4577.3900000000003</v>
      </c>
      <c r="K6355" t="s">
        <v>17</v>
      </c>
      <c r="L6355" t="b">
        <v>0</v>
      </c>
      <c r="N6355" s="2" t="str">
        <f t="shared" si="573"/>
        <v/>
      </c>
      <c r="Q6355" t="str">
        <f t="shared" si="571"/>
        <v/>
      </c>
    </row>
    <row r="6356" spans="1:17" hidden="1">
      <c r="A6356" t="s">
        <v>6461</v>
      </c>
      <c r="B6356" s="1">
        <v>45767</v>
      </c>
      <c r="C6356">
        <v>2025</v>
      </c>
      <c r="D6356">
        <v>4</v>
      </c>
      <c r="E6356" t="s">
        <v>23</v>
      </c>
      <c r="F6356" t="s">
        <v>14</v>
      </c>
      <c r="G6356" t="s">
        <v>141</v>
      </c>
      <c r="H6356" t="s">
        <v>142</v>
      </c>
      <c r="I6356">
        <v>4804.7299999999996</v>
      </c>
      <c r="J6356">
        <v>4921.29</v>
      </c>
      <c r="K6356" t="s">
        <v>17</v>
      </c>
      <c r="L6356" t="b">
        <v>0</v>
      </c>
      <c r="N6356" s="2" t="str">
        <f t="shared" si="573"/>
        <v/>
      </c>
      <c r="Q6356" t="str">
        <f t="shared" si="571"/>
        <v/>
      </c>
    </row>
    <row r="6357" spans="1:17" hidden="1">
      <c r="A6357" t="s">
        <v>6462</v>
      </c>
      <c r="B6357" s="1">
        <v>45768</v>
      </c>
      <c r="C6357">
        <v>2025</v>
      </c>
      <c r="D6357">
        <v>4</v>
      </c>
      <c r="E6357" t="s">
        <v>13</v>
      </c>
      <c r="F6357" t="s">
        <v>28</v>
      </c>
      <c r="G6357" t="s">
        <v>108</v>
      </c>
      <c r="H6357" t="s">
        <v>123</v>
      </c>
      <c r="I6357">
        <v>4412.55</v>
      </c>
      <c r="J6357">
        <v>4248.76</v>
      </c>
      <c r="K6357" t="s">
        <v>17</v>
      </c>
      <c r="L6357" t="b">
        <v>0</v>
      </c>
      <c r="N6357" s="2" t="str">
        <f t="shared" si="573"/>
        <v/>
      </c>
      <c r="Q6357" t="str">
        <f t="shared" si="571"/>
        <v/>
      </c>
    </row>
    <row r="6358" spans="1:17" hidden="1">
      <c r="A6358" t="s">
        <v>6463</v>
      </c>
      <c r="B6358" s="1">
        <v>45768</v>
      </c>
      <c r="C6358">
        <v>2025</v>
      </c>
      <c r="D6358">
        <v>4</v>
      </c>
      <c r="E6358" t="s">
        <v>13</v>
      </c>
      <c r="F6358" t="s">
        <v>28</v>
      </c>
      <c r="G6358" t="s">
        <v>15</v>
      </c>
      <c r="H6358" t="s">
        <v>45</v>
      </c>
      <c r="I6358">
        <v>2738.56</v>
      </c>
      <c r="J6358">
        <v>2556.58</v>
      </c>
      <c r="K6358" t="s">
        <v>17</v>
      </c>
      <c r="L6358" t="b">
        <v>0</v>
      </c>
      <c r="N6358" s="2" t="str">
        <f t="shared" si="573"/>
        <v/>
      </c>
      <c r="Q6358" t="str">
        <f t="shared" si="571"/>
        <v/>
      </c>
    </row>
    <row r="6359" spans="1:17" hidden="1">
      <c r="A6359" t="s">
        <v>6464</v>
      </c>
      <c r="B6359" s="1">
        <v>45768</v>
      </c>
      <c r="C6359">
        <v>2025</v>
      </c>
      <c r="D6359">
        <v>4</v>
      </c>
      <c r="E6359" t="s">
        <v>13</v>
      </c>
      <c r="F6359" t="s">
        <v>24</v>
      </c>
      <c r="G6359" t="s">
        <v>102</v>
      </c>
      <c r="H6359" t="s">
        <v>145</v>
      </c>
      <c r="I6359">
        <v>3484.01</v>
      </c>
      <c r="J6359">
        <v>3719.87</v>
      </c>
      <c r="K6359" t="s">
        <v>17</v>
      </c>
      <c r="L6359" t="b">
        <v>0</v>
      </c>
      <c r="N6359" s="2" t="str">
        <f t="shared" si="573"/>
        <v/>
      </c>
      <c r="Q6359" t="str">
        <f t="shared" si="571"/>
        <v/>
      </c>
    </row>
    <row r="6360" spans="1:17" hidden="1">
      <c r="A6360" t="s">
        <v>6465</v>
      </c>
      <c r="B6360" s="1">
        <v>45768</v>
      </c>
      <c r="C6360">
        <v>2025</v>
      </c>
      <c r="D6360">
        <v>4</v>
      </c>
      <c r="E6360" t="s">
        <v>47</v>
      </c>
      <c r="F6360" t="s">
        <v>14</v>
      </c>
      <c r="G6360" t="s">
        <v>91</v>
      </c>
      <c r="H6360" t="s">
        <v>92</v>
      </c>
      <c r="I6360">
        <v>22313.91</v>
      </c>
      <c r="J6360">
        <v>18892.87</v>
      </c>
      <c r="K6360" t="s">
        <v>17</v>
      </c>
      <c r="L6360" t="b">
        <v>0</v>
      </c>
      <c r="N6360" s="2" t="b">
        <f t="shared" si="573"/>
        <v>1</v>
      </c>
      <c r="O6360" t="str">
        <f t="shared" ref="O6360:O6362" si="574">IF(AND(E6349="HR",K6349="EXPENSE"),I6349&lt;J6349,"")</f>
        <v/>
      </c>
      <c r="Q6360" t="str">
        <f t="shared" si="571"/>
        <v/>
      </c>
    </row>
    <row r="6361" spans="1:17" hidden="1">
      <c r="A6361" t="s">
        <v>6466</v>
      </c>
      <c r="B6361" s="1">
        <v>45768</v>
      </c>
      <c r="C6361">
        <v>2025</v>
      </c>
      <c r="D6361">
        <v>4</v>
      </c>
      <c r="E6361" t="s">
        <v>47</v>
      </c>
      <c r="F6361" t="s">
        <v>28</v>
      </c>
      <c r="G6361" t="s">
        <v>48</v>
      </c>
      <c r="H6361" t="s">
        <v>189</v>
      </c>
      <c r="I6361">
        <v>13809.3</v>
      </c>
      <c r="J6361">
        <v>11940.36</v>
      </c>
      <c r="K6361" t="s">
        <v>17</v>
      </c>
      <c r="L6361" t="b">
        <v>0</v>
      </c>
      <c r="N6361" s="2" t="b">
        <f t="shared" si="573"/>
        <v>1</v>
      </c>
      <c r="O6361" t="str">
        <f t="shared" si="574"/>
        <v/>
      </c>
      <c r="Q6361" t="str">
        <f t="shared" si="571"/>
        <v/>
      </c>
    </row>
    <row r="6362" spans="1:17" hidden="1">
      <c r="A6362" t="s">
        <v>6467</v>
      </c>
      <c r="B6362" s="1">
        <v>45768</v>
      </c>
      <c r="C6362">
        <v>2025</v>
      </c>
      <c r="D6362">
        <v>4</v>
      </c>
      <c r="E6362" t="s">
        <v>47</v>
      </c>
      <c r="F6362" t="s">
        <v>24</v>
      </c>
      <c r="G6362" t="s">
        <v>91</v>
      </c>
      <c r="H6362" t="s">
        <v>128</v>
      </c>
      <c r="I6362">
        <v>14133.39</v>
      </c>
      <c r="J6362">
        <v>12068.03</v>
      </c>
      <c r="K6362" t="s">
        <v>17</v>
      </c>
      <c r="L6362" t="b">
        <v>0</v>
      </c>
      <c r="N6362" s="2" t="b">
        <f t="shared" si="573"/>
        <v>1</v>
      </c>
      <c r="O6362" t="str">
        <f t="shared" si="574"/>
        <v/>
      </c>
      <c r="Q6362" t="str">
        <f t="shared" si="571"/>
        <v/>
      </c>
    </row>
    <row r="6363" spans="1:17" hidden="1">
      <c r="A6363" t="s">
        <v>6468</v>
      </c>
      <c r="B6363" s="1">
        <v>45768</v>
      </c>
      <c r="C6363">
        <v>2025</v>
      </c>
      <c r="D6363">
        <v>4</v>
      </c>
      <c r="E6363" t="s">
        <v>19</v>
      </c>
      <c r="F6363" t="s">
        <v>14</v>
      </c>
      <c r="G6363" t="s">
        <v>54</v>
      </c>
      <c r="H6363" t="s">
        <v>57</v>
      </c>
      <c r="I6363">
        <v>6711.06</v>
      </c>
      <c r="J6363">
        <v>7371.26</v>
      </c>
      <c r="K6363" t="s">
        <v>17</v>
      </c>
      <c r="L6363" t="b">
        <v>0</v>
      </c>
      <c r="N6363" s="2" t="str">
        <f t="shared" si="573"/>
        <v/>
      </c>
      <c r="Q6363" t="str">
        <f t="shared" si="571"/>
        <v/>
      </c>
    </row>
    <row r="6364" spans="1:17" hidden="1">
      <c r="A6364" t="s">
        <v>6469</v>
      </c>
      <c r="B6364" s="1">
        <v>45768</v>
      </c>
      <c r="C6364">
        <v>2025</v>
      </c>
      <c r="D6364">
        <v>4</v>
      </c>
      <c r="E6364" t="s">
        <v>19</v>
      </c>
      <c r="F6364" t="s">
        <v>28</v>
      </c>
      <c r="G6364" t="s">
        <v>20</v>
      </c>
      <c r="H6364" t="s">
        <v>21</v>
      </c>
      <c r="I6364">
        <v>6607.43</v>
      </c>
      <c r="J6364">
        <v>6794.25</v>
      </c>
      <c r="K6364" t="s">
        <v>17</v>
      </c>
      <c r="L6364" t="b">
        <v>0</v>
      </c>
      <c r="N6364" s="2" t="str">
        <f t="shared" si="573"/>
        <v/>
      </c>
      <c r="Q6364" t="str">
        <f t="shared" si="571"/>
        <v/>
      </c>
    </row>
    <row r="6365" spans="1:17" hidden="1">
      <c r="A6365" t="s">
        <v>6470</v>
      </c>
      <c r="B6365" s="1">
        <v>45768</v>
      </c>
      <c r="C6365">
        <v>2025</v>
      </c>
      <c r="D6365">
        <v>4</v>
      </c>
      <c r="E6365" t="s">
        <v>23</v>
      </c>
      <c r="F6365" t="s">
        <v>24</v>
      </c>
      <c r="G6365" t="s">
        <v>59</v>
      </c>
      <c r="H6365" t="s">
        <v>60</v>
      </c>
      <c r="I6365">
        <v>6204.79</v>
      </c>
      <c r="J6365">
        <v>5791.24</v>
      </c>
      <c r="K6365" t="s">
        <v>17</v>
      </c>
      <c r="L6365" t="b">
        <v>0</v>
      </c>
      <c r="N6365" s="2" t="str">
        <f t="shared" si="573"/>
        <v/>
      </c>
      <c r="Q6365" t="str">
        <f t="shared" si="571"/>
        <v/>
      </c>
    </row>
    <row r="6366" spans="1:17" hidden="1">
      <c r="A6366" t="s">
        <v>6471</v>
      </c>
      <c r="B6366" s="1">
        <v>45769</v>
      </c>
      <c r="C6366">
        <v>2025</v>
      </c>
      <c r="D6366">
        <v>4</v>
      </c>
      <c r="E6366" t="s">
        <v>13</v>
      </c>
      <c r="F6366" t="s">
        <v>28</v>
      </c>
      <c r="G6366" t="s">
        <v>15</v>
      </c>
      <c r="H6366" t="s">
        <v>89</v>
      </c>
      <c r="I6366">
        <v>5346.45</v>
      </c>
      <c r="J6366">
        <v>5658.19</v>
      </c>
      <c r="K6366" t="s">
        <v>17</v>
      </c>
      <c r="L6366" t="b">
        <v>0</v>
      </c>
      <c r="N6366" s="2" t="str">
        <f t="shared" si="573"/>
        <v/>
      </c>
      <c r="Q6366" t="str">
        <f t="shared" si="571"/>
        <v/>
      </c>
    </row>
    <row r="6367" spans="1:17" hidden="1">
      <c r="A6367" t="s">
        <v>6472</v>
      </c>
      <c r="B6367" s="1">
        <v>45769</v>
      </c>
      <c r="C6367">
        <v>2025</v>
      </c>
      <c r="D6367">
        <v>4</v>
      </c>
      <c r="E6367" t="s">
        <v>13</v>
      </c>
      <c r="F6367" t="s">
        <v>28</v>
      </c>
      <c r="G6367" t="s">
        <v>102</v>
      </c>
      <c r="H6367" t="s">
        <v>278</v>
      </c>
      <c r="I6367">
        <v>4192.5600000000004</v>
      </c>
      <c r="J6367">
        <v>3832.56</v>
      </c>
      <c r="K6367" t="s">
        <v>17</v>
      </c>
      <c r="L6367" t="b">
        <v>0</v>
      </c>
      <c r="N6367" s="2" t="str">
        <f t="shared" si="573"/>
        <v/>
      </c>
      <c r="Q6367" t="str">
        <f t="shared" si="571"/>
        <v/>
      </c>
    </row>
    <row r="6368" spans="1:17" hidden="1">
      <c r="A6368" t="s">
        <v>6473</v>
      </c>
      <c r="B6368" s="1">
        <v>45769</v>
      </c>
      <c r="C6368">
        <v>2025</v>
      </c>
      <c r="D6368">
        <v>4</v>
      </c>
      <c r="E6368" t="s">
        <v>13</v>
      </c>
      <c r="F6368" t="s">
        <v>24</v>
      </c>
      <c r="G6368" t="s">
        <v>15</v>
      </c>
      <c r="H6368" t="s">
        <v>45</v>
      </c>
      <c r="I6368">
        <v>4411.12</v>
      </c>
      <c r="J6368">
        <v>4568.71</v>
      </c>
      <c r="K6368" t="s">
        <v>17</v>
      </c>
      <c r="L6368" t="b">
        <v>0</v>
      </c>
      <c r="N6368" s="2" t="str">
        <f t="shared" si="573"/>
        <v/>
      </c>
      <c r="Q6368" t="str">
        <f t="shared" si="571"/>
        <v/>
      </c>
    </row>
    <row r="6369" spans="1:17" hidden="1">
      <c r="A6369" t="s">
        <v>6474</v>
      </c>
      <c r="B6369" s="1">
        <v>45769</v>
      </c>
      <c r="C6369">
        <v>2025</v>
      </c>
      <c r="D6369">
        <v>4</v>
      </c>
      <c r="E6369" t="s">
        <v>19</v>
      </c>
      <c r="F6369" t="s">
        <v>14</v>
      </c>
      <c r="G6369" t="s">
        <v>54</v>
      </c>
      <c r="H6369" t="s">
        <v>55</v>
      </c>
      <c r="I6369">
        <v>7974.63</v>
      </c>
      <c r="J6369">
        <v>8232.33</v>
      </c>
      <c r="K6369" t="s">
        <v>17</v>
      </c>
      <c r="L6369" t="b">
        <v>0</v>
      </c>
      <c r="N6369" s="2" t="str">
        <f t="shared" si="573"/>
        <v/>
      </c>
      <c r="Q6369" t="str">
        <f t="shared" si="571"/>
        <v/>
      </c>
    </row>
    <row r="6370" spans="1:17" hidden="1">
      <c r="A6370" t="s">
        <v>6475</v>
      </c>
      <c r="B6370" s="1">
        <v>45769</v>
      </c>
      <c r="C6370">
        <v>2025</v>
      </c>
      <c r="D6370">
        <v>4</v>
      </c>
      <c r="E6370" t="s">
        <v>23</v>
      </c>
      <c r="F6370" t="s">
        <v>14</v>
      </c>
      <c r="G6370" t="s">
        <v>25</v>
      </c>
      <c r="H6370" t="s">
        <v>35</v>
      </c>
      <c r="I6370">
        <v>4507.62</v>
      </c>
      <c r="J6370">
        <v>4314.28</v>
      </c>
      <c r="K6370" t="s">
        <v>17</v>
      </c>
      <c r="L6370" t="b">
        <v>0</v>
      </c>
      <c r="N6370" s="2" t="str">
        <f t="shared" si="573"/>
        <v/>
      </c>
      <c r="Q6370" t="str">
        <f t="shared" si="571"/>
        <v/>
      </c>
    </row>
    <row r="6371" spans="1:17" hidden="1">
      <c r="A6371" t="s">
        <v>6476</v>
      </c>
      <c r="B6371" s="1">
        <v>45769</v>
      </c>
      <c r="C6371">
        <v>2025</v>
      </c>
      <c r="D6371">
        <v>4</v>
      </c>
      <c r="E6371" t="s">
        <v>37</v>
      </c>
      <c r="F6371" t="s">
        <v>28</v>
      </c>
      <c r="G6371" t="s">
        <v>38</v>
      </c>
      <c r="H6371" t="s">
        <v>118</v>
      </c>
      <c r="I6371">
        <v>5636.31</v>
      </c>
      <c r="J6371">
        <v>5820.96</v>
      </c>
      <c r="K6371" t="s">
        <v>17</v>
      </c>
      <c r="L6371" t="b">
        <v>0</v>
      </c>
      <c r="N6371" s="2" t="str">
        <f t="shared" si="573"/>
        <v/>
      </c>
      <c r="Q6371" t="str">
        <f t="shared" si="571"/>
        <v/>
      </c>
    </row>
    <row r="6372" spans="1:17" hidden="1">
      <c r="A6372" t="s">
        <v>6477</v>
      </c>
      <c r="B6372" s="1">
        <v>45770</v>
      </c>
      <c r="C6372">
        <v>2025</v>
      </c>
      <c r="D6372">
        <v>4</v>
      </c>
      <c r="E6372" t="s">
        <v>13</v>
      </c>
      <c r="F6372" t="s">
        <v>14</v>
      </c>
      <c r="G6372" t="s">
        <v>108</v>
      </c>
      <c r="H6372" t="s">
        <v>109</v>
      </c>
      <c r="I6372">
        <v>2133.4499999999998</v>
      </c>
      <c r="J6372">
        <v>1998.18</v>
      </c>
      <c r="K6372" t="s">
        <v>17</v>
      </c>
      <c r="L6372" t="b">
        <v>0</v>
      </c>
      <c r="N6372" s="2" t="str">
        <f t="shared" si="573"/>
        <v/>
      </c>
      <c r="Q6372" t="str">
        <f t="shared" si="571"/>
        <v/>
      </c>
    </row>
    <row r="6373" spans="1:17" hidden="1">
      <c r="A6373" t="s">
        <v>6478</v>
      </c>
      <c r="B6373" s="1">
        <v>45770</v>
      </c>
      <c r="C6373">
        <v>2025</v>
      </c>
      <c r="D6373">
        <v>4</v>
      </c>
      <c r="E6373" t="s">
        <v>13</v>
      </c>
      <c r="F6373" t="s">
        <v>28</v>
      </c>
      <c r="G6373" t="s">
        <v>108</v>
      </c>
      <c r="H6373" t="s">
        <v>126</v>
      </c>
      <c r="I6373">
        <v>4007.41</v>
      </c>
      <c r="J6373">
        <v>4381.91</v>
      </c>
      <c r="K6373" t="s">
        <v>17</v>
      </c>
      <c r="L6373" t="b">
        <v>0</v>
      </c>
      <c r="N6373" s="2" t="str">
        <f t="shared" si="573"/>
        <v/>
      </c>
      <c r="Q6373" t="str">
        <f t="shared" si="571"/>
        <v/>
      </c>
    </row>
    <row r="6374" spans="1:17" hidden="1">
      <c r="A6374" t="s">
        <v>6479</v>
      </c>
      <c r="B6374" s="1">
        <v>45770</v>
      </c>
      <c r="C6374">
        <v>2025</v>
      </c>
      <c r="D6374">
        <v>4</v>
      </c>
      <c r="E6374" t="s">
        <v>47</v>
      </c>
      <c r="F6374" t="s">
        <v>28</v>
      </c>
      <c r="G6374" t="s">
        <v>91</v>
      </c>
      <c r="H6374" t="s">
        <v>92</v>
      </c>
      <c r="I6374">
        <v>15457.58</v>
      </c>
      <c r="J6374">
        <v>13380.45</v>
      </c>
      <c r="K6374" t="s">
        <v>17</v>
      </c>
      <c r="L6374" t="b">
        <v>0</v>
      </c>
      <c r="N6374" s="2" t="b">
        <f t="shared" si="573"/>
        <v>1</v>
      </c>
      <c r="O6374" t="str">
        <f>IF(AND(E6363="HR",K6363="EXPENSE"),I6363&lt;J6363,"")</f>
        <v/>
      </c>
      <c r="Q6374" t="str">
        <f t="shared" si="571"/>
        <v/>
      </c>
    </row>
    <row r="6375" spans="1:17" hidden="1">
      <c r="A6375" t="s">
        <v>6480</v>
      </c>
      <c r="B6375" s="1">
        <v>45770</v>
      </c>
      <c r="C6375">
        <v>2025</v>
      </c>
      <c r="D6375">
        <v>4</v>
      </c>
      <c r="E6375" t="s">
        <v>19</v>
      </c>
      <c r="F6375" t="s">
        <v>28</v>
      </c>
      <c r="G6375" t="s">
        <v>54</v>
      </c>
      <c r="H6375" t="s">
        <v>57</v>
      </c>
      <c r="I6375">
        <v>6725.83</v>
      </c>
      <c r="J6375">
        <v>6455.21</v>
      </c>
      <c r="K6375" t="s">
        <v>17</v>
      </c>
      <c r="L6375" t="b">
        <v>0</v>
      </c>
      <c r="N6375" s="2" t="str">
        <f t="shared" si="573"/>
        <v/>
      </c>
      <c r="Q6375" t="str">
        <f t="shared" si="571"/>
        <v/>
      </c>
    </row>
    <row r="6376" spans="1:17" hidden="1">
      <c r="A6376" t="s">
        <v>6481</v>
      </c>
      <c r="B6376" s="1">
        <v>45770</v>
      </c>
      <c r="C6376">
        <v>2025</v>
      </c>
      <c r="D6376">
        <v>4</v>
      </c>
      <c r="E6376" t="s">
        <v>19</v>
      </c>
      <c r="F6376" t="s">
        <v>24</v>
      </c>
      <c r="G6376" t="s">
        <v>80</v>
      </c>
      <c r="H6376" t="s">
        <v>150</v>
      </c>
      <c r="I6376">
        <v>8803.1200000000008</v>
      </c>
      <c r="J6376">
        <v>8493.1299999999992</v>
      </c>
      <c r="K6376" t="s">
        <v>17</v>
      </c>
      <c r="L6376" t="b">
        <v>0</v>
      </c>
      <c r="N6376" s="2" t="str">
        <f t="shared" si="573"/>
        <v/>
      </c>
      <c r="Q6376" t="str">
        <f t="shared" si="571"/>
        <v/>
      </c>
    </row>
    <row r="6377" spans="1:17" hidden="1">
      <c r="A6377" t="s">
        <v>6482</v>
      </c>
      <c r="B6377" s="1">
        <v>45770</v>
      </c>
      <c r="C6377">
        <v>2025</v>
      </c>
      <c r="D6377">
        <v>4</v>
      </c>
      <c r="E6377" t="s">
        <v>19</v>
      </c>
      <c r="F6377" t="s">
        <v>24</v>
      </c>
      <c r="G6377" t="s">
        <v>20</v>
      </c>
      <c r="H6377" t="s">
        <v>21</v>
      </c>
      <c r="I6377">
        <v>9629.43</v>
      </c>
      <c r="J6377">
        <v>9481.36</v>
      </c>
      <c r="K6377" t="s">
        <v>17</v>
      </c>
      <c r="L6377" t="b">
        <v>0</v>
      </c>
      <c r="N6377" s="2" t="str">
        <f t="shared" si="573"/>
        <v/>
      </c>
      <c r="Q6377" t="str">
        <f t="shared" si="571"/>
        <v/>
      </c>
    </row>
    <row r="6378" spans="1:17" hidden="1">
      <c r="A6378" t="s">
        <v>6483</v>
      </c>
      <c r="B6378" s="1">
        <v>45770</v>
      </c>
      <c r="C6378">
        <v>2025</v>
      </c>
      <c r="D6378">
        <v>4</v>
      </c>
      <c r="E6378" t="s">
        <v>23</v>
      </c>
      <c r="F6378" t="s">
        <v>14</v>
      </c>
      <c r="G6378" t="s">
        <v>25</v>
      </c>
      <c r="H6378" t="s">
        <v>35</v>
      </c>
      <c r="I6378">
        <v>6109.14</v>
      </c>
      <c r="J6378">
        <v>5609.86</v>
      </c>
      <c r="K6378" t="s">
        <v>17</v>
      </c>
      <c r="L6378" t="b">
        <v>0</v>
      </c>
      <c r="N6378" s="2" t="str">
        <f t="shared" si="573"/>
        <v/>
      </c>
      <c r="Q6378" t="str">
        <f t="shared" si="571"/>
        <v/>
      </c>
    </row>
    <row r="6379" spans="1:17" hidden="1">
      <c r="A6379" t="s">
        <v>6484</v>
      </c>
      <c r="B6379" s="1">
        <v>45771</v>
      </c>
      <c r="C6379">
        <v>2025</v>
      </c>
      <c r="D6379">
        <v>4</v>
      </c>
      <c r="E6379" t="s">
        <v>47</v>
      </c>
      <c r="F6379" t="s">
        <v>24</v>
      </c>
      <c r="G6379" t="s">
        <v>51</v>
      </c>
      <c r="H6379" t="s">
        <v>189</v>
      </c>
      <c r="I6379">
        <v>13725.66</v>
      </c>
      <c r="J6379">
        <v>11865.26</v>
      </c>
      <c r="K6379" t="s">
        <v>17</v>
      </c>
      <c r="L6379" t="b">
        <v>0</v>
      </c>
      <c r="N6379" s="2" t="b">
        <f t="shared" si="573"/>
        <v>1</v>
      </c>
      <c r="O6379" t="b">
        <f>IF(AND(E6368="HR",K6368="EXPENSE"),I6368&lt;J6368,"")</f>
        <v>1</v>
      </c>
      <c r="Q6379" t="str">
        <f t="shared" si="571"/>
        <v/>
      </c>
    </row>
    <row r="6380" spans="1:17" hidden="1">
      <c r="A6380" t="s">
        <v>6485</v>
      </c>
      <c r="B6380" s="1">
        <v>45771</v>
      </c>
      <c r="C6380">
        <v>2025</v>
      </c>
      <c r="D6380">
        <v>4</v>
      </c>
      <c r="E6380" t="s">
        <v>19</v>
      </c>
      <c r="F6380" t="s">
        <v>28</v>
      </c>
      <c r="G6380" t="s">
        <v>20</v>
      </c>
      <c r="H6380" t="s">
        <v>174</v>
      </c>
      <c r="I6380">
        <v>8691</v>
      </c>
      <c r="J6380">
        <v>9243.5300000000007</v>
      </c>
      <c r="K6380" t="s">
        <v>17</v>
      </c>
      <c r="L6380" t="b">
        <v>0</v>
      </c>
      <c r="N6380" s="2" t="str">
        <f t="shared" si="573"/>
        <v/>
      </c>
      <c r="Q6380" t="str">
        <f t="shared" si="571"/>
        <v/>
      </c>
    </row>
    <row r="6381" spans="1:17" hidden="1">
      <c r="A6381" t="s">
        <v>6486</v>
      </c>
      <c r="B6381" s="1">
        <v>45771</v>
      </c>
      <c r="C6381">
        <v>2025</v>
      </c>
      <c r="D6381">
        <v>4</v>
      </c>
      <c r="E6381" t="s">
        <v>19</v>
      </c>
      <c r="F6381" t="s">
        <v>28</v>
      </c>
      <c r="G6381" t="s">
        <v>54</v>
      </c>
      <c r="H6381" t="s">
        <v>55</v>
      </c>
      <c r="I6381">
        <v>8821.01</v>
      </c>
      <c r="J6381">
        <v>8032.03</v>
      </c>
      <c r="K6381" t="s">
        <v>17</v>
      </c>
      <c r="L6381" t="b">
        <v>0</v>
      </c>
      <c r="N6381" s="2" t="str">
        <f t="shared" si="573"/>
        <v/>
      </c>
      <c r="Q6381" t="str">
        <f t="shared" si="571"/>
        <v/>
      </c>
    </row>
    <row r="6382" spans="1:17" hidden="1">
      <c r="A6382" t="s">
        <v>6487</v>
      </c>
      <c r="B6382" s="1">
        <v>45771</v>
      </c>
      <c r="C6382">
        <v>2025</v>
      </c>
      <c r="D6382">
        <v>4</v>
      </c>
      <c r="E6382" t="s">
        <v>23</v>
      </c>
      <c r="F6382" t="s">
        <v>14</v>
      </c>
      <c r="G6382" t="s">
        <v>25</v>
      </c>
      <c r="H6382" t="s">
        <v>95</v>
      </c>
      <c r="I6382">
        <v>3117.61</v>
      </c>
      <c r="J6382">
        <v>2939.11</v>
      </c>
      <c r="K6382" t="s">
        <v>17</v>
      </c>
      <c r="L6382" t="b">
        <v>0</v>
      </c>
      <c r="N6382" s="2" t="str">
        <f t="shared" si="573"/>
        <v/>
      </c>
      <c r="Q6382" t="str">
        <f t="shared" si="571"/>
        <v/>
      </c>
    </row>
    <row r="6383" spans="1:17" hidden="1">
      <c r="A6383" t="s">
        <v>6488</v>
      </c>
      <c r="B6383" s="1">
        <v>45771</v>
      </c>
      <c r="C6383">
        <v>2025</v>
      </c>
      <c r="D6383">
        <v>4</v>
      </c>
      <c r="E6383" t="s">
        <v>23</v>
      </c>
      <c r="F6383" t="s">
        <v>14</v>
      </c>
      <c r="G6383" t="s">
        <v>25</v>
      </c>
      <c r="H6383" t="s">
        <v>26</v>
      </c>
      <c r="I6383">
        <v>4646.57</v>
      </c>
      <c r="J6383">
        <v>4417.93</v>
      </c>
      <c r="K6383" t="s">
        <v>17</v>
      </c>
      <c r="L6383" t="b">
        <v>0</v>
      </c>
      <c r="N6383" s="2" t="str">
        <f t="shared" si="573"/>
        <v/>
      </c>
      <c r="Q6383" t="str">
        <f t="shared" si="571"/>
        <v/>
      </c>
    </row>
    <row r="6384" spans="1:17" hidden="1">
      <c r="A6384" t="s">
        <v>6489</v>
      </c>
      <c r="B6384" s="1">
        <v>45771</v>
      </c>
      <c r="C6384">
        <v>2025</v>
      </c>
      <c r="D6384">
        <v>4</v>
      </c>
      <c r="E6384" t="s">
        <v>23</v>
      </c>
      <c r="F6384" t="s">
        <v>28</v>
      </c>
      <c r="G6384" t="s">
        <v>30</v>
      </c>
      <c r="H6384" t="s">
        <v>33</v>
      </c>
      <c r="I6384">
        <v>7064.42</v>
      </c>
      <c r="J6384">
        <v>7626.2</v>
      </c>
      <c r="K6384" t="s">
        <v>17</v>
      </c>
      <c r="L6384" t="b">
        <v>0</v>
      </c>
      <c r="N6384" s="2" t="str">
        <f t="shared" si="573"/>
        <v/>
      </c>
      <c r="Q6384" t="str">
        <f t="shared" ref="Q6384:Q6447" si="575">IF(L6384=TRUE,OR(H6384="Apex Solutions Inc",H6384="Global Trade Partners",H6384="NovaTech Services"),"")</f>
        <v/>
      </c>
    </row>
    <row r="6385" spans="1:17" hidden="1">
      <c r="A6385" t="s">
        <v>6490</v>
      </c>
      <c r="B6385" s="1">
        <v>45771</v>
      </c>
      <c r="C6385">
        <v>2025</v>
      </c>
      <c r="D6385">
        <v>4</v>
      </c>
      <c r="E6385" t="s">
        <v>23</v>
      </c>
      <c r="F6385" t="s">
        <v>28</v>
      </c>
      <c r="G6385" t="s">
        <v>30</v>
      </c>
      <c r="H6385" t="s">
        <v>106</v>
      </c>
      <c r="I6385">
        <v>5390.12</v>
      </c>
      <c r="J6385">
        <v>5883.49</v>
      </c>
      <c r="K6385" t="s">
        <v>17</v>
      </c>
      <c r="L6385" t="b">
        <v>0</v>
      </c>
      <c r="N6385" s="2" t="str">
        <f t="shared" si="573"/>
        <v/>
      </c>
      <c r="Q6385" t="str">
        <f t="shared" si="575"/>
        <v/>
      </c>
    </row>
    <row r="6386" spans="1:17" hidden="1">
      <c r="A6386" t="s">
        <v>6491</v>
      </c>
      <c r="B6386" s="1">
        <v>45771</v>
      </c>
      <c r="C6386">
        <v>2025</v>
      </c>
      <c r="D6386">
        <v>4</v>
      </c>
      <c r="E6386" t="s">
        <v>23</v>
      </c>
      <c r="F6386" t="s">
        <v>24</v>
      </c>
      <c r="G6386" t="s">
        <v>30</v>
      </c>
      <c r="H6386" t="s">
        <v>31</v>
      </c>
      <c r="I6386">
        <v>4242.9799999999996</v>
      </c>
      <c r="J6386">
        <v>4038.46</v>
      </c>
      <c r="K6386" t="s">
        <v>17</v>
      </c>
      <c r="L6386" t="b">
        <v>0</v>
      </c>
      <c r="N6386" s="2" t="str">
        <f t="shared" si="573"/>
        <v/>
      </c>
      <c r="Q6386" t="str">
        <f t="shared" si="575"/>
        <v/>
      </c>
    </row>
    <row r="6387" spans="1:17" hidden="1">
      <c r="A6387" t="s">
        <v>6492</v>
      </c>
      <c r="B6387" s="1">
        <v>45771</v>
      </c>
      <c r="C6387">
        <v>2025</v>
      </c>
      <c r="D6387">
        <v>4</v>
      </c>
      <c r="E6387" t="s">
        <v>23</v>
      </c>
      <c r="F6387" t="s">
        <v>24</v>
      </c>
      <c r="G6387" t="s">
        <v>59</v>
      </c>
      <c r="H6387" t="s">
        <v>155</v>
      </c>
      <c r="I6387">
        <v>6558.51</v>
      </c>
      <c r="J6387">
        <v>7051.15</v>
      </c>
      <c r="K6387" t="s">
        <v>17</v>
      </c>
      <c r="L6387" t="b">
        <v>0</v>
      </c>
      <c r="N6387" s="2" t="str">
        <f t="shared" si="573"/>
        <v/>
      </c>
      <c r="Q6387" t="str">
        <f t="shared" si="575"/>
        <v/>
      </c>
    </row>
    <row r="6388" spans="1:17" hidden="1">
      <c r="A6388" t="s">
        <v>6493</v>
      </c>
      <c r="B6388" s="1">
        <v>45771</v>
      </c>
      <c r="C6388">
        <v>2025</v>
      </c>
      <c r="D6388">
        <v>4</v>
      </c>
      <c r="E6388" t="s">
        <v>37</v>
      </c>
      <c r="F6388" t="s">
        <v>14</v>
      </c>
      <c r="G6388" t="s">
        <v>62</v>
      </c>
      <c r="H6388" t="s">
        <v>63</v>
      </c>
      <c r="I6388">
        <v>4694.87</v>
      </c>
      <c r="J6388">
        <v>4497.6499999999996</v>
      </c>
      <c r="K6388" t="s">
        <v>17</v>
      </c>
      <c r="L6388" t="b">
        <v>0</v>
      </c>
      <c r="N6388" s="2" t="str">
        <f t="shared" si="573"/>
        <v/>
      </c>
      <c r="Q6388" t="str">
        <f t="shared" si="575"/>
        <v/>
      </c>
    </row>
    <row r="6389" spans="1:17" hidden="1">
      <c r="A6389" t="s">
        <v>6494</v>
      </c>
      <c r="B6389" s="1">
        <v>45771</v>
      </c>
      <c r="C6389">
        <v>2025</v>
      </c>
      <c r="D6389">
        <v>4</v>
      </c>
      <c r="E6389" t="s">
        <v>37</v>
      </c>
      <c r="F6389" t="s">
        <v>28</v>
      </c>
      <c r="G6389" t="s">
        <v>41</v>
      </c>
      <c r="H6389" t="s">
        <v>42</v>
      </c>
      <c r="I6389">
        <v>3867.23</v>
      </c>
      <c r="J6389">
        <v>3934.81</v>
      </c>
      <c r="K6389" t="s">
        <v>17</v>
      </c>
      <c r="L6389" t="b">
        <v>0</v>
      </c>
      <c r="N6389" s="2" t="str">
        <f t="shared" si="573"/>
        <v/>
      </c>
      <c r="Q6389" t="str">
        <f t="shared" si="575"/>
        <v/>
      </c>
    </row>
    <row r="6390" spans="1:17" hidden="1">
      <c r="A6390" t="s">
        <v>6495</v>
      </c>
      <c r="B6390" s="1">
        <v>45771</v>
      </c>
      <c r="C6390">
        <v>2025</v>
      </c>
      <c r="D6390">
        <v>4</v>
      </c>
      <c r="E6390" t="s">
        <v>37</v>
      </c>
      <c r="F6390" t="s">
        <v>24</v>
      </c>
      <c r="G6390" t="s">
        <v>62</v>
      </c>
      <c r="H6390" t="s">
        <v>121</v>
      </c>
      <c r="I6390">
        <v>3933.63</v>
      </c>
      <c r="J6390">
        <v>4140.17</v>
      </c>
      <c r="K6390" t="s">
        <v>17</v>
      </c>
      <c r="L6390" t="b">
        <v>0</v>
      </c>
      <c r="N6390" s="2" t="str">
        <f t="shared" si="573"/>
        <v/>
      </c>
      <c r="Q6390" t="str">
        <f t="shared" si="575"/>
        <v/>
      </c>
    </row>
    <row r="6391" spans="1:17" hidden="1">
      <c r="A6391" t="s">
        <v>6496</v>
      </c>
      <c r="B6391" s="1">
        <v>45771</v>
      </c>
      <c r="C6391">
        <v>2025</v>
      </c>
      <c r="D6391">
        <v>4</v>
      </c>
      <c r="E6391" t="s">
        <v>37</v>
      </c>
      <c r="F6391" t="s">
        <v>24</v>
      </c>
      <c r="G6391" t="s">
        <v>83</v>
      </c>
      <c r="H6391" t="s">
        <v>84</v>
      </c>
      <c r="I6391">
        <v>111780.78</v>
      </c>
      <c r="J6391">
        <v>106191.74</v>
      </c>
      <c r="K6391" t="s">
        <v>85</v>
      </c>
      <c r="L6391" t="b">
        <v>0</v>
      </c>
      <c r="N6391" s="2" t="str">
        <f t="shared" si="573"/>
        <v/>
      </c>
      <c r="Q6391" t="str">
        <f t="shared" si="575"/>
        <v/>
      </c>
    </row>
    <row r="6392" spans="1:17" hidden="1">
      <c r="A6392" t="s">
        <v>6497</v>
      </c>
      <c r="B6392" s="1">
        <v>45772</v>
      </c>
      <c r="C6392">
        <v>2025</v>
      </c>
      <c r="D6392">
        <v>4</v>
      </c>
      <c r="E6392" t="s">
        <v>13</v>
      </c>
      <c r="F6392" t="s">
        <v>14</v>
      </c>
      <c r="G6392" t="s">
        <v>108</v>
      </c>
      <c r="H6392" t="s">
        <v>109</v>
      </c>
      <c r="I6392">
        <v>3519.01</v>
      </c>
      <c r="J6392">
        <v>3318.74</v>
      </c>
      <c r="K6392" t="s">
        <v>17</v>
      </c>
      <c r="L6392" t="b">
        <v>0</v>
      </c>
      <c r="N6392" s="2" t="str">
        <f t="shared" si="573"/>
        <v/>
      </c>
      <c r="Q6392" t="str">
        <f t="shared" si="575"/>
        <v/>
      </c>
    </row>
    <row r="6393" spans="1:17" hidden="1">
      <c r="A6393" t="s">
        <v>6498</v>
      </c>
      <c r="B6393" s="1">
        <v>45772</v>
      </c>
      <c r="C6393">
        <v>2025</v>
      </c>
      <c r="D6393">
        <v>4</v>
      </c>
      <c r="E6393" t="s">
        <v>13</v>
      </c>
      <c r="F6393" t="s">
        <v>28</v>
      </c>
      <c r="G6393" t="s">
        <v>102</v>
      </c>
      <c r="H6393" t="s">
        <v>278</v>
      </c>
      <c r="I6393">
        <v>2195.94</v>
      </c>
      <c r="J6393">
        <v>1995.05</v>
      </c>
      <c r="K6393" t="s">
        <v>17</v>
      </c>
      <c r="L6393" t="b">
        <v>0</v>
      </c>
      <c r="N6393" s="2" t="str">
        <f t="shared" si="573"/>
        <v/>
      </c>
      <c r="Q6393" t="str">
        <f t="shared" si="575"/>
        <v/>
      </c>
    </row>
    <row r="6394" spans="1:17" hidden="1">
      <c r="A6394" t="s">
        <v>6499</v>
      </c>
      <c r="B6394" s="1">
        <v>45772</v>
      </c>
      <c r="C6394">
        <v>2025</v>
      </c>
      <c r="D6394">
        <v>4</v>
      </c>
      <c r="E6394" t="s">
        <v>19</v>
      </c>
      <c r="F6394" t="s">
        <v>28</v>
      </c>
      <c r="G6394" t="s">
        <v>132</v>
      </c>
      <c r="H6394" t="s">
        <v>133</v>
      </c>
      <c r="I6394">
        <v>4464.0200000000004</v>
      </c>
      <c r="J6394">
        <v>4817.45</v>
      </c>
      <c r="K6394" t="s">
        <v>17</v>
      </c>
      <c r="L6394" t="b">
        <v>0</v>
      </c>
      <c r="N6394" s="2" t="str">
        <f t="shared" si="573"/>
        <v/>
      </c>
      <c r="Q6394" t="str">
        <f t="shared" si="575"/>
        <v/>
      </c>
    </row>
    <row r="6395" spans="1:17" hidden="1">
      <c r="A6395" t="s">
        <v>6500</v>
      </c>
      <c r="B6395" s="1">
        <v>45772</v>
      </c>
      <c r="C6395">
        <v>2025</v>
      </c>
      <c r="D6395">
        <v>4</v>
      </c>
      <c r="E6395" t="s">
        <v>23</v>
      </c>
      <c r="F6395" t="s">
        <v>28</v>
      </c>
      <c r="G6395" t="s">
        <v>25</v>
      </c>
      <c r="H6395" t="s">
        <v>26</v>
      </c>
      <c r="I6395">
        <v>9205.24</v>
      </c>
      <c r="J6395">
        <v>8592.1299999999992</v>
      </c>
      <c r="K6395" t="s">
        <v>17</v>
      </c>
      <c r="L6395" t="b">
        <v>0</v>
      </c>
      <c r="N6395" s="2" t="str">
        <f t="shared" si="573"/>
        <v/>
      </c>
      <c r="Q6395" t="str">
        <f t="shared" si="575"/>
        <v/>
      </c>
    </row>
    <row r="6396" spans="1:17" hidden="1">
      <c r="A6396" t="s">
        <v>6501</v>
      </c>
      <c r="B6396" s="1">
        <v>45772</v>
      </c>
      <c r="C6396">
        <v>2025</v>
      </c>
      <c r="D6396">
        <v>4</v>
      </c>
      <c r="E6396" t="s">
        <v>37</v>
      </c>
      <c r="F6396" t="s">
        <v>28</v>
      </c>
      <c r="G6396" t="s">
        <v>62</v>
      </c>
      <c r="H6396" t="s">
        <v>66</v>
      </c>
      <c r="I6396">
        <v>7357.24</v>
      </c>
      <c r="J6396">
        <v>7124.18</v>
      </c>
      <c r="K6396" t="s">
        <v>17</v>
      </c>
      <c r="L6396" t="b">
        <v>0</v>
      </c>
      <c r="N6396" s="2" t="str">
        <f t="shared" si="573"/>
        <v/>
      </c>
      <c r="Q6396" t="str">
        <f t="shared" si="575"/>
        <v/>
      </c>
    </row>
    <row r="6397" spans="1:17" hidden="1">
      <c r="A6397" t="s">
        <v>6502</v>
      </c>
      <c r="B6397" s="1">
        <v>45773</v>
      </c>
      <c r="C6397">
        <v>2025</v>
      </c>
      <c r="D6397">
        <v>4</v>
      </c>
      <c r="E6397" t="s">
        <v>13</v>
      </c>
      <c r="F6397" t="s">
        <v>14</v>
      </c>
      <c r="G6397" t="s">
        <v>108</v>
      </c>
      <c r="H6397" t="s">
        <v>123</v>
      </c>
      <c r="I6397">
        <v>3754.38</v>
      </c>
      <c r="J6397">
        <v>4050.65</v>
      </c>
      <c r="K6397" t="s">
        <v>17</v>
      </c>
      <c r="L6397" t="b">
        <v>0</v>
      </c>
      <c r="N6397" s="2" t="str">
        <f t="shared" si="573"/>
        <v/>
      </c>
      <c r="Q6397" t="str">
        <f t="shared" si="575"/>
        <v/>
      </c>
    </row>
    <row r="6398" spans="1:17" hidden="1">
      <c r="A6398" t="s">
        <v>6503</v>
      </c>
      <c r="B6398" s="1">
        <v>45773</v>
      </c>
      <c r="C6398">
        <v>2025</v>
      </c>
      <c r="D6398">
        <v>4</v>
      </c>
      <c r="E6398" t="s">
        <v>47</v>
      </c>
      <c r="F6398" t="s">
        <v>14</v>
      </c>
      <c r="G6398" t="s">
        <v>51</v>
      </c>
      <c r="H6398" t="s">
        <v>189</v>
      </c>
      <c r="I6398">
        <v>14019.98</v>
      </c>
      <c r="J6398">
        <v>11833.84</v>
      </c>
      <c r="K6398" t="s">
        <v>17</v>
      </c>
      <c r="L6398" t="b">
        <v>0</v>
      </c>
      <c r="N6398" s="2" t="b">
        <f t="shared" si="573"/>
        <v>1</v>
      </c>
      <c r="O6398" t="str">
        <f t="shared" ref="O6398:O6399" si="576">IF(AND(E6387="HR",K6387="EXPENSE"),I6387&lt;J6387,"")</f>
        <v/>
      </c>
      <c r="Q6398" t="str">
        <f t="shared" si="575"/>
        <v/>
      </c>
    </row>
    <row r="6399" spans="1:17" hidden="1">
      <c r="A6399" t="s">
        <v>6504</v>
      </c>
      <c r="B6399" s="1">
        <v>45773</v>
      </c>
      <c r="C6399">
        <v>2025</v>
      </c>
      <c r="D6399">
        <v>4</v>
      </c>
      <c r="E6399" t="s">
        <v>47</v>
      </c>
      <c r="F6399" t="s">
        <v>28</v>
      </c>
      <c r="G6399" t="s">
        <v>91</v>
      </c>
      <c r="H6399" t="s">
        <v>92</v>
      </c>
      <c r="I6399">
        <v>13503.49</v>
      </c>
      <c r="J6399">
        <v>11541.96</v>
      </c>
      <c r="K6399" t="s">
        <v>17</v>
      </c>
      <c r="L6399" t="b">
        <v>0</v>
      </c>
      <c r="N6399" s="2" t="b">
        <f t="shared" si="573"/>
        <v>1</v>
      </c>
      <c r="O6399" t="str">
        <f t="shared" si="576"/>
        <v/>
      </c>
      <c r="Q6399" t="str">
        <f t="shared" si="575"/>
        <v/>
      </c>
    </row>
    <row r="6400" spans="1:17" hidden="1">
      <c r="A6400" t="s">
        <v>6505</v>
      </c>
      <c r="B6400" s="1">
        <v>45773</v>
      </c>
      <c r="C6400">
        <v>2025</v>
      </c>
      <c r="D6400">
        <v>4</v>
      </c>
      <c r="E6400" t="s">
        <v>19</v>
      </c>
      <c r="F6400" t="s">
        <v>14</v>
      </c>
      <c r="G6400" t="s">
        <v>54</v>
      </c>
      <c r="H6400" t="s">
        <v>55</v>
      </c>
      <c r="I6400">
        <v>6302.17</v>
      </c>
      <c r="J6400">
        <v>6154.75</v>
      </c>
      <c r="K6400" t="s">
        <v>17</v>
      </c>
      <c r="L6400" t="b">
        <v>0</v>
      </c>
      <c r="N6400" s="2" t="str">
        <f t="shared" si="573"/>
        <v/>
      </c>
      <c r="Q6400" t="str">
        <f t="shared" si="575"/>
        <v/>
      </c>
    </row>
    <row r="6401" spans="1:17" hidden="1">
      <c r="A6401" t="s">
        <v>6506</v>
      </c>
      <c r="B6401" s="1">
        <v>45773</v>
      </c>
      <c r="C6401">
        <v>2025</v>
      </c>
      <c r="D6401">
        <v>4</v>
      </c>
      <c r="E6401" t="s">
        <v>23</v>
      </c>
      <c r="F6401" t="s">
        <v>14</v>
      </c>
      <c r="G6401" t="s">
        <v>141</v>
      </c>
      <c r="H6401" t="s">
        <v>209</v>
      </c>
      <c r="I6401">
        <v>5382.66</v>
      </c>
      <c r="J6401">
        <v>5407.24</v>
      </c>
      <c r="K6401" t="s">
        <v>17</v>
      </c>
      <c r="L6401" t="b">
        <v>0</v>
      </c>
      <c r="N6401" s="2" t="str">
        <f t="shared" si="573"/>
        <v/>
      </c>
      <c r="Q6401" t="str">
        <f t="shared" si="575"/>
        <v/>
      </c>
    </row>
    <row r="6402" spans="1:17" hidden="1">
      <c r="A6402" t="s">
        <v>6507</v>
      </c>
      <c r="B6402" s="1">
        <v>45773</v>
      </c>
      <c r="C6402">
        <v>2025</v>
      </c>
      <c r="D6402">
        <v>4</v>
      </c>
      <c r="E6402" t="s">
        <v>37</v>
      </c>
      <c r="F6402" t="s">
        <v>14</v>
      </c>
      <c r="G6402" t="s">
        <v>98</v>
      </c>
      <c r="H6402" t="s">
        <v>185</v>
      </c>
      <c r="I6402">
        <v>5152.59</v>
      </c>
      <c r="J6402">
        <v>4782.2</v>
      </c>
      <c r="K6402" t="s">
        <v>17</v>
      </c>
      <c r="L6402" t="b">
        <v>0</v>
      </c>
      <c r="N6402" s="2" t="str">
        <f t="shared" si="573"/>
        <v/>
      </c>
      <c r="Q6402" t="str">
        <f t="shared" si="575"/>
        <v/>
      </c>
    </row>
    <row r="6403" spans="1:17" hidden="1">
      <c r="A6403" t="s">
        <v>6508</v>
      </c>
      <c r="B6403" s="1">
        <v>45773</v>
      </c>
      <c r="C6403">
        <v>2025</v>
      </c>
      <c r="D6403">
        <v>4</v>
      </c>
      <c r="E6403" t="s">
        <v>37</v>
      </c>
      <c r="F6403" t="s">
        <v>28</v>
      </c>
      <c r="G6403" t="s">
        <v>98</v>
      </c>
      <c r="H6403" t="s">
        <v>185</v>
      </c>
      <c r="I6403">
        <v>5538.42</v>
      </c>
      <c r="J6403">
        <v>5697.18</v>
      </c>
      <c r="K6403" t="s">
        <v>17</v>
      </c>
      <c r="L6403" t="b">
        <v>0</v>
      </c>
      <c r="N6403" s="2" t="str">
        <f t="shared" ref="N6403:N6466" si="577">IF(AND(E6403="IT",K6403="EXPENSE"),I6403&gt;J6403,"")</f>
        <v/>
      </c>
      <c r="Q6403" t="str">
        <f t="shared" si="575"/>
        <v/>
      </c>
    </row>
    <row r="6404" spans="1:17" hidden="1">
      <c r="A6404" t="s">
        <v>6509</v>
      </c>
      <c r="B6404" s="1">
        <v>45773</v>
      </c>
      <c r="C6404">
        <v>2025</v>
      </c>
      <c r="D6404">
        <v>4</v>
      </c>
      <c r="E6404" t="s">
        <v>37</v>
      </c>
      <c r="F6404" t="s">
        <v>28</v>
      </c>
      <c r="G6404" t="s">
        <v>98</v>
      </c>
      <c r="H6404" t="s">
        <v>99</v>
      </c>
      <c r="I6404">
        <v>3980.27</v>
      </c>
      <c r="J6404">
        <v>4041.72</v>
      </c>
      <c r="K6404" t="s">
        <v>17</v>
      </c>
      <c r="L6404" t="b">
        <v>0</v>
      </c>
      <c r="N6404" s="2" t="str">
        <f t="shared" si="577"/>
        <v/>
      </c>
      <c r="Q6404" t="str">
        <f t="shared" si="575"/>
        <v/>
      </c>
    </row>
    <row r="6405" spans="1:17" hidden="1">
      <c r="A6405" t="s">
        <v>6510</v>
      </c>
      <c r="B6405" s="1">
        <v>45773</v>
      </c>
      <c r="C6405">
        <v>2025</v>
      </c>
      <c r="D6405">
        <v>4</v>
      </c>
      <c r="E6405" t="s">
        <v>37</v>
      </c>
      <c r="F6405" t="s">
        <v>28</v>
      </c>
      <c r="G6405" t="s">
        <v>62</v>
      </c>
      <c r="H6405" t="s">
        <v>360</v>
      </c>
      <c r="I6405">
        <v>4269.71</v>
      </c>
      <c r="J6405">
        <v>4455.4799999999996</v>
      </c>
      <c r="K6405" t="s">
        <v>17</v>
      </c>
      <c r="L6405" t="b">
        <v>0</v>
      </c>
      <c r="N6405" s="2" t="str">
        <f t="shared" si="577"/>
        <v/>
      </c>
      <c r="Q6405" t="str">
        <f t="shared" si="575"/>
        <v/>
      </c>
    </row>
    <row r="6406" spans="1:17" hidden="1">
      <c r="A6406" t="s">
        <v>6511</v>
      </c>
      <c r="B6406" s="1">
        <v>45773</v>
      </c>
      <c r="C6406">
        <v>2025</v>
      </c>
      <c r="D6406">
        <v>4</v>
      </c>
      <c r="E6406" t="s">
        <v>37</v>
      </c>
      <c r="F6406" t="s">
        <v>28</v>
      </c>
      <c r="G6406" t="s">
        <v>38</v>
      </c>
      <c r="H6406" t="s">
        <v>39</v>
      </c>
      <c r="I6406">
        <v>8800.86</v>
      </c>
      <c r="J6406">
        <v>8477.93</v>
      </c>
      <c r="K6406" t="s">
        <v>17</v>
      </c>
      <c r="L6406" t="b">
        <v>0</v>
      </c>
      <c r="N6406" s="2" t="str">
        <f t="shared" si="577"/>
        <v/>
      </c>
      <c r="Q6406" t="str">
        <f t="shared" si="575"/>
        <v/>
      </c>
    </row>
    <row r="6407" spans="1:17" hidden="1">
      <c r="A6407" t="s">
        <v>6512</v>
      </c>
      <c r="B6407" s="1">
        <v>45774</v>
      </c>
      <c r="C6407">
        <v>2025</v>
      </c>
      <c r="D6407">
        <v>4</v>
      </c>
      <c r="E6407" t="s">
        <v>13</v>
      </c>
      <c r="F6407" t="s">
        <v>24</v>
      </c>
      <c r="G6407" t="s">
        <v>102</v>
      </c>
      <c r="H6407" t="s">
        <v>103</v>
      </c>
      <c r="I6407">
        <v>3810.25</v>
      </c>
      <c r="J6407">
        <v>3848.35</v>
      </c>
      <c r="K6407" t="s">
        <v>17</v>
      </c>
      <c r="L6407" t="b">
        <v>0</v>
      </c>
      <c r="N6407" s="2" t="str">
        <f t="shared" si="577"/>
        <v/>
      </c>
      <c r="Q6407" t="str">
        <f t="shared" si="575"/>
        <v/>
      </c>
    </row>
    <row r="6408" spans="1:17" hidden="1">
      <c r="A6408" t="s">
        <v>6513</v>
      </c>
      <c r="B6408" s="1">
        <v>45774</v>
      </c>
      <c r="C6408">
        <v>2025</v>
      </c>
      <c r="D6408">
        <v>4</v>
      </c>
      <c r="E6408" t="s">
        <v>47</v>
      </c>
      <c r="F6408" t="s">
        <v>24</v>
      </c>
      <c r="G6408" t="s">
        <v>77</v>
      </c>
      <c r="H6408" t="s">
        <v>78</v>
      </c>
      <c r="I6408">
        <v>12770.89</v>
      </c>
      <c r="J6408">
        <v>10706.26</v>
      </c>
      <c r="K6408" t="s">
        <v>17</v>
      </c>
      <c r="L6408" t="b">
        <v>0</v>
      </c>
      <c r="N6408" s="2" t="b">
        <f t="shared" si="577"/>
        <v>1</v>
      </c>
      <c r="O6408" t="b">
        <f>IF(AND(E6397="HR",K6397="EXPENSE"),I6397&lt;J6397,"")</f>
        <v>1</v>
      </c>
      <c r="Q6408" t="str">
        <f t="shared" si="575"/>
        <v/>
      </c>
    </row>
    <row r="6409" spans="1:17" hidden="1">
      <c r="A6409" t="s">
        <v>6514</v>
      </c>
      <c r="B6409" s="1">
        <v>45774</v>
      </c>
      <c r="C6409">
        <v>2025</v>
      </c>
      <c r="D6409">
        <v>4</v>
      </c>
      <c r="E6409" t="s">
        <v>19</v>
      </c>
      <c r="F6409" t="s">
        <v>14</v>
      </c>
      <c r="G6409" t="s">
        <v>54</v>
      </c>
      <c r="H6409" t="s">
        <v>57</v>
      </c>
      <c r="I6409">
        <v>8154.38</v>
      </c>
      <c r="J6409">
        <v>8583.59</v>
      </c>
      <c r="K6409" t="s">
        <v>17</v>
      </c>
      <c r="L6409" t="b">
        <v>0</v>
      </c>
      <c r="N6409" s="2" t="str">
        <f t="shared" si="577"/>
        <v/>
      </c>
      <c r="Q6409" t="str">
        <f t="shared" si="575"/>
        <v/>
      </c>
    </row>
    <row r="6410" spans="1:17" hidden="1">
      <c r="A6410" t="s">
        <v>6515</v>
      </c>
      <c r="B6410" s="1">
        <v>45774</v>
      </c>
      <c r="C6410">
        <v>2025</v>
      </c>
      <c r="D6410">
        <v>4</v>
      </c>
      <c r="E6410" t="s">
        <v>19</v>
      </c>
      <c r="F6410" t="s">
        <v>28</v>
      </c>
      <c r="G6410" t="s">
        <v>20</v>
      </c>
      <c r="H6410" t="s">
        <v>174</v>
      </c>
      <c r="I6410">
        <v>6532.94</v>
      </c>
      <c r="J6410">
        <v>6750.68</v>
      </c>
      <c r="K6410" t="s">
        <v>17</v>
      </c>
      <c r="L6410" t="b">
        <v>0</v>
      </c>
      <c r="N6410" s="2" t="str">
        <f t="shared" si="577"/>
        <v/>
      </c>
      <c r="Q6410" t="str">
        <f t="shared" si="575"/>
        <v/>
      </c>
    </row>
    <row r="6411" spans="1:17" hidden="1">
      <c r="A6411" t="s">
        <v>6516</v>
      </c>
      <c r="B6411" s="1">
        <v>45774</v>
      </c>
      <c r="C6411">
        <v>2025</v>
      </c>
      <c r="D6411">
        <v>4</v>
      </c>
      <c r="E6411" t="s">
        <v>19</v>
      </c>
      <c r="F6411" t="s">
        <v>24</v>
      </c>
      <c r="G6411" t="s">
        <v>20</v>
      </c>
      <c r="H6411" t="s">
        <v>136</v>
      </c>
      <c r="I6411">
        <v>4650.22</v>
      </c>
      <c r="J6411">
        <v>5113.99</v>
      </c>
      <c r="K6411" t="s">
        <v>17</v>
      </c>
      <c r="L6411" t="b">
        <v>0</v>
      </c>
      <c r="N6411" s="2" t="str">
        <f t="shared" si="577"/>
        <v/>
      </c>
      <c r="Q6411" t="str">
        <f t="shared" si="575"/>
        <v/>
      </c>
    </row>
    <row r="6412" spans="1:17" hidden="1">
      <c r="A6412" t="s">
        <v>6517</v>
      </c>
      <c r="B6412" s="1">
        <v>45774</v>
      </c>
      <c r="C6412">
        <v>2025</v>
      </c>
      <c r="D6412">
        <v>4</v>
      </c>
      <c r="E6412" t="s">
        <v>19</v>
      </c>
      <c r="F6412" t="s">
        <v>24</v>
      </c>
      <c r="G6412" t="s">
        <v>20</v>
      </c>
      <c r="H6412" t="s">
        <v>136</v>
      </c>
      <c r="I6412">
        <v>6203.29</v>
      </c>
      <c r="J6412">
        <v>6492.71</v>
      </c>
      <c r="K6412" t="s">
        <v>17</v>
      </c>
      <c r="L6412" t="b">
        <v>0</v>
      </c>
      <c r="N6412" s="2" t="str">
        <f t="shared" si="577"/>
        <v/>
      </c>
      <c r="Q6412" t="str">
        <f t="shared" si="575"/>
        <v/>
      </c>
    </row>
    <row r="6413" spans="1:17" hidden="1">
      <c r="A6413" t="s">
        <v>6518</v>
      </c>
      <c r="B6413" s="1">
        <v>45774</v>
      </c>
      <c r="C6413">
        <v>2025</v>
      </c>
      <c r="D6413">
        <v>4</v>
      </c>
      <c r="E6413" t="s">
        <v>23</v>
      </c>
      <c r="F6413" t="s">
        <v>14</v>
      </c>
      <c r="G6413" t="s">
        <v>59</v>
      </c>
      <c r="H6413" t="s">
        <v>155</v>
      </c>
      <c r="I6413">
        <v>5619.68</v>
      </c>
      <c r="J6413">
        <v>5663.99</v>
      </c>
      <c r="K6413" t="s">
        <v>17</v>
      </c>
      <c r="L6413" t="b">
        <v>0</v>
      </c>
      <c r="N6413" s="2" t="str">
        <f t="shared" si="577"/>
        <v/>
      </c>
      <c r="Q6413" t="str">
        <f t="shared" si="575"/>
        <v/>
      </c>
    </row>
    <row r="6414" spans="1:17" hidden="1">
      <c r="A6414" t="s">
        <v>6519</v>
      </c>
      <c r="B6414" s="1">
        <v>45774</v>
      </c>
      <c r="C6414">
        <v>2025</v>
      </c>
      <c r="D6414">
        <v>4</v>
      </c>
      <c r="E6414" t="s">
        <v>23</v>
      </c>
      <c r="F6414" t="s">
        <v>28</v>
      </c>
      <c r="G6414" t="s">
        <v>141</v>
      </c>
      <c r="H6414" t="s">
        <v>209</v>
      </c>
      <c r="I6414">
        <v>8208.2099999999991</v>
      </c>
      <c r="J6414">
        <v>8592.89</v>
      </c>
      <c r="K6414" t="s">
        <v>17</v>
      </c>
      <c r="L6414" t="b">
        <v>0</v>
      </c>
      <c r="N6414" s="2" t="str">
        <f t="shared" si="577"/>
        <v/>
      </c>
      <c r="Q6414" t="str">
        <f t="shared" si="575"/>
        <v/>
      </c>
    </row>
    <row r="6415" spans="1:17" hidden="1">
      <c r="A6415" t="s">
        <v>6520</v>
      </c>
      <c r="B6415" s="1">
        <v>45775</v>
      </c>
      <c r="C6415">
        <v>2025</v>
      </c>
      <c r="D6415">
        <v>4</v>
      </c>
      <c r="E6415" t="s">
        <v>13</v>
      </c>
      <c r="F6415" t="s">
        <v>14</v>
      </c>
      <c r="G6415" t="s">
        <v>108</v>
      </c>
      <c r="H6415" t="s">
        <v>126</v>
      </c>
      <c r="I6415">
        <v>4701.13</v>
      </c>
      <c r="J6415">
        <v>4913.05</v>
      </c>
      <c r="K6415" t="s">
        <v>17</v>
      </c>
      <c r="L6415" t="b">
        <v>0</v>
      </c>
      <c r="N6415" s="2" t="str">
        <f t="shared" si="577"/>
        <v/>
      </c>
      <c r="Q6415" t="str">
        <f t="shared" si="575"/>
        <v/>
      </c>
    </row>
    <row r="6416" spans="1:17" hidden="1">
      <c r="A6416" t="s">
        <v>6521</v>
      </c>
      <c r="B6416" s="1">
        <v>45775</v>
      </c>
      <c r="C6416">
        <v>2025</v>
      </c>
      <c r="D6416">
        <v>4</v>
      </c>
      <c r="E6416" t="s">
        <v>13</v>
      </c>
      <c r="F6416" t="s">
        <v>24</v>
      </c>
      <c r="G6416" t="s">
        <v>68</v>
      </c>
      <c r="H6416" t="s">
        <v>213</v>
      </c>
      <c r="I6416">
        <v>5390.51</v>
      </c>
      <c r="J6416">
        <v>5773.61</v>
      </c>
      <c r="K6416" t="s">
        <v>17</v>
      </c>
      <c r="L6416" t="b">
        <v>0</v>
      </c>
      <c r="N6416" s="2" t="str">
        <f t="shared" si="577"/>
        <v/>
      </c>
      <c r="Q6416" t="str">
        <f t="shared" si="575"/>
        <v/>
      </c>
    </row>
    <row r="6417" spans="1:17" hidden="1">
      <c r="A6417" t="s">
        <v>6522</v>
      </c>
      <c r="B6417" s="1">
        <v>45775</v>
      </c>
      <c r="C6417">
        <v>2025</v>
      </c>
      <c r="D6417">
        <v>4</v>
      </c>
      <c r="E6417" t="s">
        <v>13</v>
      </c>
      <c r="F6417" t="s">
        <v>24</v>
      </c>
      <c r="G6417" t="s">
        <v>102</v>
      </c>
      <c r="H6417" t="s">
        <v>145</v>
      </c>
      <c r="I6417">
        <v>4605.63</v>
      </c>
      <c r="J6417">
        <v>4542.45</v>
      </c>
      <c r="K6417" t="s">
        <v>17</v>
      </c>
      <c r="L6417" t="b">
        <v>0</v>
      </c>
      <c r="N6417" s="2" t="str">
        <f t="shared" si="577"/>
        <v/>
      </c>
      <c r="Q6417" t="str">
        <f t="shared" si="575"/>
        <v/>
      </c>
    </row>
    <row r="6418" spans="1:17" hidden="1">
      <c r="A6418" t="s">
        <v>6523</v>
      </c>
      <c r="B6418" s="1">
        <v>45775</v>
      </c>
      <c r="C6418">
        <v>2025</v>
      </c>
      <c r="D6418">
        <v>4</v>
      </c>
      <c r="E6418" t="s">
        <v>47</v>
      </c>
      <c r="F6418" t="s">
        <v>28</v>
      </c>
      <c r="G6418" t="s">
        <v>48</v>
      </c>
      <c r="H6418" t="s">
        <v>191</v>
      </c>
      <c r="I6418">
        <v>13197.49</v>
      </c>
      <c r="J6418">
        <v>11445.97</v>
      </c>
      <c r="K6418" t="s">
        <v>17</v>
      </c>
      <c r="L6418" t="b">
        <v>0</v>
      </c>
      <c r="N6418" s="2" t="b">
        <f t="shared" si="577"/>
        <v>1</v>
      </c>
      <c r="O6418" t="b">
        <f>IF(AND(E6407="HR",K6407="EXPENSE"),I6407&lt;J6407,"")</f>
        <v>1</v>
      </c>
      <c r="Q6418" t="str">
        <f t="shared" si="575"/>
        <v/>
      </c>
    </row>
    <row r="6419" spans="1:17" hidden="1">
      <c r="A6419" t="s">
        <v>6524</v>
      </c>
      <c r="B6419" s="1">
        <v>45775</v>
      </c>
      <c r="C6419">
        <v>2025</v>
      </c>
      <c r="D6419">
        <v>4</v>
      </c>
      <c r="E6419" t="s">
        <v>23</v>
      </c>
      <c r="F6419" t="s">
        <v>24</v>
      </c>
      <c r="G6419" t="s">
        <v>25</v>
      </c>
      <c r="H6419" t="s">
        <v>95</v>
      </c>
      <c r="I6419">
        <v>7717.98</v>
      </c>
      <c r="J6419">
        <v>7074.55</v>
      </c>
      <c r="K6419" t="s">
        <v>17</v>
      </c>
      <c r="L6419" t="b">
        <v>0</v>
      </c>
      <c r="N6419" s="2" t="str">
        <f t="shared" si="577"/>
        <v/>
      </c>
      <c r="Q6419" t="str">
        <f t="shared" si="575"/>
        <v/>
      </c>
    </row>
    <row r="6420" spans="1:17" hidden="1">
      <c r="A6420" t="s">
        <v>6525</v>
      </c>
      <c r="B6420" s="1">
        <v>45775</v>
      </c>
      <c r="C6420">
        <v>2025</v>
      </c>
      <c r="D6420">
        <v>4</v>
      </c>
      <c r="E6420" t="s">
        <v>37</v>
      </c>
      <c r="F6420" t="s">
        <v>14</v>
      </c>
      <c r="G6420" t="s">
        <v>41</v>
      </c>
      <c r="H6420" t="s">
        <v>42</v>
      </c>
      <c r="I6420">
        <v>5324.07</v>
      </c>
      <c r="J6420">
        <v>5339.8</v>
      </c>
      <c r="K6420" t="s">
        <v>17</v>
      </c>
      <c r="L6420" t="b">
        <v>0</v>
      </c>
      <c r="N6420" s="2" t="str">
        <f t="shared" si="577"/>
        <v/>
      </c>
      <c r="Q6420" t="str">
        <f t="shared" si="575"/>
        <v/>
      </c>
    </row>
    <row r="6421" spans="1:17" hidden="1">
      <c r="A6421" t="s">
        <v>6526</v>
      </c>
      <c r="B6421" s="1">
        <v>45775</v>
      </c>
      <c r="C6421">
        <v>2025</v>
      </c>
      <c r="D6421">
        <v>4</v>
      </c>
      <c r="E6421" t="s">
        <v>37</v>
      </c>
      <c r="F6421" t="s">
        <v>28</v>
      </c>
      <c r="G6421" t="s">
        <v>62</v>
      </c>
      <c r="H6421" t="s">
        <v>66</v>
      </c>
      <c r="I6421">
        <v>4897.96</v>
      </c>
      <c r="J6421">
        <v>5319.65</v>
      </c>
      <c r="K6421" t="s">
        <v>17</v>
      </c>
      <c r="L6421" t="b">
        <v>0</v>
      </c>
      <c r="N6421" s="2" t="str">
        <f t="shared" si="577"/>
        <v/>
      </c>
      <c r="Q6421" t="str">
        <f t="shared" si="575"/>
        <v/>
      </c>
    </row>
    <row r="6422" spans="1:17" hidden="1">
      <c r="A6422" t="s">
        <v>6527</v>
      </c>
      <c r="B6422" s="1">
        <v>45776</v>
      </c>
      <c r="C6422">
        <v>2025</v>
      </c>
      <c r="D6422">
        <v>4</v>
      </c>
      <c r="E6422" t="s">
        <v>13</v>
      </c>
      <c r="F6422" t="s">
        <v>28</v>
      </c>
      <c r="G6422" t="s">
        <v>102</v>
      </c>
      <c r="H6422" t="s">
        <v>145</v>
      </c>
      <c r="I6422">
        <v>1786.04</v>
      </c>
      <c r="J6422">
        <v>1817.63</v>
      </c>
      <c r="K6422" t="s">
        <v>17</v>
      </c>
      <c r="L6422" t="b">
        <v>0</v>
      </c>
      <c r="N6422" s="2" t="str">
        <f t="shared" si="577"/>
        <v/>
      </c>
      <c r="Q6422" t="str">
        <f t="shared" si="575"/>
        <v/>
      </c>
    </row>
    <row r="6423" spans="1:17" hidden="1">
      <c r="A6423" t="s">
        <v>6528</v>
      </c>
      <c r="B6423" s="1">
        <v>45776</v>
      </c>
      <c r="C6423">
        <v>2025</v>
      </c>
      <c r="D6423">
        <v>4</v>
      </c>
      <c r="E6423" t="s">
        <v>47</v>
      </c>
      <c r="F6423" t="s">
        <v>14</v>
      </c>
      <c r="G6423" t="s">
        <v>51</v>
      </c>
      <c r="H6423" t="s">
        <v>52</v>
      </c>
      <c r="I6423">
        <v>19107.259999999998</v>
      </c>
      <c r="J6423">
        <v>16225.05</v>
      </c>
      <c r="K6423" t="s">
        <v>17</v>
      </c>
      <c r="L6423" t="b">
        <v>0</v>
      </c>
      <c r="N6423" s="2" t="b">
        <f t="shared" si="577"/>
        <v>1</v>
      </c>
      <c r="O6423" t="str">
        <f t="shared" ref="O6423:O6425" si="578">IF(AND(E6412="HR",K6412="EXPENSE"),I6412&lt;J6412,"")</f>
        <v/>
      </c>
      <c r="Q6423" t="str">
        <f t="shared" si="575"/>
        <v/>
      </c>
    </row>
    <row r="6424" spans="1:17" hidden="1">
      <c r="A6424" t="s">
        <v>6529</v>
      </c>
      <c r="B6424" s="1">
        <v>45776</v>
      </c>
      <c r="C6424">
        <v>2025</v>
      </c>
      <c r="D6424">
        <v>4</v>
      </c>
      <c r="E6424" t="s">
        <v>47</v>
      </c>
      <c r="F6424" t="s">
        <v>28</v>
      </c>
      <c r="G6424" t="s">
        <v>48</v>
      </c>
      <c r="H6424" t="s">
        <v>111</v>
      </c>
      <c r="I6424">
        <v>11936.49</v>
      </c>
      <c r="J6424">
        <v>10084.01</v>
      </c>
      <c r="K6424" t="s">
        <v>17</v>
      </c>
      <c r="L6424" t="b">
        <v>0</v>
      </c>
      <c r="N6424" s="2" t="b">
        <f t="shared" si="577"/>
        <v>1</v>
      </c>
      <c r="O6424" t="str">
        <f t="shared" si="578"/>
        <v/>
      </c>
      <c r="Q6424" t="str">
        <f t="shared" si="575"/>
        <v/>
      </c>
    </row>
    <row r="6425" spans="1:17" hidden="1">
      <c r="A6425" t="s">
        <v>6530</v>
      </c>
      <c r="B6425" s="1">
        <v>45776</v>
      </c>
      <c r="C6425">
        <v>2025</v>
      </c>
      <c r="D6425">
        <v>4</v>
      </c>
      <c r="E6425" t="s">
        <v>47</v>
      </c>
      <c r="F6425" t="s">
        <v>28</v>
      </c>
      <c r="G6425" t="s">
        <v>48</v>
      </c>
      <c r="H6425" t="s">
        <v>189</v>
      </c>
      <c r="I6425">
        <v>19008.07</v>
      </c>
      <c r="J6425">
        <v>15826.06</v>
      </c>
      <c r="K6425" t="s">
        <v>17</v>
      </c>
      <c r="L6425" t="b">
        <v>0</v>
      </c>
      <c r="N6425" s="2" t="b">
        <f t="shared" si="577"/>
        <v>1</v>
      </c>
      <c r="O6425" t="str">
        <f t="shared" si="578"/>
        <v/>
      </c>
      <c r="Q6425" t="str">
        <f t="shared" si="575"/>
        <v/>
      </c>
    </row>
    <row r="6426" spans="1:17" hidden="1">
      <c r="A6426" t="s">
        <v>6531</v>
      </c>
      <c r="B6426" s="1">
        <v>45776</v>
      </c>
      <c r="C6426">
        <v>2025</v>
      </c>
      <c r="D6426">
        <v>4</v>
      </c>
      <c r="E6426" t="s">
        <v>19</v>
      </c>
      <c r="F6426" t="s">
        <v>14</v>
      </c>
      <c r="G6426" t="s">
        <v>20</v>
      </c>
      <c r="H6426" t="s">
        <v>21</v>
      </c>
      <c r="I6426">
        <v>6437.98</v>
      </c>
      <c r="J6426">
        <v>6956.78</v>
      </c>
      <c r="K6426" t="s">
        <v>17</v>
      </c>
      <c r="L6426" t="b">
        <v>0</v>
      </c>
      <c r="N6426" s="2" t="str">
        <f t="shared" si="577"/>
        <v/>
      </c>
      <c r="Q6426" t="str">
        <f t="shared" si="575"/>
        <v/>
      </c>
    </row>
    <row r="6427" spans="1:17" hidden="1">
      <c r="A6427" t="s">
        <v>6532</v>
      </c>
      <c r="B6427" s="1">
        <v>45776</v>
      </c>
      <c r="C6427">
        <v>2025</v>
      </c>
      <c r="D6427">
        <v>4</v>
      </c>
      <c r="E6427" t="s">
        <v>23</v>
      </c>
      <c r="F6427" t="s">
        <v>14</v>
      </c>
      <c r="G6427" t="s">
        <v>59</v>
      </c>
      <c r="H6427" t="s">
        <v>60</v>
      </c>
      <c r="I6427">
        <v>5214.18</v>
      </c>
      <c r="J6427">
        <v>5276.95</v>
      </c>
      <c r="K6427" t="s">
        <v>17</v>
      </c>
      <c r="L6427" t="b">
        <v>0</v>
      </c>
      <c r="N6427" s="2" t="str">
        <f t="shared" si="577"/>
        <v/>
      </c>
      <c r="Q6427" t="str">
        <f t="shared" si="575"/>
        <v/>
      </c>
    </row>
    <row r="6428" spans="1:17" hidden="1">
      <c r="A6428" t="s">
        <v>6533</v>
      </c>
      <c r="B6428" s="1">
        <v>45776</v>
      </c>
      <c r="C6428">
        <v>2025</v>
      </c>
      <c r="D6428">
        <v>4</v>
      </c>
      <c r="E6428" t="s">
        <v>23</v>
      </c>
      <c r="F6428" t="s">
        <v>28</v>
      </c>
      <c r="G6428" t="s">
        <v>141</v>
      </c>
      <c r="H6428" t="s">
        <v>209</v>
      </c>
      <c r="I6428">
        <v>6383.98</v>
      </c>
      <c r="J6428">
        <v>5825.03</v>
      </c>
      <c r="K6428" t="s">
        <v>17</v>
      </c>
      <c r="L6428" t="b">
        <v>0</v>
      </c>
      <c r="N6428" s="2" t="str">
        <f t="shared" si="577"/>
        <v/>
      </c>
      <c r="Q6428" t="str">
        <f t="shared" si="575"/>
        <v/>
      </c>
    </row>
    <row r="6429" spans="1:17" hidden="1">
      <c r="A6429" t="s">
        <v>6534</v>
      </c>
      <c r="B6429" s="1">
        <v>45776</v>
      </c>
      <c r="C6429">
        <v>2025</v>
      </c>
      <c r="D6429">
        <v>4</v>
      </c>
      <c r="E6429" t="s">
        <v>23</v>
      </c>
      <c r="F6429" t="s">
        <v>24</v>
      </c>
      <c r="G6429" t="s">
        <v>30</v>
      </c>
      <c r="H6429" t="s">
        <v>33</v>
      </c>
      <c r="I6429">
        <v>10199.67</v>
      </c>
      <c r="J6429">
        <v>9252.5499999999993</v>
      </c>
      <c r="K6429" t="s">
        <v>17</v>
      </c>
      <c r="L6429" t="b">
        <v>0</v>
      </c>
      <c r="N6429" s="2" t="str">
        <f t="shared" si="577"/>
        <v/>
      </c>
      <c r="Q6429" t="str">
        <f t="shared" si="575"/>
        <v/>
      </c>
    </row>
    <row r="6430" spans="1:17" hidden="1">
      <c r="A6430" t="s">
        <v>6535</v>
      </c>
      <c r="B6430" s="1">
        <v>45776</v>
      </c>
      <c r="C6430">
        <v>2025</v>
      </c>
      <c r="D6430">
        <v>4</v>
      </c>
      <c r="E6430" t="s">
        <v>23</v>
      </c>
      <c r="F6430" t="s">
        <v>24</v>
      </c>
      <c r="G6430" t="s">
        <v>59</v>
      </c>
      <c r="H6430" t="s">
        <v>155</v>
      </c>
      <c r="I6430">
        <v>4675.25</v>
      </c>
      <c r="J6430">
        <v>4320.1099999999997</v>
      </c>
      <c r="K6430" t="s">
        <v>17</v>
      </c>
      <c r="L6430" t="b">
        <v>0</v>
      </c>
      <c r="N6430" s="2" t="str">
        <f t="shared" si="577"/>
        <v/>
      </c>
      <c r="Q6430" t="str">
        <f t="shared" si="575"/>
        <v/>
      </c>
    </row>
    <row r="6431" spans="1:17" hidden="1">
      <c r="A6431" t="s">
        <v>6536</v>
      </c>
      <c r="B6431" s="1">
        <v>45776</v>
      </c>
      <c r="C6431">
        <v>2025</v>
      </c>
      <c r="D6431">
        <v>4</v>
      </c>
      <c r="E6431" t="s">
        <v>37</v>
      </c>
      <c r="F6431" t="s">
        <v>14</v>
      </c>
      <c r="G6431" t="s">
        <v>62</v>
      </c>
      <c r="H6431" t="s">
        <v>63</v>
      </c>
      <c r="I6431">
        <v>6767.57</v>
      </c>
      <c r="J6431">
        <v>6968.47</v>
      </c>
      <c r="K6431" t="s">
        <v>17</v>
      </c>
      <c r="L6431" t="b">
        <v>0</v>
      </c>
      <c r="N6431" s="2" t="str">
        <f t="shared" si="577"/>
        <v/>
      </c>
      <c r="Q6431" t="str">
        <f t="shared" si="575"/>
        <v/>
      </c>
    </row>
    <row r="6432" spans="1:17" hidden="1">
      <c r="A6432" t="s">
        <v>6537</v>
      </c>
      <c r="B6432" s="1">
        <v>45777</v>
      </c>
      <c r="C6432">
        <v>2025</v>
      </c>
      <c r="D6432">
        <v>4</v>
      </c>
      <c r="E6432" t="s">
        <v>47</v>
      </c>
      <c r="F6432" t="s">
        <v>28</v>
      </c>
      <c r="G6432" t="s">
        <v>51</v>
      </c>
      <c r="H6432" t="s">
        <v>72</v>
      </c>
      <c r="I6432">
        <v>11397.4</v>
      </c>
      <c r="J6432">
        <v>9442.02</v>
      </c>
      <c r="K6432" t="s">
        <v>17</v>
      </c>
      <c r="L6432" t="b">
        <v>0</v>
      </c>
      <c r="N6432" s="2" t="b">
        <f t="shared" si="577"/>
        <v>1</v>
      </c>
      <c r="O6432" t="str">
        <f>IF(AND(E6421="HR",K6421="EXPENSE"),I6421&lt;J6421,"")</f>
        <v/>
      </c>
      <c r="Q6432" t="str">
        <f t="shared" si="575"/>
        <v/>
      </c>
    </row>
    <row r="6433" spans="1:17" hidden="1">
      <c r="A6433" t="s">
        <v>6538</v>
      </c>
      <c r="B6433" s="1">
        <v>45777</v>
      </c>
      <c r="C6433">
        <v>2025</v>
      </c>
      <c r="D6433">
        <v>4</v>
      </c>
      <c r="E6433" t="s">
        <v>23</v>
      </c>
      <c r="F6433" t="s">
        <v>28</v>
      </c>
      <c r="G6433" t="s">
        <v>25</v>
      </c>
      <c r="H6433" t="s">
        <v>95</v>
      </c>
      <c r="I6433">
        <v>7282.55</v>
      </c>
      <c r="J6433">
        <v>6845.1</v>
      </c>
      <c r="K6433" t="s">
        <v>17</v>
      </c>
      <c r="L6433" t="b">
        <v>0</v>
      </c>
      <c r="N6433" s="2" t="str">
        <f t="shared" si="577"/>
        <v/>
      </c>
      <c r="Q6433" t="str">
        <f t="shared" si="575"/>
        <v/>
      </c>
    </row>
    <row r="6434" spans="1:17" hidden="1">
      <c r="A6434" t="s">
        <v>6539</v>
      </c>
      <c r="B6434" s="1">
        <v>45777</v>
      </c>
      <c r="C6434">
        <v>2025</v>
      </c>
      <c r="D6434">
        <v>4</v>
      </c>
      <c r="E6434" t="s">
        <v>23</v>
      </c>
      <c r="F6434" t="s">
        <v>28</v>
      </c>
      <c r="G6434" t="s">
        <v>25</v>
      </c>
      <c r="H6434" t="s">
        <v>95</v>
      </c>
      <c r="I6434">
        <v>7374.84</v>
      </c>
      <c r="J6434">
        <v>6877.57</v>
      </c>
      <c r="K6434" t="s">
        <v>17</v>
      </c>
      <c r="L6434" t="b">
        <v>0</v>
      </c>
      <c r="N6434" s="2" t="str">
        <f t="shared" si="577"/>
        <v/>
      </c>
      <c r="Q6434" t="str">
        <f t="shared" si="575"/>
        <v/>
      </c>
    </row>
    <row r="6435" spans="1:17" hidden="1">
      <c r="A6435" t="s">
        <v>6540</v>
      </c>
      <c r="B6435" s="1">
        <v>45777</v>
      </c>
      <c r="C6435">
        <v>2025</v>
      </c>
      <c r="D6435">
        <v>4</v>
      </c>
      <c r="E6435" t="s">
        <v>37</v>
      </c>
      <c r="F6435" t="s">
        <v>14</v>
      </c>
      <c r="G6435" t="s">
        <v>98</v>
      </c>
      <c r="H6435" t="s">
        <v>185</v>
      </c>
      <c r="I6435">
        <v>6003.63</v>
      </c>
      <c r="J6435">
        <v>5794.31</v>
      </c>
      <c r="K6435" t="s">
        <v>17</v>
      </c>
      <c r="L6435" t="b">
        <v>0</v>
      </c>
      <c r="N6435" s="2" t="str">
        <f t="shared" si="577"/>
        <v/>
      </c>
      <c r="Q6435" t="str">
        <f t="shared" si="575"/>
        <v/>
      </c>
    </row>
    <row r="6436" spans="1:17" hidden="1">
      <c r="A6436" t="s">
        <v>6541</v>
      </c>
      <c r="B6436" s="1">
        <v>45778</v>
      </c>
      <c r="C6436">
        <v>2025</v>
      </c>
      <c r="D6436">
        <v>5</v>
      </c>
      <c r="E6436" t="s">
        <v>13</v>
      </c>
      <c r="F6436" t="s">
        <v>14</v>
      </c>
      <c r="G6436" t="s">
        <v>68</v>
      </c>
      <c r="H6436" t="s">
        <v>213</v>
      </c>
      <c r="I6436">
        <v>3935.96</v>
      </c>
      <c r="J6436">
        <v>3692.86</v>
      </c>
      <c r="K6436" t="s">
        <v>17</v>
      </c>
      <c r="L6436" t="b">
        <v>0</v>
      </c>
      <c r="N6436" s="2" t="str">
        <f t="shared" si="577"/>
        <v/>
      </c>
      <c r="Q6436" t="str">
        <f t="shared" si="575"/>
        <v/>
      </c>
    </row>
    <row r="6437" spans="1:17" hidden="1">
      <c r="A6437" t="s">
        <v>6542</v>
      </c>
      <c r="B6437" s="1">
        <v>45778</v>
      </c>
      <c r="C6437">
        <v>2025</v>
      </c>
      <c r="D6437">
        <v>5</v>
      </c>
      <c r="E6437" t="s">
        <v>13</v>
      </c>
      <c r="F6437" t="s">
        <v>14</v>
      </c>
      <c r="G6437" t="s">
        <v>102</v>
      </c>
      <c r="H6437" t="s">
        <v>278</v>
      </c>
      <c r="I6437">
        <v>3395.76</v>
      </c>
      <c r="J6437">
        <v>3519.16</v>
      </c>
      <c r="K6437" t="s">
        <v>17</v>
      </c>
      <c r="L6437" t="b">
        <v>0</v>
      </c>
      <c r="N6437" s="2" t="str">
        <f t="shared" si="577"/>
        <v/>
      </c>
      <c r="Q6437" t="str">
        <f t="shared" si="575"/>
        <v/>
      </c>
    </row>
    <row r="6438" spans="1:17" hidden="1">
      <c r="A6438" t="s">
        <v>6543</v>
      </c>
      <c r="B6438" s="1">
        <v>45778</v>
      </c>
      <c r="C6438">
        <v>2025</v>
      </c>
      <c r="D6438">
        <v>5</v>
      </c>
      <c r="E6438" t="s">
        <v>19</v>
      </c>
      <c r="F6438" t="s">
        <v>14</v>
      </c>
      <c r="G6438" t="s">
        <v>54</v>
      </c>
      <c r="H6438" t="s">
        <v>57</v>
      </c>
      <c r="I6438">
        <v>5474.23</v>
      </c>
      <c r="J6438">
        <v>5112.7299999999996</v>
      </c>
      <c r="K6438" t="s">
        <v>17</v>
      </c>
      <c r="L6438" t="b">
        <v>0</v>
      </c>
      <c r="N6438" s="2" t="str">
        <f t="shared" si="577"/>
        <v/>
      </c>
      <c r="Q6438" t="str">
        <f t="shared" si="575"/>
        <v/>
      </c>
    </row>
    <row r="6439" spans="1:17" hidden="1">
      <c r="A6439" t="s">
        <v>6544</v>
      </c>
      <c r="B6439" s="1">
        <v>45778</v>
      </c>
      <c r="C6439">
        <v>2025</v>
      </c>
      <c r="D6439">
        <v>5</v>
      </c>
      <c r="E6439" t="s">
        <v>19</v>
      </c>
      <c r="F6439" t="s">
        <v>28</v>
      </c>
      <c r="G6439" t="s">
        <v>80</v>
      </c>
      <c r="H6439" t="s">
        <v>217</v>
      </c>
      <c r="I6439">
        <v>6692.4</v>
      </c>
      <c r="J6439">
        <v>7225.48</v>
      </c>
      <c r="K6439" t="s">
        <v>17</v>
      </c>
      <c r="L6439" t="b">
        <v>0</v>
      </c>
      <c r="N6439" s="2" t="str">
        <f t="shared" si="577"/>
        <v/>
      </c>
      <c r="Q6439" t="str">
        <f t="shared" si="575"/>
        <v/>
      </c>
    </row>
    <row r="6440" spans="1:17" hidden="1">
      <c r="A6440" t="s">
        <v>6545</v>
      </c>
      <c r="B6440" s="1">
        <v>45778</v>
      </c>
      <c r="C6440">
        <v>2025</v>
      </c>
      <c r="D6440">
        <v>5</v>
      </c>
      <c r="E6440" t="s">
        <v>19</v>
      </c>
      <c r="F6440" t="s">
        <v>24</v>
      </c>
      <c r="G6440" t="s">
        <v>20</v>
      </c>
      <c r="H6440" t="s">
        <v>174</v>
      </c>
      <c r="I6440">
        <v>4059.93</v>
      </c>
      <c r="J6440">
        <v>4079.3</v>
      </c>
      <c r="K6440" t="s">
        <v>17</v>
      </c>
      <c r="L6440" t="b">
        <v>0</v>
      </c>
      <c r="N6440" s="2" t="str">
        <f t="shared" si="577"/>
        <v/>
      </c>
      <c r="Q6440" t="str">
        <f t="shared" si="575"/>
        <v/>
      </c>
    </row>
    <row r="6441" spans="1:17" hidden="1">
      <c r="A6441" t="s">
        <v>6546</v>
      </c>
      <c r="B6441" s="1">
        <v>45778</v>
      </c>
      <c r="C6441">
        <v>2025</v>
      </c>
      <c r="D6441">
        <v>5</v>
      </c>
      <c r="E6441" t="s">
        <v>37</v>
      </c>
      <c r="F6441" t="s">
        <v>14</v>
      </c>
      <c r="G6441" t="s">
        <v>38</v>
      </c>
      <c r="H6441" t="s">
        <v>118</v>
      </c>
      <c r="I6441">
        <v>6909.05</v>
      </c>
      <c r="J6441">
        <v>6776.72</v>
      </c>
      <c r="K6441" t="s">
        <v>17</v>
      </c>
      <c r="L6441" t="b">
        <v>0</v>
      </c>
      <c r="N6441" s="2" t="str">
        <f t="shared" si="577"/>
        <v/>
      </c>
      <c r="Q6441" t="str">
        <f t="shared" si="575"/>
        <v/>
      </c>
    </row>
    <row r="6442" spans="1:17" hidden="1">
      <c r="A6442" t="s">
        <v>6547</v>
      </c>
      <c r="B6442" s="1">
        <v>45778</v>
      </c>
      <c r="C6442">
        <v>2025</v>
      </c>
      <c r="D6442">
        <v>5</v>
      </c>
      <c r="E6442" t="s">
        <v>37</v>
      </c>
      <c r="F6442" t="s">
        <v>14</v>
      </c>
      <c r="G6442" t="s">
        <v>98</v>
      </c>
      <c r="H6442" t="s">
        <v>99</v>
      </c>
      <c r="I6442">
        <v>3720.05</v>
      </c>
      <c r="J6442">
        <v>3597.16</v>
      </c>
      <c r="K6442" t="s">
        <v>17</v>
      </c>
      <c r="L6442" t="b">
        <v>0</v>
      </c>
      <c r="N6442" s="2" t="str">
        <f t="shared" si="577"/>
        <v/>
      </c>
      <c r="Q6442" t="str">
        <f t="shared" si="575"/>
        <v/>
      </c>
    </row>
    <row r="6443" spans="1:17" hidden="1">
      <c r="A6443" t="s">
        <v>6548</v>
      </c>
      <c r="B6443" s="1">
        <v>45778</v>
      </c>
      <c r="C6443">
        <v>2025</v>
      </c>
      <c r="D6443">
        <v>5</v>
      </c>
      <c r="E6443" t="s">
        <v>37</v>
      </c>
      <c r="F6443" t="s">
        <v>28</v>
      </c>
      <c r="G6443" t="s">
        <v>62</v>
      </c>
      <c r="H6443" t="s">
        <v>121</v>
      </c>
      <c r="I6443">
        <v>5553.01</v>
      </c>
      <c r="J6443">
        <v>5429.8</v>
      </c>
      <c r="K6443" t="s">
        <v>17</v>
      </c>
      <c r="L6443" t="b">
        <v>0</v>
      </c>
      <c r="N6443" s="2" t="str">
        <f t="shared" si="577"/>
        <v/>
      </c>
      <c r="Q6443" t="str">
        <f t="shared" si="575"/>
        <v/>
      </c>
    </row>
    <row r="6444" spans="1:17" hidden="1">
      <c r="A6444" t="s">
        <v>6549</v>
      </c>
      <c r="B6444" s="1">
        <v>45778</v>
      </c>
      <c r="C6444">
        <v>2025</v>
      </c>
      <c r="D6444">
        <v>5</v>
      </c>
      <c r="E6444" t="s">
        <v>37</v>
      </c>
      <c r="F6444" t="s">
        <v>28</v>
      </c>
      <c r="G6444" t="s">
        <v>62</v>
      </c>
      <c r="H6444" t="s">
        <v>360</v>
      </c>
      <c r="I6444">
        <v>4058.01</v>
      </c>
      <c r="J6444">
        <v>4070.78</v>
      </c>
      <c r="K6444" t="s">
        <v>17</v>
      </c>
      <c r="L6444" t="b">
        <v>0</v>
      </c>
      <c r="N6444" s="2" t="str">
        <f t="shared" si="577"/>
        <v/>
      </c>
      <c r="Q6444" t="str">
        <f t="shared" si="575"/>
        <v/>
      </c>
    </row>
    <row r="6445" spans="1:17" hidden="1">
      <c r="A6445" t="s">
        <v>6550</v>
      </c>
      <c r="B6445" s="1">
        <v>45778</v>
      </c>
      <c r="C6445">
        <v>2025</v>
      </c>
      <c r="D6445">
        <v>5</v>
      </c>
      <c r="E6445" t="s">
        <v>37</v>
      </c>
      <c r="F6445" t="s">
        <v>24</v>
      </c>
      <c r="G6445" t="s">
        <v>98</v>
      </c>
      <c r="H6445" t="s">
        <v>185</v>
      </c>
      <c r="I6445">
        <v>5702.19</v>
      </c>
      <c r="J6445">
        <v>5136.0200000000004</v>
      </c>
      <c r="K6445" t="s">
        <v>17</v>
      </c>
      <c r="L6445" t="b">
        <v>0</v>
      </c>
      <c r="N6445" s="2" t="str">
        <f t="shared" si="577"/>
        <v/>
      </c>
      <c r="Q6445" t="str">
        <f t="shared" si="575"/>
        <v/>
      </c>
    </row>
    <row r="6446" spans="1:17" hidden="1">
      <c r="A6446" t="s">
        <v>6551</v>
      </c>
      <c r="B6446" s="1">
        <v>45779</v>
      </c>
      <c r="C6446">
        <v>2025</v>
      </c>
      <c r="D6446">
        <v>5</v>
      </c>
      <c r="E6446" t="s">
        <v>47</v>
      </c>
      <c r="F6446" t="s">
        <v>14</v>
      </c>
      <c r="G6446" t="s">
        <v>77</v>
      </c>
      <c r="H6446" t="s">
        <v>78</v>
      </c>
      <c r="I6446">
        <v>17939.36</v>
      </c>
      <c r="J6446">
        <v>15532.85</v>
      </c>
      <c r="K6446" t="s">
        <v>17</v>
      </c>
      <c r="L6446" t="b">
        <v>0</v>
      </c>
      <c r="N6446" s="2" t="b">
        <f t="shared" si="577"/>
        <v>1</v>
      </c>
      <c r="O6446" t="str">
        <f t="shared" ref="O6446:O6449" si="579">IF(AND(E6435="HR",K6435="EXPENSE"),I6435&lt;J6435,"")</f>
        <v/>
      </c>
      <c r="Q6446" t="str">
        <f t="shared" si="575"/>
        <v/>
      </c>
    </row>
    <row r="6447" spans="1:17" hidden="1">
      <c r="A6447" t="s">
        <v>6552</v>
      </c>
      <c r="B6447" s="1">
        <v>45779</v>
      </c>
      <c r="C6447">
        <v>2025</v>
      </c>
      <c r="D6447">
        <v>5</v>
      </c>
      <c r="E6447" t="s">
        <v>47</v>
      </c>
      <c r="F6447" t="s">
        <v>28</v>
      </c>
      <c r="G6447" t="s">
        <v>91</v>
      </c>
      <c r="H6447" t="s">
        <v>92</v>
      </c>
      <c r="I6447">
        <v>13917.8</v>
      </c>
      <c r="J6447">
        <v>12025.42</v>
      </c>
      <c r="K6447" t="s">
        <v>17</v>
      </c>
      <c r="L6447" t="b">
        <v>0</v>
      </c>
      <c r="N6447" s="2" t="b">
        <f t="shared" si="577"/>
        <v>1</v>
      </c>
      <c r="O6447" t="b">
        <f t="shared" si="579"/>
        <v>0</v>
      </c>
      <c r="Q6447" t="str">
        <f t="shared" si="575"/>
        <v/>
      </c>
    </row>
    <row r="6448" spans="1:17" hidden="1">
      <c r="A6448" t="s">
        <v>6553</v>
      </c>
      <c r="B6448" s="1">
        <v>45779</v>
      </c>
      <c r="C6448">
        <v>2025</v>
      </c>
      <c r="D6448">
        <v>5</v>
      </c>
      <c r="E6448" t="s">
        <v>47</v>
      </c>
      <c r="F6448" t="s">
        <v>24</v>
      </c>
      <c r="G6448" t="s">
        <v>51</v>
      </c>
      <c r="H6448" t="s">
        <v>52</v>
      </c>
      <c r="I6448">
        <v>10120.790000000001</v>
      </c>
      <c r="J6448">
        <v>8421.7099999999991</v>
      </c>
      <c r="K6448" t="s">
        <v>17</v>
      </c>
      <c r="L6448" t="b">
        <v>0</v>
      </c>
      <c r="N6448" s="2" t="b">
        <f t="shared" si="577"/>
        <v>1</v>
      </c>
      <c r="O6448" t="b">
        <f t="shared" si="579"/>
        <v>1</v>
      </c>
      <c r="Q6448" t="str">
        <f t="shared" ref="Q6448:Q6511" si="580">IF(L6448=TRUE,OR(H6448="Apex Solutions Inc",H6448="Global Trade Partners",H6448="NovaTech Services"),"")</f>
        <v/>
      </c>
    </row>
    <row r="6449" spans="1:17" hidden="1">
      <c r="A6449" t="s">
        <v>6554</v>
      </c>
      <c r="B6449" s="1">
        <v>45779</v>
      </c>
      <c r="C6449">
        <v>2025</v>
      </c>
      <c r="D6449">
        <v>5</v>
      </c>
      <c r="E6449" t="s">
        <v>47</v>
      </c>
      <c r="F6449" t="s">
        <v>24</v>
      </c>
      <c r="G6449" t="s">
        <v>91</v>
      </c>
      <c r="H6449" t="s">
        <v>249</v>
      </c>
      <c r="I6449">
        <v>9780.2099999999991</v>
      </c>
      <c r="J6449">
        <v>8220.0300000000007</v>
      </c>
      <c r="K6449" t="s">
        <v>17</v>
      </c>
      <c r="L6449" t="b">
        <v>0</v>
      </c>
      <c r="N6449" s="2" t="b">
        <f t="shared" si="577"/>
        <v>1</v>
      </c>
      <c r="O6449" t="str">
        <f t="shared" si="579"/>
        <v/>
      </c>
      <c r="Q6449" t="str">
        <f t="shared" si="580"/>
        <v/>
      </c>
    </row>
    <row r="6450" spans="1:17" hidden="1">
      <c r="A6450" t="s">
        <v>6555</v>
      </c>
      <c r="B6450" s="1">
        <v>45779</v>
      </c>
      <c r="C6450">
        <v>2025</v>
      </c>
      <c r="D6450">
        <v>5</v>
      </c>
      <c r="E6450" t="s">
        <v>19</v>
      </c>
      <c r="F6450" t="s">
        <v>24</v>
      </c>
      <c r="G6450" t="s">
        <v>80</v>
      </c>
      <c r="H6450" t="s">
        <v>81</v>
      </c>
      <c r="I6450">
        <v>7940.73</v>
      </c>
      <c r="J6450">
        <v>8468.7999999999993</v>
      </c>
      <c r="K6450" t="s">
        <v>17</v>
      </c>
      <c r="L6450" t="b">
        <v>0</v>
      </c>
      <c r="N6450" s="2" t="str">
        <f t="shared" si="577"/>
        <v/>
      </c>
      <c r="Q6450" t="str">
        <f t="shared" si="580"/>
        <v/>
      </c>
    </row>
    <row r="6451" spans="1:17" hidden="1">
      <c r="A6451" t="s">
        <v>6556</v>
      </c>
      <c r="B6451" s="1">
        <v>45779</v>
      </c>
      <c r="C6451">
        <v>2025</v>
      </c>
      <c r="D6451">
        <v>5</v>
      </c>
      <c r="E6451" t="s">
        <v>23</v>
      </c>
      <c r="F6451" t="s">
        <v>14</v>
      </c>
      <c r="G6451" t="s">
        <v>141</v>
      </c>
      <c r="H6451" t="s">
        <v>142</v>
      </c>
      <c r="I6451">
        <v>7551.74</v>
      </c>
      <c r="J6451">
        <v>7076.24</v>
      </c>
      <c r="K6451" t="s">
        <v>17</v>
      </c>
      <c r="L6451" t="b">
        <v>0</v>
      </c>
      <c r="N6451" s="2" t="str">
        <f t="shared" si="577"/>
        <v/>
      </c>
      <c r="Q6451" t="str">
        <f t="shared" si="580"/>
        <v/>
      </c>
    </row>
    <row r="6452" spans="1:17" hidden="1">
      <c r="A6452" t="s">
        <v>6557</v>
      </c>
      <c r="B6452" s="1">
        <v>45779</v>
      </c>
      <c r="C6452">
        <v>2025</v>
      </c>
      <c r="D6452">
        <v>5</v>
      </c>
      <c r="E6452" t="s">
        <v>37</v>
      </c>
      <c r="F6452" t="s">
        <v>14</v>
      </c>
      <c r="G6452" t="s">
        <v>62</v>
      </c>
      <c r="H6452" t="s">
        <v>121</v>
      </c>
      <c r="I6452">
        <v>6339.31</v>
      </c>
      <c r="J6452">
        <v>5878.38</v>
      </c>
      <c r="K6452" t="s">
        <v>17</v>
      </c>
      <c r="L6452" t="b">
        <v>0</v>
      </c>
      <c r="N6452" s="2" t="str">
        <f t="shared" si="577"/>
        <v/>
      </c>
      <c r="Q6452" t="str">
        <f t="shared" si="580"/>
        <v/>
      </c>
    </row>
    <row r="6453" spans="1:17" hidden="1">
      <c r="A6453" t="s">
        <v>6558</v>
      </c>
      <c r="B6453" s="1">
        <v>45779</v>
      </c>
      <c r="C6453">
        <v>2025</v>
      </c>
      <c r="D6453">
        <v>5</v>
      </c>
      <c r="E6453" t="s">
        <v>37</v>
      </c>
      <c r="F6453" t="s">
        <v>24</v>
      </c>
      <c r="G6453" t="s">
        <v>38</v>
      </c>
      <c r="H6453" t="s">
        <v>118</v>
      </c>
      <c r="I6453">
        <v>4083.47</v>
      </c>
      <c r="J6453">
        <v>3905.77</v>
      </c>
      <c r="K6453" t="s">
        <v>17</v>
      </c>
      <c r="L6453" t="b">
        <v>0</v>
      </c>
      <c r="N6453" s="2" t="str">
        <f t="shared" si="577"/>
        <v/>
      </c>
      <c r="Q6453" t="str">
        <f t="shared" si="580"/>
        <v/>
      </c>
    </row>
    <row r="6454" spans="1:17" hidden="1">
      <c r="A6454" t="s">
        <v>6559</v>
      </c>
      <c r="B6454" s="1">
        <v>45780</v>
      </c>
      <c r="C6454">
        <v>2025</v>
      </c>
      <c r="D6454">
        <v>5</v>
      </c>
      <c r="E6454" t="s">
        <v>13</v>
      </c>
      <c r="F6454" t="s">
        <v>14</v>
      </c>
      <c r="G6454" t="s">
        <v>15</v>
      </c>
      <c r="H6454" t="s">
        <v>45</v>
      </c>
      <c r="I6454">
        <v>2735.16</v>
      </c>
      <c r="J6454">
        <v>2901.59</v>
      </c>
      <c r="K6454" t="s">
        <v>17</v>
      </c>
      <c r="L6454" t="b">
        <v>0</v>
      </c>
      <c r="N6454" s="2" t="str">
        <f t="shared" si="577"/>
        <v/>
      </c>
      <c r="Q6454" t="str">
        <f t="shared" si="580"/>
        <v/>
      </c>
    </row>
    <row r="6455" spans="1:17" hidden="1">
      <c r="A6455" t="s">
        <v>6560</v>
      </c>
      <c r="B6455" s="1">
        <v>45780</v>
      </c>
      <c r="C6455">
        <v>2025</v>
      </c>
      <c r="D6455">
        <v>5</v>
      </c>
      <c r="E6455" t="s">
        <v>13</v>
      </c>
      <c r="F6455" t="s">
        <v>24</v>
      </c>
      <c r="G6455" t="s">
        <v>108</v>
      </c>
      <c r="H6455" t="s">
        <v>109</v>
      </c>
      <c r="I6455">
        <v>2791.94</v>
      </c>
      <c r="J6455">
        <v>2729.66</v>
      </c>
      <c r="K6455" t="s">
        <v>17</v>
      </c>
      <c r="L6455" t="b">
        <v>0</v>
      </c>
      <c r="N6455" s="2" t="str">
        <f t="shared" si="577"/>
        <v/>
      </c>
      <c r="Q6455" t="str">
        <f t="shared" si="580"/>
        <v/>
      </c>
    </row>
    <row r="6456" spans="1:17" hidden="1">
      <c r="A6456" t="s">
        <v>6561</v>
      </c>
      <c r="B6456" s="1">
        <v>45780</v>
      </c>
      <c r="C6456">
        <v>2025</v>
      </c>
      <c r="D6456">
        <v>5</v>
      </c>
      <c r="E6456" t="s">
        <v>47</v>
      </c>
      <c r="F6456" t="s">
        <v>14</v>
      </c>
      <c r="G6456" t="s">
        <v>91</v>
      </c>
      <c r="H6456" t="s">
        <v>254</v>
      </c>
      <c r="I6456">
        <v>19054.75</v>
      </c>
      <c r="J6456">
        <v>16326.62</v>
      </c>
      <c r="K6456" t="s">
        <v>17</v>
      </c>
      <c r="L6456" t="b">
        <v>0</v>
      </c>
      <c r="N6456" s="2" t="b">
        <f t="shared" si="577"/>
        <v>1</v>
      </c>
      <c r="O6456" t="str">
        <f t="shared" ref="O6456:O6457" si="581">IF(AND(E6445="HR",K6445="EXPENSE"),I6445&lt;J6445,"")</f>
        <v/>
      </c>
      <c r="Q6456" t="str">
        <f t="shared" si="580"/>
        <v/>
      </c>
    </row>
    <row r="6457" spans="1:17" hidden="1">
      <c r="A6457" t="s">
        <v>6562</v>
      </c>
      <c r="B6457" s="1">
        <v>45780</v>
      </c>
      <c r="C6457">
        <v>2025</v>
      </c>
      <c r="D6457">
        <v>5</v>
      </c>
      <c r="E6457" t="s">
        <v>47</v>
      </c>
      <c r="F6457" t="s">
        <v>28</v>
      </c>
      <c r="G6457" t="s">
        <v>77</v>
      </c>
      <c r="H6457" t="s">
        <v>78</v>
      </c>
      <c r="I6457">
        <v>17773.09</v>
      </c>
      <c r="J6457">
        <v>15190.91</v>
      </c>
      <c r="K6457" t="s">
        <v>17</v>
      </c>
      <c r="L6457" t="b">
        <v>0</v>
      </c>
      <c r="N6457" s="2" t="b">
        <f t="shared" si="577"/>
        <v>1</v>
      </c>
      <c r="O6457" t="str">
        <f t="shared" si="581"/>
        <v/>
      </c>
      <c r="Q6457" t="str">
        <f t="shared" si="580"/>
        <v/>
      </c>
    </row>
    <row r="6458" spans="1:17" hidden="1">
      <c r="A6458" t="s">
        <v>6563</v>
      </c>
      <c r="B6458" s="1">
        <v>45780</v>
      </c>
      <c r="C6458">
        <v>2025</v>
      </c>
      <c r="D6458">
        <v>5</v>
      </c>
      <c r="E6458" t="s">
        <v>19</v>
      </c>
      <c r="F6458" t="s">
        <v>24</v>
      </c>
      <c r="G6458" t="s">
        <v>20</v>
      </c>
      <c r="H6458" t="s">
        <v>174</v>
      </c>
      <c r="I6458">
        <v>6572.33</v>
      </c>
      <c r="J6458">
        <v>6020.68</v>
      </c>
      <c r="K6458" t="s">
        <v>17</v>
      </c>
      <c r="L6458" t="b">
        <v>0</v>
      </c>
      <c r="N6458" s="2" t="str">
        <f t="shared" si="577"/>
        <v/>
      </c>
      <c r="Q6458" t="str">
        <f t="shared" si="580"/>
        <v/>
      </c>
    </row>
    <row r="6459" spans="1:17" hidden="1">
      <c r="A6459" t="s">
        <v>6564</v>
      </c>
      <c r="B6459" s="1">
        <v>45780</v>
      </c>
      <c r="C6459">
        <v>2025</v>
      </c>
      <c r="D6459">
        <v>5</v>
      </c>
      <c r="E6459" t="s">
        <v>23</v>
      </c>
      <c r="F6459" t="s">
        <v>14</v>
      </c>
      <c r="G6459" t="s">
        <v>25</v>
      </c>
      <c r="H6459" t="s">
        <v>35</v>
      </c>
      <c r="I6459">
        <v>8062.05</v>
      </c>
      <c r="J6459">
        <v>8028.91</v>
      </c>
      <c r="K6459" t="s">
        <v>17</v>
      </c>
      <c r="L6459" t="b">
        <v>0</v>
      </c>
      <c r="N6459" s="2" t="str">
        <f t="shared" si="577"/>
        <v/>
      </c>
      <c r="Q6459" t="str">
        <f t="shared" si="580"/>
        <v/>
      </c>
    </row>
    <row r="6460" spans="1:17" hidden="1">
      <c r="A6460" t="s">
        <v>6565</v>
      </c>
      <c r="B6460" s="1">
        <v>45780</v>
      </c>
      <c r="C6460">
        <v>2025</v>
      </c>
      <c r="D6460">
        <v>5</v>
      </c>
      <c r="E6460" t="s">
        <v>23</v>
      </c>
      <c r="F6460" t="s">
        <v>28</v>
      </c>
      <c r="G6460" t="s">
        <v>141</v>
      </c>
      <c r="H6460" t="s">
        <v>142</v>
      </c>
      <c r="I6460">
        <v>5002.26</v>
      </c>
      <c r="J6460">
        <v>5104.3599999999997</v>
      </c>
      <c r="K6460" t="s">
        <v>17</v>
      </c>
      <c r="L6460" t="b">
        <v>0</v>
      </c>
      <c r="N6460" s="2" t="str">
        <f t="shared" si="577"/>
        <v/>
      </c>
      <c r="Q6460" t="str">
        <f t="shared" si="580"/>
        <v/>
      </c>
    </row>
    <row r="6461" spans="1:17" hidden="1">
      <c r="A6461" t="s">
        <v>6566</v>
      </c>
      <c r="B6461" s="1">
        <v>45780</v>
      </c>
      <c r="C6461">
        <v>2025</v>
      </c>
      <c r="D6461">
        <v>5</v>
      </c>
      <c r="E6461" t="s">
        <v>37</v>
      </c>
      <c r="F6461" t="s">
        <v>28</v>
      </c>
      <c r="G6461" t="s">
        <v>41</v>
      </c>
      <c r="H6461" t="s">
        <v>42</v>
      </c>
      <c r="I6461">
        <v>3945.93</v>
      </c>
      <c r="J6461">
        <v>4260.58</v>
      </c>
      <c r="K6461" t="s">
        <v>17</v>
      </c>
      <c r="L6461" t="b">
        <v>0</v>
      </c>
      <c r="N6461" s="2" t="str">
        <f t="shared" si="577"/>
        <v/>
      </c>
      <c r="Q6461" t="str">
        <f t="shared" si="580"/>
        <v/>
      </c>
    </row>
    <row r="6462" spans="1:17" hidden="1">
      <c r="A6462" t="s">
        <v>6567</v>
      </c>
      <c r="B6462" s="1">
        <v>45780</v>
      </c>
      <c r="C6462">
        <v>2025</v>
      </c>
      <c r="D6462">
        <v>5</v>
      </c>
      <c r="E6462" t="s">
        <v>37</v>
      </c>
      <c r="F6462" t="s">
        <v>28</v>
      </c>
      <c r="G6462" t="s">
        <v>41</v>
      </c>
      <c r="H6462" t="s">
        <v>42</v>
      </c>
      <c r="I6462">
        <v>5205.82</v>
      </c>
      <c r="J6462">
        <v>5017.59</v>
      </c>
      <c r="K6462" t="s">
        <v>17</v>
      </c>
      <c r="L6462" t="b">
        <v>0</v>
      </c>
      <c r="N6462" s="2" t="str">
        <f t="shared" si="577"/>
        <v/>
      </c>
      <c r="Q6462" t="str">
        <f t="shared" si="580"/>
        <v/>
      </c>
    </row>
    <row r="6463" spans="1:17" hidden="1">
      <c r="A6463" t="s">
        <v>6568</v>
      </c>
      <c r="B6463" s="1">
        <v>45781</v>
      </c>
      <c r="C6463">
        <v>2025</v>
      </c>
      <c r="D6463">
        <v>5</v>
      </c>
      <c r="E6463" t="s">
        <v>19</v>
      </c>
      <c r="F6463" t="s">
        <v>28</v>
      </c>
      <c r="G6463" t="s">
        <v>80</v>
      </c>
      <c r="H6463" t="s">
        <v>113</v>
      </c>
      <c r="I6463">
        <v>4636.3500000000004</v>
      </c>
      <c r="J6463">
        <v>4552.1400000000003</v>
      </c>
      <c r="K6463" t="s">
        <v>17</v>
      </c>
      <c r="L6463" t="b">
        <v>0</v>
      </c>
      <c r="N6463" s="2" t="str">
        <f t="shared" si="577"/>
        <v/>
      </c>
      <c r="Q6463" t="str">
        <f t="shared" si="580"/>
        <v/>
      </c>
    </row>
    <row r="6464" spans="1:17" hidden="1">
      <c r="A6464" t="s">
        <v>6569</v>
      </c>
      <c r="B6464" s="1">
        <v>45781</v>
      </c>
      <c r="C6464">
        <v>2025</v>
      </c>
      <c r="D6464">
        <v>5</v>
      </c>
      <c r="E6464" t="s">
        <v>23</v>
      </c>
      <c r="F6464" t="s">
        <v>24</v>
      </c>
      <c r="G6464" t="s">
        <v>59</v>
      </c>
      <c r="H6464" t="s">
        <v>60</v>
      </c>
      <c r="I6464">
        <v>6084.9</v>
      </c>
      <c r="J6464">
        <v>5925.35</v>
      </c>
      <c r="K6464" t="s">
        <v>17</v>
      </c>
      <c r="L6464" t="b">
        <v>0</v>
      </c>
      <c r="N6464" s="2" t="str">
        <f t="shared" si="577"/>
        <v/>
      </c>
      <c r="Q6464" t="str">
        <f t="shared" si="580"/>
        <v/>
      </c>
    </row>
    <row r="6465" spans="1:17" hidden="1">
      <c r="A6465" t="s">
        <v>6570</v>
      </c>
      <c r="B6465" s="1">
        <v>45781</v>
      </c>
      <c r="C6465">
        <v>2025</v>
      </c>
      <c r="D6465">
        <v>5</v>
      </c>
      <c r="E6465" t="s">
        <v>23</v>
      </c>
      <c r="F6465" t="s">
        <v>24</v>
      </c>
      <c r="G6465" t="s">
        <v>141</v>
      </c>
      <c r="H6465" t="s">
        <v>153</v>
      </c>
      <c r="I6465">
        <v>8738.7199999999993</v>
      </c>
      <c r="J6465">
        <v>8049.44</v>
      </c>
      <c r="K6465" t="s">
        <v>17</v>
      </c>
      <c r="L6465" t="b">
        <v>0</v>
      </c>
      <c r="N6465" s="2" t="str">
        <f t="shared" si="577"/>
        <v/>
      </c>
      <c r="Q6465" t="str">
        <f t="shared" si="580"/>
        <v/>
      </c>
    </row>
    <row r="6466" spans="1:17" hidden="1">
      <c r="A6466" t="s">
        <v>6571</v>
      </c>
      <c r="B6466" s="1">
        <v>45782</v>
      </c>
      <c r="C6466">
        <v>2025</v>
      </c>
      <c r="D6466">
        <v>5</v>
      </c>
      <c r="E6466" t="s">
        <v>13</v>
      </c>
      <c r="F6466" t="s">
        <v>28</v>
      </c>
      <c r="G6466" t="s">
        <v>102</v>
      </c>
      <c r="H6466" t="s">
        <v>278</v>
      </c>
      <c r="I6466">
        <v>5703.26</v>
      </c>
      <c r="J6466">
        <v>5336.76</v>
      </c>
      <c r="K6466" t="s">
        <v>17</v>
      </c>
      <c r="L6466" t="b">
        <v>0</v>
      </c>
      <c r="N6466" s="2" t="str">
        <f t="shared" si="577"/>
        <v/>
      </c>
      <c r="Q6466" t="str">
        <f t="shared" si="580"/>
        <v/>
      </c>
    </row>
    <row r="6467" spans="1:17" hidden="1">
      <c r="A6467" t="s">
        <v>6572</v>
      </c>
      <c r="B6467" s="1">
        <v>45782</v>
      </c>
      <c r="C6467">
        <v>2025</v>
      </c>
      <c r="D6467">
        <v>5</v>
      </c>
      <c r="E6467" t="s">
        <v>13</v>
      </c>
      <c r="F6467" t="s">
        <v>24</v>
      </c>
      <c r="G6467" t="s">
        <v>108</v>
      </c>
      <c r="H6467" t="s">
        <v>126</v>
      </c>
      <c r="I6467">
        <v>3022.14</v>
      </c>
      <c r="J6467">
        <v>3029.75</v>
      </c>
      <c r="K6467" t="s">
        <v>17</v>
      </c>
      <c r="L6467" t="b">
        <v>0</v>
      </c>
      <c r="N6467" s="2" t="str">
        <f t="shared" ref="N6467:N6530" si="582">IF(AND(E6467="IT",K6467="EXPENSE"),I6467&gt;J6467,"")</f>
        <v/>
      </c>
      <c r="Q6467" t="str">
        <f t="shared" si="580"/>
        <v/>
      </c>
    </row>
    <row r="6468" spans="1:17" hidden="1">
      <c r="A6468" t="s">
        <v>6573</v>
      </c>
      <c r="B6468" s="1">
        <v>45782</v>
      </c>
      <c r="C6468">
        <v>2025</v>
      </c>
      <c r="D6468">
        <v>5</v>
      </c>
      <c r="E6468" t="s">
        <v>47</v>
      </c>
      <c r="F6468" t="s">
        <v>14</v>
      </c>
      <c r="G6468" t="s">
        <v>48</v>
      </c>
      <c r="H6468" t="s">
        <v>111</v>
      </c>
      <c r="I6468">
        <v>16262.64</v>
      </c>
      <c r="J6468">
        <v>13531.95</v>
      </c>
      <c r="K6468" t="s">
        <v>17</v>
      </c>
      <c r="L6468" t="b">
        <v>0</v>
      </c>
      <c r="N6468" s="2" t="b">
        <f t="shared" si="582"/>
        <v>1</v>
      </c>
      <c r="O6468" t="str">
        <f t="shared" ref="O6468:O6470" si="583">IF(AND(E6457="HR",K6457="EXPENSE"),I6457&lt;J6457,"")</f>
        <v/>
      </c>
      <c r="Q6468" t="str">
        <f t="shared" si="580"/>
        <v/>
      </c>
    </row>
    <row r="6469" spans="1:17" hidden="1">
      <c r="A6469" t="s">
        <v>6574</v>
      </c>
      <c r="B6469" s="1">
        <v>45782</v>
      </c>
      <c r="C6469">
        <v>2025</v>
      </c>
      <c r="D6469">
        <v>5</v>
      </c>
      <c r="E6469" t="s">
        <v>47</v>
      </c>
      <c r="F6469" t="s">
        <v>14</v>
      </c>
      <c r="G6469" t="s">
        <v>48</v>
      </c>
      <c r="H6469" t="s">
        <v>191</v>
      </c>
      <c r="I6469">
        <v>17918.05</v>
      </c>
      <c r="J6469">
        <v>15306.41</v>
      </c>
      <c r="K6469" t="s">
        <v>17</v>
      </c>
      <c r="L6469" t="b">
        <v>0</v>
      </c>
      <c r="N6469" s="2" t="b">
        <f t="shared" si="582"/>
        <v>1</v>
      </c>
      <c r="O6469" t="str">
        <f t="shared" si="583"/>
        <v/>
      </c>
      <c r="Q6469" t="str">
        <f t="shared" si="580"/>
        <v/>
      </c>
    </row>
    <row r="6470" spans="1:17" hidden="1">
      <c r="A6470" t="s">
        <v>6575</v>
      </c>
      <c r="B6470" s="1">
        <v>45782</v>
      </c>
      <c r="C6470">
        <v>2025</v>
      </c>
      <c r="D6470">
        <v>5</v>
      </c>
      <c r="E6470" t="s">
        <v>47</v>
      </c>
      <c r="F6470" t="s">
        <v>28</v>
      </c>
      <c r="G6470" t="s">
        <v>48</v>
      </c>
      <c r="H6470" t="s">
        <v>75</v>
      </c>
      <c r="I6470">
        <v>14036.99</v>
      </c>
      <c r="J6470">
        <v>11867.37</v>
      </c>
      <c r="K6470" t="s">
        <v>17</v>
      </c>
      <c r="L6470" t="b">
        <v>0</v>
      </c>
      <c r="N6470" s="2" t="b">
        <f t="shared" si="582"/>
        <v>1</v>
      </c>
      <c r="O6470" t="str">
        <f t="shared" si="583"/>
        <v/>
      </c>
      <c r="Q6470" t="str">
        <f t="shared" si="580"/>
        <v/>
      </c>
    </row>
    <row r="6471" spans="1:17" hidden="1">
      <c r="A6471" t="s">
        <v>6576</v>
      </c>
      <c r="B6471" s="1">
        <v>45782</v>
      </c>
      <c r="C6471">
        <v>2025</v>
      </c>
      <c r="D6471">
        <v>5</v>
      </c>
      <c r="E6471" t="s">
        <v>19</v>
      </c>
      <c r="F6471" t="s">
        <v>28</v>
      </c>
      <c r="G6471" t="s">
        <v>80</v>
      </c>
      <c r="H6471" t="s">
        <v>81</v>
      </c>
      <c r="I6471">
        <v>7038.92</v>
      </c>
      <c r="J6471">
        <v>7227.62</v>
      </c>
      <c r="K6471" t="s">
        <v>17</v>
      </c>
      <c r="L6471" t="b">
        <v>0</v>
      </c>
      <c r="N6471" s="2" t="str">
        <f t="shared" si="582"/>
        <v/>
      </c>
      <c r="Q6471" t="str">
        <f t="shared" si="580"/>
        <v/>
      </c>
    </row>
    <row r="6472" spans="1:17" hidden="1">
      <c r="A6472" t="s">
        <v>6577</v>
      </c>
      <c r="B6472" s="1">
        <v>45782</v>
      </c>
      <c r="C6472">
        <v>2025</v>
      </c>
      <c r="D6472">
        <v>5</v>
      </c>
      <c r="E6472" t="s">
        <v>37</v>
      </c>
      <c r="F6472" t="s">
        <v>24</v>
      </c>
      <c r="G6472" t="s">
        <v>38</v>
      </c>
      <c r="H6472" t="s">
        <v>39</v>
      </c>
      <c r="I6472">
        <v>6380.68</v>
      </c>
      <c r="J6472">
        <v>6295.59</v>
      </c>
      <c r="K6472" t="s">
        <v>17</v>
      </c>
      <c r="L6472" t="b">
        <v>0</v>
      </c>
      <c r="N6472" s="2" t="str">
        <f t="shared" si="582"/>
        <v/>
      </c>
      <c r="Q6472" t="str">
        <f t="shared" si="580"/>
        <v/>
      </c>
    </row>
    <row r="6473" spans="1:17" hidden="1">
      <c r="A6473" t="s">
        <v>6578</v>
      </c>
      <c r="B6473" s="1">
        <v>45783</v>
      </c>
      <c r="C6473">
        <v>2025</v>
      </c>
      <c r="D6473">
        <v>5</v>
      </c>
      <c r="E6473" t="s">
        <v>47</v>
      </c>
      <c r="F6473" t="s">
        <v>14</v>
      </c>
      <c r="G6473" t="s">
        <v>77</v>
      </c>
      <c r="H6473" t="s">
        <v>147</v>
      </c>
      <c r="I6473">
        <v>18367.810000000001</v>
      </c>
      <c r="J6473">
        <v>15206.28</v>
      </c>
      <c r="K6473" t="s">
        <v>17</v>
      </c>
      <c r="L6473" t="b">
        <v>0</v>
      </c>
      <c r="N6473" s="2" t="b">
        <f t="shared" si="582"/>
        <v>1</v>
      </c>
      <c r="O6473" t="str">
        <f>IF(AND(E6462="HR",K6462="EXPENSE"),I6462&lt;J6462,"")</f>
        <v/>
      </c>
      <c r="Q6473" t="str">
        <f t="shared" si="580"/>
        <v/>
      </c>
    </row>
    <row r="6474" spans="1:17" hidden="1">
      <c r="A6474" t="s">
        <v>6579</v>
      </c>
      <c r="B6474" s="1">
        <v>45783</v>
      </c>
      <c r="C6474">
        <v>2025</v>
      </c>
      <c r="D6474">
        <v>5</v>
      </c>
      <c r="E6474" t="s">
        <v>19</v>
      </c>
      <c r="F6474" t="s">
        <v>14</v>
      </c>
      <c r="G6474" t="s">
        <v>20</v>
      </c>
      <c r="H6474" t="s">
        <v>174</v>
      </c>
      <c r="I6474">
        <v>4526.54</v>
      </c>
      <c r="J6474">
        <v>4367.72</v>
      </c>
      <c r="K6474" t="s">
        <v>17</v>
      </c>
      <c r="L6474" t="b">
        <v>0</v>
      </c>
      <c r="N6474" s="2" t="str">
        <f t="shared" si="582"/>
        <v/>
      </c>
      <c r="Q6474" t="str">
        <f t="shared" si="580"/>
        <v/>
      </c>
    </row>
    <row r="6475" spans="1:17" hidden="1">
      <c r="A6475" t="s">
        <v>6580</v>
      </c>
      <c r="B6475" s="1">
        <v>45783</v>
      </c>
      <c r="C6475">
        <v>2025</v>
      </c>
      <c r="D6475">
        <v>5</v>
      </c>
      <c r="E6475" t="s">
        <v>23</v>
      </c>
      <c r="F6475" t="s">
        <v>28</v>
      </c>
      <c r="G6475" t="s">
        <v>59</v>
      </c>
      <c r="H6475" t="s">
        <v>60</v>
      </c>
      <c r="I6475">
        <v>4921.01</v>
      </c>
      <c r="J6475">
        <v>5197.4799999999996</v>
      </c>
      <c r="K6475" t="s">
        <v>17</v>
      </c>
      <c r="L6475" t="b">
        <v>0</v>
      </c>
      <c r="N6475" s="2" t="str">
        <f t="shared" si="582"/>
        <v/>
      </c>
      <c r="Q6475" t="str">
        <f t="shared" si="580"/>
        <v/>
      </c>
    </row>
    <row r="6476" spans="1:17" hidden="1">
      <c r="A6476" t="s">
        <v>6581</v>
      </c>
      <c r="B6476" s="1">
        <v>45783</v>
      </c>
      <c r="C6476">
        <v>2025</v>
      </c>
      <c r="D6476">
        <v>5</v>
      </c>
      <c r="E6476" t="s">
        <v>37</v>
      </c>
      <c r="F6476" t="s">
        <v>14</v>
      </c>
      <c r="G6476" t="s">
        <v>38</v>
      </c>
      <c r="H6476" t="s">
        <v>118</v>
      </c>
      <c r="I6476">
        <v>4262.17</v>
      </c>
      <c r="J6476">
        <v>4028.08</v>
      </c>
      <c r="K6476" t="s">
        <v>17</v>
      </c>
      <c r="L6476" t="b">
        <v>0</v>
      </c>
      <c r="N6476" s="2" t="str">
        <f t="shared" si="582"/>
        <v/>
      </c>
      <c r="Q6476" t="str">
        <f t="shared" si="580"/>
        <v/>
      </c>
    </row>
    <row r="6477" spans="1:17" hidden="1">
      <c r="A6477" t="s">
        <v>6582</v>
      </c>
      <c r="B6477" s="1">
        <v>45784</v>
      </c>
      <c r="C6477">
        <v>2025</v>
      </c>
      <c r="D6477">
        <v>5</v>
      </c>
      <c r="E6477" t="s">
        <v>47</v>
      </c>
      <c r="F6477" t="s">
        <v>24</v>
      </c>
      <c r="G6477" t="s">
        <v>51</v>
      </c>
      <c r="H6477" t="s">
        <v>72</v>
      </c>
      <c r="I6477">
        <v>11600.56</v>
      </c>
      <c r="J6477">
        <v>9807.23</v>
      </c>
      <c r="K6477" t="s">
        <v>17</v>
      </c>
      <c r="L6477" t="b">
        <v>0</v>
      </c>
      <c r="N6477" s="2" t="b">
        <f t="shared" si="582"/>
        <v>1</v>
      </c>
      <c r="O6477" t="b">
        <f>IF(AND(E6466="HR",K6466="EXPENSE"),I6466&lt;J6466,"")</f>
        <v>0</v>
      </c>
      <c r="Q6477" t="str">
        <f t="shared" si="580"/>
        <v/>
      </c>
    </row>
    <row r="6478" spans="1:17" hidden="1">
      <c r="A6478" t="s">
        <v>6583</v>
      </c>
      <c r="B6478" s="1">
        <v>45784</v>
      </c>
      <c r="C6478">
        <v>2025</v>
      </c>
      <c r="D6478">
        <v>5</v>
      </c>
      <c r="E6478" t="s">
        <v>37</v>
      </c>
      <c r="F6478" t="s">
        <v>28</v>
      </c>
      <c r="G6478" t="s">
        <v>98</v>
      </c>
      <c r="H6478" t="s">
        <v>185</v>
      </c>
      <c r="I6478">
        <v>6335.43</v>
      </c>
      <c r="J6478">
        <v>5926.44</v>
      </c>
      <c r="K6478" t="s">
        <v>17</v>
      </c>
      <c r="L6478" t="b">
        <v>0</v>
      </c>
      <c r="N6478" s="2" t="str">
        <f t="shared" si="582"/>
        <v/>
      </c>
      <c r="Q6478" t="str">
        <f t="shared" si="580"/>
        <v/>
      </c>
    </row>
    <row r="6479" spans="1:17" hidden="1">
      <c r="A6479" t="s">
        <v>6584</v>
      </c>
      <c r="B6479" s="1">
        <v>45784</v>
      </c>
      <c r="C6479">
        <v>2025</v>
      </c>
      <c r="D6479">
        <v>5</v>
      </c>
      <c r="E6479" t="s">
        <v>37</v>
      </c>
      <c r="F6479" t="s">
        <v>24</v>
      </c>
      <c r="G6479" t="s">
        <v>62</v>
      </c>
      <c r="H6479" t="s">
        <v>63</v>
      </c>
      <c r="I6479">
        <v>6261.28</v>
      </c>
      <c r="J6479">
        <v>5940.07</v>
      </c>
      <c r="K6479" t="s">
        <v>17</v>
      </c>
      <c r="L6479" t="b">
        <v>0</v>
      </c>
      <c r="N6479" s="2" t="str">
        <f t="shared" si="582"/>
        <v/>
      </c>
      <c r="Q6479" t="str">
        <f t="shared" si="580"/>
        <v/>
      </c>
    </row>
    <row r="6480" spans="1:17" hidden="1">
      <c r="A6480" t="s">
        <v>6585</v>
      </c>
      <c r="B6480" s="1">
        <v>45784</v>
      </c>
      <c r="C6480">
        <v>2025</v>
      </c>
      <c r="D6480">
        <v>5</v>
      </c>
      <c r="E6480" t="s">
        <v>37</v>
      </c>
      <c r="F6480" t="s">
        <v>24</v>
      </c>
      <c r="G6480" t="s">
        <v>98</v>
      </c>
      <c r="H6480" t="s">
        <v>99</v>
      </c>
      <c r="I6480">
        <v>6745.76</v>
      </c>
      <c r="J6480">
        <v>7119.68</v>
      </c>
      <c r="K6480" t="s">
        <v>17</v>
      </c>
      <c r="L6480" t="b">
        <v>0</v>
      </c>
      <c r="N6480" s="2" t="str">
        <f t="shared" si="582"/>
        <v/>
      </c>
      <c r="Q6480" t="str">
        <f t="shared" si="580"/>
        <v/>
      </c>
    </row>
    <row r="6481" spans="1:17" hidden="1">
      <c r="A6481" t="s">
        <v>6586</v>
      </c>
      <c r="B6481" s="1">
        <v>45785</v>
      </c>
      <c r="C6481">
        <v>2025</v>
      </c>
      <c r="D6481">
        <v>5</v>
      </c>
      <c r="E6481" t="s">
        <v>13</v>
      </c>
      <c r="F6481" t="s">
        <v>28</v>
      </c>
      <c r="G6481" t="s">
        <v>15</v>
      </c>
      <c r="H6481" t="s">
        <v>89</v>
      </c>
      <c r="I6481">
        <v>4432.09</v>
      </c>
      <c r="J6481">
        <v>4665.59</v>
      </c>
      <c r="K6481" t="s">
        <v>17</v>
      </c>
      <c r="L6481" t="b">
        <v>0</v>
      </c>
      <c r="N6481" s="2" t="str">
        <f t="shared" si="582"/>
        <v/>
      </c>
      <c r="Q6481" t="str">
        <f t="shared" si="580"/>
        <v/>
      </c>
    </row>
    <row r="6482" spans="1:17" hidden="1">
      <c r="A6482" t="s">
        <v>6587</v>
      </c>
      <c r="B6482" s="1">
        <v>45785</v>
      </c>
      <c r="C6482">
        <v>2025</v>
      </c>
      <c r="D6482">
        <v>5</v>
      </c>
      <c r="E6482" t="s">
        <v>47</v>
      </c>
      <c r="F6482" t="s">
        <v>14</v>
      </c>
      <c r="G6482" t="s">
        <v>51</v>
      </c>
      <c r="H6482" t="s">
        <v>189</v>
      </c>
      <c r="I6482">
        <v>22600.799999999999</v>
      </c>
      <c r="J6482">
        <v>19306.439999999999</v>
      </c>
      <c r="K6482" t="s">
        <v>17</v>
      </c>
      <c r="L6482" t="b">
        <v>0</v>
      </c>
      <c r="N6482" s="2" t="b">
        <f t="shared" si="582"/>
        <v>1</v>
      </c>
      <c r="O6482" t="str">
        <f t="shared" ref="O6482:O6483" si="584">IF(AND(E6471="HR",K6471="EXPENSE"),I6471&lt;J6471,"")</f>
        <v/>
      </c>
      <c r="Q6482" t="str">
        <f t="shared" si="580"/>
        <v/>
      </c>
    </row>
    <row r="6483" spans="1:17" hidden="1">
      <c r="A6483" t="s">
        <v>6588</v>
      </c>
      <c r="B6483" s="1">
        <v>45785</v>
      </c>
      <c r="C6483">
        <v>2025</v>
      </c>
      <c r="D6483">
        <v>5</v>
      </c>
      <c r="E6483" t="s">
        <v>47</v>
      </c>
      <c r="F6483" t="s">
        <v>24</v>
      </c>
      <c r="G6483" t="s">
        <v>48</v>
      </c>
      <c r="H6483" t="s">
        <v>49</v>
      </c>
      <c r="I6483">
        <v>13551.83</v>
      </c>
      <c r="J6483">
        <v>11228.89</v>
      </c>
      <c r="K6483" t="s">
        <v>17</v>
      </c>
      <c r="L6483" t="b">
        <v>0</v>
      </c>
      <c r="N6483" s="2" t="b">
        <f t="shared" si="582"/>
        <v>1</v>
      </c>
      <c r="O6483" t="str">
        <f t="shared" si="584"/>
        <v/>
      </c>
      <c r="Q6483" t="str">
        <f t="shared" si="580"/>
        <v/>
      </c>
    </row>
    <row r="6484" spans="1:17" hidden="1">
      <c r="A6484" t="s">
        <v>6589</v>
      </c>
      <c r="B6484" s="1">
        <v>45785</v>
      </c>
      <c r="C6484">
        <v>2025</v>
      </c>
      <c r="D6484">
        <v>5</v>
      </c>
      <c r="E6484" t="s">
        <v>19</v>
      </c>
      <c r="F6484" t="s">
        <v>28</v>
      </c>
      <c r="G6484" t="s">
        <v>132</v>
      </c>
      <c r="H6484" t="s">
        <v>171</v>
      </c>
      <c r="I6484">
        <v>6149.06</v>
      </c>
      <c r="J6484">
        <v>6285.82</v>
      </c>
      <c r="K6484" t="s">
        <v>17</v>
      </c>
      <c r="L6484" t="b">
        <v>0</v>
      </c>
      <c r="N6484" s="2" t="str">
        <f t="shared" si="582"/>
        <v/>
      </c>
      <c r="Q6484" t="str">
        <f t="shared" si="580"/>
        <v/>
      </c>
    </row>
    <row r="6485" spans="1:17" hidden="1">
      <c r="A6485" t="s">
        <v>6590</v>
      </c>
      <c r="B6485" s="1">
        <v>45785</v>
      </c>
      <c r="C6485">
        <v>2025</v>
      </c>
      <c r="D6485">
        <v>5</v>
      </c>
      <c r="E6485" t="s">
        <v>23</v>
      </c>
      <c r="F6485" t="s">
        <v>24</v>
      </c>
      <c r="G6485" t="s">
        <v>141</v>
      </c>
      <c r="H6485" t="s">
        <v>153</v>
      </c>
      <c r="I6485">
        <v>6317.64</v>
      </c>
      <c r="J6485">
        <v>6266</v>
      </c>
      <c r="K6485" t="s">
        <v>17</v>
      </c>
      <c r="L6485" t="b">
        <v>0</v>
      </c>
      <c r="N6485" s="2" t="str">
        <f t="shared" si="582"/>
        <v/>
      </c>
      <c r="Q6485" t="str">
        <f t="shared" si="580"/>
        <v/>
      </c>
    </row>
    <row r="6486" spans="1:17" hidden="1">
      <c r="A6486" t="s">
        <v>6591</v>
      </c>
      <c r="B6486" s="1">
        <v>45785</v>
      </c>
      <c r="C6486">
        <v>2025</v>
      </c>
      <c r="D6486">
        <v>5</v>
      </c>
      <c r="E6486" t="s">
        <v>23</v>
      </c>
      <c r="F6486" t="s">
        <v>24</v>
      </c>
      <c r="G6486" t="s">
        <v>59</v>
      </c>
      <c r="H6486" t="s">
        <v>60</v>
      </c>
      <c r="I6486">
        <v>7126.34</v>
      </c>
      <c r="J6486">
        <v>7528.89</v>
      </c>
      <c r="K6486" t="s">
        <v>17</v>
      </c>
      <c r="L6486" t="b">
        <v>0</v>
      </c>
      <c r="N6486" s="2" t="str">
        <f t="shared" si="582"/>
        <v/>
      </c>
      <c r="Q6486" t="str">
        <f t="shared" si="580"/>
        <v/>
      </c>
    </row>
    <row r="6487" spans="1:17" hidden="1">
      <c r="A6487" t="s">
        <v>6592</v>
      </c>
      <c r="B6487" s="1">
        <v>45786</v>
      </c>
      <c r="C6487">
        <v>2025</v>
      </c>
      <c r="D6487">
        <v>5</v>
      </c>
      <c r="E6487" t="s">
        <v>13</v>
      </c>
      <c r="F6487" t="s">
        <v>28</v>
      </c>
      <c r="G6487" t="s">
        <v>108</v>
      </c>
      <c r="H6487" t="s">
        <v>109</v>
      </c>
      <c r="I6487">
        <v>3067.18</v>
      </c>
      <c r="J6487">
        <v>3003.84</v>
      </c>
      <c r="K6487" t="s">
        <v>17</v>
      </c>
      <c r="L6487" t="b">
        <v>0</v>
      </c>
      <c r="N6487" s="2" t="str">
        <f t="shared" si="582"/>
        <v/>
      </c>
      <c r="Q6487" t="str">
        <f t="shared" si="580"/>
        <v/>
      </c>
    </row>
    <row r="6488" spans="1:17" hidden="1">
      <c r="A6488" t="s">
        <v>6593</v>
      </c>
      <c r="B6488" s="1">
        <v>45786</v>
      </c>
      <c r="C6488">
        <v>2025</v>
      </c>
      <c r="D6488">
        <v>5</v>
      </c>
      <c r="E6488" t="s">
        <v>47</v>
      </c>
      <c r="F6488" t="s">
        <v>28</v>
      </c>
      <c r="G6488" t="s">
        <v>51</v>
      </c>
      <c r="H6488" t="s">
        <v>189</v>
      </c>
      <c r="I6488">
        <v>8524.65</v>
      </c>
      <c r="J6488">
        <v>7200.81</v>
      </c>
      <c r="K6488" t="s">
        <v>17</v>
      </c>
      <c r="L6488" t="b">
        <v>0</v>
      </c>
      <c r="N6488" s="2" t="b">
        <f t="shared" si="582"/>
        <v>1</v>
      </c>
      <c r="O6488" t="str">
        <f>IF(AND(E6477="HR",K6477="EXPENSE"),I6477&lt;J6477,"")</f>
        <v/>
      </c>
      <c r="Q6488" t="str">
        <f t="shared" si="580"/>
        <v/>
      </c>
    </row>
    <row r="6489" spans="1:17" hidden="1">
      <c r="A6489" t="s">
        <v>6594</v>
      </c>
      <c r="B6489" s="1">
        <v>45786</v>
      </c>
      <c r="C6489">
        <v>2025</v>
      </c>
      <c r="D6489">
        <v>5</v>
      </c>
      <c r="E6489" t="s">
        <v>19</v>
      </c>
      <c r="F6489" t="s">
        <v>24</v>
      </c>
      <c r="G6489" t="s">
        <v>132</v>
      </c>
      <c r="H6489" t="s">
        <v>171</v>
      </c>
      <c r="I6489">
        <v>6092.68</v>
      </c>
      <c r="J6489">
        <v>6173.84</v>
      </c>
      <c r="K6489" t="s">
        <v>17</v>
      </c>
      <c r="L6489" t="b">
        <v>0</v>
      </c>
      <c r="N6489" s="2" t="str">
        <f t="shared" si="582"/>
        <v/>
      </c>
      <c r="Q6489" t="str">
        <f t="shared" si="580"/>
        <v/>
      </c>
    </row>
    <row r="6490" spans="1:17" hidden="1">
      <c r="A6490" t="s">
        <v>6595</v>
      </c>
      <c r="B6490" s="1">
        <v>45786</v>
      </c>
      <c r="C6490">
        <v>2025</v>
      </c>
      <c r="D6490">
        <v>5</v>
      </c>
      <c r="E6490" t="s">
        <v>23</v>
      </c>
      <c r="F6490" t="s">
        <v>28</v>
      </c>
      <c r="G6490" t="s">
        <v>25</v>
      </c>
      <c r="H6490" t="s">
        <v>95</v>
      </c>
      <c r="I6490">
        <v>5077.04</v>
      </c>
      <c r="J6490">
        <v>5360.43</v>
      </c>
      <c r="K6490" t="s">
        <v>17</v>
      </c>
      <c r="L6490" t="b">
        <v>0</v>
      </c>
      <c r="N6490" s="2" t="str">
        <f t="shared" si="582"/>
        <v/>
      </c>
      <c r="Q6490" t="str">
        <f t="shared" si="580"/>
        <v/>
      </c>
    </row>
    <row r="6491" spans="1:17" hidden="1">
      <c r="A6491" t="s">
        <v>6596</v>
      </c>
      <c r="B6491" s="1">
        <v>45786</v>
      </c>
      <c r="C6491">
        <v>2025</v>
      </c>
      <c r="D6491">
        <v>5</v>
      </c>
      <c r="E6491" t="s">
        <v>23</v>
      </c>
      <c r="F6491" t="s">
        <v>28</v>
      </c>
      <c r="G6491" t="s">
        <v>59</v>
      </c>
      <c r="H6491" t="s">
        <v>60</v>
      </c>
      <c r="I6491">
        <v>4702.08</v>
      </c>
      <c r="J6491">
        <v>4903.28</v>
      </c>
      <c r="K6491" t="s">
        <v>17</v>
      </c>
      <c r="L6491" t="b">
        <v>0</v>
      </c>
      <c r="N6491" s="2" t="str">
        <f t="shared" si="582"/>
        <v/>
      </c>
      <c r="Q6491" t="str">
        <f t="shared" si="580"/>
        <v/>
      </c>
    </row>
    <row r="6492" spans="1:17" hidden="1">
      <c r="A6492" t="s">
        <v>6597</v>
      </c>
      <c r="B6492" s="1">
        <v>45786</v>
      </c>
      <c r="C6492">
        <v>2025</v>
      </c>
      <c r="D6492">
        <v>5</v>
      </c>
      <c r="E6492" t="s">
        <v>37</v>
      </c>
      <c r="F6492" t="s">
        <v>24</v>
      </c>
      <c r="G6492" t="s">
        <v>38</v>
      </c>
      <c r="H6492" t="s">
        <v>118</v>
      </c>
      <c r="I6492">
        <v>7095.48</v>
      </c>
      <c r="J6492">
        <v>7627.72</v>
      </c>
      <c r="K6492" t="s">
        <v>17</v>
      </c>
      <c r="L6492" t="b">
        <v>0</v>
      </c>
      <c r="N6492" s="2" t="str">
        <f t="shared" si="582"/>
        <v/>
      </c>
      <c r="Q6492" t="str">
        <f t="shared" si="580"/>
        <v/>
      </c>
    </row>
    <row r="6493" spans="1:17" hidden="1">
      <c r="A6493" t="s">
        <v>6598</v>
      </c>
      <c r="B6493" s="1">
        <v>45787</v>
      </c>
      <c r="C6493">
        <v>2025</v>
      </c>
      <c r="D6493">
        <v>5</v>
      </c>
      <c r="E6493" t="s">
        <v>13</v>
      </c>
      <c r="F6493" t="s">
        <v>24</v>
      </c>
      <c r="G6493" t="s">
        <v>68</v>
      </c>
      <c r="H6493" t="s">
        <v>87</v>
      </c>
      <c r="I6493">
        <v>2855.15</v>
      </c>
      <c r="J6493">
        <v>2608.13</v>
      </c>
      <c r="K6493" t="s">
        <v>17</v>
      </c>
      <c r="L6493" t="b">
        <v>0</v>
      </c>
      <c r="N6493" s="2" t="str">
        <f t="shared" si="582"/>
        <v/>
      </c>
      <c r="Q6493" t="str">
        <f t="shared" si="580"/>
        <v/>
      </c>
    </row>
    <row r="6494" spans="1:17" hidden="1">
      <c r="A6494" t="s">
        <v>6599</v>
      </c>
      <c r="B6494" s="1">
        <v>45787</v>
      </c>
      <c r="C6494">
        <v>2025</v>
      </c>
      <c r="D6494">
        <v>5</v>
      </c>
      <c r="E6494" t="s">
        <v>47</v>
      </c>
      <c r="F6494" t="s">
        <v>24</v>
      </c>
      <c r="G6494" t="s">
        <v>48</v>
      </c>
      <c r="H6494" t="s">
        <v>191</v>
      </c>
      <c r="I6494">
        <v>14482.62</v>
      </c>
      <c r="J6494">
        <v>12045.8</v>
      </c>
      <c r="K6494" t="s">
        <v>17</v>
      </c>
      <c r="L6494" t="b">
        <v>0</v>
      </c>
      <c r="N6494" s="2" t="b">
        <f t="shared" si="582"/>
        <v>1</v>
      </c>
      <c r="O6494" t="str">
        <f>IF(AND(E6483="HR",K6483="EXPENSE"),I6483&lt;J6483,"")</f>
        <v/>
      </c>
      <c r="Q6494" t="str">
        <f t="shared" si="580"/>
        <v/>
      </c>
    </row>
    <row r="6495" spans="1:17" hidden="1">
      <c r="A6495" t="s">
        <v>6600</v>
      </c>
      <c r="B6495" s="1">
        <v>45787</v>
      </c>
      <c r="C6495">
        <v>2025</v>
      </c>
      <c r="D6495">
        <v>5</v>
      </c>
      <c r="E6495" t="s">
        <v>23</v>
      </c>
      <c r="F6495" t="s">
        <v>24</v>
      </c>
      <c r="G6495" t="s">
        <v>25</v>
      </c>
      <c r="H6495" t="s">
        <v>95</v>
      </c>
      <c r="I6495">
        <v>4737.24</v>
      </c>
      <c r="J6495">
        <v>4373.66</v>
      </c>
      <c r="K6495" t="s">
        <v>17</v>
      </c>
      <c r="L6495" t="b">
        <v>0</v>
      </c>
      <c r="N6495" s="2" t="str">
        <f t="shared" si="582"/>
        <v/>
      </c>
      <c r="Q6495" t="str">
        <f t="shared" si="580"/>
        <v/>
      </c>
    </row>
    <row r="6496" spans="1:17" hidden="1">
      <c r="A6496" t="s">
        <v>6601</v>
      </c>
      <c r="B6496" s="1">
        <v>45788</v>
      </c>
      <c r="C6496">
        <v>2025</v>
      </c>
      <c r="D6496">
        <v>5</v>
      </c>
      <c r="E6496" t="s">
        <v>47</v>
      </c>
      <c r="F6496" t="s">
        <v>14</v>
      </c>
      <c r="G6496" t="s">
        <v>77</v>
      </c>
      <c r="H6496" t="s">
        <v>130</v>
      </c>
      <c r="I6496">
        <v>18070.39</v>
      </c>
      <c r="J6496">
        <v>15556.72</v>
      </c>
      <c r="K6496" t="s">
        <v>17</v>
      </c>
      <c r="L6496" t="b">
        <v>0</v>
      </c>
      <c r="N6496" s="2" t="b">
        <f t="shared" si="582"/>
        <v>1</v>
      </c>
      <c r="O6496" t="str">
        <f t="shared" ref="O6496:O6498" si="585">IF(AND(E6485="HR",K6485="EXPENSE"),I6485&lt;J6485,"")</f>
        <v/>
      </c>
      <c r="Q6496" t="str">
        <f t="shared" si="580"/>
        <v/>
      </c>
    </row>
    <row r="6497" spans="1:17" hidden="1">
      <c r="A6497" t="s">
        <v>6602</v>
      </c>
      <c r="B6497" s="1">
        <v>45788</v>
      </c>
      <c r="C6497">
        <v>2025</v>
      </c>
      <c r="D6497">
        <v>5</v>
      </c>
      <c r="E6497" t="s">
        <v>47</v>
      </c>
      <c r="F6497" t="s">
        <v>28</v>
      </c>
      <c r="G6497" t="s">
        <v>77</v>
      </c>
      <c r="H6497" t="s">
        <v>147</v>
      </c>
      <c r="I6497">
        <v>20239.189999999999</v>
      </c>
      <c r="J6497">
        <v>16918.18</v>
      </c>
      <c r="K6497" t="s">
        <v>17</v>
      </c>
      <c r="L6497" t="b">
        <v>0</v>
      </c>
      <c r="N6497" s="2" t="b">
        <f t="shared" si="582"/>
        <v>1</v>
      </c>
      <c r="O6497" t="str">
        <f t="shared" si="585"/>
        <v/>
      </c>
      <c r="Q6497" t="str">
        <f t="shared" si="580"/>
        <v/>
      </c>
    </row>
    <row r="6498" spans="1:17" hidden="1">
      <c r="A6498" t="s">
        <v>6603</v>
      </c>
      <c r="B6498" s="1">
        <v>45788</v>
      </c>
      <c r="C6498">
        <v>2025</v>
      </c>
      <c r="D6498">
        <v>5</v>
      </c>
      <c r="E6498" t="s">
        <v>47</v>
      </c>
      <c r="F6498" t="s">
        <v>24</v>
      </c>
      <c r="G6498" t="s">
        <v>77</v>
      </c>
      <c r="H6498" t="s">
        <v>147</v>
      </c>
      <c r="I6498">
        <v>10685.78</v>
      </c>
      <c r="J6498">
        <v>8956.48</v>
      </c>
      <c r="K6498" t="s">
        <v>17</v>
      </c>
      <c r="L6498" t="b">
        <v>0</v>
      </c>
      <c r="N6498" s="2" t="b">
        <f t="shared" si="582"/>
        <v>1</v>
      </c>
      <c r="O6498" t="b">
        <f t="shared" si="585"/>
        <v>0</v>
      </c>
      <c r="Q6498" t="str">
        <f t="shared" si="580"/>
        <v/>
      </c>
    </row>
    <row r="6499" spans="1:17" hidden="1">
      <c r="A6499" t="s">
        <v>6604</v>
      </c>
      <c r="B6499" s="1">
        <v>45788</v>
      </c>
      <c r="C6499">
        <v>2025</v>
      </c>
      <c r="D6499">
        <v>5</v>
      </c>
      <c r="E6499" t="s">
        <v>19</v>
      </c>
      <c r="F6499" t="s">
        <v>14</v>
      </c>
      <c r="G6499" t="s">
        <v>20</v>
      </c>
      <c r="H6499" t="s">
        <v>174</v>
      </c>
      <c r="I6499">
        <v>4653.54</v>
      </c>
      <c r="J6499">
        <v>4444.72</v>
      </c>
      <c r="K6499" t="s">
        <v>17</v>
      </c>
      <c r="L6499" t="b">
        <v>0</v>
      </c>
      <c r="N6499" s="2" t="str">
        <f t="shared" si="582"/>
        <v/>
      </c>
      <c r="Q6499" t="str">
        <f t="shared" si="580"/>
        <v/>
      </c>
    </row>
    <row r="6500" spans="1:17" hidden="1">
      <c r="A6500" t="s">
        <v>6605</v>
      </c>
      <c r="B6500" s="1">
        <v>45788</v>
      </c>
      <c r="C6500">
        <v>2025</v>
      </c>
      <c r="D6500">
        <v>5</v>
      </c>
      <c r="E6500" t="s">
        <v>19</v>
      </c>
      <c r="F6500" t="s">
        <v>24</v>
      </c>
      <c r="G6500" t="s">
        <v>132</v>
      </c>
      <c r="H6500" t="s">
        <v>171</v>
      </c>
      <c r="I6500">
        <v>6827.5</v>
      </c>
      <c r="J6500">
        <v>6626.07</v>
      </c>
      <c r="K6500" t="s">
        <v>17</v>
      </c>
      <c r="L6500" t="b">
        <v>0</v>
      </c>
      <c r="N6500" s="2" t="str">
        <f t="shared" si="582"/>
        <v/>
      </c>
      <c r="Q6500" t="str">
        <f t="shared" si="580"/>
        <v/>
      </c>
    </row>
    <row r="6501" spans="1:17" hidden="1">
      <c r="A6501" t="s">
        <v>6606</v>
      </c>
      <c r="B6501" s="1">
        <v>45788</v>
      </c>
      <c r="C6501">
        <v>2025</v>
      </c>
      <c r="D6501">
        <v>5</v>
      </c>
      <c r="E6501" t="s">
        <v>19</v>
      </c>
      <c r="F6501" t="s">
        <v>24</v>
      </c>
      <c r="G6501" t="s">
        <v>20</v>
      </c>
      <c r="H6501" t="s">
        <v>136</v>
      </c>
      <c r="I6501">
        <v>4571.01</v>
      </c>
      <c r="J6501">
        <v>4235.04</v>
      </c>
      <c r="K6501" t="s">
        <v>17</v>
      </c>
      <c r="L6501" t="b">
        <v>0</v>
      </c>
      <c r="N6501" s="2" t="str">
        <f t="shared" si="582"/>
        <v/>
      </c>
      <c r="Q6501" t="str">
        <f t="shared" si="580"/>
        <v/>
      </c>
    </row>
    <row r="6502" spans="1:17" hidden="1">
      <c r="A6502" t="s">
        <v>6607</v>
      </c>
      <c r="B6502" s="1">
        <v>45788</v>
      </c>
      <c r="C6502">
        <v>2025</v>
      </c>
      <c r="D6502">
        <v>5</v>
      </c>
      <c r="E6502" t="s">
        <v>23</v>
      </c>
      <c r="F6502" t="s">
        <v>14</v>
      </c>
      <c r="G6502" t="s">
        <v>141</v>
      </c>
      <c r="H6502" t="s">
        <v>209</v>
      </c>
      <c r="I6502">
        <v>4356.57</v>
      </c>
      <c r="J6502">
        <v>4395.96</v>
      </c>
      <c r="K6502" t="s">
        <v>17</v>
      </c>
      <c r="L6502" t="b">
        <v>0</v>
      </c>
      <c r="N6502" s="2" t="str">
        <f t="shared" si="582"/>
        <v/>
      </c>
      <c r="Q6502" t="str">
        <f t="shared" si="580"/>
        <v/>
      </c>
    </row>
    <row r="6503" spans="1:17" hidden="1">
      <c r="A6503" t="s">
        <v>6608</v>
      </c>
      <c r="B6503" s="1">
        <v>45788</v>
      </c>
      <c r="C6503">
        <v>2025</v>
      </c>
      <c r="D6503">
        <v>5</v>
      </c>
      <c r="E6503" t="s">
        <v>23</v>
      </c>
      <c r="F6503" t="s">
        <v>28</v>
      </c>
      <c r="G6503" t="s">
        <v>141</v>
      </c>
      <c r="H6503" t="s">
        <v>153</v>
      </c>
      <c r="I6503">
        <v>2082</v>
      </c>
      <c r="J6503">
        <v>2107.85</v>
      </c>
      <c r="K6503" t="s">
        <v>17</v>
      </c>
      <c r="L6503" t="b">
        <v>0</v>
      </c>
      <c r="N6503" s="2" t="str">
        <f t="shared" si="582"/>
        <v/>
      </c>
      <c r="Q6503" t="str">
        <f t="shared" si="580"/>
        <v/>
      </c>
    </row>
    <row r="6504" spans="1:17" hidden="1">
      <c r="A6504" t="s">
        <v>6609</v>
      </c>
      <c r="B6504" s="1">
        <v>45789</v>
      </c>
      <c r="C6504">
        <v>2025</v>
      </c>
      <c r="D6504">
        <v>5</v>
      </c>
      <c r="E6504" t="s">
        <v>13</v>
      </c>
      <c r="F6504" t="s">
        <v>28</v>
      </c>
      <c r="G6504" t="s">
        <v>15</v>
      </c>
      <c r="H6504" t="s">
        <v>89</v>
      </c>
      <c r="I6504">
        <v>5744.87</v>
      </c>
      <c r="J6504">
        <v>6164.68</v>
      </c>
      <c r="K6504" t="s">
        <v>17</v>
      </c>
      <c r="L6504" t="b">
        <v>0</v>
      </c>
      <c r="N6504" s="2" t="str">
        <f t="shared" si="582"/>
        <v/>
      </c>
      <c r="Q6504" t="str">
        <f t="shared" si="580"/>
        <v/>
      </c>
    </row>
    <row r="6505" spans="1:17" hidden="1">
      <c r="A6505" t="s">
        <v>6610</v>
      </c>
      <c r="B6505" s="1">
        <v>45789</v>
      </c>
      <c r="C6505">
        <v>2025</v>
      </c>
      <c r="D6505">
        <v>5</v>
      </c>
      <c r="E6505" t="s">
        <v>13</v>
      </c>
      <c r="F6505" t="s">
        <v>24</v>
      </c>
      <c r="G6505" t="s">
        <v>102</v>
      </c>
      <c r="H6505" t="s">
        <v>103</v>
      </c>
      <c r="I6505">
        <v>3139.53</v>
      </c>
      <c r="J6505">
        <v>3385.81</v>
      </c>
      <c r="K6505" t="s">
        <v>17</v>
      </c>
      <c r="L6505" t="b">
        <v>0</v>
      </c>
      <c r="N6505" s="2" t="str">
        <f t="shared" si="582"/>
        <v/>
      </c>
      <c r="Q6505" t="str">
        <f t="shared" si="580"/>
        <v/>
      </c>
    </row>
    <row r="6506" spans="1:17" hidden="1">
      <c r="A6506" t="s">
        <v>6611</v>
      </c>
      <c r="B6506" s="1">
        <v>45789</v>
      </c>
      <c r="C6506">
        <v>2025</v>
      </c>
      <c r="D6506">
        <v>5</v>
      </c>
      <c r="E6506" t="s">
        <v>47</v>
      </c>
      <c r="F6506" t="s">
        <v>24</v>
      </c>
      <c r="G6506" t="s">
        <v>48</v>
      </c>
      <c r="H6506" t="s">
        <v>111</v>
      </c>
      <c r="I6506">
        <v>6959.43</v>
      </c>
      <c r="J6506">
        <v>5716.83</v>
      </c>
      <c r="K6506" t="s">
        <v>17</v>
      </c>
      <c r="L6506" t="b">
        <v>0</v>
      </c>
      <c r="N6506" s="2" t="b">
        <f t="shared" si="582"/>
        <v>1</v>
      </c>
      <c r="O6506" t="str">
        <f>IF(AND(E6495="HR",K6495="EXPENSE"),I6495&lt;J6495,"")</f>
        <v/>
      </c>
      <c r="Q6506" t="str">
        <f t="shared" si="580"/>
        <v/>
      </c>
    </row>
    <row r="6507" spans="1:17" hidden="1">
      <c r="A6507" t="s">
        <v>6612</v>
      </c>
      <c r="B6507" s="1">
        <v>45789</v>
      </c>
      <c r="C6507">
        <v>2025</v>
      </c>
      <c r="D6507">
        <v>5</v>
      </c>
      <c r="E6507" t="s">
        <v>19</v>
      </c>
      <c r="F6507" t="s">
        <v>28</v>
      </c>
      <c r="G6507" t="s">
        <v>80</v>
      </c>
      <c r="H6507" t="s">
        <v>113</v>
      </c>
      <c r="I6507">
        <v>4605.1899999999996</v>
      </c>
      <c r="J6507">
        <v>4911.42</v>
      </c>
      <c r="K6507" t="s">
        <v>17</v>
      </c>
      <c r="L6507" t="b">
        <v>0</v>
      </c>
      <c r="N6507" s="2" t="str">
        <f t="shared" si="582"/>
        <v/>
      </c>
      <c r="Q6507" t="str">
        <f t="shared" si="580"/>
        <v/>
      </c>
    </row>
    <row r="6508" spans="1:17" hidden="1">
      <c r="A6508" t="s">
        <v>6613</v>
      </c>
      <c r="B6508" s="1">
        <v>45789</v>
      </c>
      <c r="C6508">
        <v>2025</v>
      </c>
      <c r="D6508">
        <v>5</v>
      </c>
      <c r="E6508" t="s">
        <v>23</v>
      </c>
      <c r="F6508" t="s">
        <v>28</v>
      </c>
      <c r="G6508" t="s">
        <v>141</v>
      </c>
      <c r="H6508" t="s">
        <v>209</v>
      </c>
      <c r="I6508">
        <v>4699.58</v>
      </c>
      <c r="J6508">
        <v>4616.54</v>
      </c>
      <c r="K6508" t="s">
        <v>17</v>
      </c>
      <c r="L6508" t="b">
        <v>0</v>
      </c>
      <c r="N6508" s="2" t="str">
        <f t="shared" si="582"/>
        <v/>
      </c>
      <c r="Q6508" t="str">
        <f t="shared" si="580"/>
        <v/>
      </c>
    </row>
    <row r="6509" spans="1:17" hidden="1">
      <c r="A6509" t="s">
        <v>6614</v>
      </c>
      <c r="B6509" s="1">
        <v>45789</v>
      </c>
      <c r="C6509">
        <v>2025</v>
      </c>
      <c r="D6509">
        <v>5</v>
      </c>
      <c r="E6509" t="s">
        <v>23</v>
      </c>
      <c r="F6509" t="s">
        <v>24</v>
      </c>
      <c r="G6509" t="s">
        <v>30</v>
      </c>
      <c r="H6509" t="s">
        <v>31</v>
      </c>
      <c r="I6509">
        <v>4717.62</v>
      </c>
      <c r="J6509">
        <v>4496.2</v>
      </c>
      <c r="K6509" t="s">
        <v>17</v>
      </c>
      <c r="L6509" t="b">
        <v>0</v>
      </c>
      <c r="N6509" s="2" t="str">
        <f t="shared" si="582"/>
        <v/>
      </c>
      <c r="Q6509" t="str">
        <f t="shared" si="580"/>
        <v/>
      </c>
    </row>
    <row r="6510" spans="1:17" hidden="1">
      <c r="A6510" t="s">
        <v>6615</v>
      </c>
      <c r="B6510" s="1">
        <v>45789</v>
      </c>
      <c r="C6510">
        <v>2025</v>
      </c>
      <c r="D6510">
        <v>5</v>
      </c>
      <c r="E6510" t="s">
        <v>37</v>
      </c>
      <c r="F6510" t="s">
        <v>28</v>
      </c>
      <c r="G6510" t="s">
        <v>98</v>
      </c>
      <c r="H6510" t="s">
        <v>99</v>
      </c>
      <c r="I6510">
        <v>2590.96</v>
      </c>
      <c r="J6510">
        <v>2551.6999999999998</v>
      </c>
      <c r="K6510" t="s">
        <v>17</v>
      </c>
      <c r="L6510" t="b">
        <v>0</v>
      </c>
      <c r="N6510" s="2" t="str">
        <f t="shared" si="582"/>
        <v/>
      </c>
      <c r="Q6510" t="str">
        <f t="shared" si="580"/>
        <v/>
      </c>
    </row>
    <row r="6511" spans="1:17" hidden="1">
      <c r="A6511" t="s">
        <v>6616</v>
      </c>
      <c r="B6511" s="1">
        <v>45789</v>
      </c>
      <c r="C6511">
        <v>2025</v>
      </c>
      <c r="D6511">
        <v>5</v>
      </c>
      <c r="E6511" t="s">
        <v>37</v>
      </c>
      <c r="F6511" t="s">
        <v>28</v>
      </c>
      <c r="G6511" t="s">
        <v>98</v>
      </c>
      <c r="H6511" t="s">
        <v>185</v>
      </c>
      <c r="I6511">
        <v>6050.72</v>
      </c>
      <c r="J6511">
        <v>6078.79</v>
      </c>
      <c r="K6511" t="s">
        <v>17</v>
      </c>
      <c r="L6511" t="b">
        <v>0</v>
      </c>
      <c r="N6511" s="2" t="str">
        <f t="shared" si="582"/>
        <v/>
      </c>
      <c r="Q6511" t="str">
        <f t="shared" si="580"/>
        <v/>
      </c>
    </row>
    <row r="6512" spans="1:17" hidden="1">
      <c r="A6512" t="s">
        <v>6617</v>
      </c>
      <c r="B6512" s="1">
        <v>45790</v>
      </c>
      <c r="C6512">
        <v>2025</v>
      </c>
      <c r="D6512">
        <v>5</v>
      </c>
      <c r="E6512" t="s">
        <v>13</v>
      </c>
      <c r="F6512" t="s">
        <v>28</v>
      </c>
      <c r="G6512" t="s">
        <v>15</v>
      </c>
      <c r="H6512" t="s">
        <v>89</v>
      </c>
      <c r="I6512">
        <v>3455.77</v>
      </c>
      <c r="J6512">
        <v>3436.14</v>
      </c>
      <c r="K6512" t="s">
        <v>17</v>
      </c>
      <c r="L6512" t="b">
        <v>0</v>
      </c>
      <c r="N6512" s="2" t="str">
        <f t="shared" si="582"/>
        <v/>
      </c>
      <c r="Q6512" t="str">
        <f t="shared" ref="Q6512:Q6575" si="586">IF(L6512=TRUE,OR(H6512="Apex Solutions Inc",H6512="Global Trade Partners",H6512="NovaTech Services"),"")</f>
        <v/>
      </c>
    </row>
    <row r="6513" spans="1:17" hidden="1">
      <c r="A6513" t="s">
        <v>6618</v>
      </c>
      <c r="B6513" s="1">
        <v>45790</v>
      </c>
      <c r="C6513">
        <v>2025</v>
      </c>
      <c r="D6513">
        <v>5</v>
      </c>
      <c r="E6513" t="s">
        <v>47</v>
      </c>
      <c r="F6513" t="s">
        <v>28</v>
      </c>
      <c r="G6513" t="s">
        <v>51</v>
      </c>
      <c r="H6513" t="s">
        <v>52</v>
      </c>
      <c r="I6513">
        <v>22213.51</v>
      </c>
      <c r="J6513">
        <v>18947.7</v>
      </c>
      <c r="K6513" t="s">
        <v>17</v>
      </c>
      <c r="L6513" t="b">
        <v>0</v>
      </c>
      <c r="N6513" s="2" t="b">
        <f t="shared" si="582"/>
        <v>1</v>
      </c>
      <c r="O6513" t="str">
        <f>IF(AND(E6502="HR",K6502="EXPENSE"),I6502&lt;J6502,"")</f>
        <v/>
      </c>
      <c r="Q6513" t="str">
        <f t="shared" si="586"/>
        <v/>
      </c>
    </row>
    <row r="6514" spans="1:17" hidden="1">
      <c r="A6514" t="s">
        <v>6619</v>
      </c>
      <c r="B6514" s="1">
        <v>45790</v>
      </c>
      <c r="C6514">
        <v>2025</v>
      </c>
      <c r="D6514">
        <v>5</v>
      </c>
      <c r="E6514" t="s">
        <v>19</v>
      </c>
      <c r="F6514" t="s">
        <v>14</v>
      </c>
      <c r="G6514" t="s">
        <v>132</v>
      </c>
      <c r="H6514" t="s">
        <v>171</v>
      </c>
      <c r="I6514">
        <v>4964.1099999999997</v>
      </c>
      <c r="J6514">
        <v>5007.53</v>
      </c>
      <c r="K6514" t="s">
        <v>17</v>
      </c>
      <c r="L6514" t="b">
        <v>0</v>
      </c>
      <c r="N6514" s="2" t="str">
        <f t="shared" si="582"/>
        <v/>
      </c>
      <c r="Q6514" t="str">
        <f t="shared" si="586"/>
        <v/>
      </c>
    </row>
    <row r="6515" spans="1:17" hidden="1">
      <c r="A6515" t="s">
        <v>6620</v>
      </c>
      <c r="B6515" s="1">
        <v>45790</v>
      </c>
      <c r="C6515">
        <v>2025</v>
      </c>
      <c r="D6515">
        <v>5</v>
      </c>
      <c r="E6515" t="s">
        <v>19</v>
      </c>
      <c r="F6515" t="s">
        <v>14</v>
      </c>
      <c r="G6515" t="s">
        <v>20</v>
      </c>
      <c r="H6515" t="s">
        <v>21</v>
      </c>
      <c r="I6515">
        <v>4785.92</v>
      </c>
      <c r="J6515">
        <v>4520.76</v>
      </c>
      <c r="K6515" t="s">
        <v>17</v>
      </c>
      <c r="L6515" t="b">
        <v>0</v>
      </c>
      <c r="N6515" s="2" t="str">
        <f t="shared" si="582"/>
        <v/>
      </c>
      <c r="Q6515" t="str">
        <f t="shared" si="586"/>
        <v/>
      </c>
    </row>
    <row r="6516" spans="1:17" hidden="1">
      <c r="A6516" t="s">
        <v>6621</v>
      </c>
      <c r="B6516" s="1">
        <v>45790</v>
      </c>
      <c r="C6516">
        <v>2025</v>
      </c>
      <c r="D6516">
        <v>5</v>
      </c>
      <c r="E6516" t="s">
        <v>19</v>
      </c>
      <c r="F6516" t="s">
        <v>24</v>
      </c>
      <c r="G6516" t="s">
        <v>20</v>
      </c>
      <c r="H6516" t="s">
        <v>21</v>
      </c>
      <c r="I6516">
        <v>5500.91</v>
      </c>
      <c r="J6516">
        <v>5064.3599999999997</v>
      </c>
      <c r="K6516" t="s">
        <v>17</v>
      </c>
      <c r="L6516" t="b">
        <v>0</v>
      </c>
      <c r="N6516" s="2" t="str">
        <f t="shared" si="582"/>
        <v/>
      </c>
      <c r="Q6516" t="str">
        <f t="shared" si="586"/>
        <v/>
      </c>
    </row>
    <row r="6517" spans="1:17" hidden="1">
      <c r="A6517" t="s">
        <v>6622</v>
      </c>
      <c r="B6517" s="1">
        <v>45790</v>
      </c>
      <c r="C6517">
        <v>2025</v>
      </c>
      <c r="D6517">
        <v>5</v>
      </c>
      <c r="E6517" t="s">
        <v>23</v>
      </c>
      <c r="F6517" t="s">
        <v>14</v>
      </c>
      <c r="G6517" t="s">
        <v>30</v>
      </c>
      <c r="H6517" t="s">
        <v>31</v>
      </c>
      <c r="I6517">
        <v>5918.4</v>
      </c>
      <c r="J6517">
        <v>5864.04</v>
      </c>
      <c r="K6517" t="s">
        <v>17</v>
      </c>
      <c r="L6517" t="b">
        <v>0</v>
      </c>
      <c r="N6517" s="2" t="str">
        <f t="shared" si="582"/>
        <v/>
      </c>
      <c r="Q6517" t="str">
        <f t="shared" si="586"/>
        <v/>
      </c>
    </row>
    <row r="6518" spans="1:17" hidden="1">
      <c r="A6518" t="s">
        <v>6623</v>
      </c>
      <c r="B6518" s="1">
        <v>45790</v>
      </c>
      <c r="C6518">
        <v>2025</v>
      </c>
      <c r="D6518">
        <v>5</v>
      </c>
      <c r="E6518" t="s">
        <v>23</v>
      </c>
      <c r="F6518" t="s">
        <v>14</v>
      </c>
      <c r="G6518" t="s">
        <v>30</v>
      </c>
      <c r="H6518" t="s">
        <v>31</v>
      </c>
      <c r="I6518">
        <v>1629.82</v>
      </c>
      <c r="J6518">
        <v>1663.96</v>
      </c>
      <c r="K6518" t="s">
        <v>17</v>
      </c>
      <c r="L6518" t="b">
        <v>0</v>
      </c>
      <c r="N6518" s="2" t="str">
        <f t="shared" si="582"/>
        <v/>
      </c>
      <c r="Q6518" t="str">
        <f t="shared" si="586"/>
        <v/>
      </c>
    </row>
    <row r="6519" spans="1:17" hidden="1">
      <c r="A6519" t="s">
        <v>6624</v>
      </c>
      <c r="B6519" s="1">
        <v>45790</v>
      </c>
      <c r="C6519">
        <v>2025</v>
      </c>
      <c r="D6519">
        <v>5</v>
      </c>
      <c r="E6519" t="s">
        <v>23</v>
      </c>
      <c r="F6519" t="s">
        <v>14</v>
      </c>
      <c r="G6519" t="s">
        <v>59</v>
      </c>
      <c r="H6519" t="s">
        <v>155</v>
      </c>
      <c r="I6519">
        <v>5406.59</v>
      </c>
      <c r="J6519">
        <v>5472.78</v>
      </c>
      <c r="K6519" t="s">
        <v>17</v>
      </c>
      <c r="L6519" t="b">
        <v>0</v>
      </c>
      <c r="N6519" s="2" t="str">
        <f t="shared" si="582"/>
        <v/>
      </c>
      <c r="Q6519" t="str">
        <f t="shared" si="586"/>
        <v/>
      </c>
    </row>
    <row r="6520" spans="1:17" hidden="1">
      <c r="A6520" t="s">
        <v>6625</v>
      </c>
      <c r="B6520" s="1">
        <v>45790</v>
      </c>
      <c r="C6520">
        <v>2025</v>
      </c>
      <c r="D6520">
        <v>5</v>
      </c>
      <c r="E6520" t="s">
        <v>23</v>
      </c>
      <c r="F6520" t="s">
        <v>28</v>
      </c>
      <c r="G6520" t="s">
        <v>59</v>
      </c>
      <c r="H6520" t="s">
        <v>60</v>
      </c>
      <c r="I6520">
        <v>5222.26</v>
      </c>
      <c r="J6520">
        <v>5623.24</v>
      </c>
      <c r="K6520" t="s">
        <v>17</v>
      </c>
      <c r="L6520" t="b">
        <v>0</v>
      </c>
      <c r="N6520" s="2" t="str">
        <f t="shared" si="582"/>
        <v/>
      </c>
      <c r="Q6520" t="str">
        <f t="shared" si="586"/>
        <v/>
      </c>
    </row>
    <row r="6521" spans="1:17" hidden="1">
      <c r="A6521" t="s">
        <v>6626</v>
      </c>
      <c r="B6521" s="1">
        <v>45790</v>
      </c>
      <c r="C6521">
        <v>2025</v>
      </c>
      <c r="D6521">
        <v>5</v>
      </c>
      <c r="E6521" t="s">
        <v>23</v>
      </c>
      <c r="F6521" t="s">
        <v>28</v>
      </c>
      <c r="G6521" t="s">
        <v>141</v>
      </c>
      <c r="H6521" t="s">
        <v>153</v>
      </c>
      <c r="I6521">
        <v>4946.6499999999996</v>
      </c>
      <c r="J6521">
        <v>5236.12</v>
      </c>
      <c r="K6521" t="s">
        <v>17</v>
      </c>
      <c r="L6521" t="b">
        <v>0</v>
      </c>
      <c r="N6521" s="2" t="str">
        <f t="shared" si="582"/>
        <v/>
      </c>
      <c r="Q6521" t="str">
        <f t="shared" si="586"/>
        <v/>
      </c>
    </row>
    <row r="6522" spans="1:17" hidden="1">
      <c r="A6522" t="s">
        <v>6627</v>
      </c>
      <c r="B6522" s="1">
        <v>45790</v>
      </c>
      <c r="C6522">
        <v>2025</v>
      </c>
      <c r="D6522">
        <v>5</v>
      </c>
      <c r="E6522" t="s">
        <v>23</v>
      </c>
      <c r="F6522" t="s">
        <v>28</v>
      </c>
      <c r="G6522" t="s">
        <v>30</v>
      </c>
      <c r="H6522" t="s">
        <v>106</v>
      </c>
      <c r="I6522">
        <v>6092.26</v>
      </c>
      <c r="J6522">
        <v>6148.49</v>
      </c>
      <c r="K6522" t="s">
        <v>17</v>
      </c>
      <c r="L6522" t="b">
        <v>0</v>
      </c>
      <c r="N6522" s="2" t="str">
        <f t="shared" si="582"/>
        <v/>
      </c>
      <c r="Q6522" t="str">
        <f t="shared" si="586"/>
        <v/>
      </c>
    </row>
    <row r="6523" spans="1:17" hidden="1">
      <c r="A6523" t="s">
        <v>6628</v>
      </c>
      <c r="B6523" s="1">
        <v>45790</v>
      </c>
      <c r="C6523">
        <v>2025</v>
      </c>
      <c r="D6523">
        <v>5</v>
      </c>
      <c r="E6523" t="s">
        <v>23</v>
      </c>
      <c r="F6523" t="s">
        <v>28</v>
      </c>
      <c r="G6523" t="s">
        <v>25</v>
      </c>
      <c r="H6523" t="s">
        <v>26</v>
      </c>
      <c r="I6523">
        <v>5163.1000000000004</v>
      </c>
      <c r="J6523">
        <v>5218.33</v>
      </c>
      <c r="K6523" t="s">
        <v>17</v>
      </c>
      <c r="L6523" t="b">
        <v>0</v>
      </c>
      <c r="N6523" s="2" t="str">
        <f t="shared" si="582"/>
        <v/>
      </c>
      <c r="Q6523" t="str">
        <f t="shared" si="586"/>
        <v/>
      </c>
    </row>
    <row r="6524" spans="1:17" hidden="1">
      <c r="A6524" t="s">
        <v>6629</v>
      </c>
      <c r="B6524" s="1">
        <v>45790</v>
      </c>
      <c r="C6524">
        <v>2025</v>
      </c>
      <c r="D6524">
        <v>5</v>
      </c>
      <c r="E6524" t="s">
        <v>37</v>
      </c>
      <c r="F6524" t="s">
        <v>28</v>
      </c>
      <c r="G6524" t="s">
        <v>98</v>
      </c>
      <c r="H6524" t="s">
        <v>185</v>
      </c>
      <c r="I6524">
        <v>4219.42</v>
      </c>
      <c r="J6524">
        <v>4101.62</v>
      </c>
      <c r="K6524" t="s">
        <v>17</v>
      </c>
      <c r="L6524" t="b">
        <v>0</v>
      </c>
      <c r="N6524" s="2" t="str">
        <f t="shared" si="582"/>
        <v/>
      </c>
      <c r="Q6524" t="str">
        <f t="shared" si="586"/>
        <v/>
      </c>
    </row>
    <row r="6525" spans="1:17" hidden="1">
      <c r="A6525" t="s">
        <v>6630</v>
      </c>
      <c r="B6525" s="1">
        <v>45790</v>
      </c>
      <c r="C6525">
        <v>2025</v>
      </c>
      <c r="D6525">
        <v>5</v>
      </c>
      <c r="E6525" t="s">
        <v>37</v>
      </c>
      <c r="F6525" t="s">
        <v>24</v>
      </c>
      <c r="G6525" t="s">
        <v>41</v>
      </c>
      <c r="H6525" t="s">
        <v>42</v>
      </c>
      <c r="I6525">
        <v>5402.12</v>
      </c>
      <c r="J6525">
        <v>5453.02</v>
      </c>
      <c r="K6525" t="s">
        <v>17</v>
      </c>
      <c r="L6525" t="b">
        <v>0</v>
      </c>
      <c r="N6525" s="2" t="str">
        <f t="shared" si="582"/>
        <v/>
      </c>
      <c r="Q6525" t="str">
        <f t="shared" si="586"/>
        <v/>
      </c>
    </row>
    <row r="6526" spans="1:17" hidden="1">
      <c r="A6526" t="s">
        <v>6631</v>
      </c>
      <c r="B6526" s="1">
        <v>45790</v>
      </c>
      <c r="C6526">
        <v>2025</v>
      </c>
      <c r="D6526">
        <v>5</v>
      </c>
      <c r="E6526" t="s">
        <v>37</v>
      </c>
      <c r="F6526" t="s">
        <v>24</v>
      </c>
      <c r="G6526" t="s">
        <v>38</v>
      </c>
      <c r="H6526" t="s">
        <v>39</v>
      </c>
      <c r="I6526">
        <v>6499.69</v>
      </c>
      <c r="J6526">
        <v>6507.39</v>
      </c>
      <c r="K6526" t="s">
        <v>17</v>
      </c>
      <c r="L6526" t="b">
        <v>0</v>
      </c>
      <c r="N6526" s="2" t="str">
        <f t="shared" si="582"/>
        <v/>
      </c>
      <c r="Q6526" t="str">
        <f t="shared" si="586"/>
        <v/>
      </c>
    </row>
    <row r="6527" spans="1:17" hidden="1">
      <c r="A6527" t="s">
        <v>6632</v>
      </c>
      <c r="B6527" s="1">
        <v>45791</v>
      </c>
      <c r="C6527">
        <v>2025</v>
      </c>
      <c r="D6527">
        <v>5</v>
      </c>
      <c r="E6527" t="s">
        <v>13</v>
      </c>
      <c r="F6527" t="s">
        <v>24</v>
      </c>
      <c r="G6527" t="s">
        <v>68</v>
      </c>
      <c r="H6527" t="s">
        <v>69</v>
      </c>
      <c r="I6527">
        <v>3987.24</v>
      </c>
      <c r="J6527">
        <v>4141.7299999999996</v>
      </c>
      <c r="K6527" t="s">
        <v>17</v>
      </c>
      <c r="L6527" t="b">
        <v>0</v>
      </c>
      <c r="N6527" s="2" t="str">
        <f t="shared" si="582"/>
        <v/>
      </c>
      <c r="Q6527" t="str">
        <f t="shared" si="586"/>
        <v/>
      </c>
    </row>
    <row r="6528" spans="1:17" hidden="1">
      <c r="A6528" t="s">
        <v>6633</v>
      </c>
      <c r="B6528" s="1">
        <v>45791</v>
      </c>
      <c r="C6528">
        <v>2025</v>
      </c>
      <c r="D6528">
        <v>5</v>
      </c>
      <c r="E6528" t="s">
        <v>47</v>
      </c>
      <c r="F6528" t="s">
        <v>14</v>
      </c>
      <c r="G6528" t="s">
        <v>77</v>
      </c>
      <c r="H6528" t="s">
        <v>130</v>
      </c>
      <c r="I6528">
        <v>12414.61</v>
      </c>
      <c r="J6528">
        <v>10352.030000000001</v>
      </c>
      <c r="K6528" t="s">
        <v>17</v>
      </c>
      <c r="L6528" t="b">
        <v>0</v>
      </c>
      <c r="N6528" s="2" t="b">
        <f t="shared" si="582"/>
        <v>1</v>
      </c>
      <c r="O6528" t="str">
        <f>IF(AND(E6517="HR",K6517="EXPENSE"),I6517&lt;J6517,"")</f>
        <v/>
      </c>
      <c r="Q6528" t="str">
        <f t="shared" si="586"/>
        <v/>
      </c>
    </row>
    <row r="6529" spans="1:17" hidden="1">
      <c r="A6529" t="s">
        <v>6634</v>
      </c>
      <c r="B6529" s="1">
        <v>45791</v>
      </c>
      <c r="C6529">
        <v>2025</v>
      </c>
      <c r="D6529">
        <v>5</v>
      </c>
      <c r="E6529" t="s">
        <v>37</v>
      </c>
      <c r="F6529" t="s">
        <v>24</v>
      </c>
      <c r="G6529" t="s">
        <v>62</v>
      </c>
      <c r="H6529" t="s">
        <v>66</v>
      </c>
      <c r="I6529">
        <v>5228</v>
      </c>
      <c r="J6529">
        <v>4706.3999999999996</v>
      </c>
      <c r="K6529" t="s">
        <v>17</v>
      </c>
      <c r="L6529" t="b">
        <v>0</v>
      </c>
      <c r="N6529" s="2" t="str">
        <f t="shared" si="582"/>
        <v/>
      </c>
      <c r="Q6529" t="str">
        <f t="shared" si="586"/>
        <v/>
      </c>
    </row>
    <row r="6530" spans="1:17" hidden="1">
      <c r="A6530" t="s">
        <v>6635</v>
      </c>
      <c r="B6530" s="1">
        <v>45792</v>
      </c>
      <c r="C6530">
        <v>2025</v>
      </c>
      <c r="D6530">
        <v>5</v>
      </c>
      <c r="E6530" t="s">
        <v>13</v>
      </c>
      <c r="F6530" t="s">
        <v>28</v>
      </c>
      <c r="G6530" t="s">
        <v>68</v>
      </c>
      <c r="H6530" t="s">
        <v>87</v>
      </c>
      <c r="I6530">
        <v>3110.73</v>
      </c>
      <c r="J6530">
        <v>3371.97</v>
      </c>
      <c r="K6530" t="s">
        <v>17</v>
      </c>
      <c r="L6530" t="b">
        <v>0</v>
      </c>
      <c r="N6530" s="2" t="str">
        <f t="shared" si="582"/>
        <v/>
      </c>
      <c r="Q6530" t="str">
        <f t="shared" si="586"/>
        <v/>
      </c>
    </row>
    <row r="6531" spans="1:17" hidden="1">
      <c r="A6531" t="s">
        <v>6636</v>
      </c>
      <c r="B6531" s="1">
        <v>45792</v>
      </c>
      <c r="C6531">
        <v>2025</v>
      </c>
      <c r="D6531">
        <v>5</v>
      </c>
      <c r="E6531" t="s">
        <v>13</v>
      </c>
      <c r="F6531" t="s">
        <v>24</v>
      </c>
      <c r="G6531" t="s">
        <v>68</v>
      </c>
      <c r="H6531" t="s">
        <v>213</v>
      </c>
      <c r="I6531">
        <v>4271.53</v>
      </c>
      <c r="J6531">
        <v>3863.05</v>
      </c>
      <c r="K6531" t="s">
        <v>17</v>
      </c>
      <c r="L6531" t="b">
        <v>0</v>
      </c>
      <c r="N6531" s="2" t="str">
        <f t="shared" ref="N6531:N6594" si="587">IF(AND(E6531="IT",K6531="EXPENSE"),I6531&gt;J6531,"")</f>
        <v/>
      </c>
      <c r="Q6531" t="str">
        <f t="shared" si="586"/>
        <v/>
      </c>
    </row>
    <row r="6532" spans="1:17" hidden="1">
      <c r="A6532" t="s">
        <v>6637</v>
      </c>
      <c r="B6532" s="1">
        <v>45792</v>
      </c>
      <c r="C6532">
        <v>2025</v>
      </c>
      <c r="D6532">
        <v>5</v>
      </c>
      <c r="E6532" t="s">
        <v>47</v>
      </c>
      <c r="F6532" t="s">
        <v>24</v>
      </c>
      <c r="G6532" t="s">
        <v>48</v>
      </c>
      <c r="H6532" t="s">
        <v>191</v>
      </c>
      <c r="I6532">
        <v>12886.73</v>
      </c>
      <c r="J6532">
        <v>10688.96</v>
      </c>
      <c r="K6532" t="s">
        <v>17</v>
      </c>
      <c r="L6532" t="b">
        <v>0</v>
      </c>
      <c r="N6532" s="2" t="b">
        <f t="shared" si="587"/>
        <v>1</v>
      </c>
      <c r="O6532" t="str">
        <f>IF(AND(E6521="HR",K6521="EXPENSE"),I6521&lt;J6521,"")</f>
        <v/>
      </c>
      <c r="Q6532" t="str">
        <f t="shared" si="586"/>
        <v/>
      </c>
    </row>
    <row r="6533" spans="1:17" hidden="1">
      <c r="A6533" t="s">
        <v>6638</v>
      </c>
      <c r="B6533" s="1">
        <v>45792</v>
      </c>
      <c r="C6533">
        <v>2025</v>
      </c>
      <c r="D6533">
        <v>5</v>
      </c>
      <c r="E6533" t="s">
        <v>37</v>
      </c>
      <c r="F6533" t="s">
        <v>14</v>
      </c>
      <c r="G6533" t="s">
        <v>41</v>
      </c>
      <c r="H6533" t="s">
        <v>42</v>
      </c>
      <c r="I6533">
        <v>5449.56</v>
      </c>
      <c r="J6533">
        <v>5245.22</v>
      </c>
      <c r="K6533" t="s">
        <v>17</v>
      </c>
      <c r="L6533" t="b">
        <v>0</v>
      </c>
      <c r="N6533" s="2" t="str">
        <f t="shared" si="587"/>
        <v/>
      </c>
      <c r="Q6533" t="str">
        <f t="shared" si="586"/>
        <v/>
      </c>
    </row>
    <row r="6534" spans="1:17" hidden="1">
      <c r="A6534" t="s">
        <v>6639</v>
      </c>
      <c r="B6534" s="1">
        <v>45792</v>
      </c>
      <c r="C6534">
        <v>2025</v>
      </c>
      <c r="D6534">
        <v>5</v>
      </c>
      <c r="E6534" t="s">
        <v>37</v>
      </c>
      <c r="F6534" t="s">
        <v>28</v>
      </c>
      <c r="G6534" t="s">
        <v>41</v>
      </c>
      <c r="H6534" t="s">
        <v>42</v>
      </c>
      <c r="I6534">
        <v>4658.51</v>
      </c>
      <c r="J6534">
        <v>4530.37</v>
      </c>
      <c r="K6534" t="s">
        <v>17</v>
      </c>
      <c r="L6534" t="b">
        <v>0</v>
      </c>
      <c r="N6534" s="2" t="str">
        <f t="shared" si="587"/>
        <v/>
      </c>
      <c r="Q6534" t="str">
        <f t="shared" si="586"/>
        <v/>
      </c>
    </row>
    <row r="6535" spans="1:17" hidden="1">
      <c r="A6535" t="s">
        <v>6640</v>
      </c>
      <c r="B6535" s="1">
        <v>45792</v>
      </c>
      <c r="C6535">
        <v>2025</v>
      </c>
      <c r="D6535">
        <v>5</v>
      </c>
      <c r="E6535" t="s">
        <v>37</v>
      </c>
      <c r="F6535" t="s">
        <v>24</v>
      </c>
      <c r="G6535" t="s">
        <v>38</v>
      </c>
      <c r="H6535" t="s">
        <v>39</v>
      </c>
      <c r="I6535">
        <v>3142.86</v>
      </c>
      <c r="J6535">
        <v>3280.33</v>
      </c>
      <c r="K6535" t="s">
        <v>17</v>
      </c>
      <c r="L6535" t="b">
        <v>0</v>
      </c>
      <c r="N6535" s="2" t="str">
        <f t="shared" si="587"/>
        <v/>
      </c>
      <c r="Q6535" t="str">
        <f t="shared" si="586"/>
        <v/>
      </c>
    </row>
    <row r="6536" spans="1:17" hidden="1">
      <c r="A6536" t="s">
        <v>6641</v>
      </c>
      <c r="B6536" s="1">
        <v>45793</v>
      </c>
      <c r="C6536">
        <v>2025</v>
      </c>
      <c r="D6536">
        <v>5</v>
      </c>
      <c r="E6536" t="s">
        <v>13</v>
      </c>
      <c r="F6536" t="s">
        <v>14</v>
      </c>
      <c r="G6536" t="s">
        <v>108</v>
      </c>
      <c r="H6536" t="s">
        <v>123</v>
      </c>
      <c r="I6536">
        <v>3663.91</v>
      </c>
      <c r="J6536">
        <v>3664.64</v>
      </c>
      <c r="K6536" t="s">
        <v>17</v>
      </c>
      <c r="L6536" t="b">
        <v>0</v>
      </c>
      <c r="N6536" s="2" t="str">
        <f t="shared" si="587"/>
        <v/>
      </c>
      <c r="Q6536" t="str">
        <f t="shared" si="586"/>
        <v/>
      </c>
    </row>
    <row r="6537" spans="1:17" hidden="1">
      <c r="A6537" t="s">
        <v>6642</v>
      </c>
      <c r="B6537" s="1">
        <v>45793</v>
      </c>
      <c r="C6537">
        <v>2025</v>
      </c>
      <c r="D6537">
        <v>5</v>
      </c>
      <c r="E6537" t="s">
        <v>47</v>
      </c>
      <c r="F6537" t="s">
        <v>14</v>
      </c>
      <c r="G6537" t="s">
        <v>91</v>
      </c>
      <c r="H6537" t="s">
        <v>128</v>
      </c>
      <c r="I6537">
        <v>14196.47</v>
      </c>
      <c r="J6537">
        <v>11954.68</v>
      </c>
      <c r="K6537" t="s">
        <v>17</v>
      </c>
      <c r="L6537" t="b">
        <v>0</v>
      </c>
      <c r="N6537" s="2" t="b">
        <f t="shared" si="587"/>
        <v>1</v>
      </c>
      <c r="O6537" t="str">
        <f t="shared" ref="O6537:O6538" si="588">IF(AND(E6526="HR",K6526="EXPENSE"),I6526&lt;J6526,"")</f>
        <v/>
      </c>
      <c r="Q6537" t="str">
        <f t="shared" si="586"/>
        <v/>
      </c>
    </row>
    <row r="6538" spans="1:17" hidden="1">
      <c r="A6538" t="s">
        <v>6643</v>
      </c>
      <c r="B6538" s="1">
        <v>45793</v>
      </c>
      <c r="C6538">
        <v>2025</v>
      </c>
      <c r="D6538">
        <v>5</v>
      </c>
      <c r="E6538" t="s">
        <v>47</v>
      </c>
      <c r="F6538" t="s">
        <v>24</v>
      </c>
      <c r="G6538" t="s">
        <v>91</v>
      </c>
      <c r="H6538" t="s">
        <v>128</v>
      </c>
      <c r="I6538">
        <v>14568.65</v>
      </c>
      <c r="J6538">
        <v>12243.41</v>
      </c>
      <c r="K6538" t="s">
        <v>17</v>
      </c>
      <c r="L6538" t="b">
        <v>0</v>
      </c>
      <c r="N6538" s="2" t="b">
        <f t="shared" si="587"/>
        <v>1</v>
      </c>
      <c r="O6538" t="b">
        <f t="shared" si="588"/>
        <v>1</v>
      </c>
      <c r="Q6538" t="str">
        <f t="shared" si="586"/>
        <v/>
      </c>
    </row>
    <row r="6539" spans="1:17" hidden="1">
      <c r="A6539" t="s">
        <v>6644</v>
      </c>
      <c r="B6539" s="1">
        <v>45793</v>
      </c>
      <c r="C6539">
        <v>2025</v>
      </c>
      <c r="D6539">
        <v>5</v>
      </c>
      <c r="E6539" t="s">
        <v>19</v>
      </c>
      <c r="F6539" t="s">
        <v>14</v>
      </c>
      <c r="G6539" t="s">
        <v>54</v>
      </c>
      <c r="H6539" t="s">
        <v>163</v>
      </c>
      <c r="I6539">
        <v>6102.58</v>
      </c>
      <c r="J6539">
        <v>6654.4</v>
      </c>
      <c r="K6539" t="s">
        <v>17</v>
      </c>
      <c r="L6539" t="b">
        <v>0</v>
      </c>
      <c r="N6539" s="2" t="str">
        <f t="shared" si="587"/>
        <v/>
      </c>
      <c r="Q6539" t="str">
        <f t="shared" si="586"/>
        <v/>
      </c>
    </row>
    <row r="6540" spans="1:17" hidden="1">
      <c r="A6540" t="s">
        <v>6645</v>
      </c>
      <c r="B6540" s="1">
        <v>45793</v>
      </c>
      <c r="C6540">
        <v>2025</v>
      </c>
      <c r="D6540">
        <v>5</v>
      </c>
      <c r="E6540" t="s">
        <v>23</v>
      </c>
      <c r="F6540" t="s">
        <v>14</v>
      </c>
      <c r="G6540" t="s">
        <v>30</v>
      </c>
      <c r="H6540" t="s">
        <v>106</v>
      </c>
      <c r="I6540">
        <v>7982.86</v>
      </c>
      <c r="J6540">
        <v>7460.39</v>
      </c>
      <c r="K6540" t="s">
        <v>17</v>
      </c>
      <c r="L6540" t="b">
        <v>0</v>
      </c>
      <c r="N6540" s="2" t="str">
        <f t="shared" si="587"/>
        <v/>
      </c>
      <c r="Q6540" t="str">
        <f t="shared" si="586"/>
        <v/>
      </c>
    </row>
    <row r="6541" spans="1:17" hidden="1">
      <c r="A6541" t="s">
        <v>6646</v>
      </c>
      <c r="B6541" s="1">
        <v>45793</v>
      </c>
      <c r="C6541">
        <v>2025</v>
      </c>
      <c r="D6541">
        <v>5</v>
      </c>
      <c r="E6541" t="s">
        <v>23</v>
      </c>
      <c r="F6541" t="s">
        <v>24</v>
      </c>
      <c r="G6541" t="s">
        <v>25</v>
      </c>
      <c r="H6541" t="s">
        <v>35</v>
      </c>
      <c r="I6541">
        <v>7828.09</v>
      </c>
      <c r="J6541">
        <v>8066.57</v>
      </c>
      <c r="K6541" t="s">
        <v>17</v>
      </c>
      <c r="L6541" t="b">
        <v>0</v>
      </c>
      <c r="N6541" s="2" t="str">
        <f t="shared" si="587"/>
        <v/>
      </c>
      <c r="Q6541" t="str">
        <f t="shared" si="586"/>
        <v/>
      </c>
    </row>
    <row r="6542" spans="1:17" hidden="1">
      <c r="A6542" t="s">
        <v>6647</v>
      </c>
      <c r="B6542" s="1">
        <v>45793</v>
      </c>
      <c r="C6542">
        <v>2025</v>
      </c>
      <c r="D6542">
        <v>5</v>
      </c>
      <c r="E6542" t="s">
        <v>37</v>
      </c>
      <c r="F6542" t="s">
        <v>28</v>
      </c>
      <c r="G6542" t="s">
        <v>83</v>
      </c>
      <c r="H6542" t="s">
        <v>84</v>
      </c>
      <c r="I6542">
        <v>164506.64000000001</v>
      </c>
      <c r="J6542">
        <v>156281.31</v>
      </c>
      <c r="K6542" t="s">
        <v>85</v>
      </c>
      <c r="L6542" t="b">
        <v>0</v>
      </c>
      <c r="N6542" s="2" t="str">
        <f t="shared" si="587"/>
        <v/>
      </c>
      <c r="Q6542" t="str">
        <f t="shared" si="586"/>
        <v/>
      </c>
    </row>
    <row r="6543" spans="1:17" hidden="1">
      <c r="A6543" t="s">
        <v>6648</v>
      </c>
      <c r="B6543" s="1">
        <v>45794</v>
      </c>
      <c r="C6543">
        <v>2025</v>
      </c>
      <c r="D6543">
        <v>5</v>
      </c>
      <c r="E6543" t="s">
        <v>13</v>
      </c>
      <c r="F6543" t="s">
        <v>14</v>
      </c>
      <c r="G6543" t="s">
        <v>15</v>
      </c>
      <c r="H6543" t="s">
        <v>16</v>
      </c>
      <c r="I6543">
        <v>3595.43</v>
      </c>
      <c r="J6543">
        <v>3886.76</v>
      </c>
      <c r="K6543" t="s">
        <v>17</v>
      </c>
      <c r="L6543" t="b">
        <v>0</v>
      </c>
      <c r="N6543" s="2" t="str">
        <f t="shared" si="587"/>
        <v/>
      </c>
      <c r="Q6543" t="str">
        <f t="shared" si="586"/>
        <v/>
      </c>
    </row>
    <row r="6544" spans="1:17" hidden="1">
      <c r="A6544" t="s">
        <v>6649</v>
      </c>
      <c r="B6544" s="1">
        <v>45794</v>
      </c>
      <c r="C6544">
        <v>2025</v>
      </c>
      <c r="D6544">
        <v>5</v>
      </c>
      <c r="E6544" t="s">
        <v>13</v>
      </c>
      <c r="F6544" t="s">
        <v>28</v>
      </c>
      <c r="G6544" t="s">
        <v>15</v>
      </c>
      <c r="H6544" t="s">
        <v>16</v>
      </c>
      <c r="I6544">
        <v>3231.61</v>
      </c>
      <c r="J6544">
        <v>3060.44</v>
      </c>
      <c r="K6544" t="s">
        <v>17</v>
      </c>
      <c r="L6544" t="b">
        <v>0</v>
      </c>
      <c r="N6544" s="2" t="str">
        <f t="shared" si="587"/>
        <v/>
      </c>
      <c r="Q6544" t="str">
        <f t="shared" si="586"/>
        <v/>
      </c>
    </row>
    <row r="6545" spans="1:17" hidden="1">
      <c r="A6545" t="s">
        <v>6650</v>
      </c>
      <c r="B6545" s="1">
        <v>45794</v>
      </c>
      <c r="C6545">
        <v>2025</v>
      </c>
      <c r="D6545">
        <v>5</v>
      </c>
      <c r="E6545" t="s">
        <v>19</v>
      </c>
      <c r="F6545" t="s">
        <v>24</v>
      </c>
      <c r="G6545" t="s">
        <v>54</v>
      </c>
      <c r="H6545" t="s">
        <v>57</v>
      </c>
      <c r="I6545">
        <v>5036</v>
      </c>
      <c r="J6545">
        <v>5158.9399999999996</v>
      </c>
      <c r="K6545" t="s">
        <v>17</v>
      </c>
      <c r="L6545" t="b">
        <v>0</v>
      </c>
      <c r="N6545" s="2" t="str">
        <f t="shared" si="587"/>
        <v/>
      </c>
      <c r="Q6545" t="str">
        <f t="shared" si="586"/>
        <v/>
      </c>
    </row>
    <row r="6546" spans="1:17" hidden="1">
      <c r="A6546" t="s">
        <v>6651</v>
      </c>
      <c r="B6546" s="1">
        <v>45794</v>
      </c>
      <c r="C6546">
        <v>2025</v>
      </c>
      <c r="D6546">
        <v>5</v>
      </c>
      <c r="E6546" t="s">
        <v>19</v>
      </c>
      <c r="F6546" t="s">
        <v>24</v>
      </c>
      <c r="G6546" t="s">
        <v>54</v>
      </c>
      <c r="H6546" t="s">
        <v>57</v>
      </c>
      <c r="I6546">
        <v>3606.68</v>
      </c>
      <c r="J6546">
        <v>3268.18</v>
      </c>
      <c r="K6546" t="s">
        <v>17</v>
      </c>
      <c r="L6546" t="b">
        <v>0</v>
      </c>
      <c r="N6546" s="2" t="str">
        <f t="shared" si="587"/>
        <v/>
      </c>
      <c r="Q6546" t="str">
        <f t="shared" si="586"/>
        <v/>
      </c>
    </row>
    <row r="6547" spans="1:17" hidden="1">
      <c r="A6547" t="s">
        <v>6652</v>
      </c>
      <c r="B6547" s="1">
        <v>45794</v>
      </c>
      <c r="C6547">
        <v>2025</v>
      </c>
      <c r="D6547">
        <v>5</v>
      </c>
      <c r="E6547" t="s">
        <v>37</v>
      </c>
      <c r="F6547" t="s">
        <v>24</v>
      </c>
      <c r="G6547" t="s">
        <v>41</v>
      </c>
      <c r="H6547" t="s">
        <v>42</v>
      </c>
      <c r="I6547">
        <v>5366.69</v>
      </c>
      <c r="J6547">
        <v>5417.55</v>
      </c>
      <c r="K6547" t="s">
        <v>17</v>
      </c>
      <c r="L6547" t="b">
        <v>0</v>
      </c>
      <c r="N6547" s="2" t="str">
        <f t="shared" si="587"/>
        <v/>
      </c>
      <c r="Q6547" t="str">
        <f t="shared" si="586"/>
        <v/>
      </c>
    </row>
    <row r="6548" spans="1:17" hidden="1">
      <c r="A6548" t="s">
        <v>6653</v>
      </c>
      <c r="B6548" s="1">
        <v>45794</v>
      </c>
      <c r="C6548">
        <v>2025</v>
      </c>
      <c r="D6548">
        <v>5</v>
      </c>
      <c r="E6548" t="s">
        <v>37</v>
      </c>
      <c r="F6548" t="s">
        <v>14</v>
      </c>
      <c r="G6548" t="s">
        <v>83</v>
      </c>
      <c r="H6548" t="s">
        <v>84</v>
      </c>
      <c r="I6548">
        <v>311950.15000000002</v>
      </c>
      <c r="J6548">
        <v>296352.65000000002</v>
      </c>
      <c r="K6548" t="s">
        <v>85</v>
      </c>
      <c r="L6548" t="b">
        <v>0</v>
      </c>
      <c r="N6548" s="2" t="str">
        <f t="shared" si="587"/>
        <v/>
      </c>
      <c r="Q6548" t="str">
        <f t="shared" si="586"/>
        <v/>
      </c>
    </row>
    <row r="6549" spans="1:17" hidden="1">
      <c r="A6549" t="s">
        <v>6654</v>
      </c>
      <c r="B6549" s="1">
        <v>45795</v>
      </c>
      <c r="C6549">
        <v>2025</v>
      </c>
      <c r="D6549">
        <v>5</v>
      </c>
      <c r="E6549" t="s">
        <v>13</v>
      </c>
      <c r="F6549" t="s">
        <v>14</v>
      </c>
      <c r="G6549" t="s">
        <v>102</v>
      </c>
      <c r="H6549" t="s">
        <v>278</v>
      </c>
      <c r="I6549">
        <v>3070.8</v>
      </c>
      <c r="J6549">
        <v>2929.32</v>
      </c>
      <c r="K6549" t="s">
        <v>17</v>
      </c>
      <c r="L6549" t="b">
        <v>0</v>
      </c>
      <c r="N6549" s="2" t="str">
        <f t="shared" si="587"/>
        <v/>
      </c>
      <c r="Q6549" t="str">
        <f t="shared" si="586"/>
        <v/>
      </c>
    </row>
    <row r="6550" spans="1:17" hidden="1">
      <c r="A6550" t="s">
        <v>6655</v>
      </c>
      <c r="B6550" s="1">
        <v>45795</v>
      </c>
      <c r="C6550">
        <v>2025</v>
      </c>
      <c r="D6550">
        <v>5</v>
      </c>
      <c r="E6550" t="s">
        <v>13</v>
      </c>
      <c r="F6550" t="s">
        <v>28</v>
      </c>
      <c r="G6550" t="s">
        <v>108</v>
      </c>
      <c r="H6550" t="s">
        <v>123</v>
      </c>
      <c r="I6550">
        <v>3838.05</v>
      </c>
      <c r="J6550">
        <v>4207.8900000000003</v>
      </c>
      <c r="K6550" t="s">
        <v>17</v>
      </c>
      <c r="L6550" t="b">
        <v>0</v>
      </c>
      <c r="N6550" s="2" t="str">
        <f t="shared" si="587"/>
        <v/>
      </c>
      <c r="Q6550" t="str">
        <f t="shared" si="586"/>
        <v/>
      </c>
    </row>
    <row r="6551" spans="1:17" hidden="1">
      <c r="A6551" t="s">
        <v>6656</v>
      </c>
      <c r="B6551" s="1">
        <v>45795</v>
      </c>
      <c r="C6551">
        <v>2025</v>
      </c>
      <c r="D6551">
        <v>5</v>
      </c>
      <c r="E6551" t="s">
        <v>47</v>
      </c>
      <c r="F6551" t="s">
        <v>28</v>
      </c>
      <c r="G6551" t="s">
        <v>77</v>
      </c>
      <c r="H6551" t="s">
        <v>78</v>
      </c>
      <c r="I6551">
        <v>17626.8</v>
      </c>
      <c r="J6551">
        <v>15129.41</v>
      </c>
      <c r="K6551" t="s">
        <v>17</v>
      </c>
      <c r="L6551" t="b">
        <v>0</v>
      </c>
      <c r="N6551" s="2" t="b">
        <f t="shared" si="587"/>
        <v>1</v>
      </c>
      <c r="O6551" t="str">
        <f>IF(AND(E6540="HR",K6540="EXPENSE"),I6540&lt;J6540,"")</f>
        <v/>
      </c>
      <c r="Q6551" t="str">
        <f t="shared" si="586"/>
        <v/>
      </c>
    </row>
    <row r="6552" spans="1:17" hidden="1">
      <c r="A6552" t="s">
        <v>6657</v>
      </c>
      <c r="B6552" s="1">
        <v>45795</v>
      </c>
      <c r="C6552">
        <v>2025</v>
      </c>
      <c r="D6552">
        <v>5</v>
      </c>
      <c r="E6552" t="s">
        <v>19</v>
      </c>
      <c r="F6552" t="s">
        <v>14</v>
      </c>
      <c r="G6552" t="s">
        <v>132</v>
      </c>
      <c r="H6552" t="s">
        <v>138</v>
      </c>
      <c r="I6552">
        <v>5066.03</v>
      </c>
      <c r="J6552">
        <v>4963.04</v>
      </c>
      <c r="K6552" t="s">
        <v>17</v>
      </c>
      <c r="L6552" t="b">
        <v>0</v>
      </c>
      <c r="N6552" s="2" t="str">
        <f t="shared" si="587"/>
        <v/>
      </c>
      <c r="Q6552" t="str">
        <f t="shared" si="586"/>
        <v/>
      </c>
    </row>
    <row r="6553" spans="1:17" hidden="1">
      <c r="A6553" t="s">
        <v>6658</v>
      </c>
      <c r="B6553" s="1">
        <v>45795</v>
      </c>
      <c r="C6553">
        <v>2025</v>
      </c>
      <c r="D6553">
        <v>5</v>
      </c>
      <c r="E6553" t="s">
        <v>19</v>
      </c>
      <c r="F6553" t="s">
        <v>14</v>
      </c>
      <c r="G6553" t="s">
        <v>20</v>
      </c>
      <c r="H6553" t="s">
        <v>21</v>
      </c>
      <c r="I6553">
        <v>4108.84</v>
      </c>
      <c r="J6553">
        <v>4003.05</v>
      </c>
      <c r="K6553" t="s">
        <v>17</v>
      </c>
      <c r="L6553" t="b">
        <v>0</v>
      </c>
      <c r="N6553" s="2" t="str">
        <f t="shared" si="587"/>
        <v/>
      </c>
      <c r="Q6553" t="str">
        <f t="shared" si="586"/>
        <v/>
      </c>
    </row>
    <row r="6554" spans="1:17" hidden="1">
      <c r="A6554" t="s">
        <v>6659</v>
      </c>
      <c r="B6554" s="1">
        <v>45795</v>
      </c>
      <c r="C6554">
        <v>2025</v>
      </c>
      <c r="D6554">
        <v>5</v>
      </c>
      <c r="E6554" t="s">
        <v>19</v>
      </c>
      <c r="F6554" t="s">
        <v>28</v>
      </c>
      <c r="G6554" t="s">
        <v>20</v>
      </c>
      <c r="H6554" t="s">
        <v>174</v>
      </c>
      <c r="I6554">
        <v>5826.3</v>
      </c>
      <c r="J6554">
        <v>5599.38</v>
      </c>
      <c r="K6554" t="s">
        <v>17</v>
      </c>
      <c r="L6554" t="b">
        <v>0</v>
      </c>
      <c r="N6554" s="2" t="str">
        <f t="shared" si="587"/>
        <v/>
      </c>
      <c r="Q6554" t="str">
        <f t="shared" si="586"/>
        <v/>
      </c>
    </row>
    <row r="6555" spans="1:17" hidden="1">
      <c r="A6555" t="s">
        <v>6660</v>
      </c>
      <c r="B6555" s="1">
        <v>45795</v>
      </c>
      <c r="C6555">
        <v>2025</v>
      </c>
      <c r="D6555">
        <v>5</v>
      </c>
      <c r="E6555" t="s">
        <v>23</v>
      </c>
      <c r="F6555" t="s">
        <v>14</v>
      </c>
      <c r="G6555" t="s">
        <v>30</v>
      </c>
      <c r="H6555" t="s">
        <v>33</v>
      </c>
      <c r="I6555">
        <v>6885.09</v>
      </c>
      <c r="J6555">
        <v>7479.42</v>
      </c>
      <c r="K6555" t="s">
        <v>17</v>
      </c>
      <c r="L6555" t="b">
        <v>0</v>
      </c>
      <c r="N6555" s="2" t="str">
        <f t="shared" si="587"/>
        <v/>
      </c>
      <c r="Q6555" t="str">
        <f t="shared" si="586"/>
        <v/>
      </c>
    </row>
    <row r="6556" spans="1:17" hidden="1">
      <c r="A6556" t="s">
        <v>6661</v>
      </c>
      <c r="B6556" s="1">
        <v>45795</v>
      </c>
      <c r="C6556">
        <v>2025</v>
      </c>
      <c r="D6556">
        <v>5</v>
      </c>
      <c r="E6556" t="s">
        <v>23</v>
      </c>
      <c r="F6556" t="s">
        <v>14</v>
      </c>
      <c r="G6556" t="s">
        <v>30</v>
      </c>
      <c r="H6556" t="s">
        <v>31</v>
      </c>
      <c r="I6556">
        <v>5043.32</v>
      </c>
      <c r="J6556">
        <v>5153.83</v>
      </c>
      <c r="K6556" t="s">
        <v>17</v>
      </c>
      <c r="L6556" t="b">
        <v>0</v>
      </c>
      <c r="N6556" s="2" t="str">
        <f t="shared" si="587"/>
        <v/>
      </c>
      <c r="Q6556" t="str">
        <f t="shared" si="586"/>
        <v/>
      </c>
    </row>
    <row r="6557" spans="1:17" hidden="1">
      <c r="A6557" t="s">
        <v>6662</v>
      </c>
      <c r="B6557" s="1">
        <v>45795</v>
      </c>
      <c r="C6557">
        <v>2025</v>
      </c>
      <c r="D6557">
        <v>5</v>
      </c>
      <c r="E6557" t="s">
        <v>23</v>
      </c>
      <c r="F6557" t="s">
        <v>14</v>
      </c>
      <c r="G6557" t="s">
        <v>25</v>
      </c>
      <c r="H6557" t="s">
        <v>35</v>
      </c>
      <c r="I6557">
        <v>6302.85</v>
      </c>
      <c r="J6557">
        <v>6275.67</v>
      </c>
      <c r="K6557" t="s">
        <v>17</v>
      </c>
      <c r="L6557" t="b">
        <v>0</v>
      </c>
      <c r="N6557" s="2" t="str">
        <f t="shared" si="587"/>
        <v/>
      </c>
      <c r="Q6557" t="str">
        <f t="shared" si="586"/>
        <v/>
      </c>
    </row>
    <row r="6558" spans="1:17" hidden="1">
      <c r="A6558" t="s">
        <v>6663</v>
      </c>
      <c r="B6558" s="1">
        <v>45795</v>
      </c>
      <c r="C6558">
        <v>2025</v>
      </c>
      <c r="D6558">
        <v>5</v>
      </c>
      <c r="E6558" t="s">
        <v>23</v>
      </c>
      <c r="F6558" t="s">
        <v>28</v>
      </c>
      <c r="G6558" t="s">
        <v>141</v>
      </c>
      <c r="H6558" t="s">
        <v>153</v>
      </c>
      <c r="I6558">
        <v>3837.44</v>
      </c>
      <c r="J6558">
        <v>3571.86</v>
      </c>
      <c r="K6558" t="s">
        <v>17</v>
      </c>
      <c r="L6558" t="b">
        <v>0</v>
      </c>
      <c r="N6558" s="2" t="str">
        <f t="shared" si="587"/>
        <v/>
      </c>
      <c r="Q6558" t="str">
        <f t="shared" si="586"/>
        <v/>
      </c>
    </row>
    <row r="6559" spans="1:17" hidden="1">
      <c r="A6559" t="s">
        <v>6664</v>
      </c>
      <c r="B6559" s="1">
        <v>45795</v>
      </c>
      <c r="C6559">
        <v>2025</v>
      </c>
      <c r="D6559">
        <v>5</v>
      </c>
      <c r="E6559" t="s">
        <v>23</v>
      </c>
      <c r="F6559" t="s">
        <v>28</v>
      </c>
      <c r="G6559" t="s">
        <v>141</v>
      </c>
      <c r="H6559" t="s">
        <v>209</v>
      </c>
      <c r="I6559">
        <v>4857.26</v>
      </c>
      <c r="J6559">
        <v>4970.99</v>
      </c>
      <c r="K6559" t="s">
        <v>17</v>
      </c>
      <c r="L6559" t="b">
        <v>0</v>
      </c>
      <c r="N6559" s="2" t="str">
        <f t="shared" si="587"/>
        <v/>
      </c>
      <c r="Q6559" t="str">
        <f t="shared" si="586"/>
        <v/>
      </c>
    </row>
    <row r="6560" spans="1:17" hidden="1">
      <c r="A6560" t="s">
        <v>6665</v>
      </c>
      <c r="B6560" s="1">
        <v>45795</v>
      </c>
      <c r="C6560">
        <v>2025</v>
      </c>
      <c r="D6560">
        <v>5</v>
      </c>
      <c r="E6560" t="s">
        <v>23</v>
      </c>
      <c r="F6560" t="s">
        <v>28</v>
      </c>
      <c r="G6560" t="s">
        <v>59</v>
      </c>
      <c r="H6560" t="s">
        <v>155</v>
      </c>
      <c r="I6560">
        <v>4220.0600000000004</v>
      </c>
      <c r="J6560">
        <v>4356.3500000000004</v>
      </c>
      <c r="K6560" t="s">
        <v>17</v>
      </c>
      <c r="L6560" t="b">
        <v>0</v>
      </c>
      <c r="N6560" s="2" t="str">
        <f t="shared" si="587"/>
        <v/>
      </c>
      <c r="Q6560" t="str">
        <f t="shared" si="586"/>
        <v/>
      </c>
    </row>
    <row r="6561" spans="1:17" hidden="1">
      <c r="A6561" t="s">
        <v>6666</v>
      </c>
      <c r="B6561" s="1">
        <v>45796</v>
      </c>
      <c r="C6561">
        <v>2025</v>
      </c>
      <c r="D6561">
        <v>5</v>
      </c>
      <c r="E6561" t="s">
        <v>13</v>
      </c>
      <c r="F6561" t="s">
        <v>14</v>
      </c>
      <c r="G6561" t="s">
        <v>102</v>
      </c>
      <c r="H6561" t="s">
        <v>103</v>
      </c>
      <c r="I6561">
        <v>3728.47</v>
      </c>
      <c r="J6561">
        <v>3547.04</v>
      </c>
      <c r="K6561" t="s">
        <v>17</v>
      </c>
      <c r="L6561" t="b">
        <v>0</v>
      </c>
      <c r="N6561" s="2" t="str">
        <f t="shared" si="587"/>
        <v/>
      </c>
      <c r="Q6561" t="str">
        <f t="shared" si="586"/>
        <v/>
      </c>
    </row>
    <row r="6562" spans="1:17" hidden="1">
      <c r="A6562" t="s">
        <v>6667</v>
      </c>
      <c r="B6562" s="1">
        <v>45796</v>
      </c>
      <c r="C6562">
        <v>2025</v>
      </c>
      <c r="D6562">
        <v>5</v>
      </c>
      <c r="E6562" t="s">
        <v>13</v>
      </c>
      <c r="F6562" t="s">
        <v>14</v>
      </c>
      <c r="G6562" t="s">
        <v>68</v>
      </c>
      <c r="H6562" t="s">
        <v>69</v>
      </c>
      <c r="I6562">
        <v>2089.6</v>
      </c>
      <c r="J6562">
        <v>2016.28</v>
      </c>
      <c r="K6562" t="s">
        <v>17</v>
      </c>
      <c r="L6562" t="b">
        <v>0</v>
      </c>
      <c r="N6562" s="2" t="str">
        <f t="shared" si="587"/>
        <v/>
      </c>
      <c r="Q6562" t="str">
        <f t="shared" si="586"/>
        <v/>
      </c>
    </row>
    <row r="6563" spans="1:17" hidden="1">
      <c r="A6563" t="s">
        <v>6668</v>
      </c>
      <c r="B6563" s="1">
        <v>45796</v>
      </c>
      <c r="C6563">
        <v>2025</v>
      </c>
      <c r="D6563">
        <v>5</v>
      </c>
      <c r="E6563" t="s">
        <v>13</v>
      </c>
      <c r="F6563" t="s">
        <v>14</v>
      </c>
      <c r="G6563" t="s">
        <v>102</v>
      </c>
      <c r="H6563" t="s">
        <v>278</v>
      </c>
      <c r="I6563">
        <v>3577.22</v>
      </c>
      <c r="J6563">
        <v>3562.88</v>
      </c>
      <c r="K6563" t="s">
        <v>17</v>
      </c>
      <c r="L6563" t="b">
        <v>0</v>
      </c>
      <c r="N6563" s="2" t="str">
        <f t="shared" si="587"/>
        <v/>
      </c>
      <c r="Q6563" t="str">
        <f t="shared" si="586"/>
        <v/>
      </c>
    </row>
    <row r="6564" spans="1:17" hidden="1">
      <c r="A6564" t="s">
        <v>6669</v>
      </c>
      <c r="B6564" s="1">
        <v>45796</v>
      </c>
      <c r="C6564">
        <v>2025</v>
      </c>
      <c r="D6564">
        <v>5</v>
      </c>
      <c r="E6564" t="s">
        <v>13</v>
      </c>
      <c r="F6564" t="s">
        <v>28</v>
      </c>
      <c r="G6564" t="s">
        <v>15</v>
      </c>
      <c r="H6564" t="s">
        <v>89</v>
      </c>
      <c r="I6564">
        <v>3363.85</v>
      </c>
      <c r="J6564">
        <v>3045.19</v>
      </c>
      <c r="K6564" t="s">
        <v>17</v>
      </c>
      <c r="L6564" t="b">
        <v>0</v>
      </c>
      <c r="N6564" s="2" t="str">
        <f t="shared" si="587"/>
        <v/>
      </c>
      <c r="Q6564" t="str">
        <f t="shared" si="586"/>
        <v/>
      </c>
    </row>
    <row r="6565" spans="1:17" hidden="1">
      <c r="A6565" t="s">
        <v>6670</v>
      </c>
      <c r="B6565" s="1">
        <v>45796</v>
      </c>
      <c r="C6565">
        <v>2025</v>
      </c>
      <c r="D6565">
        <v>5</v>
      </c>
      <c r="E6565" t="s">
        <v>13</v>
      </c>
      <c r="F6565" t="s">
        <v>28</v>
      </c>
      <c r="G6565" t="s">
        <v>15</v>
      </c>
      <c r="H6565" t="s">
        <v>16</v>
      </c>
      <c r="I6565">
        <v>3628.04</v>
      </c>
      <c r="J6565">
        <v>3467.59</v>
      </c>
      <c r="K6565" t="s">
        <v>17</v>
      </c>
      <c r="L6565" t="b">
        <v>0</v>
      </c>
      <c r="N6565" s="2" t="str">
        <f t="shared" si="587"/>
        <v/>
      </c>
      <c r="Q6565" t="str">
        <f t="shared" si="586"/>
        <v/>
      </c>
    </row>
    <row r="6566" spans="1:17" hidden="1">
      <c r="A6566" t="s">
        <v>6671</v>
      </c>
      <c r="B6566" s="1">
        <v>45796</v>
      </c>
      <c r="C6566">
        <v>2025</v>
      </c>
      <c r="D6566">
        <v>5</v>
      </c>
      <c r="E6566" t="s">
        <v>13</v>
      </c>
      <c r="F6566" t="s">
        <v>24</v>
      </c>
      <c r="G6566" t="s">
        <v>108</v>
      </c>
      <c r="H6566" t="s">
        <v>109</v>
      </c>
      <c r="I6566">
        <v>3436.58</v>
      </c>
      <c r="J6566">
        <v>3509.56</v>
      </c>
      <c r="K6566" t="s">
        <v>17</v>
      </c>
      <c r="L6566" t="b">
        <v>0</v>
      </c>
      <c r="N6566" s="2" t="str">
        <f t="shared" si="587"/>
        <v/>
      </c>
      <c r="Q6566" t="str">
        <f t="shared" si="586"/>
        <v/>
      </c>
    </row>
    <row r="6567" spans="1:17" hidden="1">
      <c r="A6567" t="s">
        <v>6672</v>
      </c>
      <c r="B6567" s="1">
        <v>45796</v>
      </c>
      <c r="C6567">
        <v>2025</v>
      </c>
      <c r="D6567">
        <v>5</v>
      </c>
      <c r="E6567" t="s">
        <v>47</v>
      </c>
      <c r="F6567" t="s">
        <v>28</v>
      </c>
      <c r="G6567" t="s">
        <v>51</v>
      </c>
      <c r="H6567" t="s">
        <v>52</v>
      </c>
      <c r="I6567">
        <v>27494.22</v>
      </c>
      <c r="J6567">
        <v>23785.27</v>
      </c>
      <c r="K6567" t="s">
        <v>17</v>
      </c>
      <c r="L6567" t="b">
        <v>0</v>
      </c>
      <c r="N6567" s="2" t="b">
        <f t="shared" si="587"/>
        <v>1</v>
      </c>
      <c r="O6567" t="str">
        <f t="shared" ref="O6567:O6569" si="589">IF(AND(E6556="HR",K6556="EXPENSE"),I6556&lt;J6556,"")</f>
        <v/>
      </c>
      <c r="Q6567" t="str">
        <f t="shared" si="586"/>
        <v/>
      </c>
    </row>
    <row r="6568" spans="1:17" hidden="1">
      <c r="A6568" t="s">
        <v>6673</v>
      </c>
      <c r="B6568" s="1">
        <v>45796</v>
      </c>
      <c r="C6568">
        <v>2025</v>
      </c>
      <c r="D6568">
        <v>5</v>
      </c>
      <c r="E6568" t="s">
        <v>47</v>
      </c>
      <c r="F6568" t="s">
        <v>24</v>
      </c>
      <c r="G6568" t="s">
        <v>77</v>
      </c>
      <c r="H6568" t="s">
        <v>130</v>
      </c>
      <c r="I6568">
        <v>12870.17</v>
      </c>
      <c r="J6568">
        <v>11139.37</v>
      </c>
      <c r="K6568" t="s">
        <v>17</v>
      </c>
      <c r="L6568" t="b">
        <v>0</v>
      </c>
      <c r="N6568" s="2" t="b">
        <f t="shared" si="587"/>
        <v>1</v>
      </c>
      <c r="O6568" t="str">
        <f t="shared" si="589"/>
        <v/>
      </c>
      <c r="Q6568" t="str">
        <f t="shared" si="586"/>
        <v/>
      </c>
    </row>
    <row r="6569" spans="1:17" hidden="1">
      <c r="A6569" t="s">
        <v>6674</v>
      </c>
      <c r="B6569" s="1">
        <v>45796</v>
      </c>
      <c r="C6569">
        <v>2025</v>
      </c>
      <c r="D6569">
        <v>5</v>
      </c>
      <c r="E6569" t="s">
        <v>47</v>
      </c>
      <c r="F6569" t="s">
        <v>24</v>
      </c>
      <c r="G6569" t="s">
        <v>77</v>
      </c>
      <c r="H6569" t="s">
        <v>78</v>
      </c>
      <c r="I6569">
        <v>12779</v>
      </c>
      <c r="J6569">
        <v>10629.53</v>
      </c>
      <c r="K6569" t="s">
        <v>17</v>
      </c>
      <c r="L6569" t="b">
        <v>0</v>
      </c>
      <c r="N6569" s="2" t="b">
        <f t="shared" si="587"/>
        <v>1</v>
      </c>
      <c r="O6569" t="str">
        <f t="shared" si="589"/>
        <v/>
      </c>
      <c r="Q6569" t="str">
        <f t="shared" si="586"/>
        <v/>
      </c>
    </row>
    <row r="6570" spans="1:17" hidden="1">
      <c r="A6570" t="s">
        <v>6675</v>
      </c>
      <c r="B6570" s="1">
        <v>45796</v>
      </c>
      <c r="C6570">
        <v>2025</v>
      </c>
      <c r="D6570">
        <v>5</v>
      </c>
      <c r="E6570" t="s">
        <v>19</v>
      </c>
      <c r="F6570" t="s">
        <v>28</v>
      </c>
      <c r="G6570" t="s">
        <v>20</v>
      </c>
      <c r="H6570" t="s">
        <v>21</v>
      </c>
      <c r="I6570">
        <v>5825.17</v>
      </c>
      <c r="J6570">
        <v>6373.89</v>
      </c>
      <c r="K6570" t="s">
        <v>17</v>
      </c>
      <c r="L6570" t="b">
        <v>0</v>
      </c>
      <c r="N6570" s="2" t="str">
        <f t="shared" si="587"/>
        <v/>
      </c>
      <c r="Q6570" t="str">
        <f t="shared" si="586"/>
        <v/>
      </c>
    </row>
    <row r="6571" spans="1:17" hidden="1">
      <c r="A6571" t="s">
        <v>6676</v>
      </c>
      <c r="B6571" s="1">
        <v>45796</v>
      </c>
      <c r="C6571">
        <v>2025</v>
      </c>
      <c r="D6571">
        <v>5</v>
      </c>
      <c r="E6571" t="s">
        <v>19</v>
      </c>
      <c r="F6571" t="s">
        <v>24</v>
      </c>
      <c r="G6571" t="s">
        <v>20</v>
      </c>
      <c r="H6571" t="s">
        <v>174</v>
      </c>
      <c r="I6571">
        <v>4322.74</v>
      </c>
      <c r="J6571">
        <v>4351.3100000000004</v>
      </c>
      <c r="K6571" t="s">
        <v>17</v>
      </c>
      <c r="L6571" t="b">
        <v>0</v>
      </c>
      <c r="N6571" s="2" t="str">
        <f t="shared" si="587"/>
        <v/>
      </c>
      <c r="Q6571" t="str">
        <f t="shared" si="586"/>
        <v/>
      </c>
    </row>
    <row r="6572" spans="1:17" hidden="1">
      <c r="A6572" t="s">
        <v>6677</v>
      </c>
      <c r="B6572" s="1">
        <v>45796</v>
      </c>
      <c r="C6572">
        <v>2025</v>
      </c>
      <c r="D6572">
        <v>5</v>
      </c>
      <c r="E6572" t="s">
        <v>23</v>
      </c>
      <c r="F6572" t="s">
        <v>14</v>
      </c>
      <c r="G6572" t="s">
        <v>141</v>
      </c>
      <c r="H6572" t="s">
        <v>153</v>
      </c>
      <c r="I6572">
        <v>5393.93</v>
      </c>
      <c r="J6572">
        <v>5603.46</v>
      </c>
      <c r="K6572" t="s">
        <v>17</v>
      </c>
      <c r="L6572" t="b">
        <v>0</v>
      </c>
      <c r="N6572" s="2" t="str">
        <f t="shared" si="587"/>
        <v/>
      </c>
      <c r="Q6572" t="str">
        <f t="shared" si="586"/>
        <v/>
      </c>
    </row>
    <row r="6573" spans="1:17" hidden="1">
      <c r="A6573" t="s">
        <v>6678</v>
      </c>
      <c r="B6573" s="1">
        <v>45796</v>
      </c>
      <c r="C6573">
        <v>2025</v>
      </c>
      <c r="D6573">
        <v>5</v>
      </c>
      <c r="E6573" t="s">
        <v>23</v>
      </c>
      <c r="F6573" t="s">
        <v>28</v>
      </c>
      <c r="G6573" t="s">
        <v>59</v>
      </c>
      <c r="H6573" t="s">
        <v>60</v>
      </c>
      <c r="I6573">
        <v>7355.83</v>
      </c>
      <c r="J6573">
        <v>7200.23</v>
      </c>
      <c r="K6573" t="s">
        <v>17</v>
      </c>
      <c r="L6573" t="b">
        <v>0</v>
      </c>
      <c r="N6573" s="2" t="str">
        <f t="shared" si="587"/>
        <v/>
      </c>
      <c r="Q6573" t="str">
        <f t="shared" si="586"/>
        <v/>
      </c>
    </row>
    <row r="6574" spans="1:17" hidden="1">
      <c r="A6574" t="s">
        <v>6679</v>
      </c>
      <c r="B6574" s="1">
        <v>45796</v>
      </c>
      <c r="C6574">
        <v>2025</v>
      </c>
      <c r="D6574">
        <v>5</v>
      </c>
      <c r="E6574" t="s">
        <v>37</v>
      </c>
      <c r="F6574" t="s">
        <v>28</v>
      </c>
      <c r="G6574" t="s">
        <v>62</v>
      </c>
      <c r="H6574" t="s">
        <v>63</v>
      </c>
      <c r="I6574">
        <v>5388.98</v>
      </c>
      <c r="J6574">
        <v>5669.62</v>
      </c>
      <c r="K6574" t="s">
        <v>17</v>
      </c>
      <c r="L6574" t="b">
        <v>0</v>
      </c>
      <c r="N6574" s="2" t="str">
        <f t="shared" si="587"/>
        <v/>
      </c>
      <c r="Q6574" t="str">
        <f t="shared" si="586"/>
        <v/>
      </c>
    </row>
    <row r="6575" spans="1:17" hidden="1">
      <c r="A6575" t="s">
        <v>6680</v>
      </c>
      <c r="B6575" s="1">
        <v>45797</v>
      </c>
      <c r="C6575">
        <v>2025</v>
      </c>
      <c r="D6575">
        <v>5</v>
      </c>
      <c r="E6575" t="s">
        <v>13</v>
      </c>
      <c r="F6575" t="s">
        <v>24</v>
      </c>
      <c r="G6575" t="s">
        <v>102</v>
      </c>
      <c r="H6575" t="s">
        <v>278</v>
      </c>
      <c r="I6575">
        <v>3186.57</v>
      </c>
      <c r="J6575">
        <v>3014.49</v>
      </c>
      <c r="K6575" t="s">
        <v>17</v>
      </c>
      <c r="L6575" t="b">
        <v>0</v>
      </c>
      <c r="N6575" s="2" t="str">
        <f t="shared" si="587"/>
        <v/>
      </c>
      <c r="Q6575" t="str">
        <f t="shared" si="586"/>
        <v/>
      </c>
    </row>
    <row r="6576" spans="1:17" hidden="1">
      <c r="A6576" t="s">
        <v>6681</v>
      </c>
      <c r="B6576" s="1">
        <v>45797</v>
      </c>
      <c r="C6576">
        <v>2025</v>
      </c>
      <c r="D6576">
        <v>5</v>
      </c>
      <c r="E6576" t="s">
        <v>13</v>
      </c>
      <c r="F6576" t="s">
        <v>24</v>
      </c>
      <c r="G6576" t="s">
        <v>68</v>
      </c>
      <c r="H6576" t="s">
        <v>87</v>
      </c>
      <c r="I6576">
        <v>2806.79</v>
      </c>
      <c r="J6576">
        <v>2732.19</v>
      </c>
      <c r="K6576" t="s">
        <v>17</v>
      </c>
      <c r="L6576" t="b">
        <v>0</v>
      </c>
      <c r="N6576" s="2" t="str">
        <f t="shared" si="587"/>
        <v/>
      </c>
      <c r="Q6576" t="str">
        <f t="shared" ref="Q6576:Q6639" si="590">IF(L6576=TRUE,OR(H6576="Apex Solutions Inc",H6576="Global Trade Partners",H6576="NovaTech Services"),"")</f>
        <v/>
      </c>
    </row>
    <row r="6577" spans="1:17" hidden="1">
      <c r="A6577" t="s">
        <v>6682</v>
      </c>
      <c r="B6577" s="1">
        <v>45797</v>
      </c>
      <c r="C6577">
        <v>2025</v>
      </c>
      <c r="D6577">
        <v>5</v>
      </c>
      <c r="E6577" t="s">
        <v>47</v>
      </c>
      <c r="F6577" t="s">
        <v>14</v>
      </c>
      <c r="G6577" t="s">
        <v>51</v>
      </c>
      <c r="H6577" t="s">
        <v>189</v>
      </c>
      <c r="I6577">
        <v>16335.11</v>
      </c>
      <c r="J6577">
        <v>13589.12</v>
      </c>
      <c r="K6577" t="s">
        <v>17</v>
      </c>
      <c r="L6577" t="b">
        <v>0</v>
      </c>
      <c r="N6577" s="2" t="b">
        <f t="shared" si="587"/>
        <v>1</v>
      </c>
      <c r="O6577" t="b">
        <f>IF(AND(E6566="HR",K6566="EXPENSE"),I6566&lt;J6566,"")</f>
        <v>1</v>
      </c>
      <c r="Q6577" t="str">
        <f t="shared" si="590"/>
        <v/>
      </c>
    </row>
    <row r="6578" spans="1:17" hidden="1">
      <c r="A6578" t="s">
        <v>6683</v>
      </c>
      <c r="B6578" s="1">
        <v>45797</v>
      </c>
      <c r="C6578">
        <v>2025</v>
      </c>
      <c r="D6578">
        <v>5</v>
      </c>
      <c r="E6578" t="s">
        <v>19</v>
      </c>
      <c r="F6578" t="s">
        <v>14</v>
      </c>
      <c r="G6578" t="s">
        <v>132</v>
      </c>
      <c r="H6578" t="s">
        <v>171</v>
      </c>
      <c r="I6578">
        <v>3278.67</v>
      </c>
      <c r="J6578">
        <v>3475.66</v>
      </c>
      <c r="K6578" t="s">
        <v>17</v>
      </c>
      <c r="L6578" t="b">
        <v>0</v>
      </c>
      <c r="N6578" s="2" t="str">
        <f t="shared" si="587"/>
        <v/>
      </c>
      <c r="Q6578" t="str">
        <f t="shared" si="590"/>
        <v/>
      </c>
    </row>
    <row r="6579" spans="1:17" hidden="1">
      <c r="A6579" t="s">
        <v>6684</v>
      </c>
      <c r="B6579" s="1">
        <v>45797</v>
      </c>
      <c r="C6579">
        <v>2025</v>
      </c>
      <c r="D6579">
        <v>5</v>
      </c>
      <c r="E6579" t="s">
        <v>19</v>
      </c>
      <c r="F6579" t="s">
        <v>14</v>
      </c>
      <c r="G6579" t="s">
        <v>54</v>
      </c>
      <c r="H6579" t="s">
        <v>57</v>
      </c>
      <c r="I6579">
        <v>3456.48</v>
      </c>
      <c r="J6579">
        <v>3794</v>
      </c>
      <c r="K6579" t="s">
        <v>17</v>
      </c>
      <c r="L6579" t="b">
        <v>0</v>
      </c>
      <c r="N6579" s="2" t="str">
        <f t="shared" si="587"/>
        <v/>
      </c>
      <c r="Q6579" t="str">
        <f t="shared" si="590"/>
        <v/>
      </c>
    </row>
    <row r="6580" spans="1:17" hidden="1">
      <c r="A6580" t="s">
        <v>6685</v>
      </c>
      <c r="B6580" s="1">
        <v>45797</v>
      </c>
      <c r="C6580">
        <v>2025</v>
      </c>
      <c r="D6580">
        <v>5</v>
      </c>
      <c r="E6580" t="s">
        <v>19</v>
      </c>
      <c r="F6580" t="s">
        <v>28</v>
      </c>
      <c r="G6580" t="s">
        <v>20</v>
      </c>
      <c r="H6580" t="s">
        <v>136</v>
      </c>
      <c r="I6580">
        <v>6672.76</v>
      </c>
      <c r="J6580">
        <v>6202.07</v>
      </c>
      <c r="K6580" t="s">
        <v>17</v>
      </c>
      <c r="L6580" t="b">
        <v>0</v>
      </c>
      <c r="N6580" s="2" t="str">
        <f t="shared" si="587"/>
        <v/>
      </c>
      <c r="Q6580" t="str">
        <f t="shared" si="590"/>
        <v/>
      </c>
    </row>
    <row r="6581" spans="1:17" hidden="1">
      <c r="A6581" t="s">
        <v>6686</v>
      </c>
      <c r="B6581" s="1">
        <v>45797</v>
      </c>
      <c r="C6581">
        <v>2025</v>
      </c>
      <c r="D6581">
        <v>5</v>
      </c>
      <c r="E6581" t="s">
        <v>23</v>
      </c>
      <c r="F6581" t="s">
        <v>14</v>
      </c>
      <c r="G6581" t="s">
        <v>30</v>
      </c>
      <c r="H6581" t="s">
        <v>31</v>
      </c>
      <c r="I6581">
        <v>5813.69</v>
      </c>
      <c r="J6581">
        <v>5321.55</v>
      </c>
      <c r="K6581" t="s">
        <v>17</v>
      </c>
      <c r="L6581" t="b">
        <v>0</v>
      </c>
      <c r="N6581" s="2" t="str">
        <f t="shared" si="587"/>
        <v/>
      </c>
      <c r="Q6581" t="str">
        <f t="shared" si="590"/>
        <v/>
      </c>
    </row>
    <row r="6582" spans="1:17" hidden="1">
      <c r="A6582" t="s">
        <v>6687</v>
      </c>
      <c r="B6582" s="1">
        <v>45797</v>
      </c>
      <c r="C6582">
        <v>2025</v>
      </c>
      <c r="D6582">
        <v>5</v>
      </c>
      <c r="E6582" t="s">
        <v>23</v>
      </c>
      <c r="F6582" t="s">
        <v>24</v>
      </c>
      <c r="G6582" t="s">
        <v>59</v>
      </c>
      <c r="H6582" t="s">
        <v>155</v>
      </c>
      <c r="I6582">
        <v>7385.44</v>
      </c>
      <c r="J6582">
        <v>7047.51</v>
      </c>
      <c r="K6582" t="s">
        <v>17</v>
      </c>
      <c r="L6582" t="b">
        <v>0</v>
      </c>
      <c r="N6582" s="2" t="str">
        <f t="shared" si="587"/>
        <v/>
      </c>
      <c r="Q6582" t="str">
        <f t="shared" si="590"/>
        <v/>
      </c>
    </row>
    <row r="6583" spans="1:17" hidden="1">
      <c r="A6583" t="s">
        <v>6688</v>
      </c>
      <c r="B6583" s="1">
        <v>45797</v>
      </c>
      <c r="C6583">
        <v>2025</v>
      </c>
      <c r="D6583">
        <v>5</v>
      </c>
      <c r="E6583" t="s">
        <v>37</v>
      </c>
      <c r="F6583" t="s">
        <v>14</v>
      </c>
      <c r="G6583" t="s">
        <v>41</v>
      </c>
      <c r="H6583" t="s">
        <v>42</v>
      </c>
      <c r="I6583">
        <v>5841.84</v>
      </c>
      <c r="J6583">
        <v>5756.11</v>
      </c>
      <c r="K6583" t="s">
        <v>17</v>
      </c>
      <c r="L6583" t="b">
        <v>0</v>
      </c>
      <c r="N6583" s="2" t="str">
        <f t="shared" si="587"/>
        <v/>
      </c>
      <c r="Q6583" t="str">
        <f t="shared" si="590"/>
        <v/>
      </c>
    </row>
    <row r="6584" spans="1:17" hidden="1">
      <c r="A6584" t="s">
        <v>6689</v>
      </c>
      <c r="B6584" s="1">
        <v>45797</v>
      </c>
      <c r="C6584">
        <v>2025</v>
      </c>
      <c r="D6584">
        <v>5</v>
      </c>
      <c r="E6584" t="s">
        <v>37</v>
      </c>
      <c r="F6584" t="s">
        <v>28</v>
      </c>
      <c r="G6584" t="s">
        <v>62</v>
      </c>
      <c r="H6584" t="s">
        <v>66</v>
      </c>
      <c r="I6584">
        <v>4343.6400000000003</v>
      </c>
      <c r="J6584">
        <v>4239.09</v>
      </c>
      <c r="K6584" t="s">
        <v>17</v>
      </c>
      <c r="L6584" t="b">
        <v>0</v>
      </c>
      <c r="N6584" s="2" t="str">
        <f t="shared" si="587"/>
        <v/>
      </c>
      <c r="Q6584" t="str">
        <f t="shared" si="590"/>
        <v/>
      </c>
    </row>
    <row r="6585" spans="1:17" hidden="1">
      <c r="A6585" t="s">
        <v>6690</v>
      </c>
      <c r="B6585" s="1">
        <v>45798</v>
      </c>
      <c r="C6585">
        <v>2025</v>
      </c>
      <c r="D6585">
        <v>5</v>
      </c>
      <c r="E6585" t="s">
        <v>13</v>
      </c>
      <c r="F6585" t="s">
        <v>14</v>
      </c>
      <c r="G6585" t="s">
        <v>15</v>
      </c>
      <c r="H6585" t="s">
        <v>89</v>
      </c>
      <c r="I6585">
        <v>2503.44</v>
      </c>
      <c r="J6585">
        <v>2558.65</v>
      </c>
      <c r="K6585" t="s">
        <v>17</v>
      </c>
      <c r="L6585" t="b">
        <v>0</v>
      </c>
      <c r="N6585" s="2" t="str">
        <f t="shared" si="587"/>
        <v/>
      </c>
      <c r="Q6585" t="str">
        <f t="shared" si="590"/>
        <v/>
      </c>
    </row>
    <row r="6586" spans="1:17" hidden="1">
      <c r="A6586" t="s">
        <v>6691</v>
      </c>
      <c r="B6586" s="1">
        <v>45798</v>
      </c>
      <c r="C6586">
        <v>2025</v>
      </c>
      <c r="D6586">
        <v>5</v>
      </c>
      <c r="E6586" t="s">
        <v>13</v>
      </c>
      <c r="F6586" t="s">
        <v>28</v>
      </c>
      <c r="G6586" t="s">
        <v>108</v>
      </c>
      <c r="H6586" t="s">
        <v>109</v>
      </c>
      <c r="I6586">
        <v>4107.9399999999996</v>
      </c>
      <c r="J6586">
        <v>4498.8500000000004</v>
      </c>
      <c r="K6586" t="s">
        <v>17</v>
      </c>
      <c r="L6586" t="b">
        <v>0</v>
      </c>
      <c r="N6586" s="2" t="str">
        <f t="shared" si="587"/>
        <v/>
      </c>
      <c r="Q6586" t="str">
        <f t="shared" si="590"/>
        <v/>
      </c>
    </row>
    <row r="6587" spans="1:17" hidden="1">
      <c r="A6587" t="s">
        <v>6692</v>
      </c>
      <c r="B6587" s="1">
        <v>45798</v>
      </c>
      <c r="C6587">
        <v>2025</v>
      </c>
      <c r="D6587">
        <v>5</v>
      </c>
      <c r="E6587" t="s">
        <v>47</v>
      </c>
      <c r="F6587" t="s">
        <v>28</v>
      </c>
      <c r="G6587" t="s">
        <v>48</v>
      </c>
      <c r="H6587" t="s">
        <v>75</v>
      </c>
      <c r="I6587">
        <v>24170.17</v>
      </c>
      <c r="J6587">
        <v>20365.27</v>
      </c>
      <c r="K6587" t="s">
        <v>17</v>
      </c>
      <c r="L6587" t="b">
        <v>0</v>
      </c>
      <c r="N6587" s="2" t="b">
        <f t="shared" si="587"/>
        <v>1</v>
      </c>
      <c r="O6587" t="b">
        <f t="shared" ref="O6587:O6588" si="591">IF(AND(E6576="HR",K6576="EXPENSE"),I6576&lt;J6576,"")</f>
        <v>0</v>
      </c>
      <c r="Q6587" t="str">
        <f t="shared" si="590"/>
        <v/>
      </c>
    </row>
    <row r="6588" spans="1:17" hidden="1">
      <c r="A6588" t="s">
        <v>6693</v>
      </c>
      <c r="B6588" s="1">
        <v>45798</v>
      </c>
      <c r="C6588">
        <v>2025</v>
      </c>
      <c r="D6588">
        <v>5</v>
      </c>
      <c r="E6588" t="s">
        <v>47</v>
      </c>
      <c r="F6588" t="s">
        <v>24</v>
      </c>
      <c r="G6588" t="s">
        <v>51</v>
      </c>
      <c r="H6588" t="s">
        <v>189</v>
      </c>
      <c r="I6588">
        <v>10890.46</v>
      </c>
      <c r="J6588">
        <v>9213.27</v>
      </c>
      <c r="K6588" t="s">
        <v>17</v>
      </c>
      <c r="L6588" t="b">
        <v>0</v>
      </c>
      <c r="N6588" s="2" t="b">
        <f t="shared" si="587"/>
        <v>1</v>
      </c>
      <c r="O6588" t="str">
        <f t="shared" si="591"/>
        <v/>
      </c>
      <c r="Q6588" t="str">
        <f t="shared" si="590"/>
        <v/>
      </c>
    </row>
    <row r="6589" spans="1:17" hidden="1">
      <c r="A6589" t="s">
        <v>6694</v>
      </c>
      <c r="B6589" s="1">
        <v>45798</v>
      </c>
      <c r="C6589">
        <v>2025</v>
      </c>
      <c r="D6589">
        <v>5</v>
      </c>
      <c r="E6589" t="s">
        <v>19</v>
      </c>
      <c r="F6589" t="s">
        <v>14</v>
      </c>
      <c r="G6589" t="s">
        <v>20</v>
      </c>
      <c r="H6589" t="s">
        <v>21</v>
      </c>
      <c r="I6589">
        <v>7628.24</v>
      </c>
      <c r="J6589">
        <v>8088.11</v>
      </c>
      <c r="K6589" t="s">
        <v>17</v>
      </c>
      <c r="L6589" t="b">
        <v>0</v>
      </c>
      <c r="N6589" s="2" t="str">
        <f t="shared" si="587"/>
        <v/>
      </c>
      <c r="Q6589" t="str">
        <f t="shared" si="590"/>
        <v/>
      </c>
    </row>
    <row r="6590" spans="1:17" hidden="1">
      <c r="A6590" t="s">
        <v>6695</v>
      </c>
      <c r="B6590" s="1">
        <v>45798</v>
      </c>
      <c r="C6590">
        <v>2025</v>
      </c>
      <c r="D6590">
        <v>5</v>
      </c>
      <c r="E6590" t="s">
        <v>19</v>
      </c>
      <c r="F6590" t="s">
        <v>14</v>
      </c>
      <c r="G6590" t="s">
        <v>80</v>
      </c>
      <c r="H6590" t="s">
        <v>81</v>
      </c>
      <c r="I6590">
        <v>7533.64</v>
      </c>
      <c r="J6590">
        <v>8059.9</v>
      </c>
      <c r="K6590" t="s">
        <v>17</v>
      </c>
      <c r="L6590" t="b">
        <v>0</v>
      </c>
      <c r="N6590" s="2" t="str">
        <f t="shared" si="587"/>
        <v/>
      </c>
      <c r="Q6590" t="str">
        <f t="shared" si="590"/>
        <v/>
      </c>
    </row>
    <row r="6591" spans="1:17" hidden="1">
      <c r="A6591" t="s">
        <v>6696</v>
      </c>
      <c r="B6591" s="1">
        <v>45798</v>
      </c>
      <c r="C6591">
        <v>2025</v>
      </c>
      <c r="D6591">
        <v>5</v>
      </c>
      <c r="E6591" t="s">
        <v>19</v>
      </c>
      <c r="F6591" t="s">
        <v>24</v>
      </c>
      <c r="G6591" t="s">
        <v>54</v>
      </c>
      <c r="H6591" t="s">
        <v>163</v>
      </c>
      <c r="I6591">
        <v>7766.67</v>
      </c>
      <c r="J6591">
        <v>7824.63</v>
      </c>
      <c r="K6591" t="s">
        <v>17</v>
      </c>
      <c r="L6591" t="b">
        <v>0</v>
      </c>
      <c r="N6591" s="2" t="str">
        <f t="shared" si="587"/>
        <v/>
      </c>
      <c r="Q6591" t="str">
        <f t="shared" si="590"/>
        <v/>
      </c>
    </row>
    <row r="6592" spans="1:17" hidden="1">
      <c r="A6592" t="s">
        <v>6697</v>
      </c>
      <c r="B6592" s="1">
        <v>45798</v>
      </c>
      <c r="C6592">
        <v>2025</v>
      </c>
      <c r="D6592">
        <v>5</v>
      </c>
      <c r="E6592" t="s">
        <v>23</v>
      </c>
      <c r="F6592" t="s">
        <v>14</v>
      </c>
      <c r="G6592" t="s">
        <v>141</v>
      </c>
      <c r="H6592" t="s">
        <v>153</v>
      </c>
      <c r="I6592">
        <v>3214.9</v>
      </c>
      <c r="J6592">
        <v>3432.53</v>
      </c>
      <c r="K6592" t="s">
        <v>17</v>
      </c>
      <c r="L6592" t="b">
        <v>0</v>
      </c>
      <c r="N6592" s="2" t="str">
        <f t="shared" si="587"/>
        <v/>
      </c>
      <c r="Q6592" t="str">
        <f t="shared" si="590"/>
        <v/>
      </c>
    </row>
    <row r="6593" spans="1:17" hidden="1">
      <c r="A6593" t="s">
        <v>6698</v>
      </c>
      <c r="B6593" s="1">
        <v>45798</v>
      </c>
      <c r="C6593">
        <v>2025</v>
      </c>
      <c r="D6593">
        <v>5</v>
      </c>
      <c r="E6593" t="s">
        <v>23</v>
      </c>
      <c r="F6593" t="s">
        <v>28</v>
      </c>
      <c r="G6593" t="s">
        <v>59</v>
      </c>
      <c r="H6593" t="s">
        <v>155</v>
      </c>
      <c r="I6593">
        <v>4440.3</v>
      </c>
      <c r="J6593">
        <v>4648.05</v>
      </c>
      <c r="K6593" t="s">
        <v>17</v>
      </c>
      <c r="L6593" t="b">
        <v>0</v>
      </c>
      <c r="N6593" s="2" t="str">
        <f t="shared" si="587"/>
        <v/>
      </c>
      <c r="Q6593" t="str">
        <f t="shared" si="590"/>
        <v/>
      </c>
    </row>
    <row r="6594" spans="1:17" hidden="1">
      <c r="A6594" t="s">
        <v>6699</v>
      </c>
      <c r="B6594" s="1">
        <v>45798</v>
      </c>
      <c r="C6594">
        <v>2025</v>
      </c>
      <c r="D6594">
        <v>5</v>
      </c>
      <c r="E6594" t="s">
        <v>37</v>
      </c>
      <c r="F6594" t="s">
        <v>14</v>
      </c>
      <c r="G6594" t="s">
        <v>62</v>
      </c>
      <c r="H6594" t="s">
        <v>121</v>
      </c>
      <c r="I6594">
        <v>5580.81</v>
      </c>
      <c r="J6594">
        <v>6107.25</v>
      </c>
      <c r="K6594" t="s">
        <v>17</v>
      </c>
      <c r="L6594" t="b">
        <v>0</v>
      </c>
      <c r="N6594" s="2" t="str">
        <f t="shared" si="587"/>
        <v/>
      </c>
      <c r="Q6594" t="str">
        <f t="shared" si="590"/>
        <v/>
      </c>
    </row>
    <row r="6595" spans="1:17" hidden="1">
      <c r="A6595" t="s">
        <v>6700</v>
      </c>
      <c r="B6595" s="1">
        <v>45798</v>
      </c>
      <c r="C6595">
        <v>2025</v>
      </c>
      <c r="D6595">
        <v>5</v>
      </c>
      <c r="E6595" t="s">
        <v>37</v>
      </c>
      <c r="F6595" t="s">
        <v>14</v>
      </c>
      <c r="G6595" t="s">
        <v>41</v>
      </c>
      <c r="H6595" t="s">
        <v>42</v>
      </c>
      <c r="I6595">
        <v>7790.35</v>
      </c>
      <c r="J6595">
        <v>8146.69</v>
      </c>
      <c r="K6595" t="s">
        <v>17</v>
      </c>
      <c r="L6595" t="b">
        <v>0</v>
      </c>
      <c r="N6595" s="2" t="str">
        <f t="shared" ref="N6595:N6658" si="592">IF(AND(E6595="IT",K6595="EXPENSE"),I6595&gt;J6595,"")</f>
        <v/>
      </c>
      <c r="Q6595" t="str">
        <f t="shared" si="590"/>
        <v/>
      </c>
    </row>
    <row r="6596" spans="1:17" hidden="1">
      <c r="A6596" t="s">
        <v>6701</v>
      </c>
      <c r="B6596" s="1">
        <v>45798</v>
      </c>
      <c r="C6596">
        <v>2025</v>
      </c>
      <c r="D6596">
        <v>5</v>
      </c>
      <c r="E6596" t="s">
        <v>37</v>
      </c>
      <c r="F6596" t="s">
        <v>14</v>
      </c>
      <c r="G6596" t="s">
        <v>38</v>
      </c>
      <c r="H6596" t="s">
        <v>39</v>
      </c>
      <c r="I6596">
        <v>6293.91</v>
      </c>
      <c r="J6596">
        <v>5936.17</v>
      </c>
      <c r="K6596" t="s">
        <v>17</v>
      </c>
      <c r="L6596" t="b">
        <v>0</v>
      </c>
      <c r="N6596" s="2" t="str">
        <f t="shared" si="592"/>
        <v/>
      </c>
      <c r="Q6596" t="str">
        <f t="shared" si="590"/>
        <v/>
      </c>
    </row>
    <row r="6597" spans="1:17" hidden="1">
      <c r="A6597" t="s">
        <v>6702</v>
      </c>
      <c r="B6597" s="1">
        <v>45799</v>
      </c>
      <c r="C6597">
        <v>2025</v>
      </c>
      <c r="D6597">
        <v>5</v>
      </c>
      <c r="E6597" t="s">
        <v>13</v>
      </c>
      <c r="F6597" t="s">
        <v>14</v>
      </c>
      <c r="G6597" t="s">
        <v>102</v>
      </c>
      <c r="H6597" t="s">
        <v>278</v>
      </c>
      <c r="I6597">
        <v>4375.7</v>
      </c>
      <c r="J6597">
        <v>4038.47</v>
      </c>
      <c r="K6597" t="s">
        <v>17</v>
      </c>
      <c r="L6597" t="b">
        <v>0</v>
      </c>
      <c r="N6597" s="2" t="str">
        <f t="shared" si="592"/>
        <v/>
      </c>
      <c r="Q6597" t="str">
        <f t="shared" si="590"/>
        <v/>
      </c>
    </row>
    <row r="6598" spans="1:17" hidden="1">
      <c r="A6598" t="s">
        <v>6703</v>
      </c>
      <c r="B6598" s="1">
        <v>45799</v>
      </c>
      <c r="C6598">
        <v>2025</v>
      </c>
      <c r="D6598">
        <v>5</v>
      </c>
      <c r="E6598" t="s">
        <v>13</v>
      </c>
      <c r="F6598" t="s">
        <v>14</v>
      </c>
      <c r="G6598" t="s">
        <v>15</v>
      </c>
      <c r="H6598" t="s">
        <v>45</v>
      </c>
      <c r="I6598">
        <v>3401.06</v>
      </c>
      <c r="J6598">
        <v>3214.65</v>
      </c>
      <c r="K6598" t="s">
        <v>17</v>
      </c>
      <c r="L6598" t="b">
        <v>0</v>
      </c>
      <c r="N6598" s="2" t="str">
        <f t="shared" si="592"/>
        <v/>
      </c>
      <c r="Q6598" t="str">
        <f t="shared" si="590"/>
        <v/>
      </c>
    </row>
    <row r="6599" spans="1:17" hidden="1">
      <c r="A6599" t="s">
        <v>6704</v>
      </c>
      <c r="B6599" s="1">
        <v>45799</v>
      </c>
      <c r="C6599">
        <v>2025</v>
      </c>
      <c r="D6599">
        <v>5</v>
      </c>
      <c r="E6599" t="s">
        <v>13</v>
      </c>
      <c r="F6599" t="s">
        <v>14</v>
      </c>
      <c r="G6599" t="s">
        <v>102</v>
      </c>
      <c r="H6599" t="s">
        <v>145</v>
      </c>
      <c r="I6599">
        <v>2612.79</v>
      </c>
      <c r="J6599">
        <v>2478.06</v>
      </c>
      <c r="K6599" t="s">
        <v>17</v>
      </c>
      <c r="L6599" t="b">
        <v>0</v>
      </c>
      <c r="N6599" s="2" t="str">
        <f t="shared" si="592"/>
        <v/>
      </c>
      <c r="Q6599" t="str">
        <f t="shared" si="590"/>
        <v/>
      </c>
    </row>
    <row r="6600" spans="1:17" hidden="1">
      <c r="A6600" t="s">
        <v>6705</v>
      </c>
      <c r="B6600" s="1">
        <v>45799</v>
      </c>
      <c r="C6600">
        <v>2025</v>
      </c>
      <c r="D6600">
        <v>5</v>
      </c>
      <c r="E6600" t="s">
        <v>13</v>
      </c>
      <c r="F6600" t="s">
        <v>28</v>
      </c>
      <c r="G6600" t="s">
        <v>15</v>
      </c>
      <c r="H6600" t="s">
        <v>89</v>
      </c>
      <c r="I6600">
        <v>3917.67</v>
      </c>
      <c r="J6600">
        <v>4026.29</v>
      </c>
      <c r="K6600" t="s">
        <v>17</v>
      </c>
      <c r="L6600" t="b">
        <v>0</v>
      </c>
      <c r="N6600" s="2" t="str">
        <f t="shared" si="592"/>
        <v/>
      </c>
      <c r="Q6600" t="str">
        <f t="shared" si="590"/>
        <v/>
      </c>
    </row>
    <row r="6601" spans="1:17" hidden="1">
      <c r="A6601" t="s">
        <v>6706</v>
      </c>
      <c r="B6601" s="1">
        <v>45799</v>
      </c>
      <c r="C6601">
        <v>2025</v>
      </c>
      <c r="D6601">
        <v>5</v>
      </c>
      <c r="E6601" t="s">
        <v>13</v>
      </c>
      <c r="F6601" t="s">
        <v>28</v>
      </c>
      <c r="G6601" t="s">
        <v>68</v>
      </c>
      <c r="H6601" t="s">
        <v>213</v>
      </c>
      <c r="I6601">
        <v>4393.1000000000004</v>
      </c>
      <c r="J6601">
        <v>4544.0200000000004</v>
      </c>
      <c r="K6601" t="s">
        <v>17</v>
      </c>
      <c r="L6601" t="b">
        <v>0</v>
      </c>
      <c r="N6601" s="2" t="str">
        <f t="shared" si="592"/>
        <v/>
      </c>
      <c r="Q6601" t="str">
        <f t="shared" si="590"/>
        <v/>
      </c>
    </row>
    <row r="6602" spans="1:17" hidden="1">
      <c r="A6602" t="s">
        <v>6707</v>
      </c>
      <c r="B6602" s="1">
        <v>45799</v>
      </c>
      <c r="C6602">
        <v>2025</v>
      </c>
      <c r="D6602">
        <v>5</v>
      </c>
      <c r="E6602" t="s">
        <v>19</v>
      </c>
      <c r="F6602" t="s">
        <v>28</v>
      </c>
      <c r="G6602" t="s">
        <v>20</v>
      </c>
      <c r="H6602" t="s">
        <v>21</v>
      </c>
      <c r="I6602">
        <v>1281.71</v>
      </c>
      <c r="J6602">
        <v>1409.16</v>
      </c>
      <c r="K6602" t="s">
        <v>17</v>
      </c>
      <c r="L6602" t="b">
        <v>0</v>
      </c>
      <c r="N6602" s="2" t="str">
        <f t="shared" si="592"/>
        <v/>
      </c>
      <c r="Q6602" t="str">
        <f t="shared" si="590"/>
        <v/>
      </c>
    </row>
    <row r="6603" spans="1:17" hidden="1">
      <c r="A6603" t="s">
        <v>6708</v>
      </c>
      <c r="B6603" s="1">
        <v>45799</v>
      </c>
      <c r="C6603">
        <v>2025</v>
      </c>
      <c r="D6603">
        <v>5</v>
      </c>
      <c r="E6603" t="s">
        <v>19</v>
      </c>
      <c r="F6603" t="s">
        <v>28</v>
      </c>
      <c r="G6603" t="s">
        <v>132</v>
      </c>
      <c r="H6603" t="s">
        <v>171</v>
      </c>
      <c r="I6603">
        <v>4855.24</v>
      </c>
      <c r="J6603">
        <v>4784.78</v>
      </c>
      <c r="K6603" t="s">
        <v>17</v>
      </c>
      <c r="L6603" t="b">
        <v>0</v>
      </c>
      <c r="N6603" s="2" t="str">
        <f t="shared" si="592"/>
        <v/>
      </c>
      <c r="Q6603" t="str">
        <f t="shared" si="590"/>
        <v/>
      </c>
    </row>
    <row r="6604" spans="1:17" hidden="1">
      <c r="A6604" t="s">
        <v>6709</v>
      </c>
      <c r="B6604" s="1">
        <v>45799</v>
      </c>
      <c r="C6604">
        <v>2025</v>
      </c>
      <c r="D6604">
        <v>5</v>
      </c>
      <c r="E6604" t="s">
        <v>19</v>
      </c>
      <c r="F6604" t="s">
        <v>28</v>
      </c>
      <c r="G6604" t="s">
        <v>20</v>
      </c>
      <c r="H6604" t="s">
        <v>21</v>
      </c>
      <c r="I6604">
        <v>6651.67</v>
      </c>
      <c r="J6604">
        <v>6303.64</v>
      </c>
      <c r="K6604" t="s">
        <v>17</v>
      </c>
      <c r="L6604" t="b">
        <v>0</v>
      </c>
      <c r="N6604" s="2" t="str">
        <f t="shared" si="592"/>
        <v/>
      </c>
      <c r="Q6604" t="str">
        <f t="shared" si="590"/>
        <v/>
      </c>
    </row>
    <row r="6605" spans="1:17" hidden="1">
      <c r="A6605" t="s">
        <v>6710</v>
      </c>
      <c r="B6605" s="1">
        <v>45799</v>
      </c>
      <c r="C6605">
        <v>2025</v>
      </c>
      <c r="D6605">
        <v>5</v>
      </c>
      <c r="E6605" t="s">
        <v>23</v>
      </c>
      <c r="F6605" t="s">
        <v>14</v>
      </c>
      <c r="G6605" t="s">
        <v>59</v>
      </c>
      <c r="H6605" t="s">
        <v>155</v>
      </c>
      <c r="I6605">
        <v>7592.04</v>
      </c>
      <c r="J6605">
        <v>8205.44</v>
      </c>
      <c r="K6605" t="s">
        <v>17</v>
      </c>
      <c r="L6605" t="b">
        <v>0</v>
      </c>
      <c r="N6605" s="2" t="str">
        <f t="shared" si="592"/>
        <v/>
      </c>
      <c r="Q6605" t="str">
        <f t="shared" si="590"/>
        <v/>
      </c>
    </row>
    <row r="6606" spans="1:17" hidden="1">
      <c r="A6606" t="s">
        <v>6711</v>
      </c>
      <c r="B6606" s="1">
        <v>45799</v>
      </c>
      <c r="C6606">
        <v>2025</v>
      </c>
      <c r="D6606">
        <v>5</v>
      </c>
      <c r="E6606" t="s">
        <v>23</v>
      </c>
      <c r="F6606" t="s">
        <v>28</v>
      </c>
      <c r="G6606" t="s">
        <v>25</v>
      </c>
      <c r="H6606" t="s">
        <v>95</v>
      </c>
      <c r="I6606">
        <v>4883.01</v>
      </c>
      <c r="J6606">
        <v>4851.93</v>
      </c>
      <c r="K6606" t="s">
        <v>17</v>
      </c>
      <c r="L6606" t="b">
        <v>0</v>
      </c>
      <c r="N6606" s="2" t="str">
        <f t="shared" si="592"/>
        <v/>
      </c>
      <c r="Q6606" t="str">
        <f t="shared" si="590"/>
        <v/>
      </c>
    </row>
    <row r="6607" spans="1:17" hidden="1">
      <c r="A6607" t="s">
        <v>6712</v>
      </c>
      <c r="B6607" s="1">
        <v>45799</v>
      </c>
      <c r="C6607">
        <v>2025</v>
      </c>
      <c r="D6607">
        <v>5</v>
      </c>
      <c r="E6607" t="s">
        <v>37</v>
      </c>
      <c r="F6607" t="s">
        <v>28</v>
      </c>
      <c r="G6607" t="s">
        <v>98</v>
      </c>
      <c r="H6607" t="s">
        <v>185</v>
      </c>
      <c r="I6607">
        <v>2948.67</v>
      </c>
      <c r="J6607">
        <v>3093.81</v>
      </c>
      <c r="K6607" t="s">
        <v>17</v>
      </c>
      <c r="L6607" t="b">
        <v>0</v>
      </c>
      <c r="N6607" s="2" t="str">
        <f t="shared" si="592"/>
        <v/>
      </c>
      <c r="Q6607" t="str">
        <f t="shared" si="590"/>
        <v/>
      </c>
    </row>
    <row r="6608" spans="1:17" hidden="1">
      <c r="A6608" t="s">
        <v>6713</v>
      </c>
      <c r="B6608" s="1">
        <v>45800</v>
      </c>
      <c r="C6608">
        <v>2025</v>
      </c>
      <c r="D6608">
        <v>5</v>
      </c>
      <c r="E6608" t="s">
        <v>13</v>
      </c>
      <c r="F6608" t="s">
        <v>24</v>
      </c>
      <c r="G6608" t="s">
        <v>108</v>
      </c>
      <c r="H6608" t="s">
        <v>109</v>
      </c>
      <c r="I6608">
        <v>2575.29</v>
      </c>
      <c r="J6608">
        <v>2589.4699999999998</v>
      </c>
      <c r="K6608" t="s">
        <v>17</v>
      </c>
      <c r="L6608" t="b">
        <v>0</v>
      </c>
      <c r="N6608" s="2" t="str">
        <f t="shared" si="592"/>
        <v/>
      </c>
      <c r="Q6608" t="str">
        <f t="shared" si="590"/>
        <v/>
      </c>
    </row>
    <row r="6609" spans="1:17" hidden="1">
      <c r="A6609" t="s">
        <v>6714</v>
      </c>
      <c r="B6609" s="1">
        <v>45800</v>
      </c>
      <c r="C6609">
        <v>2025</v>
      </c>
      <c r="D6609">
        <v>5</v>
      </c>
      <c r="E6609" t="s">
        <v>13</v>
      </c>
      <c r="F6609" t="s">
        <v>24</v>
      </c>
      <c r="G6609" t="s">
        <v>102</v>
      </c>
      <c r="H6609" t="s">
        <v>103</v>
      </c>
      <c r="I6609">
        <v>4099.8500000000004</v>
      </c>
      <c r="J6609">
        <v>3809.11</v>
      </c>
      <c r="K6609" t="s">
        <v>17</v>
      </c>
      <c r="L6609" t="b">
        <v>0</v>
      </c>
      <c r="N6609" s="2" t="str">
        <f t="shared" si="592"/>
        <v/>
      </c>
      <c r="Q6609" t="str">
        <f t="shared" si="590"/>
        <v/>
      </c>
    </row>
    <row r="6610" spans="1:17" hidden="1">
      <c r="A6610" t="s">
        <v>6715</v>
      </c>
      <c r="B6610" s="1">
        <v>45800</v>
      </c>
      <c r="C6610">
        <v>2025</v>
      </c>
      <c r="D6610">
        <v>5</v>
      </c>
      <c r="E6610" t="s">
        <v>47</v>
      </c>
      <c r="F6610" t="s">
        <v>14</v>
      </c>
      <c r="G6610" t="s">
        <v>48</v>
      </c>
      <c r="H6610" t="s">
        <v>111</v>
      </c>
      <c r="I6610">
        <v>16425.48</v>
      </c>
      <c r="J6610">
        <v>13549.74</v>
      </c>
      <c r="K6610" t="s">
        <v>17</v>
      </c>
      <c r="L6610" t="b">
        <v>0</v>
      </c>
      <c r="N6610" s="2" t="b">
        <f t="shared" si="592"/>
        <v>1</v>
      </c>
      <c r="O6610" t="b">
        <f t="shared" ref="O6610:O6613" si="593">IF(AND(E6599="HR",K6599="EXPENSE"),I6599&lt;J6599,"")</f>
        <v>0</v>
      </c>
      <c r="Q6610" t="str">
        <f t="shared" si="590"/>
        <v/>
      </c>
    </row>
    <row r="6611" spans="1:17" hidden="1">
      <c r="A6611" t="s">
        <v>6716</v>
      </c>
      <c r="B6611" s="1">
        <v>45800</v>
      </c>
      <c r="C6611">
        <v>2025</v>
      </c>
      <c r="D6611">
        <v>5</v>
      </c>
      <c r="E6611" t="s">
        <v>47</v>
      </c>
      <c r="F6611" t="s">
        <v>24</v>
      </c>
      <c r="G6611" t="s">
        <v>51</v>
      </c>
      <c r="H6611" t="s">
        <v>189</v>
      </c>
      <c r="I6611">
        <v>10428.89</v>
      </c>
      <c r="J6611">
        <v>8887.9</v>
      </c>
      <c r="K6611" t="s">
        <v>17</v>
      </c>
      <c r="L6611" t="b">
        <v>0</v>
      </c>
      <c r="N6611" s="2" t="b">
        <f t="shared" si="592"/>
        <v>1</v>
      </c>
      <c r="O6611" t="b">
        <f t="shared" si="593"/>
        <v>1</v>
      </c>
      <c r="Q6611" t="str">
        <f t="shared" si="590"/>
        <v/>
      </c>
    </row>
    <row r="6612" spans="1:17" hidden="1">
      <c r="A6612" t="s">
        <v>6717</v>
      </c>
      <c r="B6612" s="1">
        <v>45801</v>
      </c>
      <c r="C6612">
        <v>2025</v>
      </c>
      <c r="D6612">
        <v>5</v>
      </c>
      <c r="E6612" t="s">
        <v>47</v>
      </c>
      <c r="F6612" t="s">
        <v>14</v>
      </c>
      <c r="G6612" t="s">
        <v>48</v>
      </c>
      <c r="H6612" t="s">
        <v>49</v>
      </c>
      <c r="I6612">
        <v>14011.65</v>
      </c>
      <c r="J6612">
        <v>11555.31</v>
      </c>
      <c r="K6612" t="s">
        <v>17</v>
      </c>
      <c r="L6612" t="b">
        <v>0</v>
      </c>
      <c r="N6612" s="2" t="b">
        <f t="shared" si="592"/>
        <v>1</v>
      </c>
      <c r="O6612" t="b">
        <f t="shared" si="593"/>
        <v>1</v>
      </c>
      <c r="Q6612" t="str">
        <f t="shared" si="590"/>
        <v/>
      </c>
    </row>
    <row r="6613" spans="1:17" hidden="1">
      <c r="A6613" t="s">
        <v>6718</v>
      </c>
      <c r="B6613" s="1">
        <v>45801</v>
      </c>
      <c r="C6613">
        <v>2025</v>
      </c>
      <c r="D6613">
        <v>5</v>
      </c>
      <c r="E6613" t="s">
        <v>47</v>
      </c>
      <c r="F6613" t="s">
        <v>24</v>
      </c>
      <c r="G6613" t="s">
        <v>91</v>
      </c>
      <c r="H6613" t="s">
        <v>92</v>
      </c>
      <c r="I6613">
        <v>10618.41</v>
      </c>
      <c r="J6613">
        <v>8845.85</v>
      </c>
      <c r="K6613" t="s">
        <v>17</v>
      </c>
      <c r="L6613" t="b">
        <v>0</v>
      </c>
      <c r="N6613" s="2" t="b">
        <f t="shared" si="592"/>
        <v>1</v>
      </c>
      <c r="O6613" t="str">
        <f t="shared" si="593"/>
        <v/>
      </c>
      <c r="Q6613" t="str">
        <f t="shared" si="590"/>
        <v/>
      </c>
    </row>
    <row r="6614" spans="1:17" hidden="1">
      <c r="A6614" t="s">
        <v>6719</v>
      </c>
      <c r="B6614" s="1">
        <v>45801</v>
      </c>
      <c r="C6614">
        <v>2025</v>
      </c>
      <c r="D6614">
        <v>5</v>
      </c>
      <c r="E6614" t="s">
        <v>19</v>
      </c>
      <c r="F6614" t="s">
        <v>14</v>
      </c>
      <c r="G6614" t="s">
        <v>80</v>
      </c>
      <c r="H6614" t="s">
        <v>150</v>
      </c>
      <c r="I6614">
        <v>6874.17</v>
      </c>
      <c r="J6614">
        <v>7107.74</v>
      </c>
      <c r="K6614" t="s">
        <v>17</v>
      </c>
      <c r="L6614" t="b">
        <v>0</v>
      </c>
      <c r="N6614" s="2" t="str">
        <f t="shared" si="592"/>
        <v/>
      </c>
      <c r="Q6614" t="str">
        <f t="shared" si="590"/>
        <v/>
      </c>
    </row>
    <row r="6615" spans="1:17" hidden="1">
      <c r="A6615" t="s">
        <v>6720</v>
      </c>
      <c r="B6615" s="1">
        <v>45801</v>
      </c>
      <c r="C6615">
        <v>2025</v>
      </c>
      <c r="D6615">
        <v>5</v>
      </c>
      <c r="E6615" t="s">
        <v>23</v>
      </c>
      <c r="F6615" t="s">
        <v>14</v>
      </c>
      <c r="G6615" t="s">
        <v>141</v>
      </c>
      <c r="H6615" t="s">
        <v>142</v>
      </c>
      <c r="I6615">
        <v>5089.2700000000004</v>
      </c>
      <c r="J6615">
        <v>5262.04</v>
      </c>
      <c r="K6615" t="s">
        <v>17</v>
      </c>
      <c r="L6615" t="b">
        <v>0</v>
      </c>
      <c r="N6615" s="2" t="str">
        <f t="shared" si="592"/>
        <v/>
      </c>
      <c r="Q6615" t="str">
        <f t="shared" si="590"/>
        <v/>
      </c>
    </row>
    <row r="6616" spans="1:17" hidden="1">
      <c r="A6616" t="s">
        <v>6721</v>
      </c>
      <c r="B6616" s="1">
        <v>45801</v>
      </c>
      <c r="C6616">
        <v>2025</v>
      </c>
      <c r="D6616">
        <v>5</v>
      </c>
      <c r="E6616" t="s">
        <v>37</v>
      </c>
      <c r="F6616" t="s">
        <v>14</v>
      </c>
      <c r="G6616" t="s">
        <v>98</v>
      </c>
      <c r="H6616" t="s">
        <v>185</v>
      </c>
      <c r="I6616">
        <v>7162.07</v>
      </c>
      <c r="J6616">
        <v>7536.23</v>
      </c>
      <c r="K6616" t="s">
        <v>17</v>
      </c>
      <c r="L6616" t="b">
        <v>0</v>
      </c>
      <c r="N6616" s="2" t="str">
        <f t="shared" si="592"/>
        <v/>
      </c>
      <c r="Q6616" t="str">
        <f t="shared" si="590"/>
        <v/>
      </c>
    </row>
    <row r="6617" spans="1:17" hidden="1">
      <c r="A6617" t="s">
        <v>6722</v>
      </c>
      <c r="B6617" s="1">
        <v>45801</v>
      </c>
      <c r="C6617">
        <v>2025</v>
      </c>
      <c r="D6617">
        <v>5</v>
      </c>
      <c r="E6617" t="s">
        <v>37</v>
      </c>
      <c r="F6617" t="s">
        <v>28</v>
      </c>
      <c r="G6617" t="s">
        <v>62</v>
      </c>
      <c r="H6617" t="s">
        <v>360</v>
      </c>
      <c r="I6617">
        <v>6372.89</v>
      </c>
      <c r="J6617">
        <v>5764.98</v>
      </c>
      <c r="K6617" t="s">
        <v>17</v>
      </c>
      <c r="L6617" t="b">
        <v>0</v>
      </c>
      <c r="N6617" s="2" t="str">
        <f t="shared" si="592"/>
        <v/>
      </c>
      <c r="Q6617" t="str">
        <f t="shared" si="590"/>
        <v/>
      </c>
    </row>
    <row r="6618" spans="1:17" hidden="1">
      <c r="A6618" t="s">
        <v>6723</v>
      </c>
      <c r="B6618" s="1">
        <v>45801</v>
      </c>
      <c r="C6618">
        <v>2025</v>
      </c>
      <c r="D6618">
        <v>5</v>
      </c>
      <c r="E6618" t="s">
        <v>37</v>
      </c>
      <c r="F6618" t="s">
        <v>24</v>
      </c>
      <c r="G6618" t="s">
        <v>98</v>
      </c>
      <c r="H6618" t="s">
        <v>99</v>
      </c>
      <c r="I6618">
        <v>4774.7</v>
      </c>
      <c r="J6618">
        <v>4878.3</v>
      </c>
      <c r="K6618" t="s">
        <v>17</v>
      </c>
      <c r="L6618" t="b">
        <v>0</v>
      </c>
      <c r="N6618" s="2" t="str">
        <f t="shared" si="592"/>
        <v/>
      </c>
      <c r="Q6618" t="str">
        <f t="shared" si="590"/>
        <v/>
      </c>
    </row>
    <row r="6619" spans="1:17" hidden="1">
      <c r="A6619" t="s">
        <v>6724</v>
      </c>
      <c r="B6619" s="1">
        <v>45802</v>
      </c>
      <c r="C6619">
        <v>2025</v>
      </c>
      <c r="D6619">
        <v>5</v>
      </c>
      <c r="E6619" t="s">
        <v>13</v>
      </c>
      <c r="F6619" t="s">
        <v>14</v>
      </c>
      <c r="G6619" t="s">
        <v>102</v>
      </c>
      <c r="H6619" t="s">
        <v>103</v>
      </c>
      <c r="I6619">
        <v>2620.31</v>
      </c>
      <c r="J6619">
        <v>2735.96</v>
      </c>
      <c r="K6619" t="s">
        <v>17</v>
      </c>
      <c r="L6619" t="b">
        <v>0</v>
      </c>
      <c r="N6619" s="2" t="str">
        <f t="shared" si="592"/>
        <v/>
      </c>
      <c r="Q6619" t="str">
        <f t="shared" si="590"/>
        <v/>
      </c>
    </row>
    <row r="6620" spans="1:17" hidden="1">
      <c r="A6620" t="s">
        <v>6725</v>
      </c>
      <c r="B6620" s="1">
        <v>45802</v>
      </c>
      <c r="C6620">
        <v>2025</v>
      </c>
      <c r="D6620">
        <v>5</v>
      </c>
      <c r="E6620" t="s">
        <v>13</v>
      </c>
      <c r="F6620" t="s">
        <v>28</v>
      </c>
      <c r="G6620" t="s">
        <v>68</v>
      </c>
      <c r="H6620" t="s">
        <v>69</v>
      </c>
      <c r="I6620">
        <v>1896.09</v>
      </c>
      <c r="J6620">
        <v>1838.86</v>
      </c>
      <c r="K6620" t="s">
        <v>17</v>
      </c>
      <c r="L6620" t="b">
        <v>0</v>
      </c>
      <c r="N6620" s="2" t="str">
        <f t="shared" si="592"/>
        <v/>
      </c>
      <c r="Q6620" t="str">
        <f t="shared" si="590"/>
        <v/>
      </c>
    </row>
    <row r="6621" spans="1:17" hidden="1">
      <c r="A6621" t="s">
        <v>6726</v>
      </c>
      <c r="B6621" s="1">
        <v>45802</v>
      </c>
      <c r="C6621">
        <v>2025</v>
      </c>
      <c r="D6621">
        <v>5</v>
      </c>
      <c r="E6621" t="s">
        <v>13</v>
      </c>
      <c r="F6621" t="s">
        <v>28</v>
      </c>
      <c r="G6621" t="s">
        <v>102</v>
      </c>
      <c r="H6621" t="s">
        <v>145</v>
      </c>
      <c r="I6621">
        <v>3161.21</v>
      </c>
      <c r="J6621">
        <v>3149.57</v>
      </c>
      <c r="K6621" t="s">
        <v>17</v>
      </c>
      <c r="L6621" t="b">
        <v>0</v>
      </c>
      <c r="N6621" s="2" t="str">
        <f t="shared" si="592"/>
        <v/>
      </c>
      <c r="Q6621" t="str">
        <f t="shared" si="590"/>
        <v/>
      </c>
    </row>
    <row r="6622" spans="1:17" hidden="1">
      <c r="A6622" t="s">
        <v>6727</v>
      </c>
      <c r="B6622" s="1">
        <v>45802</v>
      </c>
      <c r="C6622">
        <v>2025</v>
      </c>
      <c r="D6622">
        <v>5</v>
      </c>
      <c r="E6622" t="s">
        <v>47</v>
      </c>
      <c r="F6622" t="s">
        <v>14</v>
      </c>
      <c r="G6622" t="s">
        <v>91</v>
      </c>
      <c r="H6622" t="s">
        <v>249</v>
      </c>
      <c r="I6622">
        <v>13965.95</v>
      </c>
      <c r="J6622">
        <v>11752.06</v>
      </c>
      <c r="K6622" t="s">
        <v>17</v>
      </c>
      <c r="L6622" t="b">
        <v>0</v>
      </c>
      <c r="N6622" s="2" t="b">
        <f t="shared" si="592"/>
        <v>1</v>
      </c>
      <c r="O6622" t="str">
        <f t="shared" ref="O6622:O6624" si="594">IF(AND(E6611="HR",K6611="EXPENSE"),I6611&lt;J6611,"")</f>
        <v/>
      </c>
      <c r="Q6622" t="str">
        <f t="shared" si="590"/>
        <v/>
      </c>
    </row>
    <row r="6623" spans="1:17" hidden="1">
      <c r="A6623" t="s">
        <v>6728</v>
      </c>
      <c r="B6623" s="1">
        <v>45802</v>
      </c>
      <c r="C6623">
        <v>2025</v>
      </c>
      <c r="D6623">
        <v>5</v>
      </c>
      <c r="E6623" t="s">
        <v>47</v>
      </c>
      <c r="F6623" t="s">
        <v>24</v>
      </c>
      <c r="G6623" t="s">
        <v>77</v>
      </c>
      <c r="H6623" t="s">
        <v>130</v>
      </c>
      <c r="I6623">
        <v>16857.349999999999</v>
      </c>
      <c r="J6623">
        <v>14164.74</v>
      </c>
      <c r="K6623" t="s">
        <v>17</v>
      </c>
      <c r="L6623" t="b">
        <v>0</v>
      </c>
      <c r="N6623" s="2" t="b">
        <f t="shared" si="592"/>
        <v>1</v>
      </c>
      <c r="O6623" t="str">
        <f t="shared" si="594"/>
        <v/>
      </c>
      <c r="Q6623" t="str">
        <f t="shared" si="590"/>
        <v/>
      </c>
    </row>
    <row r="6624" spans="1:17" hidden="1">
      <c r="A6624" t="s">
        <v>6729</v>
      </c>
      <c r="B6624" s="1">
        <v>45802</v>
      </c>
      <c r="C6624">
        <v>2025</v>
      </c>
      <c r="D6624">
        <v>5</v>
      </c>
      <c r="E6624" t="s">
        <v>47</v>
      </c>
      <c r="F6624" t="s">
        <v>24</v>
      </c>
      <c r="G6624" t="s">
        <v>51</v>
      </c>
      <c r="H6624" t="s">
        <v>52</v>
      </c>
      <c r="I6624">
        <v>15057.27</v>
      </c>
      <c r="J6624">
        <v>12538.77</v>
      </c>
      <c r="K6624" t="s">
        <v>17</v>
      </c>
      <c r="L6624" t="b">
        <v>0</v>
      </c>
      <c r="N6624" s="2" t="b">
        <f t="shared" si="592"/>
        <v>1</v>
      </c>
      <c r="O6624" t="str">
        <f t="shared" si="594"/>
        <v/>
      </c>
      <c r="Q6624" t="str">
        <f t="shared" si="590"/>
        <v/>
      </c>
    </row>
    <row r="6625" spans="1:17" hidden="1">
      <c r="A6625" t="s">
        <v>6730</v>
      </c>
      <c r="B6625" s="1">
        <v>45802</v>
      </c>
      <c r="C6625">
        <v>2025</v>
      </c>
      <c r="D6625">
        <v>5</v>
      </c>
      <c r="E6625" t="s">
        <v>19</v>
      </c>
      <c r="F6625" t="s">
        <v>14</v>
      </c>
      <c r="G6625" t="s">
        <v>20</v>
      </c>
      <c r="H6625" t="s">
        <v>21</v>
      </c>
      <c r="I6625">
        <v>6963.86</v>
      </c>
      <c r="J6625">
        <v>7340.14</v>
      </c>
      <c r="K6625" t="s">
        <v>17</v>
      </c>
      <c r="L6625" t="b">
        <v>0</v>
      </c>
      <c r="N6625" s="2" t="str">
        <f t="shared" si="592"/>
        <v/>
      </c>
      <c r="Q6625" t="str">
        <f t="shared" si="590"/>
        <v/>
      </c>
    </row>
    <row r="6626" spans="1:17" hidden="1">
      <c r="A6626" t="s">
        <v>6731</v>
      </c>
      <c r="B6626" s="1">
        <v>45802</v>
      </c>
      <c r="C6626">
        <v>2025</v>
      </c>
      <c r="D6626">
        <v>5</v>
      </c>
      <c r="E6626" t="s">
        <v>19</v>
      </c>
      <c r="F6626" t="s">
        <v>14</v>
      </c>
      <c r="G6626" t="s">
        <v>54</v>
      </c>
      <c r="H6626" t="s">
        <v>57</v>
      </c>
      <c r="I6626">
        <v>6025.39</v>
      </c>
      <c r="J6626">
        <v>6291.71</v>
      </c>
      <c r="K6626" t="s">
        <v>17</v>
      </c>
      <c r="L6626" t="b">
        <v>0</v>
      </c>
      <c r="N6626" s="2" t="str">
        <f t="shared" si="592"/>
        <v/>
      </c>
      <c r="Q6626" t="str">
        <f t="shared" si="590"/>
        <v/>
      </c>
    </row>
    <row r="6627" spans="1:17" hidden="1">
      <c r="A6627" t="s">
        <v>6732</v>
      </c>
      <c r="B6627" s="1">
        <v>45802</v>
      </c>
      <c r="C6627">
        <v>2025</v>
      </c>
      <c r="D6627">
        <v>5</v>
      </c>
      <c r="E6627" t="s">
        <v>19</v>
      </c>
      <c r="F6627" t="s">
        <v>24</v>
      </c>
      <c r="G6627" t="s">
        <v>20</v>
      </c>
      <c r="H6627" t="s">
        <v>21</v>
      </c>
      <c r="I6627">
        <v>3206.79</v>
      </c>
      <c r="J6627">
        <v>2949.1</v>
      </c>
      <c r="K6627" t="s">
        <v>17</v>
      </c>
      <c r="L6627" t="b">
        <v>0</v>
      </c>
      <c r="N6627" s="2" t="str">
        <f t="shared" si="592"/>
        <v/>
      </c>
      <c r="Q6627" t="str">
        <f t="shared" si="590"/>
        <v/>
      </c>
    </row>
    <row r="6628" spans="1:17" hidden="1">
      <c r="A6628" t="s">
        <v>6733</v>
      </c>
      <c r="B6628" s="1">
        <v>45802</v>
      </c>
      <c r="C6628">
        <v>2025</v>
      </c>
      <c r="D6628">
        <v>5</v>
      </c>
      <c r="E6628" t="s">
        <v>23</v>
      </c>
      <c r="F6628" t="s">
        <v>24</v>
      </c>
      <c r="G6628" t="s">
        <v>59</v>
      </c>
      <c r="H6628" t="s">
        <v>60</v>
      </c>
      <c r="I6628">
        <v>5102.92</v>
      </c>
      <c r="J6628">
        <v>4754.74</v>
      </c>
      <c r="K6628" t="s">
        <v>17</v>
      </c>
      <c r="L6628" t="b">
        <v>0</v>
      </c>
      <c r="N6628" s="2" t="str">
        <f t="shared" si="592"/>
        <v/>
      </c>
      <c r="Q6628" t="str">
        <f t="shared" si="590"/>
        <v/>
      </c>
    </row>
    <row r="6629" spans="1:17" hidden="1">
      <c r="A6629" t="s">
        <v>6734</v>
      </c>
      <c r="B6629" s="1">
        <v>45802</v>
      </c>
      <c r="C6629">
        <v>2025</v>
      </c>
      <c r="D6629">
        <v>5</v>
      </c>
      <c r="E6629" t="s">
        <v>37</v>
      </c>
      <c r="F6629" t="s">
        <v>14</v>
      </c>
      <c r="G6629" t="s">
        <v>41</v>
      </c>
      <c r="H6629" t="s">
        <v>42</v>
      </c>
      <c r="I6629">
        <v>7187.61</v>
      </c>
      <c r="J6629">
        <v>7224.32</v>
      </c>
      <c r="K6629" t="s">
        <v>17</v>
      </c>
      <c r="L6629" t="b">
        <v>0</v>
      </c>
      <c r="N6629" s="2" t="str">
        <f t="shared" si="592"/>
        <v/>
      </c>
      <c r="Q6629" t="str">
        <f t="shared" si="590"/>
        <v/>
      </c>
    </row>
    <row r="6630" spans="1:17" hidden="1">
      <c r="A6630" t="s">
        <v>6735</v>
      </c>
      <c r="B6630" s="1">
        <v>45802</v>
      </c>
      <c r="C6630">
        <v>2025</v>
      </c>
      <c r="D6630">
        <v>5</v>
      </c>
      <c r="E6630" t="s">
        <v>37</v>
      </c>
      <c r="F6630" t="s">
        <v>14</v>
      </c>
      <c r="G6630" t="s">
        <v>98</v>
      </c>
      <c r="H6630" t="s">
        <v>99</v>
      </c>
      <c r="I6630">
        <v>5539.45</v>
      </c>
      <c r="J6630">
        <v>5849.89</v>
      </c>
      <c r="K6630" t="s">
        <v>17</v>
      </c>
      <c r="L6630" t="b">
        <v>0</v>
      </c>
      <c r="N6630" s="2" t="str">
        <f t="shared" si="592"/>
        <v/>
      </c>
      <c r="Q6630" t="str">
        <f t="shared" si="590"/>
        <v/>
      </c>
    </row>
    <row r="6631" spans="1:17" hidden="1">
      <c r="A6631" t="s">
        <v>6736</v>
      </c>
      <c r="B6631" s="1">
        <v>45802</v>
      </c>
      <c r="C6631">
        <v>2025</v>
      </c>
      <c r="D6631">
        <v>5</v>
      </c>
      <c r="E6631" t="s">
        <v>37</v>
      </c>
      <c r="F6631" t="s">
        <v>28</v>
      </c>
      <c r="G6631" t="s">
        <v>62</v>
      </c>
      <c r="H6631" t="s">
        <v>63</v>
      </c>
      <c r="I6631">
        <v>6193.26</v>
      </c>
      <c r="J6631">
        <v>5975.45</v>
      </c>
      <c r="K6631" t="s">
        <v>17</v>
      </c>
      <c r="L6631" t="b">
        <v>0</v>
      </c>
      <c r="N6631" s="2" t="str">
        <f t="shared" si="592"/>
        <v/>
      </c>
      <c r="Q6631" t="str">
        <f t="shared" si="590"/>
        <v/>
      </c>
    </row>
    <row r="6632" spans="1:17" hidden="1">
      <c r="A6632" t="s">
        <v>6737</v>
      </c>
      <c r="B6632" s="1">
        <v>45803</v>
      </c>
      <c r="C6632">
        <v>2025</v>
      </c>
      <c r="D6632">
        <v>5</v>
      </c>
      <c r="E6632" t="s">
        <v>13</v>
      </c>
      <c r="F6632" t="s">
        <v>24</v>
      </c>
      <c r="G6632" t="s">
        <v>108</v>
      </c>
      <c r="H6632" t="s">
        <v>123</v>
      </c>
      <c r="I6632">
        <v>3140.84</v>
      </c>
      <c r="J6632">
        <v>3092.57</v>
      </c>
      <c r="K6632" t="s">
        <v>17</v>
      </c>
      <c r="L6632" t="b">
        <v>0</v>
      </c>
      <c r="N6632" s="2" t="str">
        <f t="shared" si="592"/>
        <v/>
      </c>
      <c r="Q6632" t="str">
        <f t="shared" si="590"/>
        <v/>
      </c>
    </row>
    <row r="6633" spans="1:17" hidden="1">
      <c r="A6633" t="s">
        <v>6738</v>
      </c>
      <c r="B6633" s="1">
        <v>45803</v>
      </c>
      <c r="C6633">
        <v>2025</v>
      </c>
      <c r="D6633">
        <v>5</v>
      </c>
      <c r="E6633" t="s">
        <v>47</v>
      </c>
      <c r="F6633" t="s">
        <v>24</v>
      </c>
      <c r="G6633" t="s">
        <v>91</v>
      </c>
      <c r="H6633" t="s">
        <v>249</v>
      </c>
      <c r="I6633">
        <v>12814.58</v>
      </c>
      <c r="J6633">
        <v>10784.63</v>
      </c>
      <c r="K6633" t="s">
        <v>17</v>
      </c>
      <c r="L6633" t="b">
        <v>0</v>
      </c>
      <c r="N6633" s="2" t="b">
        <f t="shared" si="592"/>
        <v>1</v>
      </c>
      <c r="O6633" t="str">
        <f>IF(AND(E6622="HR",K6622="EXPENSE"),I6622&lt;J6622,"")</f>
        <v/>
      </c>
      <c r="Q6633" t="str">
        <f t="shared" si="590"/>
        <v/>
      </c>
    </row>
    <row r="6634" spans="1:17" hidden="1">
      <c r="A6634" t="s">
        <v>6739</v>
      </c>
      <c r="B6634" s="1">
        <v>45803</v>
      </c>
      <c r="C6634">
        <v>2025</v>
      </c>
      <c r="D6634">
        <v>5</v>
      </c>
      <c r="E6634" t="s">
        <v>19</v>
      </c>
      <c r="F6634" t="s">
        <v>28</v>
      </c>
      <c r="G6634" t="s">
        <v>132</v>
      </c>
      <c r="H6634" t="s">
        <v>138</v>
      </c>
      <c r="I6634">
        <v>3113.96</v>
      </c>
      <c r="J6634">
        <v>3276.96</v>
      </c>
      <c r="K6634" t="s">
        <v>17</v>
      </c>
      <c r="L6634" t="b">
        <v>0</v>
      </c>
      <c r="N6634" s="2" t="str">
        <f t="shared" si="592"/>
        <v/>
      </c>
      <c r="Q6634" t="str">
        <f t="shared" si="590"/>
        <v/>
      </c>
    </row>
    <row r="6635" spans="1:17" hidden="1">
      <c r="A6635" t="s">
        <v>6740</v>
      </c>
      <c r="B6635" s="1">
        <v>45803</v>
      </c>
      <c r="C6635">
        <v>2025</v>
      </c>
      <c r="D6635">
        <v>5</v>
      </c>
      <c r="E6635" t="s">
        <v>19</v>
      </c>
      <c r="F6635" t="s">
        <v>28</v>
      </c>
      <c r="G6635" t="s">
        <v>20</v>
      </c>
      <c r="H6635" t="s">
        <v>174</v>
      </c>
      <c r="I6635">
        <v>4667.49</v>
      </c>
      <c r="J6635">
        <v>5126.57</v>
      </c>
      <c r="K6635" t="s">
        <v>17</v>
      </c>
      <c r="L6635" t="b">
        <v>0</v>
      </c>
      <c r="N6635" s="2" t="str">
        <f t="shared" si="592"/>
        <v/>
      </c>
      <c r="Q6635" t="str">
        <f t="shared" si="590"/>
        <v/>
      </c>
    </row>
    <row r="6636" spans="1:17" hidden="1">
      <c r="A6636" t="s">
        <v>6741</v>
      </c>
      <c r="B6636" s="1">
        <v>45804</v>
      </c>
      <c r="C6636">
        <v>2025</v>
      </c>
      <c r="D6636">
        <v>5</v>
      </c>
      <c r="E6636" t="s">
        <v>13</v>
      </c>
      <c r="F6636" t="s">
        <v>14</v>
      </c>
      <c r="G6636" t="s">
        <v>68</v>
      </c>
      <c r="H6636" t="s">
        <v>87</v>
      </c>
      <c r="I6636">
        <v>3808.24</v>
      </c>
      <c r="J6636">
        <v>3929.43</v>
      </c>
      <c r="K6636" t="s">
        <v>17</v>
      </c>
      <c r="L6636" t="b">
        <v>0</v>
      </c>
      <c r="N6636" s="2" t="str">
        <f t="shared" si="592"/>
        <v/>
      </c>
      <c r="Q6636" t="str">
        <f t="shared" si="590"/>
        <v/>
      </c>
    </row>
    <row r="6637" spans="1:17" hidden="1">
      <c r="A6637" t="s">
        <v>6742</v>
      </c>
      <c r="B6637" s="1">
        <v>45804</v>
      </c>
      <c r="C6637">
        <v>2025</v>
      </c>
      <c r="D6637">
        <v>5</v>
      </c>
      <c r="E6637" t="s">
        <v>13</v>
      </c>
      <c r="F6637" t="s">
        <v>24</v>
      </c>
      <c r="G6637" t="s">
        <v>15</v>
      </c>
      <c r="H6637" t="s">
        <v>45</v>
      </c>
      <c r="I6637">
        <v>3522.8</v>
      </c>
      <c r="J6637">
        <v>3446.16</v>
      </c>
      <c r="K6637" t="s">
        <v>17</v>
      </c>
      <c r="L6637" t="b">
        <v>0</v>
      </c>
      <c r="N6637" s="2" t="str">
        <f t="shared" si="592"/>
        <v/>
      </c>
      <c r="Q6637" t="str">
        <f t="shared" si="590"/>
        <v/>
      </c>
    </row>
    <row r="6638" spans="1:17" hidden="1">
      <c r="A6638" t="s">
        <v>6743</v>
      </c>
      <c r="B6638" s="1">
        <v>45804</v>
      </c>
      <c r="C6638">
        <v>2025</v>
      </c>
      <c r="D6638">
        <v>5</v>
      </c>
      <c r="E6638" t="s">
        <v>47</v>
      </c>
      <c r="F6638" t="s">
        <v>24</v>
      </c>
      <c r="G6638" t="s">
        <v>48</v>
      </c>
      <c r="H6638" t="s">
        <v>111</v>
      </c>
      <c r="I6638">
        <v>12783.34</v>
      </c>
      <c r="J6638">
        <v>11055.63</v>
      </c>
      <c r="K6638" t="s">
        <v>17</v>
      </c>
      <c r="L6638" t="b">
        <v>0</v>
      </c>
      <c r="N6638" s="2" t="b">
        <f t="shared" si="592"/>
        <v>1</v>
      </c>
      <c r="O6638" t="str">
        <f>IF(AND(E6627="HR",K6627="EXPENSE"),I6627&lt;J6627,"")</f>
        <v/>
      </c>
      <c r="Q6638" t="str">
        <f t="shared" si="590"/>
        <v/>
      </c>
    </row>
    <row r="6639" spans="1:17" hidden="1">
      <c r="A6639" t="s">
        <v>6744</v>
      </c>
      <c r="B6639" s="1">
        <v>45804</v>
      </c>
      <c r="C6639">
        <v>2025</v>
      </c>
      <c r="D6639">
        <v>5</v>
      </c>
      <c r="E6639" t="s">
        <v>19</v>
      </c>
      <c r="F6639" t="s">
        <v>14</v>
      </c>
      <c r="G6639" t="s">
        <v>80</v>
      </c>
      <c r="H6639" t="s">
        <v>217</v>
      </c>
      <c r="I6639">
        <v>5824.29</v>
      </c>
      <c r="J6639">
        <v>5976.53</v>
      </c>
      <c r="K6639" t="s">
        <v>17</v>
      </c>
      <c r="L6639" t="b">
        <v>0</v>
      </c>
      <c r="N6639" s="2" t="str">
        <f t="shared" si="592"/>
        <v/>
      </c>
      <c r="Q6639" t="str">
        <f t="shared" si="590"/>
        <v/>
      </c>
    </row>
    <row r="6640" spans="1:17" hidden="1">
      <c r="A6640" t="s">
        <v>6745</v>
      </c>
      <c r="B6640" s="1">
        <v>45804</v>
      </c>
      <c r="C6640">
        <v>2025</v>
      </c>
      <c r="D6640">
        <v>5</v>
      </c>
      <c r="E6640" t="s">
        <v>19</v>
      </c>
      <c r="F6640" t="s">
        <v>28</v>
      </c>
      <c r="G6640" t="s">
        <v>54</v>
      </c>
      <c r="H6640" t="s">
        <v>57</v>
      </c>
      <c r="I6640">
        <v>7140.57</v>
      </c>
      <c r="J6640">
        <v>7304.92</v>
      </c>
      <c r="K6640" t="s">
        <v>17</v>
      </c>
      <c r="L6640" t="b">
        <v>0</v>
      </c>
      <c r="N6640" s="2" t="str">
        <f t="shared" si="592"/>
        <v/>
      </c>
      <c r="Q6640" t="str">
        <f t="shared" ref="Q6640:Q6703" si="595">IF(L6640=TRUE,OR(H6640="Apex Solutions Inc",H6640="Global Trade Partners",H6640="NovaTech Services"),"")</f>
        <v/>
      </c>
    </row>
    <row r="6641" spans="1:17" hidden="1">
      <c r="A6641" t="s">
        <v>6746</v>
      </c>
      <c r="B6641" s="1">
        <v>45804</v>
      </c>
      <c r="C6641">
        <v>2025</v>
      </c>
      <c r="D6641">
        <v>5</v>
      </c>
      <c r="E6641" t="s">
        <v>19</v>
      </c>
      <c r="F6641" t="s">
        <v>24</v>
      </c>
      <c r="G6641" t="s">
        <v>54</v>
      </c>
      <c r="H6641" t="s">
        <v>57</v>
      </c>
      <c r="I6641">
        <v>4660.18</v>
      </c>
      <c r="J6641">
        <v>4620.3500000000004</v>
      </c>
      <c r="K6641" t="s">
        <v>17</v>
      </c>
      <c r="L6641" t="b">
        <v>0</v>
      </c>
      <c r="N6641" s="2" t="str">
        <f t="shared" si="592"/>
        <v/>
      </c>
      <c r="Q6641" t="str">
        <f t="shared" si="595"/>
        <v/>
      </c>
    </row>
    <row r="6642" spans="1:17" hidden="1">
      <c r="A6642" t="s">
        <v>6747</v>
      </c>
      <c r="B6642" s="1">
        <v>45804</v>
      </c>
      <c r="C6642">
        <v>2025</v>
      </c>
      <c r="D6642">
        <v>5</v>
      </c>
      <c r="E6642" t="s">
        <v>19</v>
      </c>
      <c r="F6642" t="s">
        <v>24</v>
      </c>
      <c r="G6642" t="s">
        <v>54</v>
      </c>
      <c r="H6642" t="s">
        <v>55</v>
      </c>
      <c r="I6642">
        <v>5722.73</v>
      </c>
      <c r="J6642">
        <v>5979.07</v>
      </c>
      <c r="K6642" t="s">
        <v>17</v>
      </c>
      <c r="L6642" t="b">
        <v>0</v>
      </c>
      <c r="N6642" s="2" t="str">
        <f t="shared" si="592"/>
        <v/>
      </c>
      <c r="Q6642" t="str">
        <f t="shared" si="595"/>
        <v/>
      </c>
    </row>
    <row r="6643" spans="1:17" hidden="1">
      <c r="A6643" t="s">
        <v>6748</v>
      </c>
      <c r="B6643" s="1">
        <v>45804</v>
      </c>
      <c r="C6643">
        <v>2025</v>
      </c>
      <c r="D6643">
        <v>5</v>
      </c>
      <c r="E6643" t="s">
        <v>23</v>
      </c>
      <c r="F6643" t="s">
        <v>28</v>
      </c>
      <c r="G6643" t="s">
        <v>59</v>
      </c>
      <c r="H6643" t="s">
        <v>60</v>
      </c>
      <c r="I6643">
        <v>3204.52</v>
      </c>
      <c r="J6643">
        <v>3326.75</v>
      </c>
      <c r="K6643" t="s">
        <v>17</v>
      </c>
      <c r="L6643" t="b">
        <v>0</v>
      </c>
      <c r="N6643" s="2" t="str">
        <f t="shared" si="592"/>
        <v/>
      </c>
      <c r="Q6643" t="str">
        <f t="shared" si="595"/>
        <v/>
      </c>
    </row>
    <row r="6644" spans="1:17" hidden="1">
      <c r="A6644" t="s">
        <v>6749</v>
      </c>
      <c r="B6644" s="1">
        <v>45804</v>
      </c>
      <c r="C6644">
        <v>2025</v>
      </c>
      <c r="D6644">
        <v>5</v>
      </c>
      <c r="E6644" t="s">
        <v>37</v>
      </c>
      <c r="F6644" t="s">
        <v>28</v>
      </c>
      <c r="G6644" t="s">
        <v>41</v>
      </c>
      <c r="H6644" t="s">
        <v>42</v>
      </c>
      <c r="I6644">
        <v>4132.17</v>
      </c>
      <c r="J6644">
        <v>4133.74</v>
      </c>
      <c r="K6644" t="s">
        <v>17</v>
      </c>
      <c r="L6644" t="b">
        <v>0</v>
      </c>
      <c r="N6644" s="2" t="str">
        <f t="shared" si="592"/>
        <v/>
      </c>
      <c r="Q6644" t="str">
        <f t="shared" si="595"/>
        <v/>
      </c>
    </row>
    <row r="6645" spans="1:17" hidden="1">
      <c r="A6645" t="s">
        <v>6750</v>
      </c>
      <c r="B6645" s="1">
        <v>45805</v>
      </c>
      <c r="C6645">
        <v>2025</v>
      </c>
      <c r="D6645">
        <v>5</v>
      </c>
      <c r="E6645" t="s">
        <v>13</v>
      </c>
      <c r="F6645" t="s">
        <v>14</v>
      </c>
      <c r="G6645" t="s">
        <v>102</v>
      </c>
      <c r="H6645" t="s">
        <v>103</v>
      </c>
      <c r="I6645">
        <v>2255.1799999999998</v>
      </c>
      <c r="J6645">
        <v>2207</v>
      </c>
      <c r="K6645" t="s">
        <v>17</v>
      </c>
      <c r="L6645" t="b">
        <v>0</v>
      </c>
      <c r="N6645" s="2" t="str">
        <f t="shared" si="592"/>
        <v/>
      </c>
      <c r="Q6645" t="str">
        <f t="shared" si="595"/>
        <v/>
      </c>
    </row>
    <row r="6646" spans="1:17" hidden="1">
      <c r="A6646" t="s">
        <v>6751</v>
      </c>
      <c r="B6646" s="1">
        <v>45805</v>
      </c>
      <c r="C6646">
        <v>2025</v>
      </c>
      <c r="D6646">
        <v>5</v>
      </c>
      <c r="E6646" t="s">
        <v>13</v>
      </c>
      <c r="F6646" t="s">
        <v>14</v>
      </c>
      <c r="G6646" t="s">
        <v>15</v>
      </c>
      <c r="H6646" t="s">
        <v>89</v>
      </c>
      <c r="I6646">
        <v>3293.37</v>
      </c>
      <c r="J6646">
        <v>3114.09</v>
      </c>
      <c r="K6646" t="s">
        <v>17</v>
      </c>
      <c r="L6646" t="b">
        <v>0</v>
      </c>
      <c r="N6646" s="2" t="str">
        <f t="shared" si="592"/>
        <v/>
      </c>
      <c r="Q6646" t="str">
        <f t="shared" si="595"/>
        <v/>
      </c>
    </row>
    <row r="6647" spans="1:17" hidden="1">
      <c r="A6647" t="s">
        <v>6752</v>
      </c>
      <c r="B6647" s="1">
        <v>45805</v>
      </c>
      <c r="C6647">
        <v>2025</v>
      </c>
      <c r="D6647">
        <v>5</v>
      </c>
      <c r="E6647" t="s">
        <v>13</v>
      </c>
      <c r="F6647" t="s">
        <v>14</v>
      </c>
      <c r="G6647" t="s">
        <v>108</v>
      </c>
      <c r="H6647" t="s">
        <v>123</v>
      </c>
      <c r="I6647">
        <v>3591.61</v>
      </c>
      <c r="J6647">
        <v>3786.93</v>
      </c>
      <c r="K6647" t="s">
        <v>17</v>
      </c>
      <c r="L6647" t="b">
        <v>0</v>
      </c>
      <c r="N6647" s="2" t="str">
        <f t="shared" si="592"/>
        <v/>
      </c>
      <c r="Q6647" t="str">
        <f t="shared" si="595"/>
        <v/>
      </c>
    </row>
    <row r="6648" spans="1:17" hidden="1">
      <c r="A6648" t="s">
        <v>6753</v>
      </c>
      <c r="B6648" s="1">
        <v>45805</v>
      </c>
      <c r="C6648">
        <v>2025</v>
      </c>
      <c r="D6648">
        <v>5</v>
      </c>
      <c r="E6648" t="s">
        <v>13</v>
      </c>
      <c r="F6648" t="s">
        <v>24</v>
      </c>
      <c r="G6648" t="s">
        <v>68</v>
      </c>
      <c r="H6648" t="s">
        <v>87</v>
      </c>
      <c r="I6648">
        <v>3347.58</v>
      </c>
      <c r="J6648">
        <v>3111.16</v>
      </c>
      <c r="K6648" t="s">
        <v>17</v>
      </c>
      <c r="L6648" t="b">
        <v>0</v>
      </c>
      <c r="N6648" s="2" t="str">
        <f t="shared" si="592"/>
        <v/>
      </c>
      <c r="Q6648" t="str">
        <f t="shared" si="595"/>
        <v/>
      </c>
    </row>
    <row r="6649" spans="1:17" hidden="1">
      <c r="A6649" t="s">
        <v>6754</v>
      </c>
      <c r="B6649" s="1">
        <v>45805</v>
      </c>
      <c r="C6649">
        <v>2025</v>
      </c>
      <c r="D6649">
        <v>5</v>
      </c>
      <c r="E6649" t="s">
        <v>47</v>
      </c>
      <c r="F6649" t="s">
        <v>28</v>
      </c>
      <c r="G6649" t="s">
        <v>48</v>
      </c>
      <c r="H6649" t="s">
        <v>189</v>
      </c>
      <c r="I6649">
        <v>21093.22</v>
      </c>
      <c r="J6649">
        <v>17361</v>
      </c>
      <c r="K6649" t="s">
        <v>17</v>
      </c>
      <c r="L6649" t="b">
        <v>0</v>
      </c>
      <c r="N6649" s="2" t="b">
        <f t="shared" si="592"/>
        <v>1</v>
      </c>
      <c r="O6649" t="str">
        <f>IF(AND(E6638="HR",K6638="EXPENSE"),I6638&lt;J6638,"")</f>
        <v/>
      </c>
      <c r="Q6649" t="str">
        <f t="shared" si="595"/>
        <v/>
      </c>
    </row>
    <row r="6650" spans="1:17" hidden="1">
      <c r="A6650" t="s">
        <v>6755</v>
      </c>
      <c r="B6650" s="1">
        <v>45805</v>
      </c>
      <c r="C6650">
        <v>2025</v>
      </c>
      <c r="D6650">
        <v>5</v>
      </c>
      <c r="E6650" t="s">
        <v>37</v>
      </c>
      <c r="F6650" t="s">
        <v>14</v>
      </c>
      <c r="G6650" t="s">
        <v>98</v>
      </c>
      <c r="H6650" t="s">
        <v>185</v>
      </c>
      <c r="I6650">
        <v>5776.53</v>
      </c>
      <c r="J6650">
        <v>5304.09</v>
      </c>
      <c r="K6650" t="s">
        <v>17</v>
      </c>
      <c r="L6650" t="b">
        <v>0</v>
      </c>
      <c r="N6650" s="2" t="str">
        <f t="shared" si="592"/>
        <v/>
      </c>
      <c r="Q6650" t="str">
        <f t="shared" si="595"/>
        <v/>
      </c>
    </row>
    <row r="6651" spans="1:17" hidden="1">
      <c r="A6651" t="s">
        <v>6756</v>
      </c>
      <c r="B6651" s="1">
        <v>45805</v>
      </c>
      <c r="C6651">
        <v>2025</v>
      </c>
      <c r="D6651">
        <v>5</v>
      </c>
      <c r="E6651" t="s">
        <v>37</v>
      </c>
      <c r="F6651" t="s">
        <v>24</v>
      </c>
      <c r="G6651" t="s">
        <v>62</v>
      </c>
      <c r="H6651" t="s">
        <v>63</v>
      </c>
      <c r="I6651">
        <v>6034</v>
      </c>
      <c r="J6651">
        <v>6417.26</v>
      </c>
      <c r="K6651" t="s">
        <v>17</v>
      </c>
      <c r="L6651" t="b">
        <v>0</v>
      </c>
      <c r="N6651" s="2" t="str">
        <f t="shared" si="592"/>
        <v/>
      </c>
      <c r="Q6651" t="str">
        <f t="shared" si="595"/>
        <v/>
      </c>
    </row>
    <row r="6652" spans="1:17" hidden="1">
      <c r="A6652" t="s">
        <v>6757</v>
      </c>
      <c r="B6652" s="1">
        <v>45806</v>
      </c>
      <c r="C6652">
        <v>2025</v>
      </c>
      <c r="D6652">
        <v>5</v>
      </c>
      <c r="E6652" t="s">
        <v>13</v>
      </c>
      <c r="F6652" t="s">
        <v>24</v>
      </c>
      <c r="G6652" t="s">
        <v>15</v>
      </c>
      <c r="H6652" t="s">
        <v>16</v>
      </c>
      <c r="I6652">
        <v>5303.63</v>
      </c>
      <c r="J6652">
        <v>4793.55</v>
      </c>
      <c r="K6652" t="s">
        <v>17</v>
      </c>
      <c r="L6652" t="b">
        <v>0</v>
      </c>
      <c r="N6652" s="2" t="str">
        <f t="shared" si="592"/>
        <v/>
      </c>
      <c r="Q6652" t="str">
        <f t="shared" si="595"/>
        <v/>
      </c>
    </row>
    <row r="6653" spans="1:17" hidden="1">
      <c r="A6653" t="s">
        <v>6758</v>
      </c>
      <c r="B6653" s="1">
        <v>45806</v>
      </c>
      <c r="C6653">
        <v>2025</v>
      </c>
      <c r="D6653">
        <v>5</v>
      </c>
      <c r="E6653" t="s">
        <v>13</v>
      </c>
      <c r="F6653" t="s">
        <v>24</v>
      </c>
      <c r="G6653" t="s">
        <v>15</v>
      </c>
      <c r="H6653" t="s">
        <v>89</v>
      </c>
      <c r="I6653">
        <v>2743.09</v>
      </c>
      <c r="J6653">
        <v>2634.22</v>
      </c>
      <c r="K6653" t="s">
        <v>17</v>
      </c>
      <c r="L6653" t="b">
        <v>0</v>
      </c>
      <c r="N6653" s="2" t="str">
        <f t="shared" si="592"/>
        <v/>
      </c>
      <c r="Q6653" t="str">
        <f t="shared" si="595"/>
        <v/>
      </c>
    </row>
    <row r="6654" spans="1:17" hidden="1">
      <c r="A6654" t="s">
        <v>6759</v>
      </c>
      <c r="B6654" s="1">
        <v>45806</v>
      </c>
      <c r="C6654">
        <v>2025</v>
      </c>
      <c r="D6654">
        <v>5</v>
      </c>
      <c r="E6654" t="s">
        <v>47</v>
      </c>
      <c r="F6654" t="s">
        <v>28</v>
      </c>
      <c r="G6654" t="s">
        <v>48</v>
      </c>
      <c r="H6654" t="s">
        <v>111</v>
      </c>
      <c r="I6654">
        <v>17908.310000000001</v>
      </c>
      <c r="J6654">
        <v>15300.97</v>
      </c>
      <c r="K6654" t="s">
        <v>17</v>
      </c>
      <c r="L6654" t="b">
        <v>0</v>
      </c>
      <c r="N6654" s="2" t="b">
        <f t="shared" si="592"/>
        <v>1</v>
      </c>
      <c r="O6654" t="str">
        <f>IF(AND(E6643="HR",K6643="EXPENSE"),I6643&lt;J6643,"")</f>
        <v/>
      </c>
      <c r="Q6654" t="str">
        <f t="shared" si="595"/>
        <v/>
      </c>
    </row>
    <row r="6655" spans="1:17" hidden="1">
      <c r="A6655" t="s">
        <v>6760</v>
      </c>
      <c r="B6655" s="1">
        <v>45806</v>
      </c>
      <c r="C6655">
        <v>2025</v>
      </c>
      <c r="D6655">
        <v>5</v>
      </c>
      <c r="E6655" t="s">
        <v>19</v>
      </c>
      <c r="F6655" t="s">
        <v>14</v>
      </c>
      <c r="G6655" t="s">
        <v>80</v>
      </c>
      <c r="H6655" t="s">
        <v>81</v>
      </c>
      <c r="I6655">
        <v>6443.67</v>
      </c>
      <c r="J6655">
        <v>6638.23</v>
      </c>
      <c r="K6655" t="s">
        <v>17</v>
      </c>
      <c r="L6655" t="b">
        <v>0</v>
      </c>
      <c r="N6655" s="2" t="str">
        <f t="shared" si="592"/>
        <v/>
      </c>
      <c r="Q6655" t="str">
        <f t="shared" si="595"/>
        <v/>
      </c>
    </row>
    <row r="6656" spans="1:17" hidden="1">
      <c r="A6656" t="s">
        <v>6761</v>
      </c>
      <c r="B6656" s="1">
        <v>45806</v>
      </c>
      <c r="C6656">
        <v>2025</v>
      </c>
      <c r="D6656">
        <v>5</v>
      </c>
      <c r="E6656" t="s">
        <v>19</v>
      </c>
      <c r="F6656" t="s">
        <v>14</v>
      </c>
      <c r="G6656" t="s">
        <v>20</v>
      </c>
      <c r="H6656" t="s">
        <v>174</v>
      </c>
      <c r="I6656">
        <v>8827.5</v>
      </c>
      <c r="J6656">
        <v>8204.9500000000007</v>
      </c>
      <c r="K6656" t="s">
        <v>17</v>
      </c>
      <c r="L6656" t="b">
        <v>0</v>
      </c>
      <c r="N6656" s="2" t="str">
        <f t="shared" si="592"/>
        <v/>
      </c>
      <c r="Q6656" t="str">
        <f t="shared" si="595"/>
        <v/>
      </c>
    </row>
    <row r="6657" spans="1:17" hidden="1">
      <c r="A6657" t="s">
        <v>6762</v>
      </c>
      <c r="B6657" s="1">
        <v>45806</v>
      </c>
      <c r="C6657">
        <v>2025</v>
      </c>
      <c r="D6657">
        <v>5</v>
      </c>
      <c r="E6657" t="s">
        <v>19</v>
      </c>
      <c r="F6657" t="s">
        <v>28</v>
      </c>
      <c r="G6657" t="s">
        <v>20</v>
      </c>
      <c r="H6657" t="s">
        <v>136</v>
      </c>
      <c r="I6657">
        <v>4688.71</v>
      </c>
      <c r="J6657">
        <v>4999.6099999999997</v>
      </c>
      <c r="K6657" t="s">
        <v>17</v>
      </c>
      <c r="L6657" t="b">
        <v>0</v>
      </c>
      <c r="N6657" s="2" t="str">
        <f t="shared" si="592"/>
        <v/>
      </c>
      <c r="Q6657" t="str">
        <f t="shared" si="595"/>
        <v/>
      </c>
    </row>
    <row r="6658" spans="1:17" hidden="1">
      <c r="A6658" t="s">
        <v>6763</v>
      </c>
      <c r="B6658" s="1">
        <v>45806</v>
      </c>
      <c r="C6658">
        <v>2025</v>
      </c>
      <c r="D6658">
        <v>5</v>
      </c>
      <c r="E6658" t="s">
        <v>23</v>
      </c>
      <c r="F6658" t="s">
        <v>24</v>
      </c>
      <c r="G6658" t="s">
        <v>25</v>
      </c>
      <c r="H6658" t="s">
        <v>35</v>
      </c>
      <c r="I6658">
        <v>6945.41</v>
      </c>
      <c r="J6658">
        <v>7415.47</v>
      </c>
      <c r="K6658" t="s">
        <v>17</v>
      </c>
      <c r="L6658" t="b">
        <v>0</v>
      </c>
      <c r="N6658" s="2" t="str">
        <f t="shared" si="592"/>
        <v/>
      </c>
      <c r="Q6658" t="str">
        <f t="shared" si="595"/>
        <v/>
      </c>
    </row>
    <row r="6659" spans="1:17" hidden="1">
      <c r="A6659" t="s">
        <v>6764</v>
      </c>
      <c r="B6659" s="1">
        <v>45806</v>
      </c>
      <c r="C6659">
        <v>2025</v>
      </c>
      <c r="D6659">
        <v>5</v>
      </c>
      <c r="E6659" t="s">
        <v>37</v>
      </c>
      <c r="F6659" t="s">
        <v>14</v>
      </c>
      <c r="G6659" t="s">
        <v>62</v>
      </c>
      <c r="H6659" t="s">
        <v>360</v>
      </c>
      <c r="I6659">
        <v>8685.69</v>
      </c>
      <c r="J6659">
        <v>7834.1</v>
      </c>
      <c r="K6659" t="s">
        <v>17</v>
      </c>
      <c r="L6659" t="b">
        <v>0</v>
      </c>
      <c r="N6659" s="2" t="str">
        <f t="shared" ref="N6659:N6722" si="596">IF(AND(E6659="IT",K6659="EXPENSE"),I6659&gt;J6659,"")</f>
        <v/>
      </c>
      <c r="Q6659" t="str">
        <f t="shared" si="595"/>
        <v/>
      </c>
    </row>
    <row r="6660" spans="1:17" hidden="1">
      <c r="A6660" t="s">
        <v>6765</v>
      </c>
      <c r="B6660" s="1">
        <v>45806</v>
      </c>
      <c r="C6660">
        <v>2025</v>
      </c>
      <c r="D6660">
        <v>5</v>
      </c>
      <c r="E6660" t="s">
        <v>37</v>
      </c>
      <c r="F6660" t="s">
        <v>24</v>
      </c>
      <c r="G6660" t="s">
        <v>41</v>
      </c>
      <c r="H6660" t="s">
        <v>42</v>
      </c>
      <c r="I6660">
        <v>4417.1400000000003</v>
      </c>
      <c r="J6660">
        <v>4755.6400000000003</v>
      </c>
      <c r="K6660" t="s">
        <v>17</v>
      </c>
      <c r="L6660" t="b">
        <v>0</v>
      </c>
      <c r="N6660" s="2" t="str">
        <f t="shared" si="596"/>
        <v/>
      </c>
      <c r="Q6660" t="str">
        <f t="shared" si="595"/>
        <v/>
      </c>
    </row>
    <row r="6661" spans="1:17" hidden="1">
      <c r="A6661" t="s">
        <v>6766</v>
      </c>
      <c r="B6661" s="1">
        <v>45806</v>
      </c>
      <c r="C6661">
        <v>2025</v>
      </c>
      <c r="D6661">
        <v>5</v>
      </c>
      <c r="E6661" t="s">
        <v>37</v>
      </c>
      <c r="F6661" t="s">
        <v>24</v>
      </c>
      <c r="G6661" t="s">
        <v>83</v>
      </c>
      <c r="H6661" t="s">
        <v>84</v>
      </c>
      <c r="I6661">
        <v>120446.41</v>
      </c>
      <c r="J6661">
        <v>114424.09</v>
      </c>
      <c r="K6661" t="s">
        <v>85</v>
      </c>
      <c r="L6661" t="b">
        <v>0</v>
      </c>
      <c r="N6661" s="2" t="str">
        <f t="shared" si="596"/>
        <v/>
      </c>
      <c r="Q6661" t="str">
        <f t="shared" si="595"/>
        <v/>
      </c>
    </row>
    <row r="6662" spans="1:17" hidden="1">
      <c r="A6662" t="s">
        <v>6767</v>
      </c>
      <c r="B6662" s="1">
        <v>45807</v>
      </c>
      <c r="C6662">
        <v>2025</v>
      </c>
      <c r="D6662">
        <v>5</v>
      </c>
      <c r="E6662" t="s">
        <v>47</v>
      </c>
      <c r="F6662" t="s">
        <v>14</v>
      </c>
      <c r="G6662" t="s">
        <v>48</v>
      </c>
      <c r="H6662" t="s">
        <v>191</v>
      </c>
      <c r="I6662">
        <v>19390.04</v>
      </c>
      <c r="J6662">
        <v>15935.41</v>
      </c>
      <c r="K6662" t="s">
        <v>17</v>
      </c>
      <c r="L6662" t="b">
        <v>0</v>
      </c>
      <c r="N6662" s="2" t="b">
        <f t="shared" si="596"/>
        <v>1</v>
      </c>
      <c r="O6662" t="str">
        <f>IF(AND(E6651="HR",K6651="EXPENSE"),I6651&lt;J6651,"")</f>
        <v/>
      </c>
      <c r="Q6662" t="str">
        <f t="shared" si="595"/>
        <v/>
      </c>
    </row>
    <row r="6663" spans="1:17" hidden="1">
      <c r="A6663" t="s">
        <v>6768</v>
      </c>
      <c r="B6663" s="1">
        <v>45807</v>
      </c>
      <c r="C6663">
        <v>2025</v>
      </c>
      <c r="D6663">
        <v>5</v>
      </c>
      <c r="E6663" t="s">
        <v>19</v>
      </c>
      <c r="F6663" t="s">
        <v>28</v>
      </c>
      <c r="G6663" t="s">
        <v>80</v>
      </c>
      <c r="H6663" t="s">
        <v>81</v>
      </c>
      <c r="I6663">
        <v>5659.36</v>
      </c>
      <c r="J6663">
        <v>5615.82</v>
      </c>
      <c r="K6663" t="s">
        <v>17</v>
      </c>
      <c r="L6663" t="b">
        <v>0</v>
      </c>
      <c r="N6663" s="2" t="str">
        <f t="shared" si="596"/>
        <v/>
      </c>
      <c r="Q6663" t="str">
        <f t="shared" si="595"/>
        <v/>
      </c>
    </row>
    <row r="6664" spans="1:17" hidden="1">
      <c r="A6664" t="s">
        <v>6769</v>
      </c>
      <c r="B6664" s="1">
        <v>45807</v>
      </c>
      <c r="C6664">
        <v>2025</v>
      </c>
      <c r="D6664">
        <v>5</v>
      </c>
      <c r="E6664" t="s">
        <v>19</v>
      </c>
      <c r="F6664" t="s">
        <v>24</v>
      </c>
      <c r="G6664" t="s">
        <v>80</v>
      </c>
      <c r="H6664" t="s">
        <v>113</v>
      </c>
      <c r="I6664">
        <v>1531.33</v>
      </c>
      <c r="J6664">
        <v>1604.99</v>
      </c>
      <c r="K6664" t="s">
        <v>17</v>
      </c>
      <c r="L6664" t="b">
        <v>0</v>
      </c>
      <c r="N6664" s="2" t="str">
        <f t="shared" si="596"/>
        <v/>
      </c>
      <c r="Q6664" t="str">
        <f t="shared" si="595"/>
        <v/>
      </c>
    </row>
    <row r="6665" spans="1:17" hidden="1">
      <c r="A6665" t="s">
        <v>6770</v>
      </c>
      <c r="B6665" s="1">
        <v>45807</v>
      </c>
      <c r="C6665">
        <v>2025</v>
      </c>
      <c r="D6665">
        <v>5</v>
      </c>
      <c r="E6665" t="s">
        <v>23</v>
      </c>
      <c r="F6665" t="s">
        <v>14</v>
      </c>
      <c r="G6665" t="s">
        <v>141</v>
      </c>
      <c r="H6665" t="s">
        <v>209</v>
      </c>
      <c r="I6665">
        <v>5429.79</v>
      </c>
      <c r="J6665">
        <v>5896.38</v>
      </c>
      <c r="K6665" t="s">
        <v>17</v>
      </c>
      <c r="L6665" t="b">
        <v>0</v>
      </c>
      <c r="N6665" s="2" t="str">
        <f t="shared" si="596"/>
        <v/>
      </c>
      <c r="Q6665" t="str">
        <f t="shared" si="595"/>
        <v/>
      </c>
    </row>
    <row r="6666" spans="1:17" hidden="1">
      <c r="A6666" t="s">
        <v>6771</v>
      </c>
      <c r="B6666" s="1">
        <v>45807</v>
      </c>
      <c r="C6666">
        <v>2025</v>
      </c>
      <c r="D6666">
        <v>5</v>
      </c>
      <c r="E6666" t="s">
        <v>23</v>
      </c>
      <c r="F6666" t="s">
        <v>24</v>
      </c>
      <c r="G6666" t="s">
        <v>25</v>
      </c>
      <c r="H6666" t="s">
        <v>95</v>
      </c>
      <c r="I6666">
        <v>5020.18</v>
      </c>
      <c r="J6666">
        <v>5179.0200000000004</v>
      </c>
      <c r="K6666" t="s">
        <v>17</v>
      </c>
      <c r="L6666" t="b">
        <v>0</v>
      </c>
      <c r="N6666" s="2" t="str">
        <f t="shared" si="596"/>
        <v/>
      </c>
      <c r="Q6666" t="str">
        <f t="shared" si="595"/>
        <v/>
      </c>
    </row>
    <row r="6667" spans="1:17" hidden="1">
      <c r="A6667" t="s">
        <v>6772</v>
      </c>
      <c r="B6667" s="1">
        <v>45807</v>
      </c>
      <c r="C6667">
        <v>2025</v>
      </c>
      <c r="D6667">
        <v>5</v>
      </c>
      <c r="E6667" t="s">
        <v>37</v>
      </c>
      <c r="F6667" t="s">
        <v>28</v>
      </c>
      <c r="G6667" t="s">
        <v>41</v>
      </c>
      <c r="H6667" t="s">
        <v>42</v>
      </c>
      <c r="I6667">
        <v>5079.2299999999996</v>
      </c>
      <c r="J6667">
        <v>5556.07</v>
      </c>
      <c r="K6667" t="s">
        <v>17</v>
      </c>
      <c r="L6667" t="b">
        <v>0</v>
      </c>
      <c r="N6667" s="2" t="str">
        <f t="shared" si="596"/>
        <v/>
      </c>
      <c r="Q6667" t="str">
        <f t="shared" si="595"/>
        <v/>
      </c>
    </row>
    <row r="6668" spans="1:17" hidden="1">
      <c r="A6668" t="s">
        <v>6773</v>
      </c>
      <c r="B6668" s="1">
        <v>45807</v>
      </c>
      <c r="C6668">
        <v>2025</v>
      </c>
      <c r="D6668">
        <v>5</v>
      </c>
      <c r="E6668" t="s">
        <v>37</v>
      </c>
      <c r="F6668" t="s">
        <v>24</v>
      </c>
      <c r="G6668" t="s">
        <v>41</v>
      </c>
      <c r="H6668" t="s">
        <v>42</v>
      </c>
      <c r="I6668">
        <v>6777.09</v>
      </c>
      <c r="J6668">
        <v>6775.22</v>
      </c>
      <c r="K6668" t="s">
        <v>17</v>
      </c>
      <c r="L6668" t="b">
        <v>0</v>
      </c>
      <c r="N6668" s="2" t="str">
        <f t="shared" si="596"/>
        <v/>
      </c>
      <c r="Q6668" t="str">
        <f t="shared" si="595"/>
        <v/>
      </c>
    </row>
    <row r="6669" spans="1:17" hidden="1">
      <c r="A6669" t="s">
        <v>6774</v>
      </c>
      <c r="B6669" s="1">
        <v>45807</v>
      </c>
      <c r="C6669">
        <v>2025</v>
      </c>
      <c r="D6669">
        <v>5</v>
      </c>
      <c r="E6669" t="s">
        <v>37</v>
      </c>
      <c r="F6669" t="s">
        <v>24</v>
      </c>
      <c r="G6669" t="s">
        <v>41</v>
      </c>
      <c r="H6669" t="s">
        <v>42</v>
      </c>
      <c r="I6669">
        <v>4436.1099999999997</v>
      </c>
      <c r="J6669">
        <v>4334.1899999999996</v>
      </c>
      <c r="K6669" t="s">
        <v>17</v>
      </c>
      <c r="L6669" t="b">
        <v>0</v>
      </c>
      <c r="N6669" s="2" t="str">
        <f t="shared" si="596"/>
        <v/>
      </c>
      <c r="Q6669" t="str">
        <f t="shared" si="595"/>
        <v/>
      </c>
    </row>
    <row r="6670" spans="1:17" hidden="1">
      <c r="A6670" t="s">
        <v>6775</v>
      </c>
      <c r="B6670" s="1">
        <v>45808</v>
      </c>
      <c r="C6670">
        <v>2025</v>
      </c>
      <c r="D6670">
        <v>5</v>
      </c>
      <c r="E6670" t="s">
        <v>47</v>
      </c>
      <c r="F6670" t="s">
        <v>28</v>
      </c>
      <c r="G6670" t="s">
        <v>77</v>
      </c>
      <c r="H6670" t="s">
        <v>147</v>
      </c>
      <c r="I6670">
        <v>15553.33</v>
      </c>
      <c r="J6670">
        <v>12797.96</v>
      </c>
      <c r="K6670" t="s">
        <v>17</v>
      </c>
      <c r="L6670" t="b">
        <v>0</v>
      </c>
      <c r="N6670" s="2" t="b">
        <f t="shared" si="596"/>
        <v>1</v>
      </c>
      <c r="O6670" t="str">
        <f t="shared" ref="O6670:O6671" si="597">IF(AND(E6659="HR",K6659="EXPENSE"),I6659&lt;J6659,"")</f>
        <v/>
      </c>
      <c r="Q6670" t="str">
        <f t="shared" si="595"/>
        <v/>
      </c>
    </row>
    <row r="6671" spans="1:17" hidden="1">
      <c r="A6671" t="s">
        <v>6776</v>
      </c>
      <c r="B6671" s="1">
        <v>45808</v>
      </c>
      <c r="C6671">
        <v>2025</v>
      </c>
      <c r="D6671">
        <v>5</v>
      </c>
      <c r="E6671" t="s">
        <v>47</v>
      </c>
      <c r="F6671" t="s">
        <v>28</v>
      </c>
      <c r="G6671" t="s">
        <v>51</v>
      </c>
      <c r="H6671" t="s">
        <v>189</v>
      </c>
      <c r="I6671">
        <v>14459.28</v>
      </c>
      <c r="J6671">
        <v>12190.18</v>
      </c>
      <c r="K6671" t="s">
        <v>17</v>
      </c>
      <c r="L6671" t="b">
        <v>0</v>
      </c>
      <c r="N6671" s="2" t="b">
        <f t="shared" si="596"/>
        <v>1</v>
      </c>
      <c r="O6671" t="str">
        <f t="shared" si="597"/>
        <v/>
      </c>
      <c r="Q6671" t="str">
        <f t="shared" si="595"/>
        <v/>
      </c>
    </row>
    <row r="6672" spans="1:17" hidden="1">
      <c r="A6672" t="s">
        <v>6777</v>
      </c>
      <c r="B6672" s="1">
        <v>45808</v>
      </c>
      <c r="C6672">
        <v>2025</v>
      </c>
      <c r="D6672">
        <v>5</v>
      </c>
      <c r="E6672" t="s">
        <v>19</v>
      </c>
      <c r="F6672" t="s">
        <v>28</v>
      </c>
      <c r="G6672" t="s">
        <v>54</v>
      </c>
      <c r="H6672" t="s">
        <v>57</v>
      </c>
      <c r="I6672">
        <v>4074.39</v>
      </c>
      <c r="J6672">
        <v>4114.0200000000004</v>
      </c>
      <c r="K6672" t="s">
        <v>17</v>
      </c>
      <c r="L6672" t="b">
        <v>0</v>
      </c>
      <c r="N6672" s="2" t="str">
        <f t="shared" si="596"/>
        <v/>
      </c>
      <c r="Q6672" t="str">
        <f t="shared" si="595"/>
        <v/>
      </c>
    </row>
    <row r="6673" spans="1:17" hidden="1">
      <c r="A6673" t="s">
        <v>6778</v>
      </c>
      <c r="B6673" s="1">
        <v>45808</v>
      </c>
      <c r="C6673">
        <v>2025</v>
      </c>
      <c r="D6673">
        <v>5</v>
      </c>
      <c r="E6673" t="s">
        <v>19</v>
      </c>
      <c r="F6673" t="s">
        <v>24</v>
      </c>
      <c r="G6673" t="s">
        <v>54</v>
      </c>
      <c r="H6673" t="s">
        <v>55</v>
      </c>
      <c r="I6673">
        <v>8188.24</v>
      </c>
      <c r="J6673">
        <v>8781.15</v>
      </c>
      <c r="K6673" t="s">
        <v>17</v>
      </c>
      <c r="L6673" t="b">
        <v>0</v>
      </c>
      <c r="N6673" s="2" t="str">
        <f t="shared" si="596"/>
        <v/>
      </c>
      <c r="Q6673" t="str">
        <f t="shared" si="595"/>
        <v/>
      </c>
    </row>
    <row r="6674" spans="1:17" hidden="1">
      <c r="A6674" t="s">
        <v>6779</v>
      </c>
      <c r="B6674" s="1">
        <v>45808</v>
      </c>
      <c r="C6674">
        <v>2025</v>
      </c>
      <c r="D6674">
        <v>5</v>
      </c>
      <c r="E6674" t="s">
        <v>23</v>
      </c>
      <c r="F6674" t="s">
        <v>28</v>
      </c>
      <c r="G6674" t="s">
        <v>141</v>
      </c>
      <c r="H6674" t="s">
        <v>153</v>
      </c>
      <c r="I6674">
        <v>3684.92</v>
      </c>
      <c r="J6674">
        <v>3995.41</v>
      </c>
      <c r="K6674" t="s">
        <v>17</v>
      </c>
      <c r="L6674" t="b">
        <v>0</v>
      </c>
      <c r="N6674" s="2" t="str">
        <f t="shared" si="596"/>
        <v/>
      </c>
      <c r="Q6674" t="str">
        <f t="shared" si="595"/>
        <v/>
      </c>
    </row>
    <row r="6675" spans="1:17" hidden="1">
      <c r="A6675" t="s">
        <v>6780</v>
      </c>
      <c r="B6675" s="1">
        <v>45808</v>
      </c>
      <c r="C6675">
        <v>2025</v>
      </c>
      <c r="D6675">
        <v>5</v>
      </c>
      <c r="E6675" t="s">
        <v>23</v>
      </c>
      <c r="F6675" t="s">
        <v>24</v>
      </c>
      <c r="G6675" t="s">
        <v>30</v>
      </c>
      <c r="H6675" t="s">
        <v>33</v>
      </c>
      <c r="I6675">
        <v>6430.38</v>
      </c>
      <c r="J6675">
        <v>6979.77</v>
      </c>
      <c r="K6675" t="s">
        <v>17</v>
      </c>
      <c r="L6675" t="b">
        <v>0</v>
      </c>
      <c r="N6675" s="2" t="str">
        <f t="shared" si="596"/>
        <v/>
      </c>
      <c r="Q6675" t="str">
        <f t="shared" si="595"/>
        <v/>
      </c>
    </row>
    <row r="6676" spans="1:17" hidden="1">
      <c r="A6676" t="s">
        <v>6781</v>
      </c>
      <c r="B6676" s="1">
        <v>45808</v>
      </c>
      <c r="C6676">
        <v>2025</v>
      </c>
      <c r="D6676">
        <v>5</v>
      </c>
      <c r="E6676" t="s">
        <v>23</v>
      </c>
      <c r="F6676" t="s">
        <v>24</v>
      </c>
      <c r="G6676" t="s">
        <v>141</v>
      </c>
      <c r="H6676" t="s">
        <v>142</v>
      </c>
      <c r="I6676">
        <v>6112.28</v>
      </c>
      <c r="J6676">
        <v>5634.15</v>
      </c>
      <c r="K6676" t="s">
        <v>17</v>
      </c>
      <c r="L6676" t="b">
        <v>0</v>
      </c>
      <c r="N6676" s="2" t="str">
        <f t="shared" si="596"/>
        <v/>
      </c>
      <c r="Q6676" t="str">
        <f t="shared" si="595"/>
        <v/>
      </c>
    </row>
    <row r="6677" spans="1:17" hidden="1">
      <c r="A6677" t="s">
        <v>6782</v>
      </c>
      <c r="B6677" s="1">
        <v>45808</v>
      </c>
      <c r="C6677">
        <v>2025</v>
      </c>
      <c r="D6677">
        <v>5</v>
      </c>
      <c r="E6677" t="s">
        <v>23</v>
      </c>
      <c r="F6677" t="s">
        <v>24</v>
      </c>
      <c r="G6677" t="s">
        <v>59</v>
      </c>
      <c r="H6677" t="s">
        <v>60</v>
      </c>
      <c r="I6677">
        <v>3007.69</v>
      </c>
      <c r="J6677">
        <v>3092.8</v>
      </c>
      <c r="K6677" t="s">
        <v>17</v>
      </c>
      <c r="L6677" t="b">
        <v>0</v>
      </c>
      <c r="N6677" s="2" t="str">
        <f t="shared" si="596"/>
        <v/>
      </c>
      <c r="Q6677" t="str">
        <f t="shared" si="595"/>
        <v/>
      </c>
    </row>
    <row r="6678" spans="1:17" hidden="1">
      <c r="A6678" t="s">
        <v>6783</v>
      </c>
      <c r="B6678" s="1">
        <v>45809</v>
      </c>
      <c r="C6678">
        <v>2025</v>
      </c>
      <c r="D6678">
        <v>6</v>
      </c>
      <c r="E6678" t="s">
        <v>47</v>
      </c>
      <c r="F6678" t="s">
        <v>14</v>
      </c>
      <c r="G6678" t="s">
        <v>91</v>
      </c>
      <c r="H6678" t="s">
        <v>249</v>
      </c>
      <c r="I6678">
        <v>14824.18</v>
      </c>
      <c r="J6678">
        <v>12154.56</v>
      </c>
      <c r="K6678" t="s">
        <v>17</v>
      </c>
      <c r="L6678" t="b">
        <v>0</v>
      </c>
      <c r="N6678" s="2" t="b">
        <f t="shared" si="596"/>
        <v>1</v>
      </c>
      <c r="O6678" t="str">
        <f t="shared" ref="O6678:O6680" si="598">IF(AND(E6667="HR",K6667="EXPENSE"),I6667&lt;J6667,"")</f>
        <v/>
      </c>
      <c r="Q6678" t="str">
        <f t="shared" si="595"/>
        <v/>
      </c>
    </row>
    <row r="6679" spans="1:17" hidden="1">
      <c r="A6679" t="s">
        <v>6784</v>
      </c>
      <c r="B6679" s="1">
        <v>45809</v>
      </c>
      <c r="C6679">
        <v>2025</v>
      </c>
      <c r="D6679">
        <v>6</v>
      </c>
      <c r="E6679" t="s">
        <v>47</v>
      </c>
      <c r="F6679" t="s">
        <v>28</v>
      </c>
      <c r="G6679" t="s">
        <v>51</v>
      </c>
      <c r="H6679" t="s">
        <v>52</v>
      </c>
      <c r="I6679">
        <v>10025.39</v>
      </c>
      <c r="J6679">
        <v>8426.2199999999993</v>
      </c>
      <c r="K6679" t="s">
        <v>17</v>
      </c>
      <c r="L6679" t="b">
        <v>0</v>
      </c>
      <c r="N6679" s="2" t="b">
        <f t="shared" si="596"/>
        <v>1</v>
      </c>
      <c r="O6679" t="str">
        <f t="shared" si="598"/>
        <v/>
      </c>
      <c r="Q6679" t="str">
        <f t="shared" si="595"/>
        <v/>
      </c>
    </row>
    <row r="6680" spans="1:17" hidden="1">
      <c r="A6680" t="s">
        <v>6785</v>
      </c>
      <c r="B6680" s="1">
        <v>45809</v>
      </c>
      <c r="C6680">
        <v>2025</v>
      </c>
      <c r="D6680">
        <v>6</v>
      </c>
      <c r="E6680" t="s">
        <v>47</v>
      </c>
      <c r="F6680" t="s">
        <v>24</v>
      </c>
      <c r="G6680" t="s">
        <v>77</v>
      </c>
      <c r="H6680" t="s">
        <v>130</v>
      </c>
      <c r="I6680">
        <v>14930.13</v>
      </c>
      <c r="J6680">
        <v>12286.57</v>
      </c>
      <c r="K6680" t="s">
        <v>17</v>
      </c>
      <c r="L6680" t="b">
        <v>0</v>
      </c>
      <c r="N6680" s="2" t="b">
        <f t="shared" si="596"/>
        <v>1</v>
      </c>
      <c r="O6680" t="str">
        <f t="shared" si="598"/>
        <v/>
      </c>
      <c r="Q6680" t="str">
        <f t="shared" si="595"/>
        <v/>
      </c>
    </row>
    <row r="6681" spans="1:17" hidden="1">
      <c r="A6681" t="s">
        <v>6786</v>
      </c>
      <c r="B6681" s="1">
        <v>45809</v>
      </c>
      <c r="C6681">
        <v>2025</v>
      </c>
      <c r="D6681">
        <v>6</v>
      </c>
      <c r="E6681" t="s">
        <v>19</v>
      </c>
      <c r="F6681" t="s">
        <v>28</v>
      </c>
      <c r="G6681" t="s">
        <v>80</v>
      </c>
      <c r="H6681" t="s">
        <v>217</v>
      </c>
      <c r="I6681">
        <v>4832</v>
      </c>
      <c r="J6681">
        <v>4792.0200000000004</v>
      </c>
      <c r="K6681" t="s">
        <v>17</v>
      </c>
      <c r="L6681" t="b">
        <v>0</v>
      </c>
      <c r="N6681" s="2" t="str">
        <f t="shared" si="596"/>
        <v/>
      </c>
      <c r="Q6681" t="str">
        <f t="shared" si="595"/>
        <v/>
      </c>
    </row>
    <row r="6682" spans="1:17" hidden="1">
      <c r="A6682" t="s">
        <v>6787</v>
      </c>
      <c r="B6682" s="1">
        <v>45809</v>
      </c>
      <c r="C6682">
        <v>2025</v>
      </c>
      <c r="D6682">
        <v>6</v>
      </c>
      <c r="E6682" t="s">
        <v>23</v>
      </c>
      <c r="F6682" t="s">
        <v>14</v>
      </c>
      <c r="G6682" t="s">
        <v>25</v>
      </c>
      <c r="H6682" t="s">
        <v>95</v>
      </c>
      <c r="I6682">
        <v>2993.27</v>
      </c>
      <c r="J6682">
        <v>2802.69</v>
      </c>
      <c r="K6682" t="s">
        <v>17</v>
      </c>
      <c r="L6682" t="b">
        <v>0</v>
      </c>
      <c r="N6682" s="2" t="str">
        <f t="shared" si="596"/>
        <v/>
      </c>
      <c r="Q6682" t="str">
        <f t="shared" si="595"/>
        <v/>
      </c>
    </row>
    <row r="6683" spans="1:17" hidden="1">
      <c r="A6683" t="s">
        <v>6788</v>
      </c>
      <c r="B6683" s="1">
        <v>45809</v>
      </c>
      <c r="C6683">
        <v>2025</v>
      </c>
      <c r="D6683">
        <v>6</v>
      </c>
      <c r="E6683" t="s">
        <v>23</v>
      </c>
      <c r="F6683" t="s">
        <v>28</v>
      </c>
      <c r="G6683" t="s">
        <v>141</v>
      </c>
      <c r="H6683" t="s">
        <v>153</v>
      </c>
      <c r="I6683">
        <v>8287.81</v>
      </c>
      <c r="J6683">
        <v>8187.8</v>
      </c>
      <c r="K6683" t="s">
        <v>17</v>
      </c>
      <c r="L6683" t="b">
        <v>0</v>
      </c>
      <c r="N6683" s="2" t="str">
        <f t="shared" si="596"/>
        <v/>
      </c>
      <c r="Q6683" t="str">
        <f t="shared" si="595"/>
        <v/>
      </c>
    </row>
    <row r="6684" spans="1:17" hidden="1">
      <c r="A6684" t="s">
        <v>6789</v>
      </c>
      <c r="B6684" s="1">
        <v>45809</v>
      </c>
      <c r="C6684">
        <v>2025</v>
      </c>
      <c r="D6684">
        <v>6</v>
      </c>
      <c r="E6684" t="s">
        <v>23</v>
      </c>
      <c r="F6684" t="s">
        <v>24</v>
      </c>
      <c r="G6684" t="s">
        <v>25</v>
      </c>
      <c r="H6684" t="s">
        <v>35</v>
      </c>
      <c r="I6684">
        <v>8798.16</v>
      </c>
      <c r="J6684">
        <v>9013.86</v>
      </c>
      <c r="K6684" t="s">
        <v>17</v>
      </c>
      <c r="L6684" t="b">
        <v>0</v>
      </c>
      <c r="N6684" s="2" t="str">
        <f t="shared" si="596"/>
        <v/>
      </c>
      <c r="Q6684" t="str">
        <f t="shared" si="595"/>
        <v/>
      </c>
    </row>
    <row r="6685" spans="1:17" hidden="1">
      <c r="A6685" t="s">
        <v>6790</v>
      </c>
      <c r="B6685" s="1">
        <v>45809</v>
      </c>
      <c r="C6685">
        <v>2025</v>
      </c>
      <c r="D6685">
        <v>6</v>
      </c>
      <c r="E6685" t="s">
        <v>37</v>
      </c>
      <c r="F6685" t="s">
        <v>14</v>
      </c>
      <c r="G6685" t="s">
        <v>41</v>
      </c>
      <c r="H6685" t="s">
        <v>42</v>
      </c>
      <c r="I6685">
        <v>3104.2</v>
      </c>
      <c r="J6685">
        <v>3182.22</v>
      </c>
      <c r="K6685" t="s">
        <v>17</v>
      </c>
      <c r="L6685" t="b">
        <v>0</v>
      </c>
      <c r="N6685" s="2" t="str">
        <f t="shared" si="596"/>
        <v/>
      </c>
      <c r="Q6685" t="str">
        <f t="shared" si="595"/>
        <v/>
      </c>
    </row>
    <row r="6686" spans="1:17" hidden="1">
      <c r="A6686" t="s">
        <v>6791</v>
      </c>
      <c r="B6686" s="1">
        <v>45809</v>
      </c>
      <c r="C6686">
        <v>2025</v>
      </c>
      <c r="D6686">
        <v>6</v>
      </c>
      <c r="E6686" t="s">
        <v>37</v>
      </c>
      <c r="F6686" t="s">
        <v>28</v>
      </c>
      <c r="G6686" t="s">
        <v>62</v>
      </c>
      <c r="H6686" t="s">
        <v>63</v>
      </c>
      <c r="I6686">
        <v>3080.44</v>
      </c>
      <c r="J6686">
        <v>3290.33</v>
      </c>
      <c r="K6686" t="s">
        <v>17</v>
      </c>
      <c r="L6686" t="b">
        <v>0</v>
      </c>
      <c r="N6686" s="2" t="str">
        <f t="shared" si="596"/>
        <v/>
      </c>
      <c r="Q6686" t="str">
        <f t="shared" si="595"/>
        <v/>
      </c>
    </row>
    <row r="6687" spans="1:17" hidden="1">
      <c r="A6687" t="s">
        <v>6792</v>
      </c>
      <c r="B6687" s="1">
        <v>45809</v>
      </c>
      <c r="C6687">
        <v>2025</v>
      </c>
      <c r="D6687">
        <v>6</v>
      </c>
      <c r="E6687" t="s">
        <v>37</v>
      </c>
      <c r="F6687" t="s">
        <v>28</v>
      </c>
      <c r="G6687" t="s">
        <v>38</v>
      </c>
      <c r="H6687" t="s">
        <v>227</v>
      </c>
      <c r="I6687">
        <v>2493.27</v>
      </c>
      <c r="J6687">
        <v>2623.4</v>
      </c>
      <c r="K6687" t="s">
        <v>17</v>
      </c>
      <c r="L6687" t="b">
        <v>0</v>
      </c>
      <c r="N6687" s="2" t="str">
        <f t="shared" si="596"/>
        <v/>
      </c>
      <c r="Q6687" t="str">
        <f t="shared" si="595"/>
        <v/>
      </c>
    </row>
    <row r="6688" spans="1:17" hidden="1">
      <c r="A6688" t="s">
        <v>6793</v>
      </c>
      <c r="B6688" s="1">
        <v>45810</v>
      </c>
      <c r="C6688">
        <v>2025</v>
      </c>
      <c r="D6688">
        <v>6</v>
      </c>
      <c r="E6688" t="s">
        <v>13</v>
      </c>
      <c r="F6688" t="s">
        <v>24</v>
      </c>
      <c r="G6688" t="s">
        <v>102</v>
      </c>
      <c r="H6688" t="s">
        <v>145</v>
      </c>
      <c r="I6688">
        <v>2263.4299999999998</v>
      </c>
      <c r="J6688">
        <v>2094.94</v>
      </c>
      <c r="K6688" t="s">
        <v>17</v>
      </c>
      <c r="L6688" t="b">
        <v>0</v>
      </c>
      <c r="N6688" s="2" t="str">
        <f t="shared" si="596"/>
        <v/>
      </c>
      <c r="Q6688" t="str">
        <f t="shared" si="595"/>
        <v/>
      </c>
    </row>
    <row r="6689" spans="1:17" hidden="1">
      <c r="A6689" t="s">
        <v>6794</v>
      </c>
      <c r="B6689" s="1">
        <v>45810</v>
      </c>
      <c r="C6689">
        <v>2025</v>
      </c>
      <c r="D6689">
        <v>6</v>
      </c>
      <c r="E6689" t="s">
        <v>47</v>
      </c>
      <c r="F6689" t="s">
        <v>14</v>
      </c>
      <c r="G6689" t="s">
        <v>77</v>
      </c>
      <c r="H6689" t="s">
        <v>147</v>
      </c>
      <c r="I6689">
        <v>17759.189999999999</v>
      </c>
      <c r="J6689">
        <v>14980.42</v>
      </c>
      <c r="K6689" t="s">
        <v>17</v>
      </c>
      <c r="L6689" t="b">
        <v>0</v>
      </c>
      <c r="N6689" s="2" t="b">
        <f t="shared" si="596"/>
        <v>1</v>
      </c>
      <c r="O6689" t="str">
        <f t="shared" ref="O6689:O6691" si="599">IF(AND(E6678="HR",K6678="EXPENSE"),I6678&lt;J6678,"")</f>
        <v/>
      </c>
      <c r="Q6689" t="str">
        <f t="shared" si="595"/>
        <v/>
      </c>
    </row>
    <row r="6690" spans="1:17" hidden="1">
      <c r="A6690" t="s">
        <v>6795</v>
      </c>
      <c r="B6690" s="1">
        <v>45810</v>
      </c>
      <c r="C6690">
        <v>2025</v>
      </c>
      <c r="D6690">
        <v>6</v>
      </c>
      <c r="E6690" t="s">
        <v>47</v>
      </c>
      <c r="F6690" t="s">
        <v>28</v>
      </c>
      <c r="G6690" t="s">
        <v>77</v>
      </c>
      <c r="H6690" t="s">
        <v>78</v>
      </c>
      <c r="I6690">
        <v>13513.99</v>
      </c>
      <c r="J6690">
        <v>11263.67</v>
      </c>
      <c r="K6690" t="s">
        <v>17</v>
      </c>
      <c r="L6690" t="b">
        <v>0</v>
      </c>
      <c r="N6690" s="2" t="b">
        <f t="shared" si="596"/>
        <v>1</v>
      </c>
      <c r="O6690" t="str">
        <f t="shared" si="599"/>
        <v/>
      </c>
      <c r="Q6690" t="str">
        <f t="shared" si="595"/>
        <v/>
      </c>
    </row>
    <row r="6691" spans="1:17" hidden="1">
      <c r="A6691" t="s">
        <v>6796</v>
      </c>
      <c r="B6691" s="1">
        <v>45810</v>
      </c>
      <c r="C6691">
        <v>2025</v>
      </c>
      <c r="D6691">
        <v>6</v>
      </c>
      <c r="E6691" t="s">
        <v>47</v>
      </c>
      <c r="F6691" t="s">
        <v>28</v>
      </c>
      <c r="G6691" t="s">
        <v>77</v>
      </c>
      <c r="H6691" t="s">
        <v>130</v>
      </c>
      <c r="I6691">
        <v>12235.05</v>
      </c>
      <c r="J6691">
        <v>10160.48</v>
      </c>
      <c r="K6691" t="s">
        <v>17</v>
      </c>
      <c r="L6691" t="b">
        <v>0</v>
      </c>
      <c r="N6691" s="2" t="b">
        <f t="shared" si="596"/>
        <v>1</v>
      </c>
      <c r="O6691" t="str">
        <f t="shared" si="599"/>
        <v/>
      </c>
      <c r="Q6691" t="str">
        <f t="shared" si="595"/>
        <v/>
      </c>
    </row>
    <row r="6692" spans="1:17" hidden="1">
      <c r="A6692" t="s">
        <v>6797</v>
      </c>
      <c r="B6692" s="1">
        <v>45810</v>
      </c>
      <c r="C6692">
        <v>2025</v>
      </c>
      <c r="D6692">
        <v>6</v>
      </c>
      <c r="E6692" t="s">
        <v>23</v>
      </c>
      <c r="F6692" t="s">
        <v>14</v>
      </c>
      <c r="G6692" t="s">
        <v>25</v>
      </c>
      <c r="H6692" t="s">
        <v>95</v>
      </c>
      <c r="I6692">
        <v>4640.45</v>
      </c>
      <c r="J6692">
        <v>4523.16</v>
      </c>
      <c r="K6692" t="s">
        <v>17</v>
      </c>
      <c r="L6692" t="b">
        <v>0</v>
      </c>
      <c r="N6692" s="2" t="str">
        <f t="shared" si="596"/>
        <v/>
      </c>
      <c r="Q6692" t="str">
        <f t="shared" si="595"/>
        <v/>
      </c>
    </row>
    <row r="6693" spans="1:17" hidden="1">
      <c r="A6693" t="s">
        <v>6798</v>
      </c>
      <c r="B6693" s="1">
        <v>45810</v>
      </c>
      <c r="C6693">
        <v>2025</v>
      </c>
      <c r="D6693">
        <v>6</v>
      </c>
      <c r="E6693" t="s">
        <v>23</v>
      </c>
      <c r="F6693" t="s">
        <v>28</v>
      </c>
      <c r="G6693" t="s">
        <v>30</v>
      </c>
      <c r="H6693" t="s">
        <v>106</v>
      </c>
      <c r="I6693">
        <v>6124.99</v>
      </c>
      <c r="J6693">
        <v>5899.33</v>
      </c>
      <c r="K6693" t="s">
        <v>17</v>
      </c>
      <c r="L6693" t="b">
        <v>0</v>
      </c>
      <c r="N6693" s="2" t="str">
        <f t="shared" si="596"/>
        <v/>
      </c>
      <c r="Q6693" t="str">
        <f t="shared" si="595"/>
        <v/>
      </c>
    </row>
    <row r="6694" spans="1:17" hidden="1">
      <c r="A6694" t="s">
        <v>6799</v>
      </c>
      <c r="B6694" s="1">
        <v>45810</v>
      </c>
      <c r="C6694">
        <v>2025</v>
      </c>
      <c r="D6694">
        <v>6</v>
      </c>
      <c r="E6694" t="s">
        <v>23</v>
      </c>
      <c r="F6694" t="s">
        <v>28</v>
      </c>
      <c r="G6694" t="s">
        <v>141</v>
      </c>
      <c r="H6694" t="s">
        <v>153</v>
      </c>
      <c r="I6694">
        <v>7646.68</v>
      </c>
      <c r="J6694">
        <v>7942.71</v>
      </c>
      <c r="K6694" t="s">
        <v>17</v>
      </c>
      <c r="L6694" t="b">
        <v>0</v>
      </c>
      <c r="N6694" s="2" t="str">
        <f t="shared" si="596"/>
        <v/>
      </c>
      <c r="Q6694" t="str">
        <f t="shared" si="595"/>
        <v/>
      </c>
    </row>
    <row r="6695" spans="1:17" hidden="1">
      <c r="A6695" t="s">
        <v>6800</v>
      </c>
      <c r="B6695" s="1">
        <v>45810</v>
      </c>
      <c r="C6695">
        <v>2025</v>
      </c>
      <c r="D6695">
        <v>6</v>
      </c>
      <c r="E6695" t="s">
        <v>37</v>
      </c>
      <c r="F6695" t="s">
        <v>14</v>
      </c>
      <c r="G6695" t="s">
        <v>62</v>
      </c>
      <c r="H6695" t="s">
        <v>63</v>
      </c>
      <c r="I6695">
        <v>3265.31</v>
      </c>
      <c r="J6695">
        <v>3508.32</v>
      </c>
      <c r="K6695" t="s">
        <v>17</v>
      </c>
      <c r="L6695" t="b">
        <v>0</v>
      </c>
      <c r="N6695" s="2" t="str">
        <f t="shared" si="596"/>
        <v/>
      </c>
      <c r="Q6695" t="str">
        <f t="shared" si="595"/>
        <v/>
      </c>
    </row>
    <row r="6696" spans="1:17" hidden="1">
      <c r="A6696" t="s">
        <v>6801</v>
      </c>
      <c r="B6696" s="1">
        <v>45810</v>
      </c>
      <c r="C6696">
        <v>2025</v>
      </c>
      <c r="D6696">
        <v>6</v>
      </c>
      <c r="E6696" t="s">
        <v>37</v>
      </c>
      <c r="F6696" t="s">
        <v>24</v>
      </c>
      <c r="G6696" t="s">
        <v>98</v>
      </c>
      <c r="H6696" t="s">
        <v>185</v>
      </c>
      <c r="I6696">
        <v>4648.72</v>
      </c>
      <c r="J6696">
        <v>4322.1000000000004</v>
      </c>
      <c r="K6696" t="s">
        <v>17</v>
      </c>
      <c r="L6696" t="b">
        <v>0</v>
      </c>
      <c r="N6696" s="2" t="str">
        <f t="shared" si="596"/>
        <v/>
      </c>
      <c r="Q6696" t="str">
        <f t="shared" si="595"/>
        <v/>
      </c>
    </row>
    <row r="6697" spans="1:17" hidden="1">
      <c r="A6697" t="s">
        <v>6802</v>
      </c>
      <c r="B6697" s="1">
        <v>45811</v>
      </c>
      <c r="C6697">
        <v>2025</v>
      </c>
      <c r="D6697">
        <v>6</v>
      </c>
      <c r="E6697" t="s">
        <v>13</v>
      </c>
      <c r="F6697" t="s">
        <v>24</v>
      </c>
      <c r="G6697" t="s">
        <v>108</v>
      </c>
      <c r="H6697" t="s">
        <v>123</v>
      </c>
      <c r="I6697">
        <v>3639.74</v>
      </c>
      <c r="J6697">
        <v>3316.91</v>
      </c>
      <c r="K6697" t="s">
        <v>17</v>
      </c>
      <c r="L6697" t="b">
        <v>0</v>
      </c>
      <c r="N6697" s="2" t="str">
        <f t="shared" si="596"/>
        <v/>
      </c>
      <c r="Q6697" t="str">
        <f t="shared" si="595"/>
        <v/>
      </c>
    </row>
    <row r="6698" spans="1:17" hidden="1">
      <c r="A6698" t="s">
        <v>6803</v>
      </c>
      <c r="B6698" s="1">
        <v>45811</v>
      </c>
      <c r="C6698">
        <v>2025</v>
      </c>
      <c r="D6698">
        <v>6</v>
      </c>
      <c r="E6698" t="s">
        <v>23</v>
      </c>
      <c r="F6698" t="s">
        <v>28</v>
      </c>
      <c r="G6698" t="s">
        <v>25</v>
      </c>
      <c r="H6698" t="s">
        <v>26</v>
      </c>
      <c r="I6698">
        <v>4659.17</v>
      </c>
      <c r="J6698">
        <v>4466.1000000000004</v>
      </c>
      <c r="K6698" t="s">
        <v>17</v>
      </c>
      <c r="L6698" t="b">
        <v>0</v>
      </c>
      <c r="N6698" s="2" t="str">
        <f t="shared" si="596"/>
        <v/>
      </c>
      <c r="Q6698" t="str">
        <f t="shared" si="595"/>
        <v/>
      </c>
    </row>
    <row r="6699" spans="1:17" hidden="1">
      <c r="A6699" t="s">
        <v>6804</v>
      </c>
      <c r="B6699" s="1">
        <v>45811</v>
      </c>
      <c r="C6699">
        <v>2025</v>
      </c>
      <c r="D6699">
        <v>6</v>
      </c>
      <c r="E6699" t="s">
        <v>23</v>
      </c>
      <c r="F6699" t="s">
        <v>28</v>
      </c>
      <c r="G6699" t="s">
        <v>141</v>
      </c>
      <c r="H6699" t="s">
        <v>142</v>
      </c>
      <c r="I6699">
        <v>8488.41</v>
      </c>
      <c r="J6699">
        <v>7822.2</v>
      </c>
      <c r="K6699" t="s">
        <v>17</v>
      </c>
      <c r="L6699" t="b">
        <v>0</v>
      </c>
      <c r="N6699" s="2" t="str">
        <f t="shared" si="596"/>
        <v/>
      </c>
      <c r="Q6699" t="str">
        <f t="shared" si="595"/>
        <v/>
      </c>
    </row>
    <row r="6700" spans="1:17" hidden="1">
      <c r="A6700" t="s">
        <v>6805</v>
      </c>
      <c r="B6700" s="1">
        <v>45811</v>
      </c>
      <c r="C6700">
        <v>2025</v>
      </c>
      <c r="D6700">
        <v>6</v>
      </c>
      <c r="E6700" t="s">
        <v>37</v>
      </c>
      <c r="F6700" t="s">
        <v>24</v>
      </c>
      <c r="G6700" t="s">
        <v>41</v>
      </c>
      <c r="H6700" t="s">
        <v>42</v>
      </c>
      <c r="I6700">
        <v>4777.5200000000004</v>
      </c>
      <c r="J6700">
        <v>5218.2299999999996</v>
      </c>
      <c r="K6700" t="s">
        <v>17</v>
      </c>
      <c r="L6700" t="b">
        <v>0</v>
      </c>
      <c r="N6700" s="2" t="str">
        <f t="shared" si="596"/>
        <v/>
      </c>
      <c r="Q6700" t="str">
        <f t="shared" si="595"/>
        <v/>
      </c>
    </row>
    <row r="6701" spans="1:17" hidden="1">
      <c r="A6701" t="s">
        <v>6806</v>
      </c>
      <c r="B6701" s="1">
        <v>45811</v>
      </c>
      <c r="C6701">
        <v>2025</v>
      </c>
      <c r="D6701">
        <v>6</v>
      </c>
      <c r="E6701" t="s">
        <v>37</v>
      </c>
      <c r="F6701" t="s">
        <v>24</v>
      </c>
      <c r="G6701" t="s">
        <v>98</v>
      </c>
      <c r="H6701" t="s">
        <v>99</v>
      </c>
      <c r="I6701">
        <v>2556.14</v>
      </c>
      <c r="J6701">
        <v>2576.13</v>
      </c>
      <c r="K6701" t="s">
        <v>17</v>
      </c>
      <c r="L6701" t="b">
        <v>0</v>
      </c>
      <c r="N6701" s="2" t="str">
        <f t="shared" si="596"/>
        <v/>
      </c>
      <c r="Q6701" t="str">
        <f t="shared" si="595"/>
        <v/>
      </c>
    </row>
    <row r="6702" spans="1:17" hidden="1">
      <c r="A6702" t="s">
        <v>6807</v>
      </c>
      <c r="B6702" s="1">
        <v>45811</v>
      </c>
      <c r="C6702">
        <v>2025</v>
      </c>
      <c r="D6702">
        <v>6</v>
      </c>
      <c r="E6702" t="s">
        <v>37</v>
      </c>
      <c r="F6702" t="s">
        <v>14</v>
      </c>
      <c r="G6702" t="s">
        <v>83</v>
      </c>
      <c r="H6702" t="s">
        <v>84</v>
      </c>
      <c r="I6702">
        <v>305144.34999999998</v>
      </c>
      <c r="J6702">
        <v>289887.13</v>
      </c>
      <c r="K6702" t="s">
        <v>85</v>
      </c>
      <c r="L6702" t="b">
        <v>0</v>
      </c>
      <c r="N6702" s="2" t="str">
        <f t="shared" si="596"/>
        <v/>
      </c>
      <c r="Q6702" t="str">
        <f t="shared" si="595"/>
        <v/>
      </c>
    </row>
    <row r="6703" spans="1:17" hidden="1">
      <c r="A6703" t="s">
        <v>6808</v>
      </c>
      <c r="B6703" s="1">
        <v>45812</v>
      </c>
      <c r="C6703">
        <v>2025</v>
      </c>
      <c r="D6703">
        <v>6</v>
      </c>
      <c r="E6703" t="s">
        <v>13</v>
      </c>
      <c r="F6703" t="s">
        <v>14</v>
      </c>
      <c r="G6703" t="s">
        <v>68</v>
      </c>
      <c r="H6703" t="s">
        <v>87</v>
      </c>
      <c r="I6703">
        <v>3307.03</v>
      </c>
      <c r="J6703">
        <v>3358.96</v>
      </c>
      <c r="K6703" t="s">
        <v>17</v>
      </c>
      <c r="L6703" t="b">
        <v>0</v>
      </c>
      <c r="N6703" s="2" t="str">
        <f t="shared" si="596"/>
        <v/>
      </c>
      <c r="Q6703" t="str">
        <f t="shared" si="595"/>
        <v/>
      </c>
    </row>
    <row r="6704" spans="1:17" hidden="1">
      <c r="A6704" t="s">
        <v>6809</v>
      </c>
      <c r="B6704" s="1">
        <v>45812</v>
      </c>
      <c r="C6704">
        <v>2025</v>
      </c>
      <c r="D6704">
        <v>6</v>
      </c>
      <c r="E6704" t="s">
        <v>47</v>
      </c>
      <c r="F6704" t="s">
        <v>14</v>
      </c>
      <c r="G6704" t="s">
        <v>91</v>
      </c>
      <c r="H6704" t="s">
        <v>254</v>
      </c>
      <c r="I6704">
        <v>7083.56</v>
      </c>
      <c r="J6704">
        <v>5939.81</v>
      </c>
      <c r="K6704" t="s">
        <v>17</v>
      </c>
      <c r="L6704" t="b">
        <v>0</v>
      </c>
      <c r="N6704" s="2" t="b">
        <f t="shared" si="596"/>
        <v>1</v>
      </c>
      <c r="O6704" t="str">
        <f>IF(AND(E6693="HR",K6693="EXPENSE"),I6693&lt;J6693,"")</f>
        <v/>
      </c>
      <c r="Q6704" t="str">
        <f t="shared" ref="Q6704:Q6767" si="600">IF(L6704=TRUE,OR(H6704="Apex Solutions Inc",H6704="Global Trade Partners",H6704="NovaTech Services"),"")</f>
        <v/>
      </c>
    </row>
    <row r="6705" spans="1:17" hidden="1">
      <c r="A6705" t="s">
        <v>6810</v>
      </c>
      <c r="B6705" s="1">
        <v>45812</v>
      </c>
      <c r="C6705">
        <v>2025</v>
      </c>
      <c r="D6705">
        <v>6</v>
      </c>
      <c r="E6705" t="s">
        <v>19</v>
      </c>
      <c r="F6705" t="s">
        <v>14</v>
      </c>
      <c r="G6705" t="s">
        <v>20</v>
      </c>
      <c r="H6705" t="s">
        <v>136</v>
      </c>
      <c r="I6705">
        <v>8102.92</v>
      </c>
      <c r="J6705">
        <v>7858.98</v>
      </c>
      <c r="K6705" t="s">
        <v>17</v>
      </c>
      <c r="L6705" t="b">
        <v>0</v>
      </c>
      <c r="N6705" s="2" t="str">
        <f t="shared" si="596"/>
        <v/>
      </c>
      <c r="Q6705" t="str">
        <f t="shared" si="600"/>
        <v/>
      </c>
    </row>
    <row r="6706" spans="1:17" hidden="1">
      <c r="A6706" t="s">
        <v>6811</v>
      </c>
      <c r="B6706" s="1">
        <v>45812</v>
      </c>
      <c r="C6706">
        <v>2025</v>
      </c>
      <c r="D6706">
        <v>6</v>
      </c>
      <c r="E6706" t="s">
        <v>19</v>
      </c>
      <c r="F6706" t="s">
        <v>24</v>
      </c>
      <c r="G6706" t="s">
        <v>20</v>
      </c>
      <c r="H6706" t="s">
        <v>136</v>
      </c>
      <c r="I6706">
        <v>3815.72</v>
      </c>
      <c r="J6706">
        <v>3574.3</v>
      </c>
      <c r="K6706" t="s">
        <v>17</v>
      </c>
      <c r="L6706" t="b">
        <v>0</v>
      </c>
      <c r="N6706" s="2" t="str">
        <f t="shared" si="596"/>
        <v/>
      </c>
      <c r="Q6706" t="str">
        <f t="shared" si="600"/>
        <v/>
      </c>
    </row>
    <row r="6707" spans="1:17" hidden="1">
      <c r="A6707" t="s">
        <v>6812</v>
      </c>
      <c r="B6707" s="1">
        <v>45812</v>
      </c>
      <c r="C6707">
        <v>2025</v>
      </c>
      <c r="D6707">
        <v>6</v>
      </c>
      <c r="E6707" t="s">
        <v>23</v>
      </c>
      <c r="F6707" t="s">
        <v>28</v>
      </c>
      <c r="G6707" t="s">
        <v>25</v>
      </c>
      <c r="H6707" t="s">
        <v>35</v>
      </c>
      <c r="I6707">
        <v>8282.19</v>
      </c>
      <c r="J6707">
        <v>8666.0499999999993</v>
      </c>
      <c r="K6707" t="s">
        <v>17</v>
      </c>
      <c r="L6707" t="b">
        <v>0</v>
      </c>
      <c r="N6707" s="2" t="str">
        <f t="shared" si="596"/>
        <v/>
      </c>
      <c r="Q6707" t="str">
        <f t="shared" si="600"/>
        <v/>
      </c>
    </row>
    <row r="6708" spans="1:17" hidden="1">
      <c r="A6708" t="s">
        <v>6813</v>
      </c>
      <c r="B6708" s="1">
        <v>45812</v>
      </c>
      <c r="C6708">
        <v>2025</v>
      </c>
      <c r="D6708">
        <v>6</v>
      </c>
      <c r="E6708" t="s">
        <v>23</v>
      </c>
      <c r="F6708" t="s">
        <v>28</v>
      </c>
      <c r="G6708" t="s">
        <v>59</v>
      </c>
      <c r="H6708" t="s">
        <v>60</v>
      </c>
      <c r="I6708">
        <v>9046.91</v>
      </c>
      <c r="J6708">
        <v>9611.09</v>
      </c>
      <c r="K6708" t="s">
        <v>17</v>
      </c>
      <c r="L6708" t="b">
        <v>0</v>
      </c>
      <c r="N6708" s="2" t="str">
        <f t="shared" si="596"/>
        <v/>
      </c>
      <c r="Q6708" t="str">
        <f t="shared" si="600"/>
        <v/>
      </c>
    </row>
    <row r="6709" spans="1:17" hidden="1">
      <c r="A6709" t="s">
        <v>6814</v>
      </c>
      <c r="B6709" s="1">
        <v>45812</v>
      </c>
      <c r="C6709">
        <v>2025</v>
      </c>
      <c r="D6709">
        <v>6</v>
      </c>
      <c r="E6709" t="s">
        <v>23</v>
      </c>
      <c r="F6709" t="s">
        <v>28</v>
      </c>
      <c r="G6709" t="s">
        <v>30</v>
      </c>
      <c r="H6709" t="s">
        <v>31</v>
      </c>
      <c r="I6709">
        <v>6677.71</v>
      </c>
      <c r="J6709">
        <v>6513.82</v>
      </c>
      <c r="K6709" t="s">
        <v>17</v>
      </c>
      <c r="L6709" t="b">
        <v>0</v>
      </c>
      <c r="N6709" s="2" t="str">
        <f t="shared" si="596"/>
        <v/>
      </c>
      <c r="Q6709" t="str">
        <f t="shared" si="600"/>
        <v/>
      </c>
    </row>
    <row r="6710" spans="1:17" hidden="1">
      <c r="A6710" t="s">
        <v>6815</v>
      </c>
      <c r="B6710" s="1">
        <v>45812</v>
      </c>
      <c r="C6710">
        <v>2025</v>
      </c>
      <c r="D6710">
        <v>6</v>
      </c>
      <c r="E6710" t="s">
        <v>37</v>
      </c>
      <c r="F6710" t="s">
        <v>24</v>
      </c>
      <c r="G6710" t="s">
        <v>98</v>
      </c>
      <c r="H6710" t="s">
        <v>185</v>
      </c>
      <c r="I6710">
        <v>3250.82</v>
      </c>
      <c r="J6710">
        <v>3276.52</v>
      </c>
      <c r="K6710" t="s">
        <v>17</v>
      </c>
      <c r="L6710" t="b">
        <v>0</v>
      </c>
      <c r="N6710" s="2" t="str">
        <f t="shared" si="596"/>
        <v/>
      </c>
      <c r="Q6710" t="str">
        <f t="shared" si="600"/>
        <v/>
      </c>
    </row>
    <row r="6711" spans="1:17" hidden="1">
      <c r="A6711" t="s">
        <v>6816</v>
      </c>
      <c r="B6711" s="1">
        <v>45812</v>
      </c>
      <c r="C6711">
        <v>2025</v>
      </c>
      <c r="D6711">
        <v>6</v>
      </c>
      <c r="E6711" t="s">
        <v>37</v>
      </c>
      <c r="F6711" t="s">
        <v>24</v>
      </c>
      <c r="G6711" t="s">
        <v>62</v>
      </c>
      <c r="H6711" t="s">
        <v>66</v>
      </c>
      <c r="I6711">
        <v>5226.8500000000004</v>
      </c>
      <c r="J6711">
        <v>4895.46</v>
      </c>
      <c r="K6711" t="s">
        <v>17</v>
      </c>
      <c r="L6711" t="b">
        <v>0</v>
      </c>
      <c r="N6711" s="2" t="str">
        <f t="shared" si="596"/>
        <v/>
      </c>
      <c r="Q6711" t="str">
        <f t="shared" si="600"/>
        <v/>
      </c>
    </row>
    <row r="6712" spans="1:17" hidden="1">
      <c r="A6712" t="s">
        <v>6817</v>
      </c>
      <c r="B6712" s="1">
        <v>45812</v>
      </c>
      <c r="C6712">
        <v>2025</v>
      </c>
      <c r="D6712">
        <v>6</v>
      </c>
      <c r="E6712" t="s">
        <v>37</v>
      </c>
      <c r="F6712" t="s">
        <v>24</v>
      </c>
      <c r="G6712" t="s">
        <v>41</v>
      </c>
      <c r="H6712" t="s">
        <v>42</v>
      </c>
      <c r="I6712">
        <v>6717.67</v>
      </c>
      <c r="J6712">
        <v>6666.51</v>
      </c>
      <c r="K6712" t="s">
        <v>17</v>
      </c>
      <c r="L6712" t="b">
        <v>0</v>
      </c>
      <c r="N6712" s="2" t="str">
        <f t="shared" si="596"/>
        <v/>
      </c>
      <c r="Q6712" t="str">
        <f t="shared" si="600"/>
        <v/>
      </c>
    </row>
    <row r="6713" spans="1:17" hidden="1">
      <c r="A6713" t="s">
        <v>6818</v>
      </c>
      <c r="B6713" s="1">
        <v>45813</v>
      </c>
      <c r="C6713">
        <v>2025</v>
      </c>
      <c r="D6713">
        <v>6</v>
      </c>
      <c r="E6713" t="s">
        <v>13</v>
      </c>
      <c r="F6713" t="s">
        <v>28</v>
      </c>
      <c r="G6713" t="s">
        <v>68</v>
      </c>
      <c r="H6713" t="s">
        <v>69</v>
      </c>
      <c r="I6713">
        <v>4417.37</v>
      </c>
      <c r="J6713">
        <v>4720.4399999999996</v>
      </c>
      <c r="K6713" t="s">
        <v>17</v>
      </c>
      <c r="L6713" t="b">
        <v>0</v>
      </c>
      <c r="N6713" s="2" t="str">
        <f t="shared" si="596"/>
        <v/>
      </c>
      <c r="Q6713" t="str">
        <f t="shared" si="600"/>
        <v/>
      </c>
    </row>
    <row r="6714" spans="1:17" hidden="1">
      <c r="A6714" t="s">
        <v>6819</v>
      </c>
      <c r="B6714" s="1">
        <v>45813</v>
      </c>
      <c r="C6714">
        <v>2025</v>
      </c>
      <c r="D6714">
        <v>6</v>
      </c>
      <c r="E6714" t="s">
        <v>13</v>
      </c>
      <c r="F6714" t="s">
        <v>28</v>
      </c>
      <c r="G6714" t="s">
        <v>68</v>
      </c>
      <c r="H6714" t="s">
        <v>213</v>
      </c>
      <c r="I6714">
        <v>5667.27</v>
      </c>
      <c r="J6714">
        <v>5676.09</v>
      </c>
      <c r="K6714" t="s">
        <v>17</v>
      </c>
      <c r="L6714" t="b">
        <v>0</v>
      </c>
      <c r="N6714" s="2" t="str">
        <f t="shared" si="596"/>
        <v/>
      </c>
      <c r="Q6714" t="str">
        <f t="shared" si="600"/>
        <v/>
      </c>
    </row>
    <row r="6715" spans="1:17" hidden="1">
      <c r="A6715" t="s">
        <v>6820</v>
      </c>
      <c r="B6715" s="1">
        <v>45813</v>
      </c>
      <c r="C6715">
        <v>2025</v>
      </c>
      <c r="D6715">
        <v>6</v>
      </c>
      <c r="E6715" t="s">
        <v>13</v>
      </c>
      <c r="F6715" t="s">
        <v>24</v>
      </c>
      <c r="G6715" t="s">
        <v>15</v>
      </c>
      <c r="H6715" t="s">
        <v>89</v>
      </c>
      <c r="I6715">
        <v>4323.6400000000003</v>
      </c>
      <c r="J6715">
        <v>4175.08</v>
      </c>
      <c r="K6715" t="s">
        <v>17</v>
      </c>
      <c r="L6715" t="b">
        <v>0</v>
      </c>
      <c r="N6715" s="2" t="str">
        <f t="shared" si="596"/>
        <v/>
      </c>
      <c r="Q6715" t="str">
        <f t="shared" si="600"/>
        <v/>
      </c>
    </row>
    <row r="6716" spans="1:17" hidden="1">
      <c r="A6716" t="s">
        <v>6821</v>
      </c>
      <c r="B6716" s="1">
        <v>45813</v>
      </c>
      <c r="C6716">
        <v>2025</v>
      </c>
      <c r="D6716">
        <v>6</v>
      </c>
      <c r="E6716" t="s">
        <v>47</v>
      </c>
      <c r="F6716" t="s">
        <v>28</v>
      </c>
      <c r="G6716" t="s">
        <v>91</v>
      </c>
      <c r="H6716" t="s">
        <v>92</v>
      </c>
      <c r="I6716">
        <v>13019.53</v>
      </c>
      <c r="J6716">
        <v>11262.78</v>
      </c>
      <c r="K6716" t="s">
        <v>17</v>
      </c>
      <c r="L6716" t="b">
        <v>0</v>
      </c>
      <c r="N6716" s="2" t="b">
        <f t="shared" si="596"/>
        <v>1</v>
      </c>
      <c r="O6716" t="str">
        <f t="shared" ref="O6716:O6717" si="601">IF(AND(E6705="HR",K6705="EXPENSE"),I6705&lt;J6705,"")</f>
        <v/>
      </c>
      <c r="Q6716" t="str">
        <f t="shared" si="600"/>
        <v/>
      </c>
    </row>
    <row r="6717" spans="1:17" hidden="1">
      <c r="A6717" t="s">
        <v>6822</v>
      </c>
      <c r="B6717" s="1">
        <v>45813</v>
      </c>
      <c r="C6717">
        <v>2025</v>
      </c>
      <c r="D6717">
        <v>6</v>
      </c>
      <c r="E6717" t="s">
        <v>47</v>
      </c>
      <c r="F6717" t="s">
        <v>24</v>
      </c>
      <c r="G6717" t="s">
        <v>48</v>
      </c>
      <c r="H6717" t="s">
        <v>49</v>
      </c>
      <c r="I6717">
        <v>20757.169999999998</v>
      </c>
      <c r="J6717">
        <v>17414.79</v>
      </c>
      <c r="K6717" t="s">
        <v>17</v>
      </c>
      <c r="L6717" t="b">
        <v>0</v>
      </c>
      <c r="N6717" s="2" t="b">
        <f t="shared" si="596"/>
        <v>1</v>
      </c>
      <c r="O6717" t="str">
        <f t="shared" si="601"/>
        <v/>
      </c>
      <c r="Q6717" t="str">
        <f t="shared" si="600"/>
        <v/>
      </c>
    </row>
    <row r="6718" spans="1:17" hidden="1">
      <c r="A6718" t="s">
        <v>6823</v>
      </c>
      <c r="B6718" s="1">
        <v>45813</v>
      </c>
      <c r="C6718">
        <v>2025</v>
      </c>
      <c r="D6718">
        <v>6</v>
      </c>
      <c r="E6718" t="s">
        <v>19</v>
      </c>
      <c r="F6718" t="s">
        <v>14</v>
      </c>
      <c r="G6718" t="s">
        <v>54</v>
      </c>
      <c r="H6718" t="s">
        <v>163</v>
      </c>
      <c r="I6718">
        <v>6260.24</v>
      </c>
      <c r="J6718">
        <v>5990.79</v>
      </c>
      <c r="K6718" t="s">
        <v>17</v>
      </c>
      <c r="L6718" t="b">
        <v>0</v>
      </c>
      <c r="N6718" s="2" t="str">
        <f t="shared" si="596"/>
        <v/>
      </c>
      <c r="Q6718" t="str">
        <f t="shared" si="600"/>
        <v/>
      </c>
    </row>
    <row r="6719" spans="1:17" hidden="1">
      <c r="A6719" t="s">
        <v>6824</v>
      </c>
      <c r="B6719" s="1">
        <v>45813</v>
      </c>
      <c r="C6719">
        <v>2025</v>
      </c>
      <c r="D6719">
        <v>6</v>
      </c>
      <c r="E6719" t="s">
        <v>19</v>
      </c>
      <c r="F6719" t="s">
        <v>14</v>
      </c>
      <c r="G6719" t="s">
        <v>20</v>
      </c>
      <c r="H6719" t="s">
        <v>174</v>
      </c>
      <c r="I6719">
        <v>6786.6</v>
      </c>
      <c r="J6719">
        <v>6436.95</v>
      </c>
      <c r="K6719" t="s">
        <v>17</v>
      </c>
      <c r="L6719" t="b">
        <v>0</v>
      </c>
      <c r="N6719" s="2" t="str">
        <f t="shared" si="596"/>
        <v/>
      </c>
      <c r="Q6719" t="str">
        <f t="shared" si="600"/>
        <v/>
      </c>
    </row>
    <row r="6720" spans="1:17" hidden="1">
      <c r="A6720" t="s">
        <v>6825</v>
      </c>
      <c r="B6720" s="1">
        <v>45813</v>
      </c>
      <c r="C6720">
        <v>2025</v>
      </c>
      <c r="D6720">
        <v>6</v>
      </c>
      <c r="E6720" t="s">
        <v>19</v>
      </c>
      <c r="F6720" t="s">
        <v>14</v>
      </c>
      <c r="G6720" t="s">
        <v>20</v>
      </c>
      <c r="H6720" t="s">
        <v>136</v>
      </c>
      <c r="I6720">
        <v>4995.83</v>
      </c>
      <c r="J6720">
        <v>4773.6400000000003</v>
      </c>
      <c r="K6720" t="s">
        <v>17</v>
      </c>
      <c r="L6720" t="b">
        <v>0</v>
      </c>
      <c r="N6720" s="2" t="str">
        <f t="shared" si="596"/>
        <v/>
      </c>
      <c r="Q6720" t="str">
        <f t="shared" si="600"/>
        <v/>
      </c>
    </row>
    <row r="6721" spans="1:17" hidden="1">
      <c r="A6721" t="s">
        <v>6826</v>
      </c>
      <c r="B6721" s="1">
        <v>45813</v>
      </c>
      <c r="C6721">
        <v>2025</v>
      </c>
      <c r="D6721">
        <v>6</v>
      </c>
      <c r="E6721" t="s">
        <v>19</v>
      </c>
      <c r="F6721" t="s">
        <v>28</v>
      </c>
      <c r="G6721" t="s">
        <v>132</v>
      </c>
      <c r="H6721" t="s">
        <v>133</v>
      </c>
      <c r="I6721">
        <v>5108.01</v>
      </c>
      <c r="J6721">
        <v>5288.59</v>
      </c>
      <c r="K6721" t="s">
        <v>17</v>
      </c>
      <c r="L6721" t="b">
        <v>0</v>
      </c>
      <c r="N6721" s="2" t="str">
        <f t="shared" si="596"/>
        <v/>
      </c>
      <c r="Q6721" t="str">
        <f t="shared" si="600"/>
        <v/>
      </c>
    </row>
    <row r="6722" spans="1:17" hidden="1">
      <c r="A6722" t="s">
        <v>6827</v>
      </c>
      <c r="B6722" s="1">
        <v>45813</v>
      </c>
      <c r="C6722">
        <v>2025</v>
      </c>
      <c r="D6722">
        <v>6</v>
      </c>
      <c r="E6722" t="s">
        <v>19</v>
      </c>
      <c r="F6722" t="s">
        <v>28</v>
      </c>
      <c r="G6722" t="s">
        <v>54</v>
      </c>
      <c r="H6722" t="s">
        <v>57</v>
      </c>
      <c r="I6722">
        <v>6449.28</v>
      </c>
      <c r="J6722">
        <v>6085.23</v>
      </c>
      <c r="K6722" t="s">
        <v>17</v>
      </c>
      <c r="L6722" t="b">
        <v>0</v>
      </c>
      <c r="N6722" s="2" t="str">
        <f t="shared" si="596"/>
        <v/>
      </c>
      <c r="Q6722" t="str">
        <f t="shared" si="600"/>
        <v/>
      </c>
    </row>
    <row r="6723" spans="1:17" hidden="1">
      <c r="A6723" t="s">
        <v>6828</v>
      </c>
      <c r="B6723" s="1">
        <v>45813</v>
      </c>
      <c r="C6723">
        <v>2025</v>
      </c>
      <c r="D6723">
        <v>6</v>
      </c>
      <c r="E6723" t="s">
        <v>19</v>
      </c>
      <c r="F6723" t="s">
        <v>24</v>
      </c>
      <c r="G6723" t="s">
        <v>20</v>
      </c>
      <c r="H6723" t="s">
        <v>174</v>
      </c>
      <c r="I6723">
        <v>4999.93</v>
      </c>
      <c r="J6723">
        <v>5342.21</v>
      </c>
      <c r="K6723" t="s">
        <v>17</v>
      </c>
      <c r="L6723" t="b">
        <v>0</v>
      </c>
      <c r="N6723" s="2" t="str">
        <f t="shared" ref="N6723:N6786" si="602">IF(AND(E6723="IT",K6723="EXPENSE"),I6723&gt;J6723,"")</f>
        <v/>
      </c>
      <c r="Q6723" t="str">
        <f t="shared" si="600"/>
        <v/>
      </c>
    </row>
    <row r="6724" spans="1:17" hidden="1">
      <c r="A6724" t="s">
        <v>6829</v>
      </c>
      <c r="B6724" s="1">
        <v>45813</v>
      </c>
      <c r="C6724">
        <v>2025</v>
      </c>
      <c r="D6724">
        <v>6</v>
      </c>
      <c r="E6724" t="s">
        <v>37</v>
      </c>
      <c r="F6724" t="s">
        <v>14</v>
      </c>
      <c r="G6724" t="s">
        <v>98</v>
      </c>
      <c r="H6724" t="s">
        <v>185</v>
      </c>
      <c r="I6724">
        <v>2990.66</v>
      </c>
      <c r="J6724">
        <v>2792.44</v>
      </c>
      <c r="K6724" t="s">
        <v>17</v>
      </c>
      <c r="L6724" t="b">
        <v>0</v>
      </c>
      <c r="N6724" s="2" t="str">
        <f t="shared" si="602"/>
        <v/>
      </c>
      <c r="Q6724" t="str">
        <f t="shared" si="600"/>
        <v/>
      </c>
    </row>
    <row r="6725" spans="1:17" hidden="1">
      <c r="A6725" t="s">
        <v>6830</v>
      </c>
      <c r="B6725" s="1">
        <v>45813</v>
      </c>
      <c r="C6725">
        <v>2025</v>
      </c>
      <c r="D6725">
        <v>6</v>
      </c>
      <c r="E6725" t="s">
        <v>37</v>
      </c>
      <c r="F6725" t="s">
        <v>14</v>
      </c>
      <c r="G6725" t="s">
        <v>62</v>
      </c>
      <c r="H6725" t="s">
        <v>66</v>
      </c>
      <c r="I6725">
        <v>6659.39</v>
      </c>
      <c r="J6725">
        <v>6018.16</v>
      </c>
      <c r="K6725" t="s">
        <v>17</v>
      </c>
      <c r="L6725" t="b">
        <v>0</v>
      </c>
      <c r="N6725" s="2" t="str">
        <f t="shared" si="602"/>
        <v/>
      </c>
      <c r="Q6725" t="str">
        <f t="shared" si="600"/>
        <v/>
      </c>
    </row>
    <row r="6726" spans="1:17" hidden="1">
      <c r="A6726" t="s">
        <v>6831</v>
      </c>
      <c r="B6726" s="1">
        <v>45814</v>
      </c>
      <c r="C6726">
        <v>2025</v>
      </c>
      <c r="D6726">
        <v>6</v>
      </c>
      <c r="E6726" t="s">
        <v>13</v>
      </c>
      <c r="F6726" t="s">
        <v>14</v>
      </c>
      <c r="G6726" t="s">
        <v>108</v>
      </c>
      <c r="H6726" t="s">
        <v>109</v>
      </c>
      <c r="I6726">
        <v>4639.3900000000003</v>
      </c>
      <c r="J6726">
        <v>4613.32</v>
      </c>
      <c r="K6726" t="s">
        <v>17</v>
      </c>
      <c r="L6726" t="b">
        <v>0</v>
      </c>
      <c r="N6726" s="2" t="str">
        <f t="shared" si="602"/>
        <v/>
      </c>
      <c r="Q6726" t="str">
        <f t="shared" si="600"/>
        <v/>
      </c>
    </row>
    <row r="6727" spans="1:17" hidden="1">
      <c r="A6727" t="s">
        <v>6832</v>
      </c>
      <c r="B6727" s="1">
        <v>45814</v>
      </c>
      <c r="C6727">
        <v>2025</v>
      </c>
      <c r="D6727">
        <v>6</v>
      </c>
      <c r="E6727" t="s">
        <v>13</v>
      </c>
      <c r="F6727" t="s">
        <v>14</v>
      </c>
      <c r="G6727" t="s">
        <v>15</v>
      </c>
      <c r="H6727" t="s">
        <v>16</v>
      </c>
      <c r="I6727">
        <v>2802.28</v>
      </c>
      <c r="J6727">
        <v>2894.02</v>
      </c>
      <c r="K6727" t="s">
        <v>17</v>
      </c>
      <c r="L6727" t="b">
        <v>0</v>
      </c>
      <c r="N6727" s="2" t="str">
        <f t="shared" si="602"/>
        <v/>
      </c>
      <c r="Q6727" t="str">
        <f t="shared" si="600"/>
        <v/>
      </c>
    </row>
    <row r="6728" spans="1:17" hidden="1">
      <c r="A6728" t="s">
        <v>6833</v>
      </c>
      <c r="B6728" s="1">
        <v>45814</v>
      </c>
      <c r="C6728">
        <v>2025</v>
      </c>
      <c r="D6728">
        <v>6</v>
      </c>
      <c r="E6728" t="s">
        <v>47</v>
      </c>
      <c r="F6728" t="s">
        <v>28</v>
      </c>
      <c r="G6728" t="s">
        <v>91</v>
      </c>
      <c r="H6728" t="s">
        <v>254</v>
      </c>
      <c r="I6728">
        <v>14466.71</v>
      </c>
      <c r="J6728">
        <v>12489.36</v>
      </c>
      <c r="K6728" t="s">
        <v>17</v>
      </c>
      <c r="L6728" t="b">
        <v>0</v>
      </c>
      <c r="N6728" s="2" t="b">
        <f t="shared" si="602"/>
        <v>1</v>
      </c>
      <c r="O6728" t="str">
        <f t="shared" ref="O6728:O6729" si="603">IF(AND(E6717="HR",K6717="EXPENSE"),I6717&lt;J6717,"")</f>
        <v/>
      </c>
      <c r="Q6728" t="str">
        <f t="shared" si="600"/>
        <v/>
      </c>
    </row>
    <row r="6729" spans="1:17" hidden="1">
      <c r="A6729" t="s">
        <v>6834</v>
      </c>
      <c r="B6729" s="1">
        <v>45814</v>
      </c>
      <c r="C6729">
        <v>2025</v>
      </c>
      <c r="D6729">
        <v>6</v>
      </c>
      <c r="E6729" t="s">
        <v>47</v>
      </c>
      <c r="F6729" t="s">
        <v>24</v>
      </c>
      <c r="G6729" t="s">
        <v>91</v>
      </c>
      <c r="H6729" t="s">
        <v>92</v>
      </c>
      <c r="I6729">
        <v>11010.77</v>
      </c>
      <c r="J6729">
        <v>9374.1200000000008</v>
      </c>
      <c r="K6729" t="s">
        <v>17</v>
      </c>
      <c r="L6729" t="b">
        <v>0</v>
      </c>
      <c r="N6729" s="2" t="b">
        <f t="shared" si="602"/>
        <v>1</v>
      </c>
      <c r="O6729" t="str">
        <f t="shared" si="603"/>
        <v/>
      </c>
      <c r="Q6729" t="str">
        <f t="shared" si="600"/>
        <v/>
      </c>
    </row>
    <row r="6730" spans="1:17" hidden="1">
      <c r="A6730" t="s">
        <v>6835</v>
      </c>
      <c r="B6730" s="1">
        <v>45814</v>
      </c>
      <c r="C6730">
        <v>2025</v>
      </c>
      <c r="D6730">
        <v>6</v>
      </c>
      <c r="E6730" t="s">
        <v>23</v>
      </c>
      <c r="F6730" t="s">
        <v>28</v>
      </c>
      <c r="G6730" t="s">
        <v>25</v>
      </c>
      <c r="H6730" t="s">
        <v>26</v>
      </c>
      <c r="I6730">
        <v>10105.19</v>
      </c>
      <c r="J6730">
        <v>9121.19</v>
      </c>
      <c r="K6730" t="s">
        <v>17</v>
      </c>
      <c r="L6730" t="b">
        <v>0</v>
      </c>
      <c r="N6730" s="2" t="str">
        <f t="shared" si="602"/>
        <v/>
      </c>
      <c r="Q6730" t="str">
        <f t="shared" si="600"/>
        <v/>
      </c>
    </row>
    <row r="6731" spans="1:17" hidden="1">
      <c r="A6731" t="s">
        <v>6836</v>
      </c>
      <c r="B6731" s="1">
        <v>45814</v>
      </c>
      <c r="C6731">
        <v>2025</v>
      </c>
      <c r="D6731">
        <v>6</v>
      </c>
      <c r="E6731" t="s">
        <v>23</v>
      </c>
      <c r="F6731" t="s">
        <v>24</v>
      </c>
      <c r="G6731" t="s">
        <v>141</v>
      </c>
      <c r="H6731" t="s">
        <v>142</v>
      </c>
      <c r="I6731">
        <v>5457.69</v>
      </c>
      <c r="J6731">
        <v>4983.63</v>
      </c>
      <c r="K6731" t="s">
        <v>17</v>
      </c>
      <c r="L6731" t="b">
        <v>0</v>
      </c>
      <c r="N6731" s="2" t="str">
        <f t="shared" si="602"/>
        <v/>
      </c>
      <c r="Q6731" t="str">
        <f t="shared" si="600"/>
        <v/>
      </c>
    </row>
    <row r="6732" spans="1:17" hidden="1">
      <c r="A6732" t="s">
        <v>6837</v>
      </c>
      <c r="B6732" s="1">
        <v>45814</v>
      </c>
      <c r="C6732">
        <v>2025</v>
      </c>
      <c r="D6732">
        <v>6</v>
      </c>
      <c r="E6732" t="s">
        <v>37</v>
      </c>
      <c r="F6732" t="s">
        <v>14</v>
      </c>
      <c r="G6732" t="s">
        <v>41</v>
      </c>
      <c r="H6732" t="s">
        <v>42</v>
      </c>
      <c r="I6732">
        <v>5582.6</v>
      </c>
      <c r="J6732">
        <v>6075.3</v>
      </c>
      <c r="K6732" t="s">
        <v>17</v>
      </c>
      <c r="L6732" t="b">
        <v>0</v>
      </c>
      <c r="N6732" s="2" t="str">
        <f t="shared" si="602"/>
        <v/>
      </c>
      <c r="Q6732" t="str">
        <f t="shared" si="600"/>
        <v/>
      </c>
    </row>
    <row r="6733" spans="1:17" hidden="1">
      <c r="A6733" t="s">
        <v>6838</v>
      </c>
      <c r="B6733" s="1">
        <v>45814</v>
      </c>
      <c r="C6733">
        <v>2025</v>
      </c>
      <c r="D6733">
        <v>6</v>
      </c>
      <c r="E6733" t="s">
        <v>37</v>
      </c>
      <c r="F6733" t="s">
        <v>28</v>
      </c>
      <c r="G6733" t="s">
        <v>62</v>
      </c>
      <c r="H6733" t="s">
        <v>63</v>
      </c>
      <c r="I6733">
        <v>4363.1400000000003</v>
      </c>
      <c r="J6733">
        <v>4110.91</v>
      </c>
      <c r="K6733" t="s">
        <v>17</v>
      </c>
      <c r="L6733" t="b">
        <v>0</v>
      </c>
      <c r="N6733" s="2" t="str">
        <f t="shared" si="602"/>
        <v/>
      </c>
      <c r="Q6733" t="str">
        <f t="shared" si="600"/>
        <v/>
      </c>
    </row>
    <row r="6734" spans="1:17" hidden="1">
      <c r="A6734" t="s">
        <v>6839</v>
      </c>
      <c r="B6734" s="1">
        <v>45815</v>
      </c>
      <c r="C6734">
        <v>2025</v>
      </c>
      <c r="D6734">
        <v>6</v>
      </c>
      <c r="E6734" t="s">
        <v>13</v>
      </c>
      <c r="F6734" t="s">
        <v>14</v>
      </c>
      <c r="G6734" t="s">
        <v>102</v>
      </c>
      <c r="H6734" t="s">
        <v>103</v>
      </c>
      <c r="I6734">
        <v>4533.8</v>
      </c>
      <c r="J6734">
        <v>4348.9799999999996</v>
      </c>
      <c r="K6734" t="s">
        <v>17</v>
      </c>
      <c r="L6734" t="b">
        <v>0</v>
      </c>
      <c r="N6734" s="2" t="str">
        <f t="shared" si="602"/>
        <v/>
      </c>
      <c r="Q6734" t="str">
        <f t="shared" si="600"/>
        <v/>
      </c>
    </row>
    <row r="6735" spans="1:17" hidden="1">
      <c r="A6735" t="s">
        <v>6840</v>
      </c>
      <c r="B6735" s="1">
        <v>45815</v>
      </c>
      <c r="C6735">
        <v>2025</v>
      </c>
      <c r="D6735">
        <v>6</v>
      </c>
      <c r="E6735" t="s">
        <v>13</v>
      </c>
      <c r="F6735" t="s">
        <v>28</v>
      </c>
      <c r="G6735" t="s">
        <v>108</v>
      </c>
      <c r="H6735" t="s">
        <v>109</v>
      </c>
      <c r="I6735">
        <v>6080.29</v>
      </c>
      <c r="J6735">
        <v>6456.75</v>
      </c>
      <c r="K6735" t="s">
        <v>17</v>
      </c>
      <c r="L6735" t="b">
        <v>0</v>
      </c>
      <c r="N6735" s="2" t="str">
        <f t="shared" si="602"/>
        <v/>
      </c>
      <c r="Q6735" t="str">
        <f t="shared" si="600"/>
        <v/>
      </c>
    </row>
    <row r="6736" spans="1:17" hidden="1">
      <c r="A6736" t="s">
        <v>6841</v>
      </c>
      <c r="B6736" s="1">
        <v>45815</v>
      </c>
      <c r="C6736">
        <v>2025</v>
      </c>
      <c r="D6736">
        <v>6</v>
      </c>
      <c r="E6736" t="s">
        <v>47</v>
      </c>
      <c r="F6736" t="s">
        <v>14</v>
      </c>
      <c r="G6736" t="s">
        <v>91</v>
      </c>
      <c r="H6736" t="s">
        <v>92</v>
      </c>
      <c r="I6736">
        <v>3901.66</v>
      </c>
      <c r="J6736">
        <v>3281.76</v>
      </c>
      <c r="K6736" t="s">
        <v>17</v>
      </c>
      <c r="L6736" t="b">
        <v>0</v>
      </c>
      <c r="N6736" s="2" t="b">
        <f t="shared" si="602"/>
        <v>1</v>
      </c>
      <c r="O6736" t="str">
        <f t="shared" ref="O6736:O6737" si="604">IF(AND(E6725="HR",K6725="EXPENSE"),I6725&lt;J6725,"")</f>
        <v/>
      </c>
      <c r="Q6736" t="str">
        <f t="shared" si="600"/>
        <v/>
      </c>
    </row>
    <row r="6737" spans="1:17" hidden="1">
      <c r="A6737" t="s">
        <v>6842</v>
      </c>
      <c r="B6737" s="1">
        <v>45815</v>
      </c>
      <c r="C6737">
        <v>2025</v>
      </c>
      <c r="D6737">
        <v>6</v>
      </c>
      <c r="E6737" t="s">
        <v>47</v>
      </c>
      <c r="F6737" t="s">
        <v>24</v>
      </c>
      <c r="G6737" t="s">
        <v>91</v>
      </c>
      <c r="H6737" t="s">
        <v>249</v>
      </c>
      <c r="I6737">
        <v>12440.75</v>
      </c>
      <c r="J6737">
        <v>10627.91</v>
      </c>
      <c r="K6737" t="s">
        <v>17</v>
      </c>
      <c r="L6737" t="b">
        <v>0</v>
      </c>
      <c r="N6737" s="2" t="b">
        <f t="shared" si="602"/>
        <v>1</v>
      </c>
      <c r="O6737" t="b">
        <f t="shared" si="604"/>
        <v>0</v>
      </c>
      <c r="Q6737" t="str">
        <f t="shared" si="600"/>
        <v/>
      </c>
    </row>
    <row r="6738" spans="1:17" hidden="1">
      <c r="A6738" t="s">
        <v>6843</v>
      </c>
      <c r="B6738" s="1">
        <v>45815</v>
      </c>
      <c r="C6738">
        <v>2025</v>
      </c>
      <c r="D6738">
        <v>6</v>
      </c>
      <c r="E6738" t="s">
        <v>19</v>
      </c>
      <c r="F6738" t="s">
        <v>28</v>
      </c>
      <c r="G6738" t="s">
        <v>80</v>
      </c>
      <c r="H6738" t="s">
        <v>150</v>
      </c>
      <c r="I6738">
        <v>4644.72</v>
      </c>
      <c r="J6738">
        <v>5069.71</v>
      </c>
      <c r="K6738" t="s">
        <v>17</v>
      </c>
      <c r="L6738" t="b">
        <v>0</v>
      </c>
      <c r="N6738" s="2" t="str">
        <f t="shared" si="602"/>
        <v/>
      </c>
      <c r="Q6738" t="str">
        <f t="shared" si="600"/>
        <v/>
      </c>
    </row>
    <row r="6739" spans="1:17" hidden="1">
      <c r="A6739" t="s">
        <v>6844</v>
      </c>
      <c r="B6739" s="1">
        <v>45815</v>
      </c>
      <c r="C6739">
        <v>2025</v>
      </c>
      <c r="D6739">
        <v>6</v>
      </c>
      <c r="E6739" t="s">
        <v>23</v>
      </c>
      <c r="F6739" t="s">
        <v>14</v>
      </c>
      <c r="G6739" t="s">
        <v>25</v>
      </c>
      <c r="H6739" t="s">
        <v>95</v>
      </c>
      <c r="I6739">
        <v>6372.08</v>
      </c>
      <c r="J6739">
        <v>6576.14</v>
      </c>
      <c r="K6739" t="s">
        <v>17</v>
      </c>
      <c r="L6739" t="b">
        <v>0</v>
      </c>
      <c r="N6739" s="2" t="str">
        <f t="shared" si="602"/>
        <v/>
      </c>
      <c r="Q6739" t="str">
        <f t="shared" si="600"/>
        <v/>
      </c>
    </row>
    <row r="6740" spans="1:17" hidden="1">
      <c r="A6740" t="s">
        <v>6845</v>
      </c>
      <c r="B6740" s="1">
        <v>45815</v>
      </c>
      <c r="C6740">
        <v>2025</v>
      </c>
      <c r="D6740">
        <v>6</v>
      </c>
      <c r="E6740" t="s">
        <v>23</v>
      </c>
      <c r="F6740" t="s">
        <v>24</v>
      </c>
      <c r="G6740" t="s">
        <v>25</v>
      </c>
      <c r="H6740" t="s">
        <v>35</v>
      </c>
      <c r="I6740">
        <v>5922.48</v>
      </c>
      <c r="J6740">
        <v>6412.77</v>
      </c>
      <c r="K6740" t="s">
        <v>17</v>
      </c>
      <c r="L6740" t="b">
        <v>0</v>
      </c>
      <c r="N6740" s="2" t="str">
        <f t="shared" si="602"/>
        <v/>
      </c>
      <c r="Q6740" t="str">
        <f t="shared" si="600"/>
        <v/>
      </c>
    </row>
    <row r="6741" spans="1:17" hidden="1">
      <c r="A6741" t="s">
        <v>6846</v>
      </c>
      <c r="B6741" s="1">
        <v>45815</v>
      </c>
      <c r="C6741">
        <v>2025</v>
      </c>
      <c r="D6741">
        <v>6</v>
      </c>
      <c r="E6741" t="s">
        <v>23</v>
      </c>
      <c r="F6741" t="s">
        <v>24</v>
      </c>
      <c r="G6741" t="s">
        <v>30</v>
      </c>
      <c r="H6741" t="s">
        <v>33</v>
      </c>
      <c r="I6741">
        <v>7685.25</v>
      </c>
      <c r="J6741">
        <v>7947.6</v>
      </c>
      <c r="K6741" t="s">
        <v>17</v>
      </c>
      <c r="L6741" t="b">
        <v>0</v>
      </c>
      <c r="N6741" s="2" t="str">
        <f t="shared" si="602"/>
        <v/>
      </c>
      <c r="Q6741" t="str">
        <f t="shared" si="600"/>
        <v/>
      </c>
    </row>
    <row r="6742" spans="1:17" hidden="1">
      <c r="A6742" t="s">
        <v>6847</v>
      </c>
      <c r="B6742" s="1">
        <v>45815</v>
      </c>
      <c r="C6742">
        <v>2025</v>
      </c>
      <c r="D6742">
        <v>6</v>
      </c>
      <c r="E6742" t="s">
        <v>37</v>
      </c>
      <c r="F6742" t="s">
        <v>28</v>
      </c>
      <c r="G6742" t="s">
        <v>62</v>
      </c>
      <c r="H6742" t="s">
        <v>121</v>
      </c>
      <c r="I6742">
        <v>3658.01</v>
      </c>
      <c r="J6742">
        <v>3681.03</v>
      </c>
      <c r="K6742" t="s">
        <v>17</v>
      </c>
      <c r="L6742" t="b">
        <v>0</v>
      </c>
      <c r="N6742" s="2" t="str">
        <f t="shared" si="602"/>
        <v/>
      </c>
      <c r="Q6742" t="str">
        <f t="shared" si="600"/>
        <v/>
      </c>
    </row>
    <row r="6743" spans="1:17" hidden="1">
      <c r="A6743" t="s">
        <v>6848</v>
      </c>
      <c r="B6743" s="1">
        <v>45815</v>
      </c>
      <c r="C6743">
        <v>2025</v>
      </c>
      <c r="D6743">
        <v>6</v>
      </c>
      <c r="E6743" t="s">
        <v>37</v>
      </c>
      <c r="F6743" t="s">
        <v>24</v>
      </c>
      <c r="G6743" t="s">
        <v>98</v>
      </c>
      <c r="H6743" t="s">
        <v>185</v>
      </c>
      <c r="I6743">
        <v>6397.71</v>
      </c>
      <c r="J6743">
        <v>5947.54</v>
      </c>
      <c r="K6743" t="s">
        <v>17</v>
      </c>
      <c r="L6743" t="b">
        <v>0</v>
      </c>
      <c r="N6743" s="2" t="str">
        <f t="shared" si="602"/>
        <v/>
      </c>
      <c r="Q6743" t="str">
        <f t="shared" si="600"/>
        <v/>
      </c>
    </row>
    <row r="6744" spans="1:17" hidden="1">
      <c r="A6744" t="s">
        <v>6849</v>
      </c>
      <c r="B6744" s="1">
        <v>45816</v>
      </c>
      <c r="C6744">
        <v>2025</v>
      </c>
      <c r="D6744">
        <v>6</v>
      </c>
      <c r="E6744" t="s">
        <v>13</v>
      </c>
      <c r="F6744" t="s">
        <v>24</v>
      </c>
      <c r="G6744" t="s">
        <v>15</v>
      </c>
      <c r="H6744" t="s">
        <v>16</v>
      </c>
      <c r="I6744">
        <v>2777.56</v>
      </c>
      <c r="J6744">
        <v>3039.26</v>
      </c>
      <c r="K6744" t="s">
        <v>17</v>
      </c>
      <c r="L6744" t="b">
        <v>0</v>
      </c>
      <c r="N6744" s="2" t="str">
        <f t="shared" si="602"/>
        <v/>
      </c>
      <c r="Q6744" t="str">
        <f t="shared" si="600"/>
        <v/>
      </c>
    </row>
    <row r="6745" spans="1:17" hidden="1">
      <c r="A6745" t="s">
        <v>6850</v>
      </c>
      <c r="B6745" s="1">
        <v>45816</v>
      </c>
      <c r="C6745">
        <v>2025</v>
      </c>
      <c r="D6745">
        <v>6</v>
      </c>
      <c r="E6745" t="s">
        <v>13</v>
      </c>
      <c r="F6745" t="s">
        <v>24</v>
      </c>
      <c r="G6745" t="s">
        <v>108</v>
      </c>
      <c r="H6745" t="s">
        <v>123</v>
      </c>
      <c r="I6745">
        <v>3593.78</v>
      </c>
      <c r="J6745">
        <v>3314.79</v>
      </c>
      <c r="K6745" t="s">
        <v>17</v>
      </c>
      <c r="L6745" t="b">
        <v>0</v>
      </c>
      <c r="N6745" s="2" t="str">
        <f t="shared" si="602"/>
        <v/>
      </c>
      <c r="Q6745" t="str">
        <f t="shared" si="600"/>
        <v/>
      </c>
    </row>
    <row r="6746" spans="1:17" hidden="1">
      <c r="A6746" t="s">
        <v>6851</v>
      </c>
      <c r="B6746" s="1">
        <v>45816</v>
      </c>
      <c r="C6746">
        <v>2025</v>
      </c>
      <c r="D6746">
        <v>6</v>
      </c>
      <c r="E6746" t="s">
        <v>47</v>
      </c>
      <c r="F6746" t="s">
        <v>24</v>
      </c>
      <c r="G6746" t="s">
        <v>51</v>
      </c>
      <c r="H6746" t="s">
        <v>189</v>
      </c>
      <c r="I6746">
        <v>19476.62</v>
      </c>
      <c r="J6746">
        <v>16628.89</v>
      </c>
      <c r="K6746" t="s">
        <v>17</v>
      </c>
      <c r="L6746" t="b">
        <v>0</v>
      </c>
      <c r="N6746" s="2" t="b">
        <f t="shared" si="602"/>
        <v>1</v>
      </c>
      <c r="O6746" t="b">
        <f>IF(AND(E6735="HR",K6735="EXPENSE"),I6735&lt;J6735,"")</f>
        <v>1</v>
      </c>
      <c r="Q6746" t="str">
        <f t="shared" si="600"/>
        <v/>
      </c>
    </row>
    <row r="6747" spans="1:17" hidden="1">
      <c r="A6747" t="s">
        <v>6852</v>
      </c>
      <c r="B6747" s="1">
        <v>45816</v>
      </c>
      <c r="C6747">
        <v>2025</v>
      </c>
      <c r="D6747">
        <v>6</v>
      </c>
      <c r="E6747" t="s">
        <v>19</v>
      </c>
      <c r="F6747" t="s">
        <v>24</v>
      </c>
      <c r="G6747" t="s">
        <v>132</v>
      </c>
      <c r="H6747" t="s">
        <v>171</v>
      </c>
      <c r="I6747">
        <v>4903.75</v>
      </c>
      <c r="J6747">
        <v>4811.83</v>
      </c>
      <c r="K6747" t="s">
        <v>17</v>
      </c>
      <c r="L6747" t="b">
        <v>0</v>
      </c>
      <c r="N6747" s="2" t="str">
        <f t="shared" si="602"/>
        <v/>
      </c>
      <c r="Q6747" t="str">
        <f t="shared" si="600"/>
        <v/>
      </c>
    </row>
    <row r="6748" spans="1:17" hidden="1">
      <c r="A6748" t="s">
        <v>6853</v>
      </c>
      <c r="B6748" s="1">
        <v>45816</v>
      </c>
      <c r="C6748">
        <v>2025</v>
      </c>
      <c r="D6748">
        <v>6</v>
      </c>
      <c r="E6748" t="s">
        <v>23</v>
      </c>
      <c r="F6748" t="s">
        <v>14</v>
      </c>
      <c r="G6748" t="s">
        <v>59</v>
      </c>
      <c r="H6748" t="s">
        <v>155</v>
      </c>
      <c r="I6748">
        <v>5254.41</v>
      </c>
      <c r="J6748">
        <v>5531.05</v>
      </c>
      <c r="K6748" t="s">
        <v>17</v>
      </c>
      <c r="L6748" t="b">
        <v>0</v>
      </c>
      <c r="N6748" s="2" t="str">
        <f t="shared" si="602"/>
        <v/>
      </c>
      <c r="Q6748" t="str">
        <f t="shared" si="600"/>
        <v/>
      </c>
    </row>
    <row r="6749" spans="1:17" hidden="1">
      <c r="A6749" t="s">
        <v>6854</v>
      </c>
      <c r="B6749" s="1">
        <v>45816</v>
      </c>
      <c r="C6749">
        <v>2025</v>
      </c>
      <c r="D6749">
        <v>6</v>
      </c>
      <c r="E6749" t="s">
        <v>23</v>
      </c>
      <c r="F6749" t="s">
        <v>14</v>
      </c>
      <c r="G6749" t="s">
        <v>30</v>
      </c>
      <c r="H6749" t="s">
        <v>33</v>
      </c>
      <c r="I6749">
        <v>5680.02</v>
      </c>
      <c r="J6749">
        <v>6114.98</v>
      </c>
      <c r="K6749" t="s">
        <v>17</v>
      </c>
      <c r="L6749" t="b">
        <v>0</v>
      </c>
      <c r="N6749" s="2" t="str">
        <f t="shared" si="602"/>
        <v/>
      </c>
      <c r="Q6749" t="str">
        <f t="shared" si="600"/>
        <v/>
      </c>
    </row>
    <row r="6750" spans="1:17" hidden="1">
      <c r="A6750" t="s">
        <v>6855</v>
      </c>
      <c r="B6750" s="1">
        <v>45816</v>
      </c>
      <c r="C6750">
        <v>2025</v>
      </c>
      <c r="D6750">
        <v>6</v>
      </c>
      <c r="E6750" t="s">
        <v>23</v>
      </c>
      <c r="F6750" t="s">
        <v>14</v>
      </c>
      <c r="G6750" t="s">
        <v>30</v>
      </c>
      <c r="H6750" t="s">
        <v>106</v>
      </c>
      <c r="I6750">
        <v>4805.43</v>
      </c>
      <c r="J6750">
        <v>4484.84</v>
      </c>
      <c r="K6750" t="s">
        <v>17</v>
      </c>
      <c r="L6750" t="b">
        <v>0</v>
      </c>
      <c r="N6750" s="2" t="str">
        <f t="shared" si="602"/>
        <v/>
      </c>
      <c r="Q6750" t="str">
        <f t="shared" si="600"/>
        <v/>
      </c>
    </row>
    <row r="6751" spans="1:17" hidden="1">
      <c r="A6751" t="s">
        <v>6856</v>
      </c>
      <c r="B6751" s="1">
        <v>45816</v>
      </c>
      <c r="C6751">
        <v>2025</v>
      </c>
      <c r="D6751">
        <v>6</v>
      </c>
      <c r="E6751" t="s">
        <v>37</v>
      </c>
      <c r="F6751" t="s">
        <v>14</v>
      </c>
      <c r="G6751" t="s">
        <v>41</v>
      </c>
      <c r="H6751" t="s">
        <v>42</v>
      </c>
      <c r="I6751">
        <v>3860.87</v>
      </c>
      <c r="J6751">
        <v>4098.32</v>
      </c>
      <c r="K6751" t="s">
        <v>17</v>
      </c>
      <c r="L6751" t="b">
        <v>0</v>
      </c>
      <c r="N6751" s="2" t="str">
        <f t="shared" si="602"/>
        <v/>
      </c>
      <c r="Q6751" t="str">
        <f t="shared" si="600"/>
        <v/>
      </c>
    </row>
    <row r="6752" spans="1:17" hidden="1">
      <c r="A6752" t="s">
        <v>6857</v>
      </c>
      <c r="B6752" s="1">
        <v>45816</v>
      </c>
      <c r="C6752">
        <v>2025</v>
      </c>
      <c r="D6752">
        <v>6</v>
      </c>
      <c r="E6752" t="s">
        <v>37</v>
      </c>
      <c r="F6752" t="s">
        <v>28</v>
      </c>
      <c r="G6752" t="s">
        <v>38</v>
      </c>
      <c r="H6752" t="s">
        <v>39</v>
      </c>
      <c r="I6752">
        <v>5268.89</v>
      </c>
      <c r="J6752">
        <v>5537.53</v>
      </c>
      <c r="K6752" t="s">
        <v>17</v>
      </c>
      <c r="L6752" t="b">
        <v>0</v>
      </c>
      <c r="N6752" s="2" t="str">
        <f t="shared" si="602"/>
        <v/>
      </c>
      <c r="Q6752" t="str">
        <f t="shared" si="600"/>
        <v/>
      </c>
    </row>
    <row r="6753" spans="1:17" hidden="1">
      <c r="A6753" t="s">
        <v>6858</v>
      </c>
      <c r="B6753" s="1">
        <v>45816</v>
      </c>
      <c r="C6753">
        <v>2025</v>
      </c>
      <c r="D6753">
        <v>6</v>
      </c>
      <c r="E6753" t="s">
        <v>37</v>
      </c>
      <c r="F6753" t="s">
        <v>28</v>
      </c>
      <c r="G6753" t="s">
        <v>38</v>
      </c>
      <c r="H6753" t="s">
        <v>118</v>
      </c>
      <c r="I6753">
        <v>4378.38</v>
      </c>
      <c r="J6753">
        <v>4629.67</v>
      </c>
      <c r="K6753" t="s">
        <v>17</v>
      </c>
      <c r="L6753" t="b">
        <v>0</v>
      </c>
      <c r="N6753" s="2" t="str">
        <f t="shared" si="602"/>
        <v/>
      </c>
      <c r="Q6753" t="str">
        <f t="shared" si="600"/>
        <v/>
      </c>
    </row>
    <row r="6754" spans="1:17" hidden="1">
      <c r="A6754" t="s">
        <v>6859</v>
      </c>
      <c r="B6754" s="1">
        <v>45817</v>
      </c>
      <c r="C6754">
        <v>2025</v>
      </c>
      <c r="D6754">
        <v>6</v>
      </c>
      <c r="E6754" t="s">
        <v>13</v>
      </c>
      <c r="F6754" t="s">
        <v>28</v>
      </c>
      <c r="G6754" t="s">
        <v>108</v>
      </c>
      <c r="H6754" t="s">
        <v>126</v>
      </c>
      <c r="I6754">
        <v>5055.22</v>
      </c>
      <c r="J6754">
        <v>5448.6</v>
      </c>
      <c r="K6754" t="s">
        <v>17</v>
      </c>
      <c r="L6754" t="b">
        <v>0</v>
      </c>
      <c r="N6754" s="2" t="str">
        <f t="shared" si="602"/>
        <v/>
      </c>
      <c r="Q6754" t="str">
        <f t="shared" si="600"/>
        <v/>
      </c>
    </row>
    <row r="6755" spans="1:17" hidden="1">
      <c r="A6755" t="s">
        <v>6860</v>
      </c>
      <c r="B6755" s="1">
        <v>45817</v>
      </c>
      <c r="C6755">
        <v>2025</v>
      </c>
      <c r="D6755">
        <v>6</v>
      </c>
      <c r="E6755" t="s">
        <v>47</v>
      </c>
      <c r="F6755" t="s">
        <v>14</v>
      </c>
      <c r="G6755" t="s">
        <v>91</v>
      </c>
      <c r="H6755" t="s">
        <v>128</v>
      </c>
      <c r="I6755">
        <v>13353.88</v>
      </c>
      <c r="J6755">
        <v>11306.24</v>
      </c>
      <c r="K6755" t="s">
        <v>17</v>
      </c>
      <c r="L6755" t="b">
        <v>0</v>
      </c>
      <c r="N6755" s="2" t="b">
        <f t="shared" si="602"/>
        <v>1</v>
      </c>
      <c r="O6755" t="b">
        <f>IF(AND(E6744="HR",K6744="EXPENSE"),I6744&lt;J6744,"")</f>
        <v>1</v>
      </c>
      <c r="Q6755" t="str">
        <f t="shared" si="600"/>
        <v/>
      </c>
    </row>
    <row r="6756" spans="1:17" hidden="1">
      <c r="A6756" t="s">
        <v>6861</v>
      </c>
      <c r="B6756" s="1">
        <v>45817</v>
      </c>
      <c r="C6756">
        <v>2025</v>
      </c>
      <c r="D6756">
        <v>6</v>
      </c>
      <c r="E6756" t="s">
        <v>19</v>
      </c>
      <c r="F6756" t="s">
        <v>28</v>
      </c>
      <c r="G6756" t="s">
        <v>20</v>
      </c>
      <c r="H6756" t="s">
        <v>21</v>
      </c>
      <c r="I6756">
        <v>4446.1400000000003</v>
      </c>
      <c r="J6756">
        <v>4688.37</v>
      </c>
      <c r="K6756" t="s">
        <v>17</v>
      </c>
      <c r="L6756" t="b">
        <v>0</v>
      </c>
      <c r="N6756" s="2" t="str">
        <f t="shared" si="602"/>
        <v/>
      </c>
      <c r="Q6756" t="str">
        <f t="shared" si="600"/>
        <v/>
      </c>
    </row>
    <row r="6757" spans="1:17" hidden="1">
      <c r="A6757" t="s">
        <v>6862</v>
      </c>
      <c r="B6757" s="1">
        <v>45817</v>
      </c>
      <c r="C6757">
        <v>2025</v>
      </c>
      <c r="D6757">
        <v>6</v>
      </c>
      <c r="E6757" t="s">
        <v>23</v>
      </c>
      <c r="F6757" t="s">
        <v>28</v>
      </c>
      <c r="G6757" t="s">
        <v>30</v>
      </c>
      <c r="H6757" t="s">
        <v>31</v>
      </c>
      <c r="I6757">
        <v>8706.61</v>
      </c>
      <c r="J6757">
        <v>8391.2999999999993</v>
      </c>
      <c r="K6757" t="s">
        <v>17</v>
      </c>
      <c r="L6757" t="b">
        <v>0</v>
      </c>
      <c r="N6757" s="2" t="str">
        <f t="shared" si="602"/>
        <v/>
      </c>
      <c r="Q6757" t="str">
        <f t="shared" si="600"/>
        <v/>
      </c>
    </row>
    <row r="6758" spans="1:17" hidden="1">
      <c r="A6758" t="s">
        <v>6863</v>
      </c>
      <c r="B6758" s="1">
        <v>45817</v>
      </c>
      <c r="C6758">
        <v>2025</v>
      </c>
      <c r="D6758">
        <v>6</v>
      </c>
      <c r="E6758" t="s">
        <v>23</v>
      </c>
      <c r="F6758" t="s">
        <v>24</v>
      </c>
      <c r="G6758" t="s">
        <v>30</v>
      </c>
      <c r="H6758" t="s">
        <v>106</v>
      </c>
      <c r="I6758">
        <v>9750.6200000000008</v>
      </c>
      <c r="J6758">
        <v>10253.39</v>
      </c>
      <c r="K6758" t="s">
        <v>17</v>
      </c>
      <c r="L6758" t="b">
        <v>0</v>
      </c>
      <c r="N6758" s="2" t="str">
        <f t="shared" si="602"/>
        <v/>
      </c>
      <c r="Q6758" t="str">
        <f t="shared" si="600"/>
        <v/>
      </c>
    </row>
    <row r="6759" spans="1:17" hidden="1">
      <c r="A6759" t="s">
        <v>6864</v>
      </c>
      <c r="B6759" s="1">
        <v>45817</v>
      </c>
      <c r="C6759">
        <v>2025</v>
      </c>
      <c r="D6759">
        <v>6</v>
      </c>
      <c r="E6759" t="s">
        <v>37</v>
      </c>
      <c r="F6759" t="s">
        <v>28</v>
      </c>
      <c r="G6759" t="s">
        <v>62</v>
      </c>
      <c r="H6759" t="s">
        <v>66</v>
      </c>
      <c r="I6759">
        <v>5382.5</v>
      </c>
      <c r="J6759">
        <v>5134.1000000000004</v>
      </c>
      <c r="K6759" t="s">
        <v>17</v>
      </c>
      <c r="L6759" t="b">
        <v>0</v>
      </c>
      <c r="N6759" s="2" t="str">
        <f t="shared" si="602"/>
        <v/>
      </c>
      <c r="Q6759" t="str">
        <f t="shared" si="600"/>
        <v/>
      </c>
    </row>
    <row r="6760" spans="1:17" hidden="1">
      <c r="A6760" t="s">
        <v>6865</v>
      </c>
      <c r="B6760" s="1">
        <v>45818</v>
      </c>
      <c r="C6760">
        <v>2025</v>
      </c>
      <c r="D6760">
        <v>6</v>
      </c>
      <c r="E6760" t="s">
        <v>13</v>
      </c>
      <c r="F6760" t="s">
        <v>14</v>
      </c>
      <c r="G6760" t="s">
        <v>15</v>
      </c>
      <c r="H6760" t="s">
        <v>89</v>
      </c>
      <c r="I6760">
        <v>5037.59</v>
      </c>
      <c r="J6760">
        <v>4552.29</v>
      </c>
      <c r="K6760" t="s">
        <v>17</v>
      </c>
      <c r="L6760" t="b">
        <v>0</v>
      </c>
      <c r="N6760" s="2" t="str">
        <f t="shared" si="602"/>
        <v/>
      </c>
      <c r="Q6760" t="str">
        <f t="shared" si="600"/>
        <v/>
      </c>
    </row>
    <row r="6761" spans="1:17" hidden="1">
      <c r="A6761" t="s">
        <v>6866</v>
      </c>
      <c r="B6761" s="1">
        <v>45818</v>
      </c>
      <c r="C6761">
        <v>2025</v>
      </c>
      <c r="D6761">
        <v>6</v>
      </c>
      <c r="E6761" t="s">
        <v>13</v>
      </c>
      <c r="F6761" t="s">
        <v>14</v>
      </c>
      <c r="G6761" t="s">
        <v>108</v>
      </c>
      <c r="H6761" t="s">
        <v>126</v>
      </c>
      <c r="I6761">
        <v>3383.5</v>
      </c>
      <c r="J6761">
        <v>3400.96</v>
      </c>
      <c r="K6761" t="s">
        <v>17</v>
      </c>
      <c r="L6761" t="b">
        <v>0</v>
      </c>
      <c r="N6761" s="2" t="str">
        <f t="shared" si="602"/>
        <v/>
      </c>
      <c r="Q6761" t="str">
        <f t="shared" si="600"/>
        <v/>
      </c>
    </row>
    <row r="6762" spans="1:17" hidden="1">
      <c r="A6762" t="s">
        <v>6867</v>
      </c>
      <c r="B6762" s="1">
        <v>45818</v>
      </c>
      <c r="C6762">
        <v>2025</v>
      </c>
      <c r="D6762">
        <v>6</v>
      </c>
      <c r="E6762" t="s">
        <v>13</v>
      </c>
      <c r="F6762" t="s">
        <v>24</v>
      </c>
      <c r="G6762" t="s">
        <v>68</v>
      </c>
      <c r="H6762" t="s">
        <v>213</v>
      </c>
      <c r="I6762">
        <v>2750.24</v>
      </c>
      <c r="J6762">
        <v>2832.6</v>
      </c>
      <c r="K6762" t="s">
        <v>17</v>
      </c>
      <c r="L6762" t="b">
        <v>0</v>
      </c>
      <c r="N6762" s="2" t="str">
        <f t="shared" si="602"/>
        <v/>
      </c>
      <c r="Q6762" t="str">
        <f t="shared" si="600"/>
        <v/>
      </c>
    </row>
    <row r="6763" spans="1:17" hidden="1">
      <c r="A6763" t="s">
        <v>6868</v>
      </c>
      <c r="B6763" s="1">
        <v>45818</v>
      </c>
      <c r="C6763">
        <v>2025</v>
      </c>
      <c r="D6763">
        <v>6</v>
      </c>
      <c r="E6763" t="s">
        <v>19</v>
      </c>
      <c r="F6763" t="s">
        <v>14</v>
      </c>
      <c r="G6763" t="s">
        <v>132</v>
      </c>
      <c r="H6763" t="s">
        <v>133</v>
      </c>
      <c r="I6763">
        <v>7127.93</v>
      </c>
      <c r="J6763">
        <v>7263.81</v>
      </c>
      <c r="K6763" t="s">
        <v>17</v>
      </c>
      <c r="L6763" t="b">
        <v>0</v>
      </c>
      <c r="N6763" s="2" t="str">
        <f t="shared" si="602"/>
        <v/>
      </c>
      <c r="Q6763" t="str">
        <f t="shared" si="600"/>
        <v/>
      </c>
    </row>
    <row r="6764" spans="1:17" hidden="1">
      <c r="A6764" t="s">
        <v>6869</v>
      </c>
      <c r="B6764" s="1">
        <v>45818</v>
      </c>
      <c r="C6764">
        <v>2025</v>
      </c>
      <c r="D6764">
        <v>6</v>
      </c>
      <c r="E6764" t="s">
        <v>19</v>
      </c>
      <c r="F6764" t="s">
        <v>14</v>
      </c>
      <c r="G6764" t="s">
        <v>20</v>
      </c>
      <c r="H6764" t="s">
        <v>21</v>
      </c>
      <c r="I6764">
        <v>8381.8799999999992</v>
      </c>
      <c r="J6764">
        <v>7674.42</v>
      </c>
      <c r="K6764" t="s">
        <v>17</v>
      </c>
      <c r="L6764" t="b">
        <v>0</v>
      </c>
      <c r="N6764" s="2" t="str">
        <f t="shared" si="602"/>
        <v/>
      </c>
      <c r="Q6764" t="str">
        <f t="shared" si="600"/>
        <v/>
      </c>
    </row>
    <row r="6765" spans="1:17" hidden="1">
      <c r="A6765" t="s">
        <v>6870</v>
      </c>
      <c r="B6765" s="1">
        <v>45818</v>
      </c>
      <c r="C6765">
        <v>2025</v>
      </c>
      <c r="D6765">
        <v>6</v>
      </c>
      <c r="E6765" t="s">
        <v>19</v>
      </c>
      <c r="F6765" t="s">
        <v>14</v>
      </c>
      <c r="G6765" t="s">
        <v>54</v>
      </c>
      <c r="H6765" t="s">
        <v>163</v>
      </c>
      <c r="I6765">
        <v>6209.98</v>
      </c>
      <c r="J6765">
        <v>6076</v>
      </c>
      <c r="K6765" t="s">
        <v>17</v>
      </c>
      <c r="L6765" t="b">
        <v>0</v>
      </c>
      <c r="N6765" s="2" t="str">
        <f t="shared" si="602"/>
        <v/>
      </c>
      <c r="Q6765" t="str">
        <f t="shared" si="600"/>
        <v/>
      </c>
    </row>
    <row r="6766" spans="1:17" hidden="1">
      <c r="A6766" t="s">
        <v>6871</v>
      </c>
      <c r="B6766" s="1">
        <v>45818</v>
      </c>
      <c r="C6766">
        <v>2025</v>
      </c>
      <c r="D6766">
        <v>6</v>
      </c>
      <c r="E6766" t="s">
        <v>19</v>
      </c>
      <c r="F6766" t="s">
        <v>24</v>
      </c>
      <c r="G6766" t="s">
        <v>54</v>
      </c>
      <c r="H6766" t="s">
        <v>163</v>
      </c>
      <c r="I6766">
        <v>6241.46</v>
      </c>
      <c r="J6766">
        <v>6301.03</v>
      </c>
      <c r="K6766" t="s">
        <v>17</v>
      </c>
      <c r="L6766" t="b">
        <v>0</v>
      </c>
      <c r="N6766" s="2" t="str">
        <f t="shared" si="602"/>
        <v/>
      </c>
      <c r="Q6766" t="str">
        <f t="shared" si="600"/>
        <v/>
      </c>
    </row>
    <row r="6767" spans="1:17" hidden="1">
      <c r="A6767" t="s">
        <v>6872</v>
      </c>
      <c r="B6767" s="1">
        <v>45818</v>
      </c>
      <c r="C6767">
        <v>2025</v>
      </c>
      <c r="D6767">
        <v>6</v>
      </c>
      <c r="E6767" t="s">
        <v>23</v>
      </c>
      <c r="F6767" t="s">
        <v>14</v>
      </c>
      <c r="G6767" t="s">
        <v>59</v>
      </c>
      <c r="H6767" t="s">
        <v>60</v>
      </c>
      <c r="I6767">
        <v>3154.75</v>
      </c>
      <c r="J6767">
        <v>3070.77</v>
      </c>
      <c r="K6767" t="s">
        <v>17</v>
      </c>
      <c r="L6767" t="b">
        <v>0</v>
      </c>
      <c r="N6767" s="2" t="str">
        <f t="shared" si="602"/>
        <v/>
      </c>
      <c r="Q6767" t="str">
        <f t="shared" si="600"/>
        <v/>
      </c>
    </row>
    <row r="6768" spans="1:17" hidden="1">
      <c r="A6768" t="s">
        <v>6873</v>
      </c>
      <c r="B6768" s="1">
        <v>45818</v>
      </c>
      <c r="C6768">
        <v>2025</v>
      </c>
      <c r="D6768">
        <v>6</v>
      </c>
      <c r="E6768" t="s">
        <v>23</v>
      </c>
      <c r="F6768" t="s">
        <v>24</v>
      </c>
      <c r="G6768" t="s">
        <v>59</v>
      </c>
      <c r="H6768" t="s">
        <v>60</v>
      </c>
      <c r="I6768">
        <v>5890.44</v>
      </c>
      <c r="J6768">
        <v>5434.44</v>
      </c>
      <c r="K6768" t="s">
        <v>17</v>
      </c>
      <c r="L6768" t="b">
        <v>0</v>
      </c>
      <c r="N6768" s="2" t="str">
        <f t="shared" si="602"/>
        <v/>
      </c>
      <c r="Q6768" t="str">
        <f t="shared" ref="Q6768:Q6831" si="605">IF(L6768=TRUE,OR(H6768="Apex Solutions Inc",H6768="Global Trade Partners",H6768="NovaTech Services"),"")</f>
        <v/>
      </c>
    </row>
    <row r="6769" spans="1:17" hidden="1">
      <c r="A6769" t="s">
        <v>6874</v>
      </c>
      <c r="B6769" s="1">
        <v>45818</v>
      </c>
      <c r="C6769">
        <v>2025</v>
      </c>
      <c r="D6769">
        <v>6</v>
      </c>
      <c r="E6769" t="s">
        <v>37</v>
      </c>
      <c r="F6769" t="s">
        <v>14</v>
      </c>
      <c r="G6769" t="s">
        <v>98</v>
      </c>
      <c r="H6769" t="s">
        <v>99</v>
      </c>
      <c r="I6769">
        <v>6399.42</v>
      </c>
      <c r="J6769">
        <v>6001.73</v>
      </c>
      <c r="K6769" t="s">
        <v>17</v>
      </c>
      <c r="L6769" t="b">
        <v>0</v>
      </c>
      <c r="N6769" s="2" t="str">
        <f t="shared" si="602"/>
        <v/>
      </c>
      <c r="Q6769" t="str">
        <f t="shared" si="605"/>
        <v/>
      </c>
    </row>
    <row r="6770" spans="1:17" hidden="1">
      <c r="A6770" t="s">
        <v>6875</v>
      </c>
      <c r="B6770" s="1">
        <v>45819</v>
      </c>
      <c r="C6770">
        <v>2025</v>
      </c>
      <c r="D6770">
        <v>6</v>
      </c>
      <c r="E6770" t="s">
        <v>13</v>
      </c>
      <c r="F6770" t="s">
        <v>28</v>
      </c>
      <c r="G6770" t="s">
        <v>68</v>
      </c>
      <c r="H6770" t="s">
        <v>87</v>
      </c>
      <c r="I6770">
        <v>2762.87</v>
      </c>
      <c r="J6770">
        <v>2966.88</v>
      </c>
      <c r="K6770" t="s">
        <v>17</v>
      </c>
      <c r="L6770" t="b">
        <v>0</v>
      </c>
      <c r="N6770" s="2" t="str">
        <f t="shared" si="602"/>
        <v/>
      </c>
      <c r="Q6770" t="str">
        <f t="shared" si="605"/>
        <v/>
      </c>
    </row>
    <row r="6771" spans="1:17" hidden="1">
      <c r="A6771" t="s">
        <v>6876</v>
      </c>
      <c r="B6771" s="1">
        <v>45819</v>
      </c>
      <c r="C6771">
        <v>2025</v>
      </c>
      <c r="D6771">
        <v>6</v>
      </c>
      <c r="E6771" t="s">
        <v>13</v>
      </c>
      <c r="F6771" t="s">
        <v>24</v>
      </c>
      <c r="G6771" t="s">
        <v>108</v>
      </c>
      <c r="H6771" t="s">
        <v>123</v>
      </c>
      <c r="I6771">
        <v>1950.31</v>
      </c>
      <c r="J6771">
        <v>1920.63</v>
      </c>
      <c r="K6771" t="s">
        <v>17</v>
      </c>
      <c r="L6771" t="b">
        <v>0</v>
      </c>
      <c r="N6771" s="2" t="str">
        <f t="shared" si="602"/>
        <v/>
      </c>
      <c r="Q6771" t="str">
        <f t="shared" si="605"/>
        <v/>
      </c>
    </row>
    <row r="6772" spans="1:17" hidden="1">
      <c r="A6772" t="s">
        <v>6877</v>
      </c>
      <c r="B6772" s="1">
        <v>45819</v>
      </c>
      <c r="C6772">
        <v>2025</v>
      </c>
      <c r="D6772">
        <v>6</v>
      </c>
      <c r="E6772" t="s">
        <v>47</v>
      </c>
      <c r="F6772" t="s">
        <v>14</v>
      </c>
      <c r="G6772" t="s">
        <v>91</v>
      </c>
      <c r="H6772" t="s">
        <v>249</v>
      </c>
      <c r="I6772">
        <v>20525.02</v>
      </c>
      <c r="J6772">
        <v>17730.36</v>
      </c>
      <c r="K6772" t="s">
        <v>17</v>
      </c>
      <c r="L6772" t="b">
        <v>0</v>
      </c>
      <c r="N6772" s="2" t="b">
        <f t="shared" si="602"/>
        <v>1</v>
      </c>
      <c r="O6772" t="b">
        <f t="shared" ref="O6772:O6773" si="606">IF(AND(E6761="HR",K6761="EXPENSE"),I6761&lt;J6761,"")</f>
        <v>1</v>
      </c>
      <c r="Q6772" t="str">
        <f t="shared" si="605"/>
        <v/>
      </c>
    </row>
    <row r="6773" spans="1:17" hidden="1">
      <c r="A6773" t="s">
        <v>6878</v>
      </c>
      <c r="B6773" s="1">
        <v>45819</v>
      </c>
      <c r="C6773">
        <v>2025</v>
      </c>
      <c r="D6773">
        <v>6</v>
      </c>
      <c r="E6773" t="s">
        <v>47</v>
      </c>
      <c r="F6773" t="s">
        <v>24</v>
      </c>
      <c r="G6773" t="s">
        <v>48</v>
      </c>
      <c r="H6773" t="s">
        <v>191</v>
      </c>
      <c r="I6773">
        <v>10328.26</v>
      </c>
      <c r="J6773">
        <v>8759.52</v>
      </c>
      <c r="K6773" t="s">
        <v>17</v>
      </c>
      <c r="L6773" t="b">
        <v>0</v>
      </c>
      <c r="N6773" s="2" t="b">
        <f t="shared" si="602"/>
        <v>1</v>
      </c>
      <c r="O6773" t="b">
        <f t="shared" si="606"/>
        <v>1</v>
      </c>
      <c r="Q6773" t="str">
        <f t="shared" si="605"/>
        <v/>
      </c>
    </row>
    <row r="6774" spans="1:17" hidden="1">
      <c r="A6774" t="s">
        <v>6879</v>
      </c>
      <c r="B6774" s="1">
        <v>45819</v>
      </c>
      <c r="C6774">
        <v>2025</v>
      </c>
      <c r="D6774">
        <v>6</v>
      </c>
      <c r="E6774" t="s">
        <v>19</v>
      </c>
      <c r="F6774" t="s">
        <v>24</v>
      </c>
      <c r="G6774" t="s">
        <v>20</v>
      </c>
      <c r="H6774" t="s">
        <v>174</v>
      </c>
      <c r="I6774">
        <v>2569.11</v>
      </c>
      <c r="J6774">
        <v>2495</v>
      </c>
      <c r="K6774" t="s">
        <v>17</v>
      </c>
      <c r="L6774" t="b">
        <v>0</v>
      </c>
      <c r="N6774" s="2" t="str">
        <f t="shared" si="602"/>
        <v/>
      </c>
      <c r="Q6774" t="str">
        <f t="shared" si="605"/>
        <v/>
      </c>
    </row>
    <row r="6775" spans="1:17" hidden="1">
      <c r="A6775" t="s">
        <v>6880</v>
      </c>
      <c r="B6775" s="1">
        <v>45820</v>
      </c>
      <c r="C6775">
        <v>2025</v>
      </c>
      <c r="D6775">
        <v>6</v>
      </c>
      <c r="E6775" t="s">
        <v>19</v>
      </c>
      <c r="F6775" t="s">
        <v>14</v>
      </c>
      <c r="G6775" t="s">
        <v>54</v>
      </c>
      <c r="H6775" t="s">
        <v>55</v>
      </c>
      <c r="I6775">
        <v>5403.98</v>
      </c>
      <c r="J6775">
        <v>5638.87</v>
      </c>
      <c r="K6775" t="s">
        <v>17</v>
      </c>
      <c r="L6775" t="b">
        <v>0</v>
      </c>
      <c r="N6775" s="2" t="str">
        <f t="shared" si="602"/>
        <v/>
      </c>
      <c r="Q6775" t="str">
        <f t="shared" si="605"/>
        <v/>
      </c>
    </row>
    <row r="6776" spans="1:17" hidden="1">
      <c r="A6776" t="s">
        <v>6881</v>
      </c>
      <c r="B6776" s="1">
        <v>45820</v>
      </c>
      <c r="C6776">
        <v>2025</v>
      </c>
      <c r="D6776">
        <v>6</v>
      </c>
      <c r="E6776" t="s">
        <v>23</v>
      </c>
      <c r="F6776" t="s">
        <v>14</v>
      </c>
      <c r="G6776" t="s">
        <v>59</v>
      </c>
      <c r="H6776" t="s">
        <v>155</v>
      </c>
      <c r="I6776">
        <v>5222.8599999999997</v>
      </c>
      <c r="J6776">
        <v>5217.74</v>
      </c>
      <c r="K6776" t="s">
        <v>17</v>
      </c>
      <c r="L6776" t="b">
        <v>0</v>
      </c>
      <c r="N6776" s="2" t="str">
        <f t="shared" si="602"/>
        <v/>
      </c>
      <c r="Q6776" t="str">
        <f t="shared" si="605"/>
        <v/>
      </c>
    </row>
    <row r="6777" spans="1:17" hidden="1">
      <c r="A6777" t="s">
        <v>6882</v>
      </c>
      <c r="B6777" s="1">
        <v>45820</v>
      </c>
      <c r="C6777">
        <v>2025</v>
      </c>
      <c r="D6777">
        <v>6</v>
      </c>
      <c r="E6777" t="s">
        <v>23</v>
      </c>
      <c r="F6777" t="s">
        <v>24</v>
      </c>
      <c r="G6777" t="s">
        <v>30</v>
      </c>
      <c r="H6777" t="s">
        <v>33</v>
      </c>
      <c r="I6777">
        <v>5096.7299999999996</v>
      </c>
      <c r="J6777">
        <v>4832.03</v>
      </c>
      <c r="K6777" t="s">
        <v>17</v>
      </c>
      <c r="L6777" t="b">
        <v>0</v>
      </c>
      <c r="N6777" s="2" t="str">
        <f t="shared" si="602"/>
        <v/>
      </c>
      <c r="Q6777" t="str">
        <f t="shared" si="605"/>
        <v/>
      </c>
    </row>
    <row r="6778" spans="1:17" hidden="1">
      <c r="A6778" t="s">
        <v>6883</v>
      </c>
      <c r="B6778" s="1">
        <v>45821</v>
      </c>
      <c r="C6778">
        <v>2025</v>
      </c>
      <c r="D6778">
        <v>6</v>
      </c>
      <c r="E6778" t="s">
        <v>13</v>
      </c>
      <c r="F6778" t="s">
        <v>14</v>
      </c>
      <c r="G6778" t="s">
        <v>15</v>
      </c>
      <c r="H6778" t="s">
        <v>16</v>
      </c>
      <c r="I6778">
        <v>5969.71</v>
      </c>
      <c r="J6778">
        <v>6280.77</v>
      </c>
      <c r="K6778" t="s">
        <v>17</v>
      </c>
      <c r="L6778" t="b">
        <v>0</v>
      </c>
      <c r="N6778" s="2" t="str">
        <f t="shared" si="602"/>
        <v/>
      </c>
      <c r="Q6778" t="str">
        <f t="shared" si="605"/>
        <v/>
      </c>
    </row>
    <row r="6779" spans="1:17" hidden="1">
      <c r="A6779" t="s">
        <v>6884</v>
      </c>
      <c r="B6779" s="1">
        <v>45821</v>
      </c>
      <c r="C6779">
        <v>2025</v>
      </c>
      <c r="D6779">
        <v>6</v>
      </c>
      <c r="E6779" t="s">
        <v>47</v>
      </c>
      <c r="F6779" t="s">
        <v>14</v>
      </c>
      <c r="G6779" t="s">
        <v>91</v>
      </c>
      <c r="H6779" t="s">
        <v>128</v>
      </c>
      <c r="I6779">
        <v>12849.06</v>
      </c>
      <c r="J6779">
        <v>10927.34</v>
      </c>
      <c r="K6779" t="s">
        <v>17</v>
      </c>
      <c r="L6779" t="b">
        <v>0</v>
      </c>
      <c r="N6779" s="2" t="b">
        <f t="shared" si="602"/>
        <v>1</v>
      </c>
      <c r="O6779" t="str">
        <f>IF(AND(E6768="HR",K6768="EXPENSE"),I6768&lt;J6768,"")</f>
        <v/>
      </c>
      <c r="Q6779" t="str">
        <f t="shared" si="605"/>
        <v/>
      </c>
    </row>
    <row r="6780" spans="1:17" hidden="1">
      <c r="A6780" t="s">
        <v>6885</v>
      </c>
      <c r="B6780" s="1">
        <v>45821</v>
      </c>
      <c r="C6780">
        <v>2025</v>
      </c>
      <c r="D6780">
        <v>6</v>
      </c>
      <c r="E6780" t="s">
        <v>19</v>
      </c>
      <c r="F6780" t="s">
        <v>28</v>
      </c>
      <c r="G6780" t="s">
        <v>54</v>
      </c>
      <c r="H6780" t="s">
        <v>55</v>
      </c>
      <c r="I6780">
        <v>7338.31</v>
      </c>
      <c r="J6780">
        <v>7666.87</v>
      </c>
      <c r="K6780" t="s">
        <v>17</v>
      </c>
      <c r="L6780" t="b">
        <v>0</v>
      </c>
      <c r="N6780" s="2" t="str">
        <f t="shared" si="602"/>
        <v/>
      </c>
      <c r="Q6780" t="str">
        <f t="shared" si="605"/>
        <v/>
      </c>
    </row>
    <row r="6781" spans="1:17" hidden="1">
      <c r="A6781" t="s">
        <v>6886</v>
      </c>
      <c r="B6781" s="1">
        <v>45821</v>
      </c>
      <c r="C6781">
        <v>2025</v>
      </c>
      <c r="D6781">
        <v>6</v>
      </c>
      <c r="E6781" t="s">
        <v>19</v>
      </c>
      <c r="F6781" t="s">
        <v>28</v>
      </c>
      <c r="G6781" t="s">
        <v>20</v>
      </c>
      <c r="H6781" t="s">
        <v>21</v>
      </c>
      <c r="I6781">
        <v>6931.84</v>
      </c>
      <c r="J6781">
        <v>6632.96</v>
      </c>
      <c r="K6781" t="s">
        <v>17</v>
      </c>
      <c r="L6781" t="b">
        <v>0</v>
      </c>
      <c r="N6781" s="2" t="str">
        <f t="shared" si="602"/>
        <v/>
      </c>
      <c r="Q6781" t="str">
        <f t="shared" si="605"/>
        <v/>
      </c>
    </row>
    <row r="6782" spans="1:17" hidden="1">
      <c r="A6782" t="s">
        <v>6887</v>
      </c>
      <c r="B6782" s="1">
        <v>45821</v>
      </c>
      <c r="C6782">
        <v>2025</v>
      </c>
      <c r="D6782">
        <v>6</v>
      </c>
      <c r="E6782" t="s">
        <v>23</v>
      </c>
      <c r="F6782" t="s">
        <v>24</v>
      </c>
      <c r="G6782" t="s">
        <v>141</v>
      </c>
      <c r="H6782" t="s">
        <v>153</v>
      </c>
      <c r="I6782">
        <v>8367.4699999999993</v>
      </c>
      <c r="J6782">
        <v>8738.1</v>
      </c>
      <c r="K6782" t="s">
        <v>17</v>
      </c>
      <c r="L6782" t="b">
        <v>0</v>
      </c>
      <c r="N6782" s="2" t="str">
        <f t="shared" si="602"/>
        <v/>
      </c>
      <c r="Q6782" t="str">
        <f t="shared" si="605"/>
        <v/>
      </c>
    </row>
    <row r="6783" spans="1:17" hidden="1">
      <c r="A6783" t="s">
        <v>6888</v>
      </c>
      <c r="B6783" s="1">
        <v>45821</v>
      </c>
      <c r="C6783">
        <v>2025</v>
      </c>
      <c r="D6783">
        <v>6</v>
      </c>
      <c r="E6783" t="s">
        <v>37</v>
      </c>
      <c r="F6783" t="s">
        <v>24</v>
      </c>
      <c r="G6783" t="s">
        <v>62</v>
      </c>
      <c r="H6783" t="s">
        <v>63</v>
      </c>
      <c r="I6783">
        <v>3852.98</v>
      </c>
      <c r="J6783">
        <v>4081.67</v>
      </c>
      <c r="K6783" t="s">
        <v>17</v>
      </c>
      <c r="L6783" t="b">
        <v>0</v>
      </c>
      <c r="N6783" s="2" t="str">
        <f t="shared" si="602"/>
        <v/>
      </c>
      <c r="Q6783" t="str">
        <f t="shared" si="605"/>
        <v/>
      </c>
    </row>
    <row r="6784" spans="1:17" hidden="1">
      <c r="A6784" t="s">
        <v>6889</v>
      </c>
      <c r="B6784" s="1">
        <v>45821</v>
      </c>
      <c r="C6784">
        <v>2025</v>
      </c>
      <c r="D6784">
        <v>6</v>
      </c>
      <c r="E6784" t="s">
        <v>37</v>
      </c>
      <c r="F6784" t="s">
        <v>24</v>
      </c>
      <c r="G6784" t="s">
        <v>83</v>
      </c>
      <c r="H6784" t="s">
        <v>84</v>
      </c>
      <c r="I6784">
        <v>131817.47</v>
      </c>
      <c r="J6784">
        <v>125226.59</v>
      </c>
      <c r="K6784" t="s">
        <v>85</v>
      </c>
      <c r="L6784" t="b">
        <v>0</v>
      </c>
      <c r="N6784" s="2" t="str">
        <f t="shared" si="602"/>
        <v/>
      </c>
      <c r="Q6784" t="str">
        <f t="shared" si="605"/>
        <v/>
      </c>
    </row>
    <row r="6785" spans="1:17" hidden="1">
      <c r="A6785" t="s">
        <v>6890</v>
      </c>
      <c r="B6785" s="1">
        <v>45822</v>
      </c>
      <c r="C6785">
        <v>2025</v>
      </c>
      <c r="D6785">
        <v>6</v>
      </c>
      <c r="E6785" t="s">
        <v>13</v>
      </c>
      <c r="F6785" t="s">
        <v>24</v>
      </c>
      <c r="G6785" t="s">
        <v>102</v>
      </c>
      <c r="H6785" t="s">
        <v>103</v>
      </c>
      <c r="I6785">
        <v>5125.8900000000003</v>
      </c>
      <c r="J6785">
        <v>5459.52</v>
      </c>
      <c r="K6785" t="s">
        <v>17</v>
      </c>
      <c r="L6785" t="b">
        <v>0</v>
      </c>
      <c r="N6785" s="2" t="str">
        <f t="shared" si="602"/>
        <v/>
      </c>
      <c r="Q6785" t="str">
        <f t="shared" si="605"/>
        <v/>
      </c>
    </row>
    <row r="6786" spans="1:17" hidden="1">
      <c r="A6786" t="s">
        <v>6891</v>
      </c>
      <c r="B6786" s="1">
        <v>45822</v>
      </c>
      <c r="C6786">
        <v>2025</v>
      </c>
      <c r="D6786">
        <v>6</v>
      </c>
      <c r="E6786" t="s">
        <v>13</v>
      </c>
      <c r="F6786" t="s">
        <v>24</v>
      </c>
      <c r="G6786" t="s">
        <v>108</v>
      </c>
      <c r="H6786" t="s">
        <v>123</v>
      </c>
      <c r="I6786">
        <v>2424.5100000000002</v>
      </c>
      <c r="J6786">
        <v>2366.14</v>
      </c>
      <c r="K6786" t="s">
        <v>17</v>
      </c>
      <c r="L6786" t="b">
        <v>0</v>
      </c>
      <c r="N6786" s="2" t="str">
        <f t="shared" si="602"/>
        <v/>
      </c>
      <c r="Q6786" t="str">
        <f t="shared" si="605"/>
        <v/>
      </c>
    </row>
    <row r="6787" spans="1:17" hidden="1">
      <c r="A6787" t="s">
        <v>6892</v>
      </c>
      <c r="B6787" s="1">
        <v>45822</v>
      </c>
      <c r="C6787">
        <v>2025</v>
      </c>
      <c r="D6787">
        <v>6</v>
      </c>
      <c r="E6787" t="s">
        <v>19</v>
      </c>
      <c r="F6787" t="s">
        <v>24</v>
      </c>
      <c r="G6787" t="s">
        <v>20</v>
      </c>
      <c r="H6787" t="s">
        <v>136</v>
      </c>
      <c r="I6787">
        <v>4558.24</v>
      </c>
      <c r="J6787">
        <v>4184.53</v>
      </c>
      <c r="K6787" t="s">
        <v>17</v>
      </c>
      <c r="L6787" t="b">
        <v>0</v>
      </c>
      <c r="N6787" s="2" t="str">
        <f t="shared" ref="N6787:N6850" si="607">IF(AND(E6787="IT",K6787="EXPENSE"),I6787&gt;J6787,"")</f>
        <v/>
      </c>
      <c r="Q6787" t="str">
        <f t="shared" si="605"/>
        <v/>
      </c>
    </row>
    <row r="6788" spans="1:17" hidden="1">
      <c r="A6788" t="s">
        <v>6893</v>
      </c>
      <c r="B6788" s="1">
        <v>45822</v>
      </c>
      <c r="C6788">
        <v>2025</v>
      </c>
      <c r="D6788">
        <v>6</v>
      </c>
      <c r="E6788" t="s">
        <v>23</v>
      </c>
      <c r="F6788" t="s">
        <v>14</v>
      </c>
      <c r="G6788" t="s">
        <v>30</v>
      </c>
      <c r="H6788" t="s">
        <v>31</v>
      </c>
      <c r="I6788">
        <v>4985.3</v>
      </c>
      <c r="J6788">
        <v>5208.32</v>
      </c>
      <c r="K6788" t="s">
        <v>17</v>
      </c>
      <c r="L6788" t="b">
        <v>0</v>
      </c>
      <c r="N6788" s="2" t="str">
        <f t="shared" si="607"/>
        <v/>
      </c>
      <c r="Q6788" t="str">
        <f t="shared" si="605"/>
        <v/>
      </c>
    </row>
    <row r="6789" spans="1:17" hidden="1">
      <c r="A6789" t="s">
        <v>6894</v>
      </c>
      <c r="B6789" s="1">
        <v>45822</v>
      </c>
      <c r="C6789">
        <v>2025</v>
      </c>
      <c r="D6789">
        <v>6</v>
      </c>
      <c r="E6789" t="s">
        <v>23</v>
      </c>
      <c r="F6789" t="s">
        <v>14</v>
      </c>
      <c r="G6789" t="s">
        <v>59</v>
      </c>
      <c r="H6789" t="s">
        <v>60</v>
      </c>
      <c r="I6789">
        <v>5925.91</v>
      </c>
      <c r="J6789">
        <v>6194.65</v>
      </c>
      <c r="K6789" t="s">
        <v>17</v>
      </c>
      <c r="L6789" t="b">
        <v>0</v>
      </c>
      <c r="N6789" s="2" t="str">
        <f t="shared" si="607"/>
        <v/>
      </c>
      <c r="Q6789" t="str">
        <f t="shared" si="605"/>
        <v/>
      </c>
    </row>
    <row r="6790" spans="1:17" hidden="1">
      <c r="A6790" t="s">
        <v>6895</v>
      </c>
      <c r="B6790" s="1">
        <v>45822</v>
      </c>
      <c r="C6790">
        <v>2025</v>
      </c>
      <c r="D6790">
        <v>6</v>
      </c>
      <c r="E6790" t="s">
        <v>23</v>
      </c>
      <c r="F6790" t="s">
        <v>24</v>
      </c>
      <c r="G6790" t="s">
        <v>59</v>
      </c>
      <c r="H6790" t="s">
        <v>60</v>
      </c>
      <c r="I6790">
        <v>8317.6</v>
      </c>
      <c r="J6790">
        <v>8441.8799999999992</v>
      </c>
      <c r="K6790" t="s">
        <v>17</v>
      </c>
      <c r="L6790" t="b">
        <v>0</v>
      </c>
      <c r="N6790" s="2" t="str">
        <f t="shared" si="607"/>
        <v/>
      </c>
      <c r="Q6790" t="str">
        <f t="shared" si="605"/>
        <v/>
      </c>
    </row>
    <row r="6791" spans="1:17" hidden="1">
      <c r="A6791" t="s">
        <v>6896</v>
      </c>
      <c r="B6791" s="1">
        <v>45822</v>
      </c>
      <c r="C6791">
        <v>2025</v>
      </c>
      <c r="D6791">
        <v>6</v>
      </c>
      <c r="E6791" t="s">
        <v>37</v>
      </c>
      <c r="F6791" t="s">
        <v>14</v>
      </c>
      <c r="G6791" t="s">
        <v>38</v>
      </c>
      <c r="H6791" t="s">
        <v>118</v>
      </c>
      <c r="I6791">
        <v>5835.31</v>
      </c>
      <c r="J6791">
        <v>5557.75</v>
      </c>
      <c r="K6791" t="s">
        <v>17</v>
      </c>
      <c r="L6791" t="b">
        <v>0</v>
      </c>
      <c r="N6791" s="2" t="str">
        <f t="shared" si="607"/>
        <v/>
      </c>
      <c r="Q6791" t="str">
        <f t="shared" si="605"/>
        <v/>
      </c>
    </row>
    <row r="6792" spans="1:17" hidden="1">
      <c r="A6792" t="s">
        <v>6897</v>
      </c>
      <c r="B6792" s="1">
        <v>45823</v>
      </c>
      <c r="C6792">
        <v>2025</v>
      </c>
      <c r="D6792">
        <v>6</v>
      </c>
      <c r="E6792" t="s">
        <v>13</v>
      </c>
      <c r="F6792" t="s">
        <v>28</v>
      </c>
      <c r="G6792" t="s">
        <v>108</v>
      </c>
      <c r="H6792" t="s">
        <v>126</v>
      </c>
      <c r="I6792">
        <v>5087.32</v>
      </c>
      <c r="J6792">
        <v>4712.1400000000003</v>
      </c>
      <c r="K6792" t="s">
        <v>17</v>
      </c>
      <c r="L6792" t="b">
        <v>0</v>
      </c>
      <c r="N6792" s="2" t="str">
        <f t="shared" si="607"/>
        <v/>
      </c>
      <c r="Q6792" t="str">
        <f t="shared" si="605"/>
        <v/>
      </c>
    </row>
    <row r="6793" spans="1:17" hidden="1">
      <c r="A6793" t="s">
        <v>6898</v>
      </c>
      <c r="B6793" s="1">
        <v>45823</v>
      </c>
      <c r="C6793">
        <v>2025</v>
      </c>
      <c r="D6793">
        <v>6</v>
      </c>
      <c r="E6793" t="s">
        <v>47</v>
      </c>
      <c r="F6793" t="s">
        <v>28</v>
      </c>
      <c r="G6793" t="s">
        <v>91</v>
      </c>
      <c r="H6793" t="s">
        <v>128</v>
      </c>
      <c r="I6793">
        <v>3185.95</v>
      </c>
      <c r="J6793">
        <v>2612.88</v>
      </c>
      <c r="K6793" t="s">
        <v>17</v>
      </c>
      <c r="L6793" t="b">
        <v>0</v>
      </c>
      <c r="N6793" s="2" t="b">
        <f t="shared" si="607"/>
        <v>1</v>
      </c>
      <c r="O6793" t="str">
        <f t="shared" ref="O6793:O6794" si="608">IF(AND(E6782="HR",K6782="EXPENSE"),I6782&lt;J6782,"")</f>
        <v/>
      </c>
      <c r="Q6793" t="str">
        <f t="shared" si="605"/>
        <v/>
      </c>
    </row>
    <row r="6794" spans="1:17" hidden="1">
      <c r="A6794" t="s">
        <v>6899</v>
      </c>
      <c r="B6794" s="1">
        <v>45823</v>
      </c>
      <c r="C6794">
        <v>2025</v>
      </c>
      <c r="D6794">
        <v>6</v>
      </c>
      <c r="E6794" t="s">
        <v>47</v>
      </c>
      <c r="F6794" t="s">
        <v>28</v>
      </c>
      <c r="G6794" t="s">
        <v>77</v>
      </c>
      <c r="H6794" t="s">
        <v>78</v>
      </c>
      <c r="I6794">
        <v>8627.52</v>
      </c>
      <c r="J6794">
        <v>7237.6</v>
      </c>
      <c r="K6794" t="s">
        <v>17</v>
      </c>
      <c r="L6794" t="b">
        <v>0</v>
      </c>
      <c r="N6794" s="2" t="b">
        <f t="shared" si="607"/>
        <v>1</v>
      </c>
      <c r="O6794" t="str">
        <f t="shared" si="608"/>
        <v/>
      </c>
      <c r="Q6794" t="str">
        <f t="shared" si="605"/>
        <v/>
      </c>
    </row>
    <row r="6795" spans="1:17" hidden="1">
      <c r="A6795" t="s">
        <v>6900</v>
      </c>
      <c r="B6795" s="1">
        <v>45823</v>
      </c>
      <c r="C6795">
        <v>2025</v>
      </c>
      <c r="D6795">
        <v>6</v>
      </c>
      <c r="E6795" t="s">
        <v>19</v>
      </c>
      <c r="F6795" t="s">
        <v>14</v>
      </c>
      <c r="G6795" t="s">
        <v>20</v>
      </c>
      <c r="H6795" t="s">
        <v>21</v>
      </c>
      <c r="I6795">
        <v>8272.34</v>
      </c>
      <c r="J6795">
        <v>8617.09</v>
      </c>
      <c r="K6795" t="s">
        <v>17</v>
      </c>
      <c r="L6795" t="b">
        <v>0</v>
      </c>
      <c r="N6795" s="2" t="str">
        <f t="shared" si="607"/>
        <v/>
      </c>
      <c r="Q6795" t="str">
        <f t="shared" si="605"/>
        <v/>
      </c>
    </row>
    <row r="6796" spans="1:17" hidden="1">
      <c r="A6796" t="s">
        <v>6901</v>
      </c>
      <c r="B6796" s="1">
        <v>45823</v>
      </c>
      <c r="C6796">
        <v>2025</v>
      </c>
      <c r="D6796">
        <v>6</v>
      </c>
      <c r="E6796" t="s">
        <v>19</v>
      </c>
      <c r="F6796" t="s">
        <v>28</v>
      </c>
      <c r="G6796" t="s">
        <v>54</v>
      </c>
      <c r="H6796" t="s">
        <v>163</v>
      </c>
      <c r="I6796">
        <v>4536.2700000000004</v>
      </c>
      <c r="J6796">
        <v>4325.1099999999997</v>
      </c>
      <c r="K6796" t="s">
        <v>17</v>
      </c>
      <c r="L6796" t="b">
        <v>0</v>
      </c>
      <c r="N6796" s="2" t="str">
        <f t="shared" si="607"/>
        <v/>
      </c>
      <c r="Q6796" t="str">
        <f t="shared" si="605"/>
        <v/>
      </c>
    </row>
    <row r="6797" spans="1:17" hidden="1">
      <c r="A6797" t="s">
        <v>6902</v>
      </c>
      <c r="B6797" s="1">
        <v>45823</v>
      </c>
      <c r="C6797">
        <v>2025</v>
      </c>
      <c r="D6797">
        <v>6</v>
      </c>
      <c r="E6797" t="s">
        <v>19</v>
      </c>
      <c r="F6797" t="s">
        <v>28</v>
      </c>
      <c r="G6797" t="s">
        <v>132</v>
      </c>
      <c r="H6797" t="s">
        <v>133</v>
      </c>
      <c r="I6797">
        <v>5625.55</v>
      </c>
      <c r="J6797">
        <v>5201.4799999999996</v>
      </c>
      <c r="K6797" t="s">
        <v>17</v>
      </c>
      <c r="L6797" t="b">
        <v>0</v>
      </c>
      <c r="N6797" s="2" t="str">
        <f t="shared" si="607"/>
        <v/>
      </c>
      <c r="Q6797" t="str">
        <f t="shared" si="605"/>
        <v/>
      </c>
    </row>
    <row r="6798" spans="1:17" hidden="1">
      <c r="A6798" t="s">
        <v>6903</v>
      </c>
      <c r="B6798" s="1">
        <v>45823</v>
      </c>
      <c r="C6798">
        <v>2025</v>
      </c>
      <c r="D6798">
        <v>6</v>
      </c>
      <c r="E6798" t="s">
        <v>19</v>
      </c>
      <c r="F6798" t="s">
        <v>24</v>
      </c>
      <c r="G6798" t="s">
        <v>20</v>
      </c>
      <c r="H6798" t="s">
        <v>136</v>
      </c>
      <c r="I6798">
        <v>5209.4799999999996</v>
      </c>
      <c r="J6798">
        <v>4932.2</v>
      </c>
      <c r="K6798" t="s">
        <v>17</v>
      </c>
      <c r="L6798" t="b">
        <v>0</v>
      </c>
      <c r="N6798" s="2" t="str">
        <f t="shared" si="607"/>
        <v/>
      </c>
      <c r="Q6798" t="str">
        <f t="shared" si="605"/>
        <v/>
      </c>
    </row>
    <row r="6799" spans="1:17" hidden="1">
      <c r="A6799" t="s">
        <v>6904</v>
      </c>
      <c r="B6799" s="1">
        <v>45823</v>
      </c>
      <c r="C6799">
        <v>2025</v>
      </c>
      <c r="D6799">
        <v>6</v>
      </c>
      <c r="E6799" t="s">
        <v>19</v>
      </c>
      <c r="F6799" t="s">
        <v>24</v>
      </c>
      <c r="G6799" t="s">
        <v>20</v>
      </c>
      <c r="H6799" t="s">
        <v>174</v>
      </c>
      <c r="I6799">
        <v>4710.75</v>
      </c>
      <c r="J6799">
        <v>4913.57</v>
      </c>
      <c r="K6799" t="s">
        <v>17</v>
      </c>
      <c r="L6799" t="b">
        <v>0</v>
      </c>
      <c r="N6799" s="2" t="str">
        <f t="shared" si="607"/>
        <v/>
      </c>
      <c r="Q6799" t="str">
        <f t="shared" si="605"/>
        <v/>
      </c>
    </row>
    <row r="6800" spans="1:17" hidden="1">
      <c r="A6800" t="s">
        <v>6905</v>
      </c>
      <c r="B6800" s="1">
        <v>45823</v>
      </c>
      <c r="C6800">
        <v>2025</v>
      </c>
      <c r="D6800">
        <v>6</v>
      </c>
      <c r="E6800" t="s">
        <v>19</v>
      </c>
      <c r="F6800" t="s">
        <v>24</v>
      </c>
      <c r="G6800" t="s">
        <v>20</v>
      </c>
      <c r="H6800" t="s">
        <v>174</v>
      </c>
      <c r="I6800">
        <v>5478.72</v>
      </c>
      <c r="J6800">
        <v>6016.08</v>
      </c>
      <c r="K6800" t="s">
        <v>17</v>
      </c>
      <c r="L6800" t="b">
        <v>0</v>
      </c>
      <c r="N6800" s="2" t="str">
        <f t="shared" si="607"/>
        <v/>
      </c>
      <c r="Q6800" t="str">
        <f t="shared" si="605"/>
        <v/>
      </c>
    </row>
    <row r="6801" spans="1:17" hidden="1">
      <c r="A6801" t="s">
        <v>6906</v>
      </c>
      <c r="B6801" s="1">
        <v>45823</v>
      </c>
      <c r="C6801">
        <v>2025</v>
      </c>
      <c r="D6801">
        <v>6</v>
      </c>
      <c r="E6801" t="s">
        <v>23</v>
      </c>
      <c r="F6801" t="s">
        <v>28</v>
      </c>
      <c r="G6801" t="s">
        <v>141</v>
      </c>
      <c r="H6801" t="s">
        <v>209</v>
      </c>
      <c r="I6801">
        <v>7836.6</v>
      </c>
      <c r="J6801">
        <v>8087.66</v>
      </c>
      <c r="K6801" t="s">
        <v>17</v>
      </c>
      <c r="L6801" t="b">
        <v>0</v>
      </c>
      <c r="N6801" s="2" t="str">
        <f t="shared" si="607"/>
        <v/>
      </c>
      <c r="Q6801" t="str">
        <f t="shared" si="605"/>
        <v/>
      </c>
    </row>
    <row r="6802" spans="1:17" hidden="1">
      <c r="A6802" t="s">
        <v>6907</v>
      </c>
      <c r="B6802" s="1">
        <v>45823</v>
      </c>
      <c r="C6802">
        <v>2025</v>
      </c>
      <c r="D6802">
        <v>6</v>
      </c>
      <c r="E6802" t="s">
        <v>37</v>
      </c>
      <c r="F6802" t="s">
        <v>14</v>
      </c>
      <c r="G6802" t="s">
        <v>98</v>
      </c>
      <c r="H6802" t="s">
        <v>185</v>
      </c>
      <c r="I6802">
        <v>4627.38</v>
      </c>
      <c r="J6802">
        <v>4261.7299999999996</v>
      </c>
      <c r="K6802" t="s">
        <v>17</v>
      </c>
      <c r="L6802" t="b">
        <v>0</v>
      </c>
      <c r="N6802" s="2" t="str">
        <f t="shared" si="607"/>
        <v/>
      </c>
      <c r="Q6802" t="str">
        <f t="shared" si="605"/>
        <v/>
      </c>
    </row>
    <row r="6803" spans="1:17" hidden="1">
      <c r="A6803" t="s">
        <v>6908</v>
      </c>
      <c r="B6803" s="1">
        <v>45823</v>
      </c>
      <c r="C6803">
        <v>2025</v>
      </c>
      <c r="D6803">
        <v>6</v>
      </c>
      <c r="E6803" t="s">
        <v>37</v>
      </c>
      <c r="F6803" t="s">
        <v>28</v>
      </c>
      <c r="G6803" t="s">
        <v>38</v>
      </c>
      <c r="H6803" t="s">
        <v>39</v>
      </c>
      <c r="I6803">
        <v>6339.86</v>
      </c>
      <c r="J6803">
        <v>6820.46</v>
      </c>
      <c r="K6803" t="s">
        <v>17</v>
      </c>
      <c r="L6803" t="b">
        <v>0</v>
      </c>
      <c r="N6803" s="2" t="str">
        <f t="shared" si="607"/>
        <v/>
      </c>
      <c r="Q6803" t="str">
        <f t="shared" si="605"/>
        <v/>
      </c>
    </row>
    <row r="6804" spans="1:17" hidden="1">
      <c r="A6804" t="s">
        <v>6909</v>
      </c>
      <c r="B6804" s="1">
        <v>45823</v>
      </c>
      <c r="C6804">
        <v>2025</v>
      </c>
      <c r="D6804">
        <v>6</v>
      </c>
      <c r="E6804" t="s">
        <v>37</v>
      </c>
      <c r="F6804" t="s">
        <v>24</v>
      </c>
      <c r="G6804" t="s">
        <v>41</v>
      </c>
      <c r="H6804" t="s">
        <v>42</v>
      </c>
      <c r="I6804">
        <v>4448.28</v>
      </c>
      <c r="J6804">
        <v>4656.3100000000004</v>
      </c>
      <c r="K6804" t="s">
        <v>17</v>
      </c>
      <c r="L6804" t="b">
        <v>0</v>
      </c>
      <c r="N6804" s="2" t="str">
        <f t="shared" si="607"/>
        <v/>
      </c>
      <c r="Q6804" t="str">
        <f t="shared" si="605"/>
        <v/>
      </c>
    </row>
    <row r="6805" spans="1:17" hidden="1">
      <c r="A6805" t="s">
        <v>6910</v>
      </c>
      <c r="B6805" s="1">
        <v>45823</v>
      </c>
      <c r="C6805">
        <v>2025</v>
      </c>
      <c r="D6805">
        <v>6</v>
      </c>
      <c r="E6805" t="s">
        <v>37</v>
      </c>
      <c r="F6805" t="s">
        <v>24</v>
      </c>
      <c r="G6805" t="s">
        <v>62</v>
      </c>
      <c r="H6805" t="s">
        <v>66</v>
      </c>
      <c r="I6805">
        <v>3960.04</v>
      </c>
      <c r="J6805">
        <v>4148.97</v>
      </c>
      <c r="K6805" t="s">
        <v>17</v>
      </c>
      <c r="L6805" t="b">
        <v>0</v>
      </c>
      <c r="N6805" s="2" t="str">
        <f t="shared" si="607"/>
        <v/>
      </c>
      <c r="Q6805" t="str">
        <f t="shared" si="605"/>
        <v/>
      </c>
    </row>
    <row r="6806" spans="1:17" hidden="1">
      <c r="A6806" t="s">
        <v>6911</v>
      </c>
      <c r="B6806" s="1">
        <v>45824</v>
      </c>
      <c r="C6806">
        <v>2025</v>
      </c>
      <c r="D6806">
        <v>6</v>
      </c>
      <c r="E6806" t="s">
        <v>47</v>
      </c>
      <c r="F6806" t="s">
        <v>14</v>
      </c>
      <c r="G6806" t="s">
        <v>51</v>
      </c>
      <c r="H6806" t="s">
        <v>52</v>
      </c>
      <c r="I6806">
        <v>20149.009999999998</v>
      </c>
      <c r="J6806">
        <v>17045.900000000001</v>
      </c>
      <c r="K6806" t="s">
        <v>17</v>
      </c>
      <c r="L6806" t="b">
        <v>0</v>
      </c>
      <c r="N6806" s="2" t="b">
        <f t="shared" si="607"/>
        <v>1</v>
      </c>
      <c r="O6806" t="str">
        <f t="shared" ref="O6806:O6807" si="609">IF(AND(E6795="HR",K6795="EXPENSE"),I6795&lt;J6795,"")</f>
        <v/>
      </c>
      <c r="Q6806" t="str">
        <f t="shared" si="605"/>
        <v/>
      </c>
    </row>
    <row r="6807" spans="1:17" hidden="1">
      <c r="A6807" t="s">
        <v>6912</v>
      </c>
      <c r="B6807" s="1">
        <v>45824</v>
      </c>
      <c r="C6807">
        <v>2025</v>
      </c>
      <c r="D6807">
        <v>6</v>
      </c>
      <c r="E6807" t="s">
        <v>47</v>
      </c>
      <c r="F6807" t="s">
        <v>28</v>
      </c>
      <c r="G6807" t="s">
        <v>51</v>
      </c>
      <c r="H6807" t="s">
        <v>189</v>
      </c>
      <c r="I6807">
        <v>11052.87</v>
      </c>
      <c r="J6807">
        <v>9546.0499999999993</v>
      </c>
      <c r="K6807" t="s">
        <v>17</v>
      </c>
      <c r="L6807" t="b">
        <v>0</v>
      </c>
      <c r="N6807" s="2" t="b">
        <f t="shared" si="607"/>
        <v>1</v>
      </c>
      <c r="O6807" t="str">
        <f t="shared" si="609"/>
        <v/>
      </c>
      <c r="Q6807" t="str">
        <f t="shared" si="605"/>
        <v/>
      </c>
    </row>
    <row r="6808" spans="1:17" hidden="1">
      <c r="A6808" t="s">
        <v>6913</v>
      </c>
      <c r="B6808" s="1">
        <v>45824</v>
      </c>
      <c r="C6808">
        <v>2025</v>
      </c>
      <c r="D6808">
        <v>6</v>
      </c>
      <c r="E6808" t="s">
        <v>19</v>
      </c>
      <c r="F6808" t="s">
        <v>14</v>
      </c>
      <c r="G6808" t="s">
        <v>80</v>
      </c>
      <c r="H6808" t="s">
        <v>150</v>
      </c>
      <c r="I6808">
        <v>4890.6499999999996</v>
      </c>
      <c r="J6808">
        <v>5153.0600000000004</v>
      </c>
      <c r="K6808" t="s">
        <v>17</v>
      </c>
      <c r="L6808" t="b">
        <v>0</v>
      </c>
      <c r="N6808" s="2" t="str">
        <f t="shared" si="607"/>
        <v/>
      </c>
      <c r="Q6808" t="str">
        <f t="shared" si="605"/>
        <v/>
      </c>
    </row>
    <row r="6809" spans="1:17" hidden="1">
      <c r="A6809" t="s">
        <v>6914</v>
      </c>
      <c r="B6809" s="1">
        <v>45824</v>
      </c>
      <c r="C6809">
        <v>2025</v>
      </c>
      <c r="D6809">
        <v>6</v>
      </c>
      <c r="E6809" t="s">
        <v>19</v>
      </c>
      <c r="F6809" t="s">
        <v>24</v>
      </c>
      <c r="G6809" t="s">
        <v>54</v>
      </c>
      <c r="H6809" t="s">
        <v>163</v>
      </c>
      <c r="I6809">
        <v>5449.16</v>
      </c>
      <c r="J6809">
        <v>5763.25</v>
      </c>
      <c r="K6809" t="s">
        <v>17</v>
      </c>
      <c r="L6809" t="b">
        <v>0</v>
      </c>
      <c r="N6809" s="2" t="str">
        <f t="shared" si="607"/>
        <v/>
      </c>
      <c r="Q6809" t="str">
        <f t="shared" si="605"/>
        <v/>
      </c>
    </row>
    <row r="6810" spans="1:17" hidden="1">
      <c r="A6810" t="s">
        <v>6915</v>
      </c>
      <c r="B6810" s="1">
        <v>45824</v>
      </c>
      <c r="C6810">
        <v>2025</v>
      </c>
      <c r="D6810">
        <v>6</v>
      </c>
      <c r="E6810" t="s">
        <v>23</v>
      </c>
      <c r="F6810" t="s">
        <v>14</v>
      </c>
      <c r="G6810" t="s">
        <v>59</v>
      </c>
      <c r="H6810" t="s">
        <v>60</v>
      </c>
      <c r="I6810">
        <v>6616.55</v>
      </c>
      <c r="J6810">
        <v>6863.56</v>
      </c>
      <c r="K6810" t="s">
        <v>17</v>
      </c>
      <c r="L6810" t="b">
        <v>0</v>
      </c>
      <c r="N6810" s="2" t="str">
        <f t="shared" si="607"/>
        <v/>
      </c>
      <c r="Q6810" t="str">
        <f t="shared" si="605"/>
        <v/>
      </c>
    </row>
    <row r="6811" spans="1:17" hidden="1">
      <c r="A6811" t="s">
        <v>6916</v>
      </c>
      <c r="B6811" s="1">
        <v>45824</v>
      </c>
      <c r="C6811">
        <v>2025</v>
      </c>
      <c r="D6811">
        <v>6</v>
      </c>
      <c r="E6811" t="s">
        <v>37</v>
      </c>
      <c r="F6811" t="s">
        <v>14</v>
      </c>
      <c r="G6811" t="s">
        <v>62</v>
      </c>
      <c r="H6811" t="s">
        <v>63</v>
      </c>
      <c r="I6811">
        <v>4962.4399999999996</v>
      </c>
      <c r="J6811">
        <v>4858.07</v>
      </c>
      <c r="K6811" t="s">
        <v>17</v>
      </c>
      <c r="L6811" t="b">
        <v>0</v>
      </c>
      <c r="N6811" s="2" t="str">
        <f t="shared" si="607"/>
        <v/>
      </c>
      <c r="Q6811" t="str">
        <f t="shared" si="605"/>
        <v/>
      </c>
    </row>
    <row r="6812" spans="1:17" hidden="1">
      <c r="A6812" t="s">
        <v>6917</v>
      </c>
      <c r="B6812" s="1">
        <v>45825</v>
      </c>
      <c r="C6812">
        <v>2025</v>
      </c>
      <c r="D6812">
        <v>6</v>
      </c>
      <c r="E6812" t="s">
        <v>13</v>
      </c>
      <c r="F6812" t="s">
        <v>14</v>
      </c>
      <c r="G6812" t="s">
        <v>102</v>
      </c>
      <c r="H6812" t="s">
        <v>278</v>
      </c>
      <c r="I6812">
        <v>4070.6</v>
      </c>
      <c r="J6812">
        <v>4245.82</v>
      </c>
      <c r="K6812" t="s">
        <v>17</v>
      </c>
      <c r="L6812" t="b">
        <v>0</v>
      </c>
      <c r="N6812" s="2" t="str">
        <f t="shared" si="607"/>
        <v/>
      </c>
      <c r="Q6812" t="str">
        <f t="shared" si="605"/>
        <v/>
      </c>
    </row>
    <row r="6813" spans="1:17" hidden="1">
      <c r="A6813" t="s">
        <v>6918</v>
      </c>
      <c r="B6813" s="1">
        <v>45825</v>
      </c>
      <c r="C6813">
        <v>2025</v>
      </c>
      <c r="D6813">
        <v>6</v>
      </c>
      <c r="E6813" t="s">
        <v>47</v>
      </c>
      <c r="F6813" t="s">
        <v>28</v>
      </c>
      <c r="G6813" t="s">
        <v>77</v>
      </c>
      <c r="H6813" t="s">
        <v>78</v>
      </c>
      <c r="I6813">
        <v>10391.68</v>
      </c>
      <c r="J6813">
        <v>8966.86</v>
      </c>
      <c r="K6813" t="s">
        <v>17</v>
      </c>
      <c r="L6813" t="b">
        <v>0</v>
      </c>
      <c r="N6813" s="2" t="b">
        <f t="shared" si="607"/>
        <v>1</v>
      </c>
      <c r="O6813" t="str">
        <f t="shared" ref="O6813:O6816" si="610">IF(AND(E6802="HR",K6802="EXPENSE"),I6802&lt;J6802,"")</f>
        <v/>
      </c>
      <c r="Q6813" t="str">
        <f t="shared" si="605"/>
        <v/>
      </c>
    </row>
    <row r="6814" spans="1:17" hidden="1">
      <c r="A6814" t="s">
        <v>6919</v>
      </c>
      <c r="B6814" s="1">
        <v>45825</v>
      </c>
      <c r="C6814">
        <v>2025</v>
      </c>
      <c r="D6814">
        <v>6</v>
      </c>
      <c r="E6814" t="s">
        <v>47</v>
      </c>
      <c r="F6814" t="s">
        <v>28</v>
      </c>
      <c r="G6814" t="s">
        <v>48</v>
      </c>
      <c r="H6814" t="s">
        <v>111</v>
      </c>
      <c r="I6814">
        <v>21602.38</v>
      </c>
      <c r="J6814">
        <v>18155.330000000002</v>
      </c>
      <c r="K6814" t="s">
        <v>17</v>
      </c>
      <c r="L6814" t="b">
        <v>0</v>
      </c>
      <c r="N6814" s="2" t="b">
        <f t="shared" si="607"/>
        <v>1</v>
      </c>
      <c r="O6814" t="str">
        <f t="shared" si="610"/>
        <v/>
      </c>
      <c r="Q6814" t="str">
        <f t="shared" si="605"/>
        <v/>
      </c>
    </row>
    <row r="6815" spans="1:17" hidden="1">
      <c r="A6815" t="s">
        <v>6920</v>
      </c>
      <c r="B6815" s="1">
        <v>45825</v>
      </c>
      <c r="C6815">
        <v>2025</v>
      </c>
      <c r="D6815">
        <v>6</v>
      </c>
      <c r="E6815" t="s">
        <v>47</v>
      </c>
      <c r="F6815" t="s">
        <v>28</v>
      </c>
      <c r="G6815" t="s">
        <v>51</v>
      </c>
      <c r="H6815" t="s">
        <v>72</v>
      </c>
      <c r="I6815">
        <v>7618.95</v>
      </c>
      <c r="J6815">
        <v>6327.33</v>
      </c>
      <c r="K6815" t="s">
        <v>17</v>
      </c>
      <c r="L6815" t="b">
        <v>0</v>
      </c>
      <c r="N6815" s="2" t="b">
        <f t="shared" si="607"/>
        <v>1</v>
      </c>
      <c r="O6815" t="str">
        <f t="shared" si="610"/>
        <v/>
      </c>
      <c r="Q6815" t="str">
        <f t="shared" si="605"/>
        <v/>
      </c>
    </row>
    <row r="6816" spans="1:17" hidden="1">
      <c r="A6816" t="s">
        <v>6921</v>
      </c>
      <c r="B6816" s="1">
        <v>45825</v>
      </c>
      <c r="C6816">
        <v>2025</v>
      </c>
      <c r="D6816">
        <v>6</v>
      </c>
      <c r="E6816" t="s">
        <v>47</v>
      </c>
      <c r="F6816" t="s">
        <v>24</v>
      </c>
      <c r="G6816" t="s">
        <v>77</v>
      </c>
      <c r="H6816" t="s">
        <v>147</v>
      </c>
      <c r="I6816">
        <v>12350.02</v>
      </c>
      <c r="J6816">
        <v>10353.450000000001</v>
      </c>
      <c r="K6816" t="s">
        <v>17</v>
      </c>
      <c r="L6816" t="b">
        <v>0</v>
      </c>
      <c r="N6816" s="2" t="b">
        <f t="shared" si="607"/>
        <v>1</v>
      </c>
      <c r="O6816" t="str">
        <f t="shared" si="610"/>
        <v/>
      </c>
      <c r="Q6816" t="str">
        <f t="shared" si="605"/>
        <v/>
      </c>
    </row>
    <row r="6817" spans="1:17">
      <c r="A6817" t="s">
        <v>6922</v>
      </c>
      <c r="B6817" s="1">
        <v>45825</v>
      </c>
      <c r="C6817">
        <v>2025</v>
      </c>
      <c r="D6817">
        <v>6</v>
      </c>
      <c r="E6817" t="s">
        <v>19</v>
      </c>
      <c r="F6817" t="s">
        <v>14</v>
      </c>
      <c r="G6817" t="s">
        <v>20</v>
      </c>
      <c r="H6817" t="s">
        <v>207</v>
      </c>
      <c r="I6817">
        <v>23158.17</v>
      </c>
      <c r="J6817">
        <v>5174.25</v>
      </c>
      <c r="K6817" t="s">
        <v>17</v>
      </c>
      <c r="L6817" t="b">
        <v>1</v>
      </c>
      <c r="N6817" s="2" t="str">
        <f t="shared" si="607"/>
        <v/>
      </c>
      <c r="Q6817" t="b">
        <f t="shared" si="605"/>
        <v>1</v>
      </c>
    </row>
    <row r="6818" spans="1:17" hidden="1">
      <c r="A6818" t="s">
        <v>6923</v>
      </c>
      <c r="B6818" s="1">
        <v>45825</v>
      </c>
      <c r="C6818">
        <v>2025</v>
      </c>
      <c r="D6818">
        <v>6</v>
      </c>
      <c r="E6818" t="s">
        <v>19</v>
      </c>
      <c r="F6818" t="s">
        <v>28</v>
      </c>
      <c r="G6818" t="s">
        <v>54</v>
      </c>
      <c r="H6818" t="s">
        <v>55</v>
      </c>
      <c r="I6818">
        <v>9129.3700000000008</v>
      </c>
      <c r="J6818">
        <v>8798.09</v>
      </c>
      <c r="K6818" t="s">
        <v>17</v>
      </c>
      <c r="L6818" t="b">
        <v>0</v>
      </c>
      <c r="N6818" s="2" t="str">
        <f t="shared" si="607"/>
        <v/>
      </c>
      <c r="Q6818" t="str">
        <f t="shared" si="605"/>
        <v/>
      </c>
    </row>
    <row r="6819" spans="1:17" hidden="1">
      <c r="A6819" t="s">
        <v>6924</v>
      </c>
      <c r="B6819" s="1">
        <v>45825</v>
      </c>
      <c r="C6819">
        <v>2025</v>
      </c>
      <c r="D6819">
        <v>6</v>
      </c>
      <c r="E6819" t="s">
        <v>23</v>
      </c>
      <c r="F6819" t="s">
        <v>24</v>
      </c>
      <c r="G6819" t="s">
        <v>59</v>
      </c>
      <c r="H6819" t="s">
        <v>60</v>
      </c>
      <c r="I6819">
        <v>6449.75</v>
      </c>
      <c r="J6819">
        <v>5853.77</v>
      </c>
      <c r="K6819" t="s">
        <v>17</v>
      </c>
      <c r="L6819" t="b">
        <v>0</v>
      </c>
      <c r="N6819" s="2" t="str">
        <f t="shared" si="607"/>
        <v/>
      </c>
      <c r="Q6819" t="str">
        <f t="shared" si="605"/>
        <v/>
      </c>
    </row>
    <row r="6820" spans="1:17" hidden="1">
      <c r="A6820" t="s">
        <v>6925</v>
      </c>
      <c r="B6820" s="1">
        <v>45825</v>
      </c>
      <c r="C6820">
        <v>2025</v>
      </c>
      <c r="D6820">
        <v>6</v>
      </c>
      <c r="E6820" t="s">
        <v>37</v>
      </c>
      <c r="F6820" t="s">
        <v>28</v>
      </c>
      <c r="G6820" t="s">
        <v>41</v>
      </c>
      <c r="H6820" t="s">
        <v>42</v>
      </c>
      <c r="I6820">
        <v>3655.63</v>
      </c>
      <c r="J6820">
        <v>3934.96</v>
      </c>
      <c r="K6820" t="s">
        <v>17</v>
      </c>
      <c r="L6820" t="b">
        <v>0</v>
      </c>
      <c r="N6820" s="2" t="str">
        <f t="shared" si="607"/>
        <v/>
      </c>
      <c r="Q6820" t="str">
        <f t="shared" si="605"/>
        <v/>
      </c>
    </row>
    <row r="6821" spans="1:17" hidden="1">
      <c r="A6821" t="s">
        <v>6926</v>
      </c>
      <c r="B6821" s="1">
        <v>45826</v>
      </c>
      <c r="C6821">
        <v>2025</v>
      </c>
      <c r="D6821">
        <v>6</v>
      </c>
      <c r="E6821" t="s">
        <v>13</v>
      </c>
      <c r="F6821" t="s">
        <v>14</v>
      </c>
      <c r="G6821" t="s">
        <v>68</v>
      </c>
      <c r="H6821" t="s">
        <v>69</v>
      </c>
      <c r="I6821">
        <v>4553.37</v>
      </c>
      <c r="J6821">
        <v>4728.25</v>
      </c>
      <c r="K6821" t="s">
        <v>17</v>
      </c>
      <c r="L6821" t="b">
        <v>0</v>
      </c>
      <c r="N6821" s="2" t="str">
        <f t="shared" si="607"/>
        <v/>
      </c>
      <c r="Q6821" t="str">
        <f t="shared" si="605"/>
        <v/>
      </c>
    </row>
    <row r="6822" spans="1:17" hidden="1">
      <c r="A6822" t="s">
        <v>6927</v>
      </c>
      <c r="B6822" s="1">
        <v>45826</v>
      </c>
      <c r="C6822">
        <v>2025</v>
      </c>
      <c r="D6822">
        <v>6</v>
      </c>
      <c r="E6822" t="s">
        <v>47</v>
      </c>
      <c r="F6822" t="s">
        <v>28</v>
      </c>
      <c r="G6822" t="s">
        <v>51</v>
      </c>
      <c r="H6822" t="s">
        <v>52</v>
      </c>
      <c r="I6822">
        <v>12821.39</v>
      </c>
      <c r="J6822">
        <v>10598.78</v>
      </c>
      <c r="K6822" t="s">
        <v>17</v>
      </c>
      <c r="L6822" t="b">
        <v>0</v>
      </c>
      <c r="N6822" s="2" t="b">
        <f t="shared" si="607"/>
        <v>1</v>
      </c>
      <c r="O6822" t="str">
        <f>IF(AND(E6811="HR",K6811="EXPENSE"),I6811&lt;J6811,"")</f>
        <v/>
      </c>
      <c r="Q6822" t="str">
        <f t="shared" si="605"/>
        <v/>
      </c>
    </row>
    <row r="6823" spans="1:17" hidden="1">
      <c r="A6823" t="s">
        <v>6928</v>
      </c>
      <c r="B6823" s="1">
        <v>45826</v>
      </c>
      <c r="C6823">
        <v>2025</v>
      </c>
      <c r="D6823">
        <v>6</v>
      </c>
      <c r="E6823" t="s">
        <v>19</v>
      </c>
      <c r="F6823" t="s">
        <v>24</v>
      </c>
      <c r="G6823" t="s">
        <v>80</v>
      </c>
      <c r="H6823" t="s">
        <v>81</v>
      </c>
      <c r="I6823">
        <v>5566.32</v>
      </c>
      <c r="J6823">
        <v>5486.88</v>
      </c>
      <c r="K6823" t="s">
        <v>17</v>
      </c>
      <c r="L6823" t="b">
        <v>0</v>
      </c>
      <c r="N6823" s="2" t="str">
        <f t="shared" si="607"/>
        <v/>
      </c>
      <c r="Q6823" t="str">
        <f t="shared" si="605"/>
        <v/>
      </c>
    </row>
    <row r="6824" spans="1:17" hidden="1">
      <c r="A6824" t="s">
        <v>6929</v>
      </c>
      <c r="B6824" s="1">
        <v>45826</v>
      </c>
      <c r="C6824">
        <v>2025</v>
      </c>
      <c r="D6824">
        <v>6</v>
      </c>
      <c r="E6824" t="s">
        <v>19</v>
      </c>
      <c r="F6824" t="s">
        <v>24</v>
      </c>
      <c r="G6824" t="s">
        <v>20</v>
      </c>
      <c r="H6824" t="s">
        <v>136</v>
      </c>
      <c r="I6824">
        <v>4487.9799999999996</v>
      </c>
      <c r="J6824">
        <v>4750.2700000000004</v>
      </c>
      <c r="K6824" t="s">
        <v>17</v>
      </c>
      <c r="L6824" t="b">
        <v>0</v>
      </c>
      <c r="N6824" s="2" t="str">
        <f t="shared" si="607"/>
        <v/>
      </c>
      <c r="Q6824" t="str">
        <f t="shared" si="605"/>
        <v/>
      </c>
    </row>
    <row r="6825" spans="1:17" hidden="1">
      <c r="A6825" t="s">
        <v>6930</v>
      </c>
      <c r="B6825" s="1">
        <v>45826</v>
      </c>
      <c r="C6825">
        <v>2025</v>
      </c>
      <c r="D6825">
        <v>6</v>
      </c>
      <c r="E6825" t="s">
        <v>37</v>
      </c>
      <c r="F6825" t="s">
        <v>14</v>
      </c>
      <c r="G6825" t="s">
        <v>98</v>
      </c>
      <c r="H6825" t="s">
        <v>99</v>
      </c>
      <c r="I6825">
        <v>4732.97</v>
      </c>
      <c r="J6825">
        <v>4484.47</v>
      </c>
      <c r="K6825" t="s">
        <v>17</v>
      </c>
      <c r="L6825" t="b">
        <v>0</v>
      </c>
      <c r="N6825" s="2" t="str">
        <f t="shared" si="607"/>
        <v/>
      </c>
      <c r="Q6825" t="str">
        <f t="shared" si="605"/>
        <v/>
      </c>
    </row>
    <row r="6826" spans="1:17" hidden="1">
      <c r="A6826" t="s">
        <v>6931</v>
      </c>
      <c r="B6826" s="1">
        <v>45827</v>
      </c>
      <c r="C6826">
        <v>2025</v>
      </c>
      <c r="D6826">
        <v>6</v>
      </c>
      <c r="E6826" t="s">
        <v>19</v>
      </c>
      <c r="F6826" t="s">
        <v>14</v>
      </c>
      <c r="G6826" t="s">
        <v>80</v>
      </c>
      <c r="H6826" t="s">
        <v>113</v>
      </c>
      <c r="I6826">
        <v>5507.1</v>
      </c>
      <c r="J6826">
        <v>4978.72</v>
      </c>
      <c r="K6826" t="s">
        <v>17</v>
      </c>
      <c r="L6826" t="b">
        <v>0</v>
      </c>
      <c r="N6826" s="2" t="str">
        <f t="shared" si="607"/>
        <v/>
      </c>
      <c r="Q6826" t="str">
        <f t="shared" si="605"/>
        <v/>
      </c>
    </row>
    <row r="6827" spans="1:17" hidden="1">
      <c r="A6827" t="s">
        <v>6932</v>
      </c>
      <c r="B6827" s="1">
        <v>45827</v>
      </c>
      <c r="C6827">
        <v>2025</v>
      </c>
      <c r="D6827">
        <v>6</v>
      </c>
      <c r="E6827" t="s">
        <v>23</v>
      </c>
      <c r="F6827" t="s">
        <v>24</v>
      </c>
      <c r="G6827" t="s">
        <v>25</v>
      </c>
      <c r="H6827" t="s">
        <v>95</v>
      </c>
      <c r="I6827">
        <v>7967.17</v>
      </c>
      <c r="J6827">
        <v>7756.83</v>
      </c>
      <c r="K6827" t="s">
        <v>17</v>
      </c>
      <c r="L6827" t="b">
        <v>0</v>
      </c>
      <c r="N6827" s="2" t="str">
        <f t="shared" si="607"/>
        <v/>
      </c>
      <c r="Q6827" t="str">
        <f t="shared" si="605"/>
        <v/>
      </c>
    </row>
    <row r="6828" spans="1:17" hidden="1">
      <c r="A6828" t="s">
        <v>6933</v>
      </c>
      <c r="B6828" s="1">
        <v>45827</v>
      </c>
      <c r="C6828">
        <v>2025</v>
      </c>
      <c r="D6828">
        <v>6</v>
      </c>
      <c r="E6828" t="s">
        <v>37</v>
      </c>
      <c r="F6828" t="s">
        <v>14</v>
      </c>
      <c r="G6828" t="s">
        <v>98</v>
      </c>
      <c r="H6828" t="s">
        <v>185</v>
      </c>
      <c r="I6828">
        <v>3899.38</v>
      </c>
      <c r="J6828">
        <v>3925.51</v>
      </c>
      <c r="K6828" t="s">
        <v>17</v>
      </c>
      <c r="L6828" t="b">
        <v>0</v>
      </c>
      <c r="N6828" s="2" t="str">
        <f t="shared" si="607"/>
        <v/>
      </c>
      <c r="Q6828" t="str">
        <f t="shared" si="605"/>
        <v/>
      </c>
    </row>
    <row r="6829" spans="1:17" hidden="1">
      <c r="A6829" t="s">
        <v>6934</v>
      </c>
      <c r="B6829" s="1">
        <v>45827</v>
      </c>
      <c r="C6829">
        <v>2025</v>
      </c>
      <c r="D6829">
        <v>6</v>
      </c>
      <c r="E6829" t="s">
        <v>37</v>
      </c>
      <c r="F6829" t="s">
        <v>14</v>
      </c>
      <c r="G6829" t="s">
        <v>38</v>
      </c>
      <c r="H6829" t="s">
        <v>39</v>
      </c>
      <c r="I6829">
        <v>4119.88</v>
      </c>
      <c r="J6829">
        <v>4060.69</v>
      </c>
      <c r="K6829" t="s">
        <v>17</v>
      </c>
      <c r="L6829" t="b">
        <v>0</v>
      </c>
      <c r="N6829" s="2" t="str">
        <f t="shared" si="607"/>
        <v/>
      </c>
      <c r="Q6829" t="str">
        <f t="shared" si="605"/>
        <v/>
      </c>
    </row>
    <row r="6830" spans="1:17" hidden="1">
      <c r="A6830" t="s">
        <v>6935</v>
      </c>
      <c r="B6830" s="1">
        <v>45827</v>
      </c>
      <c r="C6830">
        <v>2025</v>
      </c>
      <c r="D6830">
        <v>6</v>
      </c>
      <c r="E6830" t="s">
        <v>37</v>
      </c>
      <c r="F6830" t="s">
        <v>24</v>
      </c>
      <c r="G6830" t="s">
        <v>98</v>
      </c>
      <c r="H6830" t="s">
        <v>185</v>
      </c>
      <c r="I6830">
        <v>5551.55</v>
      </c>
      <c r="J6830">
        <v>5081.45</v>
      </c>
      <c r="K6830" t="s">
        <v>17</v>
      </c>
      <c r="L6830" t="b">
        <v>0</v>
      </c>
      <c r="N6830" s="2" t="str">
        <f t="shared" si="607"/>
        <v/>
      </c>
      <c r="Q6830" t="str">
        <f t="shared" si="605"/>
        <v/>
      </c>
    </row>
    <row r="6831" spans="1:17" hidden="1">
      <c r="A6831" t="s">
        <v>6936</v>
      </c>
      <c r="B6831" s="1">
        <v>45828</v>
      </c>
      <c r="C6831">
        <v>2025</v>
      </c>
      <c r="D6831">
        <v>6</v>
      </c>
      <c r="E6831" t="s">
        <v>13</v>
      </c>
      <c r="F6831" t="s">
        <v>24</v>
      </c>
      <c r="G6831" t="s">
        <v>108</v>
      </c>
      <c r="H6831" t="s">
        <v>123</v>
      </c>
      <c r="I6831">
        <v>3074.11</v>
      </c>
      <c r="J6831">
        <v>3005.11</v>
      </c>
      <c r="K6831" t="s">
        <v>17</v>
      </c>
      <c r="L6831" t="b">
        <v>0</v>
      </c>
      <c r="N6831" s="2" t="str">
        <f t="shared" si="607"/>
        <v/>
      </c>
      <c r="Q6831" t="str">
        <f t="shared" si="605"/>
        <v/>
      </c>
    </row>
    <row r="6832" spans="1:17" hidden="1">
      <c r="A6832" t="s">
        <v>6937</v>
      </c>
      <c r="B6832" s="1">
        <v>45828</v>
      </c>
      <c r="C6832">
        <v>2025</v>
      </c>
      <c r="D6832">
        <v>6</v>
      </c>
      <c r="E6832" t="s">
        <v>13</v>
      </c>
      <c r="F6832" t="s">
        <v>24</v>
      </c>
      <c r="G6832" t="s">
        <v>15</v>
      </c>
      <c r="H6832" t="s">
        <v>45</v>
      </c>
      <c r="I6832">
        <v>3937.39</v>
      </c>
      <c r="J6832">
        <v>3571.61</v>
      </c>
      <c r="K6832" t="s">
        <v>17</v>
      </c>
      <c r="L6832" t="b">
        <v>0</v>
      </c>
      <c r="N6832" s="2" t="str">
        <f t="shared" si="607"/>
        <v/>
      </c>
      <c r="Q6832" t="str">
        <f t="shared" ref="Q6832:Q6895" si="611">IF(L6832=TRUE,OR(H6832="Apex Solutions Inc",H6832="Global Trade Partners",H6832="NovaTech Services"),"")</f>
        <v/>
      </c>
    </row>
    <row r="6833" spans="1:17" hidden="1">
      <c r="A6833" t="s">
        <v>6938</v>
      </c>
      <c r="B6833" s="1">
        <v>45828</v>
      </c>
      <c r="C6833">
        <v>2025</v>
      </c>
      <c r="D6833">
        <v>6</v>
      </c>
      <c r="E6833" t="s">
        <v>47</v>
      </c>
      <c r="F6833" t="s">
        <v>14</v>
      </c>
      <c r="G6833" t="s">
        <v>51</v>
      </c>
      <c r="H6833" t="s">
        <v>52</v>
      </c>
      <c r="I6833">
        <v>14112.3</v>
      </c>
      <c r="J6833">
        <v>11811.71</v>
      </c>
      <c r="K6833" t="s">
        <v>17</v>
      </c>
      <c r="L6833" t="b">
        <v>0</v>
      </c>
      <c r="N6833" s="2" t="b">
        <f t="shared" si="607"/>
        <v>1</v>
      </c>
      <c r="O6833" t="str">
        <f t="shared" ref="O6833:O6834" si="612">IF(AND(E6822="HR",K6822="EXPENSE"),I6822&lt;J6822,"")</f>
        <v/>
      </c>
      <c r="Q6833" t="str">
        <f t="shared" si="611"/>
        <v/>
      </c>
    </row>
    <row r="6834" spans="1:17" hidden="1">
      <c r="A6834" t="s">
        <v>6939</v>
      </c>
      <c r="B6834" s="1">
        <v>45828</v>
      </c>
      <c r="C6834">
        <v>2025</v>
      </c>
      <c r="D6834">
        <v>6</v>
      </c>
      <c r="E6834" t="s">
        <v>47</v>
      </c>
      <c r="F6834" t="s">
        <v>24</v>
      </c>
      <c r="G6834" t="s">
        <v>51</v>
      </c>
      <c r="H6834" t="s">
        <v>52</v>
      </c>
      <c r="I6834">
        <v>8889.98</v>
      </c>
      <c r="J6834">
        <v>7454.15</v>
      </c>
      <c r="K6834" t="s">
        <v>17</v>
      </c>
      <c r="L6834" t="b">
        <v>0</v>
      </c>
      <c r="N6834" s="2" t="b">
        <f t="shared" si="607"/>
        <v>1</v>
      </c>
      <c r="O6834" t="str">
        <f t="shared" si="612"/>
        <v/>
      </c>
      <c r="Q6834" t="str">
        <f t="shared" si="611"/>
        <v/>
      </c>
    </row>
    <row r="6835" spans="1:17" hidden="1">
      <c r="A6835" t="s">
        <v>6940</v>
      </c>
      <c r="B6835" s="1">
        <v>45828</v>
      </c>
      <c r="C6835">
        <v>2025</v>
      </c>
      <c r="D6835">
        <v>6</v>
      </c>
      <c r="E6835" t="s">
        <v>37</v>
      </c>
      <c r="F6835" t="s">
        <v>24</v>
      </c>
      <c r="G6835" t="s">
        <v>98</v>
      </c>
      <c r="H6835" t="s">
        <v>185</v>
      </c>
      <c r="I6835">
        <v>4239.7</v>
      </c>
      <c r="J6835">
        <v>4456.13</v>
      </c>
      <c r="K6835" t="s">
        <v>17</v>
      </c>
      <c r="L6835" t="b">
        <v>0</v>
      </c>
      <c r="N6835" s="2" t="str">
        <f t="shared" si="607"/>
        <v/>
      </c>
      <c r="Q6835" t="str">
        <f t="shared" si="611"/>
        <v/>
      </c>
    </row>
    <row r="6836" spans="1:17" hidden="1">
      <c r="A6836" t="s">
        <v>6941</v>
      </c>
      <c r="B6836" s="1">
        <v>45829</v>
      </c>
      <c r="C6836">
        <v>2025</v>
      </c>
      <c r="D6836">
        <v>6</v>
      </c>
      <c r="E6836" t="s">
        <v>13</v>
      </c>
      <c r="F6836" t="s">
        <v>24</v>
      </c>
      <c r="G6836" t="s">
        <v>68</v>
      </c>
      <c r="H6836" t="s">
        <v>87</v>
      </c>
      <c r="I6836">
        <v>1877.51</v>
      </c>
      <c r="J6836">
        <v>1707.22</v>
      </c>
      <c r="K6836" t="s">
        <v>17</v>
      </c>
      <c r="L6836" t="b">
        <v>0</v>
      </c>
      <c r="N6836" s="2" t="str">
        <f t="shared" si="607"/>
        <v/>
      </c>
      <c r="Q6836" t="str">
        <f t="shared" si="611"/>
        <v/>
      </c>
    </row>
    <row r="6837" spans="1:17" hidden="1">
      <c r="A6837" t="s">
        <v>6942</v>
      </c>
      <c r="B6837" s="1">
        <v>45829</v>
      </c>
      <c r="C6837">
        <v>2025</v>
      </c>
      <c r="D6837">
        <v>6</v>
      </c>
      <c r="E6837" t="s">
        <v>47</v>
      </c>
      <c r="F6837" t="s">
        <v>24</v>
      </c>
      <c r="G6837" t="s">
        <v>91</v>
      </c>
      <c r="H6837" t="s">
        <v>92</v>
      </c>
      <c r="I6837">
        <v>15725.9</v>
      </c>
      <c r="J6837">
        <v>13286.81</v>
      </c>
      <c r="K6837" t="s">
        <v>17</v>
      </c>
      <c r="L6837" t="b">
        <v>0</v>
      </c>
      <c r="N6837" s="2" t="b">
        <f t="shared" si="607"/>
        <v>1</v>
      </c>
      <c r="O6837" t="str">
        <f t="shared" ref="O6837:O6839" si="613">IF(AND(E6826="HR",K6826="EXPENSE"),I6826&lt;J6826,"")</f>
        <v/>
      </c>
      <c r="Q6837" t="str">
        <f t="shared" si="611"/>
        <v/>
      </c>
    </row>
    <row r="6838" spans="1:17" hidden="1">
      <c r="A6838" t="s">
        <v>6943</v>
      </c>
      <c r="B6838" s="1">
        <v>45829</v>
      </c>
      <c r="C6838">
        <v>2025</v>
      </c>
      <c r="D6838">
        <v>6</v>
      </c>
      <c r="E6838" t="s">
        <v>47</v>
      </c>
      <c r="F6838" t="s">
        <v>24</v>
      </c>
      <c r="G6838" t="s">
        <v>51</v>
      </c>
      <c r="H6838" t="s">
        <v>72</v>
      </c>
      <c r="I6838">
        <v>10745.83</v>
      </c>
      <c r="J6838">
        <v>9094.43</v>
      </c>
      <c r="K6838" t="s">
        <v>17</v>
      </c>
      <c r="L6838" t="b">
        <v>0</v>
      </c>
      <c r="N6838" s="2" t="b">
        <f t="shared" si="607"/>
        <v>1</v>
      </c>
      <c r="O6838" t="str">
        <f t="shared" si="613"/>
        <v/>
      </c>
      <c r="Q6838" t="str">
        <f t="shared" si="611"/>
        <v/>
      </c>
    </row>
    <row r="6839" spans="1:17" hidden="1">
      <c r="A6839" t="s">
        <v>6944</v>
      </c>
      <c r="B6839" s="1">
        <v>45829</v>
      </c>
      <c r="C6839">
        <v>2025</v>
      </c>
      <c r="D6839">
        <v>6</v>
      </c>
      <c r="E6839" t="s">
        <v>47</v>
      </c>
      <c r="F6839" t="s">
        <v>24</v>
      </c>
      <c r="G6839" t="s">
        <v>51</v>
      </c>
      <c r="H6839" t="s">
        <v>72</v>
      </c>
      <c r="I6839">
        <v>10515.03</v>
      </c>
      <c r="J6839">
        <v>9053.5</v>
      </c>
      <c r="K6839" t="s">
        <v>17</v>
      </c>
      <c r="L6839" t="b">
        <v>0</v>
      </c>
      <c r="N6839" s="2" t="b">
        <f t="shared" si="607"/>
        <v>1</v>
      </c>
      <c r="O6839" t="str">
        <f t="shared" si="613"/>
        <v/>
      </c>
      <c r="Q6839" t="str">
        <f t="shared" si="611"/>
        <v/>
      </c>
    </row>
    <row r="6840" spans="1:17" hidden="1">
      <c r="A6840" t="s">
        <v>6945</v>
      </c>
      <c r="B6840" s="1">
        <v>45829</v>
      </c>
      <c r="C6840">
        <v>2025</v>
      </c>
      <c r="D6840">
        <v>6</v>
      </c>
      <c r="E6840" t="s">
        <v>19</v>
      </c>
      <c r="F6840" t="s">
        <v>14</v>
      </c>
      <c r="G6840" t="s">
        <v>80</v>
      </c>
      <c r="H6840" t="s">
        <v>217</v>
      </c>
      <c r="I6840">
        <v>5726.16</v>
      </c>
      <c r="J6840">
        <v>6102.65</v>
      </c>
      <c r="K6840" t="s">
        <v>17</v>
      </c>
      <c r="L6840" t="b">
        <v>0</v>
      </c>
      <c r="N6840" s="2" t="str">
        <f t="shared" si="607"/>
        <v/>
      </c>
      <c r="Q6840" t="str">
        <f t="shared" si="611"/>
        <v/>
      </c>
    </row>
    <row r="6841" spans="1:17">
      <c r="A6841" t="s">
        <v>6946</v>
      </c>
      <c r="B6841" s="1">
        <v>45829</v>
      </c>
      <c r="C6841">
        <v>2025</v>
      </c>
      <c r="D6841">
        <v>6</v>
      </c>
      <c r="E6841" t="s">
        <v>19</v>
      </c>
      <c r="F6841" t="s">
        <v>28</v>
      </c>
      <c r="G6841" t="s">
        <v>132</v>
      </c>
      <c r="H6841" t="s">
        <v>651</v>
      </c>
      <c r="I6841">
        <v>23638.880000000001</v>
      </c>
      <c r="J6841">
        <v>4908.01</v>
      </c>
      <c r="K6841" t="s">
        <v>17</v>
      </c>
      <c r="L6841" t="b">
        <v>1</v>
      </c>
      <c r="N6841" s="2" t="str">
        <f t="shared" si="607"/>
        <v/>
      </c>
      <c r="Q6841" t="b">
        <f t="shared" si="611"/>
        <v>1</v>
      </c>
    </row>
    <row r="6842" spans="1:17" hidden="1">
      <c r="A6842" t="s">
        <v>6947</v>
      </c>
      <c r="B6842" s="1">
        <v>45829</v>
      </c>
      <c r="C6842">
        <v>2025</v>
      </c>
      <c r="D6842">
        <v>6</v>
      </c>
      <c r="E6842" t="s">
        <v>19</v>
      </c>
      <c r="F6842" t="s">
        <v>24</v>
      </c>
      <c r="G6842" t="s">
        <v>20</v>
      </c>
      <c r="H6842" t="s">
        <v>136</v>
      </c>
      <c r="I6842">
        <v>5910.32</v>
      </c>
      <c r="J6842">
        <v>5617.9</v>
      </c>
      <c r="K6842" t="s">
        <v>17</v>
      </c>
      <c r="L6842" t="b">
        <v>0</v>
      </c>
      <c r="N6842" s="2" t="str">
        <f t="shared" si="607"/>
        <v/>
      </c>
      <c r="Q6842" t="str">
        <f t="shared" si="611"/>
        <v/>
      </c>
    </row>
    <row r="6843" spans="1:17" hidden="1">
      <c r="A6843" t="s">
        <v>6948</v>
      </c>
      <c r="B6843" s="1">
        <v>45829</v>
      </c>
      <c r="C6843">
        <v>2025</v>
      </c>
      <c r="D6843">
        <v>6</v>
      </c>
      <c r="E6843" t="s">
        <v>19</v>
      </c>
      <c r="F6843" t="s">
        <v>24</v>
      </c>
      <c r="G6843" t="s">
        <v>20</v>
      </c>
      <c r="H6843" t="s">
        <v>21</v>
      </c>
      <c r="I6843">
        <v>5258.56</v>
      </c>
      <c r="J6843">
        <v>5273.48</v>
      </c>
      <c r="K6843" t="s">
        <v>17</v>
      </c>
      <c r="L6843" t="b">
        <v>0</v>
      </c>
      <c r="N6843" s="2" t="str">
        <f t="shared" si="607"/>
        <v/>
      </c>
      <c r="Q6843" t="str">
        <f t="shared" si="611"/>
        <v/>
      </c>
    </row>
    <row r="6844" spans="1:17" hidden="1">
      <c r="A6844" t="s">
        <v>6949</v>
      </c>
      <c r="B6844" s="1">
        <v>45829</v>
      </c>
      <c r="C6844">
        <v>2025</v>
      </c>
      <c r="D6844">
        <v>6</v>
      </c>
      <c r="E6844" t="s">
        <v>37</v>
      </c>
      <c r="F6844" t="s">
        <v>28</v>
      </c>
      <c r="G6844" t="s">
        <v>83</v>
      </c>
      <c r="H6844" t="s">
        <v>84</v>
      </c>
      <c r="I6844">
        <v>174529.02</v>
      </c>
      <c r="J6844">
        <v>165802.57</v>
      </c>
      <c r="K6844" t="s">
        <v>85</v>
      </c>
      <c r="L6844" t="b">
        <v>0</v>
      </c>
      <c r="N6844" s="2" t="str">
        <f t="shared" si="607"/>
        <v/>
      </c>
      <c r="Q6844" t="str">
        <f t="shared" si="611"/>
        <v/>
      </c>
    </row>
    <row r="6845" spans="1:17" hidden="1">
      <c r="A6845" t="s">
        <v>6950</v>
      </c>
      <c r="B6845" s="1">
        <v>45830</v>
      </c>
      <c r="C6845">
        <v>2025</v>
      </c>
      <c r="D6845">
        <v>6</v>
      </c>
      <c r="E6845" t="s">
        <v>13</v>
      </c>
      <c r="F6845" t="s">
        <v>14</v>
      </c>
      <c r="G6845" t="s">
        <v>108</v>
      </c>
      <c r="H6845" t="s">
        <v>109</v>
      </c>
      <c r="I6845">
        <v>4932.9799999999996</v>
      </c>
      <c r="J6845">
        <v>4765.09</v>
      </c>
      <c r="K6845" t="s">
        <v>17</v>
      </c>
      <c r="L6845" t="b">
        <v>0</v>
      </c>
      <c r="N6845" s="2" t="str">
        <f t="shared" si="607"/>
        <v/>
      </c>
      <c r="Q6845" t="str">
        <f t="shared" si="611"/>
        <v/>
      </c>
    </row>
    <row r="6846" spans="1:17" hidden="1">
      <c r="A6846" t="s">
        <v>6951</v>
      </c>
      <c r="B6846" s="1">
        <v>45830</v>
      </c>
      <c r="C6846">
        <v>2025</v>
      </c>
      <c r="D6846">
        <v>6</v>
      </c>
      <c r="E6846" t="s">
        <v>19</v>
      </c>
      <c r="F6846" t="s">
        <v>24</v>
      </c>
      <c r="G6846" t="s">
        <v>80</v>
      </c>
      <c r="H6846" t="s">
        <v>217</v>
      </c>
      <c r="I6846">
        <v>8129.59</v>
      </c>
      <c r="J6846">
        <v>7977.96</v>
      </c>
      <c r="K6846" t="s">
        <v>17</v>
      </c>
      <c r="L6846" t="b">
        <v>0</v>
      </c>
      <c r="N6846" s="2" t="str">
        <f t="shared" si="607"/>
        <v/>
      </c>
      <c r="Q6846" t="str">
        <f t="shared" si="611"/>
        <v/>
      </c>
    </row>
    <row r="6847" spans="1:17" hidden="1">
      <c r="A6847" t="s">
        <v>6952</v>
      </c>
      <c r="B6847" s="1">
        <v>45830</v>
      </c>
      <c r="C6847">
        <v>2025</v>
      </c>
      <c r="D6847">
        <v>6</v>
      </c>
      <c r="E6847" t="s">
        <v>23</v>
      </c>
      <c r="F6847" t="s">
        <v>14</v>
      </c>
      <c r="G6847" t="s">
        <v>30</v>
      </c>
      <c r="H6847" t="s">
        <v>106</v>
      </c>
      <c r="I6847">
        <v>2568.44</v>
      </c>
      <c r="J6847">
        <v>2570.81</v>
      </c>
      <c r="K6847" t="s">
        <v>17</v>
      </c>
      <c r="L6847" t="b">
        <v>0</v>
      </c>
      <c r="N6847" s="2" t="str">
        <f t="shared" si="607"/>
        <v/>
      </c>
      <c r="Q6847" t="str">
        <f t="shared" si="611"/>
        <v/>
      </c>
    </row>
    <row r="6848" spans="1:17" hidden="1">
      <c r="A6848" t="s">
        <v>6953</v>
      </c>
      <c r="B6848" s="1">
        <v>45830</v>
      </c>
      <c r="C6848">
        <v>2025</v>
      </c>
      <c r="D6848">
        <v>6</v>
      </c>
      <c r="E6848" t="s">
        <v>23</v>
      </c>
      <c r="F6848" t="s">
        <v>24</v>
      </c>
      <c r="G6848" t="s">
        <v>59</v>
      </c>
      <c r="H6848" t="s">
        <v>155</v>
      </c>
      <c r="I6848">
        <v>6860.03</v>
      </c>
      <c r="J6848">
        <v>7532.58</v>
      </c>
      <c r="K6848" t="s">
        <v>17</v>
      </c>
      <c r="L6848" t="b">
        <v>0</v>
      </c>
      <c r="N6848" s="2" t="str">
        <f t="shared" si="607"/>
        <v/>
      </c>
      <c r="Q6848" t="str">
        <f t="shared" si="611"/>
        <v/>
      </c>
    </row>
    <row r="6849" spans="1:17" hidden="1">
      <c r="A6849" t="s">
        <v>6954</v>
      </c>
      <c r="B6849" s="1">
        <v>45830</v>
      </c>
      <c r="C6849">
        <v>2025</v>
      </c>
      <c r="D6849">
        <v>6</v>
      </c>
      <c r="E6849" t="s">
        <v>37</v>
      </c>
      <c r="F6849" t="s">
        <v>14</v>
      </c>
      <c r="G6849" t="s">
        <v>38</v>
      </c>
      <c r="H6849" t="s">
        <v>39</v>
      </c>
      <c r="I6849">
        <v>1675.02</v>
      </c>
      <c r="J6849">
        <v>1526.61</v>
      </c>
      <c r="K6849" t="s">
        <v>17</v>
      </c>
      <c r="L6849" t="b">
        <v>0</v>
      </c>
      <c r="N6849" s="2" t="str">
        <f t="shared" si="607"/>
        <v/>
      </c>
      <c r="Q6849" t="str">
        <f t="shared" si="611"/>
        <v/>
      </c>
    </row>
    <row r="6850" spans="1:17" hidden="1">
      <c r="A6850" t="s">
        <v>6955</v>
      </c>
      <c r="B6850" s="1">
        <v>45830</v>
      </c>
      <c r="C6850">
        <v>2025</v>
      </c>
      <c r="D6850">
        <v>6</v>
      </c>
      <c r="E6850" t="s">
        <v>37</v>
      </c>
      <c r="F6850" t="s">
        <v>28</v>
      </c>
      <c r="G6850" t="s">
        <v>41</v>
      </c>
      <c r="H6850" t="s">
        <v>42</v>
      </c>
      <c r="I6850">
        <v>6187.66</v>
      </c>
      <c r="J6850">
        <v>6023.92</v>
      </c>
      <c r="K6850" t="s">
        <v>17</v>
      </c>
      <c r="L6850" t="b">
        <v>0</v>
      </c>
      <c r="N6850" s="2" t="str">
        <f t="shared" si="607"/>
        <v/>
      </c>
      <c r="Q6850" t="str">
        <f t="shared" si="611"/>
        <v/>
      </c>
    </row>
    <row r="6851" spans="1:17" hidden="1">
      <c r="A6851" t="s">
        <v>6956</v>
      </c>
      <c r="B6851" s="1">
        <v>45830</v>
      </c>
      <c r="C6851">
        <v>2025</v>
      </c>
      <c r="D6851">
        <v>6</v>
      </c>
      <c r="E6851" t="s">
        <v>37</v>
      </c>
      <c r="F6851" t="s">
        <v>28</v>
      </c>
      <c r="G6851" t="s">
        <v>98</v>
      </c>
      <c r="H6851" t="s">
        <v>99</v>
      </c>
      <c r="I6851">
        <v>4939.88</v>
      </c>
      <c r="J6851">
        <v>5218.49</v>
      </c>
      <c r="K6851" t="s">
        <v>17</v>
      </c>
      <c r="L6851" t="b">
        <v>0</v>
      </c>
      <c r="N6851" s="2" t="str">
        <f t="shared" ref="N6851:N6914" si="614">IF(AND(E6851="IT",K6851="EXPENSE"),I6851&gt;J6851,"")</f>
        <v/>
      </c>
      <c r="Q6851" t="str">
        <f t="shared" si="611"/>
        <v/>
      </c>
    </row>
    <row r="6852" spans="1:17" hidden="1">
      <c r="A6852" t="s">
        <v>6957</v>
      </c>
      <c r="B6852" s="1">
        <v>45831</v>
      </c>
      <c r="C6852">
        <v>2025</v>
      </c>
      <c r="D6852">
        <v>6</v>
      </c>
      <c r="E6852" t="s">
        <v>13</v>
      </c>
      <c r="F6852" t="s">
        <v>28</v>
      </c>
      <c r="G6852" t="s">
        <v>108</v>
      </c>
      <c r="H6852" t="s">
        <v>126</v>
      </c>
      <c r="I6852">
        <v>5596.91</v>
      </c>
      <c r="J6852">
        <v>5539.74</v>
      </c>
      <c r="K6852" t="s">
        <v>17</v>
      </c>
      <c r="L6852" t="b">
        <v>0</v>
      </c>
      <c r="N6852" s="2" t="str">
        <f t="shared" si="614"/>
        <v/>
      </c>
      <c r="Q6852" t="str">
        <f t="shared" si="611"/>
        <v/>
      </c>
    </row>
    <row r="6853" spans="1:17" hidden="1">
      <c r="A6853" t="s">
        <v>6958</v>
      </c>
      <c r="B6853" s="1">
        <v>45831</v>
      </c>
      <c r="C6853">
        <v>2025</v>
      </c>
      <c r="D6853">
        <v>6</v>
      </c>
      <c r="E6853" t="s">
        <v>47</v>
      </c>
      <c r="F6853" t="s">
        <v>14</v>
      </c>
      <c r="G6853" t="s">
        <v>91</v>
      </c>
      <c r="H6853" t="s">
        <v>128</v>
      </c>
      <c r="I6853">
        <v>12653.56</v>
      </c>
      <c r="J6853">
        <v>10845.49</v>
      </c>
      <c r="K6853" t="s">
        <v>17</v>
      </c>
      <c r="L6853" t="b">
        <v>0</v>
      </c>
      <c r="N6853" s="2" t="b">
        <f t="shared" si="614"/>
        <v>1</v>
      </c>
      <c r="O6853" t="str">
        <f>IF(AND(E6842="HR",K6842="EXPENSE"),I6842&lt;J6842,"")</f>
        <v/>
      </c>
      <c r="Q6853" t="str">
        <f t="shared" si="611"/>
        <v/>
      </c>
    </row>
    <row r="6854" spans="1:17" hidden="1">
      <c r="A6854" t="s">
        <v>6959</v>
      </c>
      <c r="B6854" s="1">
        <v>45831</v>
      </c>
      <c r="C6854">
        <v>2025</v>
      </c>
      <c r="D6854">
        <v>6</v>
      </c>
      <c r="E6854" t="s">
        <v>19</v>
      </c>
      <c r="F6854" t="s">
        <v>14</v>
      </c>
      <c r="G6854" t="s">
        <v>20</v>
      </c>
      <c r="H6854" t="s">
        <v>174</v>
      </c>
      <c r="I6854">
        <v>5836.24</v>
      </c>
      <c r="J6854">
        <v>5528.06</v>
      </c>
      <c r="K6854" t="s">
        <v>17</v>
      </c>
      <c r="L6854" t="b">
        <v>0</v>
      </c>
      <c r="N6854" s="2" t="str">
        <f t="shared" si="614"/>
        <v/>
      </c>
      <c r="Q6854" t="str">
        <f t="shared" si="611"/>
        <v/>
      </c>
    </row>
    <row r="6855" spans="1:17" hidden="1">
      <c r="A6855" t="s">
        <v>6960</v>
      </c>
      <c r="B6855" s="1">
        <v>45831</v>
      </c>
      <c r="C6855">
        <v>2025</v>
      </c>
      <c r="D6855">
        <v>6</v>
      </c>
      <c r="E6855" t="s">
        <v>23</v>
      </c>
      <c r="F6855" t="s">
        <v>14</v>
      </c>
      <c r="G6855" t="s">
        <v>25</v>
      </c>
      <c r="H6855" t="s">
        <v>95</v>
      </c>
      <c r="I6855">
        <v>5299.79</v>
      </c>
      <c r="J6855">
        <v>5800.75</v>
      </c>
      <c r="K6855" t="s">
        <v>17</v>
      </c>
      <c r="L6855" t="b">
        <v>0</v>
      </c>
      <c r="N6855" s="2" t="str">
        <f t="shared" si="614"/>
        <v/>
      </c>
      <c r="Q6855" t="str">
        <f t="shared" si="611"/>
        <v/>
      </c>
    </row>
    <row r="6856" spans="1:17" hidden="1">
      <c r="A6856" t="s">
        <v>6961</v>
      </c>
      <c r="B6856" s="1">
        <v>45831</v>
      </c>
      <c r="C6856">
        <v>2025</v>
      </c>
      <c r="D6856">
        <v>6</v>
      </c>
      <c r="E6856" t="s">
        <v>23</v>
      </c>
      <c r="F6856" t="s">
        <v>28</v>
      </c>
      <c r="G6856" t="s">
        <v>25</v>
      </c>
      <c r="H6856" t="s">
        <v>26</v>
      </c>
      <c r="I6856">
        <v>8955.91</v>
      </c>
      <c r="J6856">
        <v>9822.1200000000008</v>
      </c>
      <c r="K6856" t="s">
        <v>17</v>
      </c>
      <c r="L6856" t="b">
        <v>0</v>
      </c>
      <c r="N6856" s="2" t="str">
        <f t="shared" si="614"/>
        <v/>
      </c>
      <c r="Q6856" t="str">
        <f t="shared" si="611"/>
        <v/>
      </c>
    </row>
    <row r="6857" spans="1:17" hidden="1">
      <c r="A6857" t="s">
        <v>6962</v>
      </c>
      <c r="B6857" s="1">
        <v>45832</v>
      </c>
      <c r="C6857">
        <v>2025</v>
      </c>
      <c r="D6857">
        <v>6</v>
      </c>
      <c r="E6857" t="s">
        <v>13</v>
      </c>
      <c r="F6857" t="s">
        <v>14</v>
      </c>
      <c r="G6857" t="s">
        <v>68</v>
      </c>
      <c r="H6857" t="s">
        <v>87</v>
      </c>
      <c r="I6857">
        <v>4766.84</v>
      </c>
      <c r="J6857">
        <v>4722.74</v>
      </c>
      <c r="K6857" t="s">
        <v>17</v>
      </c>
      <c r="L6857" t="b">
        <v>0</v>
      </c>
      <c r="N6857" s="2" t="str">
        <f t="shared" si="614"/>
        <v/>
      </c>
      <c r="Q6857" t="str">
        <f t="shared" si="611"/>
        <v/>
      </c>
    </row>
    <row r="6858" spans="1:17" hidden="1">
      <c r="A6858" t="s">
        <v>6963</v>
      </c>
      <c r="B6858" s="1">
        <v>45832</v>
      </c>
      <c r="C6858">
        <v>2025</v>
      </c>
      <c r="D6858">
        <v>6</v>
      </c>
      <c r="E6858" t="s">
        <v>13</v>
      </c>
      <c r="F6858" t="s">
        <v>28</v>
      </c>
      <c r="G6858" t="s">
        <v>68</v>
      </c>
      <c r="H6858" t="s">
        <v>213</v>
      </c>
      <c r="I6858">
        <v>5645.12</v>
      </c>
      <c r="J6858">
        <v>5605.88</v>
      </c>
      <c r="K6858" t="s">
        <v>17</v>
      </c>
      <c r="L6858" t="b">
        <v>0</v>
      </c>
      <c r="N6858" s="2" t="str">
        <f t="shared" si="614"/>
        <v/>
      </c>
      <c r="Q6858" t="str">
        <f t="shared" si="611"/>
        <v/>
      </c>
    </row>
    <row r="6859" spans="1:17" hidden="1">
      <c r="A6859" t="s">
        <v>6964</v>
      </c>
      <c r="B6859" s="1">
        <v>45832</v>
      </c>
      <c r="C6859">
        <v>2025</v>
      </c>
      <c r="D6859">
        <v>6</v>
      </c>
      <c r="E6859" t="s">
        <v>13</v>
      </c>
      <c r="F6859" t="s">
        <v>24</v>
      </c>
      <c r="G6859" t="s">
        <v>108</v>
      </c>
      <c r="H6859" t="s">
        <v>123</v>
      </c>
      <c r="I6859">
        <v>1665.89</v>
      </c>
      <c r="J6859">
        <v>1591.05</v>
      </c>
      <c r="K6859" t="s">
        <v>17</v>
      </c>
      <c r="L6859" t="b">
        <v>0</v>
      </c>
      <c r="N6859" s="2" t="str">
        <f t="shared" si="614"/>
        <v/>
      </c>
      <c r="Q6859" t="str">
        <f t="shared" si="611"/>
        <v/>
      </c>
    </row>
    <row r="6860" spans="1:17" hidden="1">
      <c r="A6860" t="s">
        <v>6965</v>
      </c>
      <c r="B6860" s="1">
        <v>45832</v>
      </c>
      <c r="C6860">
        <v>2025</v>
      </c>
      <c r="D6860">
        <v>6</v>
      </c>
      <c r="E6860" t="s">
        <v>47</v>
      </c>
      <c r="F6860" t="s">
        <v>14</v>
      </c>
      <c r="G6860" t="s">
        <v>48</v>
      </c>
      <c r="H6860" t="s">
        <v>189</v>
      </c>
      <c r="I6860">
        <v>9156.26</v>
      </c>
      <c r="J6860">
        <v>7559.78</v>
      </c>
      <c r="K6860" t="s">
        <v>17</v>
      </c>
      <c r="L6860" t="b">
        <v>0</v>
      </c>
      <c r="N6860" s="2" t="b">
        <f t="shared" si="614"/>
        <v>1</v>
      </c>
      <c r="O6860" t="str">
        <f t="shared" ref="O6860:O6862" si="615">IF(AND(E6849="HR",K6849="EXPENSE"),I6849&lt;J6849,"")</f>
        <v/>
      </c>
      <c r="Q6860" t="str">
        <f t="shared" si="611"/>
        <v/>
      </c>
    </row>
    <row r="6861" spans="1:17" hidden="1">
      <c r="A6861" t="s">
        <v>6966</v>
      </c>
      <c r="B6861" s="1">
        <v>45832</v>
      </c>
      <c r="C6861">
        <v>2025</v>
      </c>
      <c r="D6861">
        <v>6</v>
      </c>
      <c r="E6861" t="s">
        <v>47</v>
      </c>
      <c r="F6861" t="s">
        <v>28</v>
      </c>
      <c r="G6861" t="s">
        <v>91</v>
      </c>
      <c r="H6861" t="s">
        <v>92</v>
      </c>
      <c r="I6861">
        <v>15668.95</v>
      </c>
      <c r="J6861">
        <v>12863.8</v>
      </c>
      <c r="K6861" t="s">
        <v>17</v>
      </c>
      <c r="L6861" t="b">
        <v>0</v>
      </c>
      <c r="N6861" s="2" t="b">
        <f t="shared" si="614"/>
        <v>1</v>
      </c>
      <c r="O6861" t="str">
        <f t="shared" si="615"/>
        <v/>
      </c>
      <c r="Q6861" t="str">
        <f t="shared" si="611"/>
        <v/>
      </c>
    </row>
    <row r="6862" spans="1:17" hidden="1">
      <c r="A6862" t="s">
        <v>6967</v>
      </c>
      <c r="B6862" s="1">
        <v>45832</v>
      </c>
      <c r="C6862">
        <v>2025</v>
      </c>
      <c r="D6862">
        <v>6</v>
      </c>
      <c r="E6862" t="s">
        <v>47</v>
      </c>
      <c r="F6862" t="s">
        <v>28</v>
      </c>
      <c r="G6862" t="s">
        <v>91</v>
      </c>
      <c r="H6862" t="s">
        <v>92</v>
      </c>
      <c r="I6862">
        <v>10303.99</v>
      </c>
      <c r="J6862">
        <v>8951.5499999999993</v>
      </c>
      <c r="K6862" t="s">
        <v>17</v>
      </c>
      <c r="L6862" t="b">
        <v>0</v>
      </c>
      <c r="N6862" s="2" t="b">
        <f t="shared" si="614"/>
        <v>1</v>
      </c>
      <c r="O6862" t="str">
        <f t="shared" si="615"/>
        <v/>
      </c>
      <c r="Q6862" t="str">
        <f t="shared" si="611"/>
        <v/>
      </c>
    </row>
    <row r="6863" spans="1:17" hidden="1">
      <c r="A6863" t="s">
        <v>6968</v>
      </c>
      <c r="B6863" s="1">
        <v>45832</v>
      </c>
      <c r="C6863">
        <v>2025</v>
      </c>
      <c r="D6863">
        <v>6</v>
      </c>
      <c r="E6863" t="s">
        <v>19</v>
      </c>
      <c r="F6863" t="s">
        <v>14</v>
      </c>
      <c r="G6863" t="s">
        <v>80</v>
      </c>
      <c r="H6863" t="s">
        <v>150</v>
      </c>
      <c r="I6863">
        <v>4968.01</v>
      </c>
      <c r="J6863">
        <v>5436.9</v>
      </c>
      <c r="K6863" t="s">
        <v>17</v>
      </c>
      <c r="L6863" t="b">
        <v>0</v>
      </c>
      <c r="N6863" s="2" t="str">
        <f t="shared" si="614"/>
        <v/>
      </c>
      <c r="Q6863" t="str">
        <f t="shared" si="611"/>
        <v/>
      </c>
    </row>
    <row r="6864" spans="1:17" hidden="1">
      <c r="A6864" t="s">
        <v>6969</v>
      </c>
      <c r="B6864" s="1">
        <v>45832</v>
      </c>
      <c r="C6864">
        <v>2025</v>
      </c>
      <c r="D6864">
        <v>6</v>
      </c>
      <c r="E6864" t="s">
        <v>19</v>
      </c>
      <c r="F6864" t="s">
        <v>28</v>
      </c>
      <c r="G6864" t="s">
        <v>132</v>
      </c>
      <c r="H6864" t="s">
        <v>133</v>
      </c>
      <c r="I6864">
        <v>9296</v>
      </c>
      <c r="J6864">
        <v>9944.3700000000008</v>
      </c>
      <c r="K6864" t="s">
        <v>17</v>
      </c>
      <c r="L6864" t="b">
        <v>0</v>
      </c>
      <c r="N6864" s="2" t="str">
        <f t="shared" si="614"/>
        <v/>
      </c>
      <c r="Q6864" t="str">
        <f t="shared" si="611"/>
        <v/>
      </c>
    </row>
    <row r="6865" spans="1:17" hidden="1">
      <c r="A6865" t="s">
        <v>6970</v>
      </c>
      <c r="B6865" s="1">
        <v>45832</v>
      </c>
      <c r="C6865">
        <v>2025</v>
      </c>
      <c r="D6865">
        <v>6</v>
      </c>
      <c r="E6865" t="s">
        <v>19</v>
      </c>
      <c r="F6865" t="s">
        <v>24</v>
      </c>
      <c r="G6865" t="s">
        <v>20</v>
      </c>
      <c r="H6865" t="s">
        <v>174</v>
      </c>
      <c r="I6865">
        <v>8770.2999999999993</v>
      </c>
      <c r="J6865">
        <v>9641.2999999999993</v>
      </c>
      <c r="K6865" t="s">
        <v>17</v>
      </c>
      <c r="L6865" t="b">
        <v>0</v>
      </c>
      <c r="N6865" s="2" t="str">
        <f t="shared" si="614"/>
        <v/>
      </c>
      <c r="Q6865" t="str">
        <f t="shared" si="611"/>
        <v/>
      </c>
    </row>
    <row r="6866" spans="1:17" hidden="1">
      <c r="A6866" t="s">
        <v>6971</v>
      </c>
      <c r="B6866" s="1">
        <v>45832</v>
      </c>
      <c r="C6866">
        <v>2025</v>
      </c>
      <c r="D6866">
        <v>6</v>
      </c>
      <c r="E6866" t="s">
        <v>37</v>
      </c>
      <c r="F6866" t="s">
        <v>14</v>
      </c>
      <c r="G6866" t="s">
        <v>62</v>
      </c>
      <c r="H6866" t="s">
        <v>360</v>
      </c>
      <c r="I6866">
        <v>1375.02</v>
      </c>
      <c r="J6866">
        <v>1317.6</v>
      </c>
      <c r="K6866" t="s">
        <v>17</v>
      </c>
      <c r="L6866" t="b">
        <v>0</v>
      </c>
      <c r="N6866" s="2" t="str">
        <f t="shared" si="614"/>
        <v/>
      </c>
      <c r="Q6866" t="str">
        <f t="shared" si="611"/>
        <v/>
      </c>
    </row>
    <row r="6867" spans="1:17" hidden="1">
      <c r="A6867" t="s">
        <v>6972</v>
      </c>
      <c r="B6867" s="1">
        <v>45832</v>
      </c>
      <c r="C6867">
        <v>2025</v>
      </c>
      <c r="D6867">
        <v>6</v>
      </c>
      <c r="E6867" t="s">
        <v>37</v>
      </c>
      <c r="F6867" t="s">
        <v>14</v>
      </c>
      <c r="G6867" t="s">
        <v>41</v>
      </c>
      <c r="H6867" t="s">
        <v>42</v>
      </c>
      <c r="I6867">
        <v>4528.08</v>
      </c>
      <c r="J6867">
        <v>4420.12</v>
      </c>
      <c r="K6867" t="s">
        <v>17</v>
      </c>
      <c r="L6867" t="b">
        <v>0</v>
      </c>
      <c r="N6867" s="2" t="str">
        <f t="shared" si="614"/>
        <v/>
      </c>
      <c r="Q6867" t="str">
        <f t="shared" si="611"/>
        <v/>
      </c>
    </row>
    <row r="6868" spans="1:17" hidden="1">
      <c r="A6868" t="s">
        <v>6973</v>
      </c>
      <c r="B6868" s="1">
        <v>45832</v>
      </c>
      <c r="C6868">
        <v>2025</v>
      </c>
      <c r="D6868">
        <v>6</v>
      </c>
      <c r="E6868" t="s">
        <v>37</v>
      </c>
      <c r="F6868" t="s">
        <v>28</v>
      </c>
      <c r="G6868" t="s">
        <v>38</v>
      </c>
      <c r="H6868" t="s">
        <v>118</v>
      </c>
      <c r="I6868">
        <v>4919.5600000000004</v>
      </c>
      <c r="J6868">
        <v>4532.26</v>
      </c>
      <c r="K6868" t="s">
        <v>17</v>
      </c>
      <c r="L6868" t="b">
        <v>0</v>
      </c>
      <c r="N6868" s="2" t="str">
        <f t="shared" si="614"/>
        <v/>
      </c>
      <c r="Q6868" t="str">
        <f t="shared" si="611"/>
        <v/>
      </c>
    </row>
    <row r="6869" spans="1:17" hidden="1">
      <c r="A6869" t="s">
        <v>6974</v>
      </c>
      <c r="B6869" s="1">
        <v>45832</v>
      </c>
      <c r="C6869">
        <v>2025</v>
      </c>
      <c r="D6869">
        <v>6</v>
      </c>
      <c r="E6869" t="s">
        <v>37</v>
      </c>
      <c r="F6869" t="s">
        <v>24</v>
      </c>
      <c r="G6869" t="s">
        <v>62</v>
      </c>
      <c r="H6869" t="s">
        <v>63</v>
      </c>
      <c r="I6869">
        <v>4596.8500000000004</v>
      </c>
      <c r="J6869">
        <v>4532.3500000000004</v>
      </c>
      <c r="K6869" t="s">
        <v>17</v>
      </c>
      <c r="L6869" t="b">
        <v>0</v>
      </c>
      <c r="N6869" s="2" t="str">
        <f t="shared" si="614"/>
        <v/>
      </c>
      <c r="Q6869" t="str">
        <f t="shared" si="611"/>
        <v/>
      </c>
    </row>
    <row r="6870" spans="1:17" hidden="1">
      <c r="A6870" t="s">
        <v>6975</v>
      </c>
      <c r="B6870" s="1">
        <v>45833</v>
      </c>
      <c r="C6870">
        <v>2025</v>
      </c>
      <c r="D6870">
        <v>6</v>
      </c>
      <c r="E6870" t="s">
        <v>13</v>
      </c>
      <c r="F6870" t="s">
        <v>28</v>
      </c>
      <c r="G6870" t="s">
        <v>68</v>
      </c>
      <c r="H6870" t="s">
        <v>69</v>
      </c>
      <c r="I6870">
        <v>5414.47</v>
      </c>
      <c r="J6870">
        <v>4906.32</v>
      </c>
      <c r="K6870" t="s">
        <v>17</v>
      </c>
      <c r="L6870" t="b">
        <v>0</v>
      </c>
      <c r="N6870" s="2" t="str">
        <f t="shared" si="614"/>
        <v/>
      </c>
      <c r="Q6870" t="str">
        <f t="shared" si="611"/>
        <v/>
      </c>
    </row>
    <row r="6871" spans="1:17" hidden="1">
      <c r="A6871" t="s">
        <v>6976</v>
      </c>
      <c r="B6871" s="1">
        <v>45833</v>
      </c>
      <c r="C6871">
        <v>2025</v>
      </c>
      <c r="D6871">
        <v>6</v>
      </c>
      <c r="E6871" t="s">
        <v>13</v>
      </c>
      <c r="F6871" t="s">
        <v>28</v>
      </c>
      <c r="G6871" t="s">
        <v>102</v>
      </c>
      <c r="H6871" t="s">
        <v>103</v>
      </c>
      <c r="I6871">
        <v>5096.09</v>
      </c>
      <c r="J6871">
        <v>4737.05</v>
      </c>
      <c r="K6871" t="s">
        <v>17</v>
      </c>
      <c r="L6871" t="b">
        <v>0</v>
      </c>
      <c r="N6871" s="2" t="str">
        <f t="shared" si="614"/>
        <v/>
      </c>
      <c r="Q6871" t="str">
        <f t="shared" si="611"/>
        <v/>
      </c>
    </row>
    <row r="6872" spans="1:17" hidden="1">
      <c r="A6872" t="s">
        <v>6977</v>
      </c>
      <c r="B6872" s="1">
        <v>45833</v>
      </c>
      <c r="C6872">
        <v>2025</v>
      </c>
      <c r="D6872">
        <v>6</v>
      </c>
      <c r="E6872" t="s">
        <v>47</v>
      </c>
      <c r="F6872" t="s">
        <v>28</v>
      </c>
      <c r="G6872" t="s">
        <v>48</v>
      </c>
      <c r="H6872" t="s">
        <v>191</v>
      </c>
      <c r="I6872">
        <v>15149.4</v>
      </c>
      <c r="J6872">
        <v>12628.1</v>
      </c>
      <c r="K6872" t="s">
        <v>17</v>
      </c>
      <c r="L6872" t="b">
        <v>0</v>
      </c>
      <c r="N6872" s="2" t="b">
        <f t="shared" si="614"/>
        <v>1</v>
      </c>
      <c r="O6872" t="str">
        <f t="shared" ref="O6872:O6873" si="616">IF(AND(E6861="HR",K6861="EXPENSE"),I6861&lt;J6861,"")</f>
        <v/>
      </c>
      <c r="Q6872" t="str">
        <f t="shared" si="611"/>
        <v/>
      </c>
    </row>
    <row r="6873" spans="1:17" hidden="1">
      <c r="A6873" t="s">
        <v>6978</v>
      </c>
      <c r="B6873" s="1">
        <v>45833</v>
      </c>
      <c r="C6873">
        <v>2025</v>
      </c>
      <c r="D6873">
        <v>6</v>
      </c>
      <c r="E6873" t="s">
        <v>47</v>
      </c>
      <c r="F6873" t="s">
        <v>28</v>
      </c>
      <c r="G6873" t="s">
        <v>48</v>
      </c>
      <c r="H6873" t="s">
        <v>49</v>
      </c>
      <c r="I6873">
        <v>12249.37</v>
      </c>
      <c r="J6873">
        <v>10087.39</v>
      </c>
      <c r="K6873" t="s">
        <v>17</v>
      </c>
      <c r="L6873" t="b">
        <v>0</v>
      </c>
      <c r="N6873" s="2" t="b">
        <f t="shared" si="614"/>
        <v>1</v>
      </c>
      <c r="O6873" t="str">
        <f t="shared" si="616"/>
        <v/>
      </c>
      <c r="Q6873" t="str">
        <f t="shared" si="611"/>
        <v/>
      </c>
    </row>
    <row r="6874" spans="1:17" hidden="1">
      <c r="A6874" t="s">
        <v>6979</v>
      </c>
      <c r="B6874" s="1">
        <v>45833</v>
      </c>
      <c r="C6874">
        <v>2025</v>
      </c>
      <c r="D6874">
        <v>6</v>
      </c>
      <c r="E6874" t="s">
        <v>37</v>
      </c>
      <c r="F6874" t="s">
        <v>28</v>
      </c>
      <c r="G6874" t="s">
        <v>62</v>
      </c>
      <c r="H6874" t="s">
        <v>66</v>
      </c>
      <c r="I6874">
        <v>2512.2600000000002</v>
      </c>
      <c r="J6874">
        <v>2465.54</v>
      </c>
      <c r="K6874" t="s">
        <v>17</v>
      </c>
      <c r="L6874" t="b">
        <v>0</v>
      </c>
      <c r="N6874" s="2" t="str">
        <f t="shared" si="614"/>
        <v/>
      </c>
      <c r="Q6874" t="str">
        <f t="shared" si="611"/>
        <v/>
      </c>
    </row>
    <row r="6875" spans="1:17" hidden="1">
      <c r="A6875" t="s">
        <v>6980</v>
      </c>
      <c r="B6875" s="1">
        <v>45833</v>
      </c>
      <c r="C6875">
        <v>2025</v>
      </c>
      <c r="D6875">
        <v>6</v>
      </c>
      <c r="E6875" t="s">
        <v>37</v>
      </c>
      <c r="F6875" t="s">
        <v>28</v>
      </c>
      <c r="G6875" t="s">
        <v>98</v>
      </c>
      <c r="H6875" t="s">
        <v>185</v>
      </c>
      <c r="I6875">
        <v>3261.63</v>
      </c>
      <c r="J6875">
        <v>3309.85</v>
      </c>
      <c r="K6875" t="s">
        <v>17</v>
      </c>
      <c r="L6875" t="b">
        <v>0</v>
      </c>
      <c r="N6875" s="2" t="str">
        <f t="shared" si="614"/>
        <v/>
      </c>
      <c r="Q6875" t="str">
        <f t="shared" si="611"/>
        <v/>
      </c>
    </row>
    <row r="6876" spans="1:17" hidden="1">
      <c r="A6876" t="s">
        <v>6981</v>
      </c>
      <c r="B6876" s="1">
        <v>45834</v>
      </c>
      <c r="C6876">
        <v>2025</v>
      </c>
      <c r="D6876">
        <v>6</v>
      </c>
      <c r="E6876" t="s">
        <v>13</v>
      </c>
      <c r="F6876" t="s">
        <v>28</v>
      </c>
      <c r="G6876" t="s">
        <v>102</v>
      </c>
      <c r="H6876" t="s">
        <v>103</v>
      </c>
      <c r="I6876">
        <v>5724.01</v>
      </c>
      <c r="J6876">
        <v>5777.95</v>
      </c>
      <c r="K6876" t="s">
        <v>17</v>
      </c>
      <c r="L6876" t="b">
        <v>0</v>
      </c>
      <c r="N6876" s="2" t="str">
        <f t="shared" si="614"/>
        <v/>
      </c>
      <c r="Q6876" t="str">
        <f t="shared" si="611"/>
        <v/>
      </c>
    </row>
    <row r="6877" spans="1:17" hidden="1">
      <c r="A6877" t="s">
        <v>6982</v>
      </c>
      <c r="B6877" s="1">
        <v>45834</v>
      </c>
      <c r="C6877">
        <v>2025</v>
      </c>
      <c r="D6877">
        <v>6</v>
      </c>
      <c r="E6877" t="s">
        <v>47</v>
      </c>
      <c r="F6877" t="s">
        <v>14</v>
      </c>
      <c r="G6877" t="s">
        <v>48</v>
      </c>
      <c r="H6877" t="s">
        <v>189</v>
      </c>
      <c r="I6877">
        <v>18671.990000000002</v>
      </c>
      <c r="J6877">
        <v>15735.91</v>
      </c>
      <c r="K6877" t="s">
        <v>17</v>
      </c>
      <c r="L6877" t="b">
        <v>0</v>
      </c>
      <c r="N6877" s="2" t="b">
        <f t="shared" si="614"/>
        <v>1</v>
      </c>
      <c r="O6877" t="str">
        <f t="shared" ref="O6877:O6880" si="617">IF(AND(E6866="HR",K6866="EXPENSE"),I6866&lt;J6866,"")</f>
        <v/>
      </c>
      <c r="Q6877" t="str">
        <f t="shared" si="611"/>
        <v/>
      </c>
    </row>
    <row r="6878" spans="1:17" hidden="1">
      <c r="A6878" t="s">
        <v>6983</v>
      </c>
      <c r="B6878" s="1">
        <v>45834</v>
      </c>
      <c r="C6878">
        <v>2025</v>
      </c>
      <c r="D6878">
        <v>6</v>
      </c>
      <c r="E6878" t="s">
        <v>47</v>
      </c>
      <c r="F6878" t="s">
        <v>28</v>
      </c>
      <c r="G6878" t="s">
        <v>91</v>
      </c>
      <c r="H6878" t="s">
        <v>254</v>
      </c>
      <c r="I6878">
        <v>9151.92</v>
      </c>
      <c r="J6878">
        <v>7787.62</v>
      </c>
      <c r="K6878" t="s">
        <v>17</v>
      </c>
      <c r="L6878" t="b">
        <v>0</v>
      </c>
      <c r="N6878" s="2" t="b">
        <f t="shared" si="614"/>
        <v>1</v>
      </c>
      <c r="O6878" t="str">
        <f t="shared" si="617"/>
        <v/>
      </c>
      <c r="Q6878" t="str">
        <f t="shared" si="611"/>
        <v/>
      </c>
    </row>
    <row r="6879" spans="1:17" hidden="1">
      <c r="A6879" t="s">
        <v>6984</v>
      </c>
      <c r="B6879" s="1">
        <v>45834</v>
      </c>
      <c r="C6879">
        <v>2025</v>
      </c>
      <c r="D6879">
        <v>6</v>
      </c>
      <c r="E6879" t="s">
        <v>47</v>
      </c>
      <c r="F6879" t="s">
        <v>24</v>
      </c>
      <c r="G6879" t="s">
        <v>77</v>
      </c>
      <c r="H6879" t="s">
        <v>130</v>
      </c>
      <c r="I6879">
        <v>15072.4</v>
      </c>
      <c r="J6879">
        <v>12692.07</v>
      </c>
      <c r="K6879" t="s">
        <v>17</v>
      </c>
      <c r="L6879" t="b">
        <v>0</v>
      </c>
      <c r="N6879" s="2" t="b">
        <f t="shared" si="614"/>
        <v>1</v>
      </c>
      <c r="O6879" t="str">
        <f t="shared" si="617"/>
        <v/>
      </c>
      <c r="Q6879" t="str">
        <f t="shared" si="611"/>
        <v/>
      </c>
    </row>
    <row r="6880" spans="1:17" hidden="1">
      <c r="A6880" t="s">
        <v>6985</v>
      </c>
      <c r="B6880" s="1">
        <v>45834</v>
      </c>
      <c r="C6880">
        <v>2025</v>
      </c>
      <c r="D6880">
        <v>6</v>
      </c>
      <c r="E6880" t="s">
        <v>47</v>
      </c>
      <c r="F6880" t="s">
        <v>24</v>
      </c>
      <c r="G6880" t="s">
        <v>48</v>
      </c>
      <c r="H6880" t="s">
        <v>49</v>
      </c>
      <c r="I6880">
        <v>9652.69</v>
      </c>
      <c r="J6880">
        <v>8239.6299999999992</v>
      </c>
      <c r="K6880" t="s">
        <v>17</v>
      </c>
      <c r="L6880" t="b">
        <v>0</v>
      </c>
      <c r="N6880" s="2" t="b">
        <f t="shared" si="614"/>
        <v>1</v>
      </c>
      <c r="O6880" t="str">
        <f t="shared" si="617"/>
        <v/>
      </c>
      <c r="Q6880" t="str">
        <f t="shared" si="611"/>
        <v/>
      </c>
    </row>
    <row r="6881" spans="1:17" hidden="1">
      <c r="A6881" t="s">
        <v>6986</v>
      </c>
      <c r="B6881" s="1">
        <v>45834</v>
      </c>
      <c r="C6881">
        <v>2025</v>
      </c>
      <c r="D6881">
        <v>6</v>
      </c>
      <c r="E6881" t="s">
        <v>23</v>
      </c>
      <c r="F6881" t="s">
        <v>14</v>
      </c>
      <c r="G6881" t="s">
        <v>25</v>
      </c>
      <c r="H6881" t="s">
        <v>95</v>
      </c>
      <c r="I6881">
        <v>4842.92</v>
      </c>
      <c r="J6881">
        <v>5057.43</v>
      </c>
      <c r="K6881" t="s">
        <v>17</v>
      </c>
      <c r="L6881" t="b">
        <v>0</v>
      </c>
      <c r="N6881" s="2" t="str">
        <f t="shared" si="614"/>
        <v/>
      </c>
      <c r="Q6881" t="str">
        <f t="shared" si="611"/>
        <v/>
      </c>
    </row>
    <row r="6882" spans="1:17" hidden="1">
      <c r="A6882" t="s">
        <v>6987</v>
      </c>
      <c r="B6882" s="1">
        <v>45834</v>
      </c>
      <c r="C6882">
        <v>2025</v>
      </c>
      <c r="D6882">
        <v>6</v>
      </c>
      <c r="E6882" t="s">
        <v>23</v>
      </c>
      <c r="F6882" t="s">
        <v>14</v>
      </c>
      <c r="G6882" t="s">
        <v>25</v>
      </c>
      <c r="H6882" t="s">
        <v>35</v>
      </c>
      <c r="I6882">
        <v>3167.43</v>
      </c>
      <c r="J6882">
        <v>3315.49</v>
      </c>
      <c r="K6882" t="s">
        <v>17</v>
      </c>
      <c r="L6882" t="b">
        <v>0</v>
      </c>
      <c r="N6882" s="2" t="str">
        <f t="shared" si="614"/>
        <v/>
      </c>
      <c r="Q6882" t="str">
        <f t="shared" si="611"/>
        <v/>
      </c>
    </row>
    <row r="6883" spans="1:17" hidden="1">
      <c r="A6883" t="s">
        <v>6988</v>
      </c>
      <c r="B6883" s="1">
        <v>45834</v>
      </c>
      <c r="C6883">
        <v>2025</v>
      </c>
      <c r="D6883">
        <v>6</v>
      </c>
      <c r="E6883" t="s">
        <v>37</v>
      </c>
      <c r="F6883" t="s">
        <v>14</v>
      </c>
      <c r="G6883" t="s">
        <v>38</v>
      </c>
      <c r="H6883" t="s">
        <v>227</v>
      </c>
      <c r="I6883">
        <v>2104.88</v>
      </c>
      <c r="J6883">
        <v>2218.08</v>
      </c>
      <c r="K6883" t="s">
        <v>17</v>
      </c>
      <c r="L6883" t="b">
        <v>0</v>
      </c>
      <c r="N6883" s="2" t="str">
        <f t="shared" si="614"/>
        <v/>
      </c>
      <c r="Q6883" t="str">
        <f t="shared" si="611"/>
        <v/>
      </c>
    </row>
    <row r="6884" spans="1:17" hidden="1">
      <c r="A6884" t="s">
        <v>6989</v>
      </c>
      <c r="B6884" s="1">
        <v>45834</v>
      </c>
      <c r="C6884">
        <v>2025</v>
      </c>
      <c r="D6884">
        <v>6</v>
      </c>
      <c r="E6884" t="s">
        <v>37</v>
      </c>
      <c r="F6884" t="s">
        <v>28</v>
      </c>
      <c r="G6884" t="s">
        <v>41</v>
      </c>
      <c r="H6884" t="s">
        <v>42</v>
      </c>
      <c r="I6884">
        <v>3841.07</v>
      </c>
      <c r="J6884">
        <v>3854.24</v>
      </c>
      <c r="K6884" t="s">
        <v>17</v>
      </c>
      <c r="L6884" t="b">
        <v>0</v>
      </c>
      <c r="N6884" s="2" t="str">
        <f t="shared" si="614"/>
        <v/>
      </c>
      <c r="Q6884" t="str">
        <f t="shared" si="611"/>
        <v/>
      </c>
    </row>
    <row r="6885" spans="1:17" hidden="1">
      <c r="A6885" t="s">
        <v>6990</v>
      </c>
      <c r="B6885" s="1">
        <v>45835</v>
      </c>
      <c r="C6885">
        <v>2025</v>
      </c>
      <c r="D6885">
        <v>6</v>
      </c>
      <c r="E6885" t="s">
        <v>13</v>
      </c>
      <c r="F6885" t="s">
        <v>24</v>
      </c>
      <c r="G6885" t="s">
        <v>68</v>
      </c>
      <c r="H6885" t="s">
        <v>69</v>
      </c>
      <c r="I6885">
        <v>3548.57</v>
      </c>
      <c r="J6885">
        <v>3707.68</v>
      </c>
      <c r="K6885" t="s">
        <v>17</v>
      </c>
      <c r="L6885" t="b">
        <v>0</v>
      </c>
      <c r="N6885" s="2" t="str">
        <f t="shared" si="614"/>
        <v/>
      </c>
      <c r="Q6885" t="str">
        <f t="shared" si="611"/>
        <v/>
      </c>
    </row>
    <row r="6886" spans="1:17" hidden="1">
      <c r="A6886" t="s">
        <v>6991</v>
      </c>
      <c r="B6886" s="1">
        <v>45835</v>
      </c>
      <c r="C6886">
        <v>2025</v>
      </c>
      <c r="D6886">
        <v>6</v>
      </c>
      <c r="E6886" t="s">
        <v>47</v>
      </c>
      <c r="F6886" t="s">
        <v>14</v>
      </c>
      <c r="G6886" t="s">
        <v>51</v>
      </c>
      <c r="H6886" t="s">
        <v>72</v>
      </c>
      <c r="I6886">
        <v>13686.32</v>
      </c>
      <c r="J6886">
        <v>11566.62</v>
      </c>
      <c r="K6886" t="s">
        <v>17</v>
      </c>
      <c r="L6886" t="b">
        <v>0</v>
      </c>
      <c r="N6886" s="2" t="b">
        <f t="shared" si="614"/>
        <v>1</v>
      </c>
      <c r="O6886" t="str">
        <f t="shared" ref="O6886:O6887" si="618">IF(AND(E6875="HR",K6875="EXPENSE"),I6875&lt;J6875,"")</f>
        <v/>
      </c>
      <c r="Q6886" t="str">
        <f t="shared" si="611"/>
        <v/>
      </c>
    </row>
    <row r="6887" spans="1:17" hidden="1">
      <c r="A6887" t="s">
        <v>6992</v>
      </c>
      <c r="B6887" s="1">
        <v>45835</v>
      </c>
      <c r="C6887">
        <v>2025</v>
      </c>
      <c r="D6887">
        <v>6</v>
      </c>
      <c r="E6887" t="s">
        <v>47</v>
      </c>
      <c r="F6887" t="s">
        <v>14</v>
      </c>
      <c r="G6887" t="s">
        <v>48</v>
      </c>
      <c r="H6887" t="s">
        <v>49</v>
      </c>
      <c r="I6887">
        <v>13962.04</v>
      </c>
      <c r="J6887">
        <v>11874.26</v>
      </c>
      <c r="K6887" t="s">
        <v>17</v>
      </c>
      <c r="L6887" t="b">
        <v>0</v>
      </c>
      <c r="N6887" s="2" t="b">
        <f t="shared" si="614"/>
        <v>1</v>
      </c>
      <c r="O6887" t="b">
        <f t="shared" si="618"/>
        <v>1</v>
      </c>
      <c r="Q6887" t="str">
        <f t="shared" si="611"/>
        <v/>
      </c>
    </row>
    <row r="6888" spans="1:17" hidden="1">
      <c r="A6888" t="s">
        <v>6993</v>
      </c>
      <c r="B6888" s="1">
        <v>45835</v>
      </c>
      <c r="C6888">
        <v>2025</v>
      </c>
      <c r="D6888">
        <v>6</v>
      </c>
      <c r="E6888" t="s">
        <v>19</v>
      </c>
      <c r="F6888" t="s">
        <v>28</v>
      </c>
      <c r="G6888" t="s">
        <v>54</v>
      </c>
      <c r="H6888" t="s">
        <v>163</v>
      </c>
      <c r="I6888">
        <v>5017.1499999999996</v>
      </c>
      <c r="J6888">
        <v>4692.67</v>
      </c>
      <c r="K6888" t="s">
        <v>17</v>
      </c>
      <c r="L6888" t="b">
        <v>0</v>
      </c>
      <c r="N6888" s="2" t="str">
        <f t="shared" si="614"/>
        <v/>
      </c>
      <c r="Q6888" t="str">
        <f t="shared" si="611"/>
        <v/>
      </c>
    </row>
    <row r="6889" spans="1:17" hidden="1">
      <c r="A6889" t="s">
        <v>6994</v>
      </c>
      <c r="B6889" s="1">
        <v>45835</v>
      </c>
      <c r="C6889">
        <v>2025</v>
      </c>
      <c r="D6889">
        <v>6</v>
      </c>
      <c r="E6889" t="s">
        <v>23</v>
      </c>
      <c r="F6889" t="s">
        <v>14</v>
      </c>
      <c r="G6889" t="s">
        <v>59</v>
      </c>
      <c r="H6889" t="s">
        <v>60</v>
      </c>
      <c r="I6889">
        <v>5452</v>
      </c>
      <c r="J6889">
        <v>5155.08</v>
      </c>
      <c r="K6889" t="s">
        <v>17</v>
      </c>
      <c r="L6889" t="b">
        <v>0</v>
      </c>
      <c r="N6889" s="2" t="str">
        <f t="shared" si="614"/>
        <v/>
      </c>
      <c r="Q6889" t="str">
        <f t="shared" si="611"/>
        <v/>
      </c>
    </row>
    <row r="6890" spans="1:17" hidden="1">
      <c r="A6890" t="s">
        <v>6995</v>
      </c>
      <c r="B6890" s="1">
        <v>45835</v>
      </c>
      <c r="C6890">
        <v>2025</v>
      </c>
      <c r="D6890">
        <v>6</v>
      </c>
      <c r="E6890" t="s">
        <v>23</v>
      </c>
      <c r="F6890" t="s">
        <v>14</v>
      </c>
      <c r="G6890" t="s">
        <v>25</v>
      </c>
      <c r="H6890" t="s">
        <v>95</v>
      </c>
      <c r="I6890">
        <v>4629.4399999999996</v>
      </c>
      <c r="J6890">
        <v>4452.88</v>
      </c>
      <c r="K6890" t="s">
        <v>17</v>
      </c>
      <c r="L6890" t="b">
        <v>0</v>
      </c>
      <c r="N6890" s="2" t="str">
        <f t="shared" si="614"/>
        <v/>
      </c>
      <c r="Q6890" t="str">
        <f t="shared" si="611"/>
        <v/>
      </c>
    </row>
    <row r="6891" spans="1:17" hidden="1">
      <c r="A6891" t="s">
        <v>6996</v>
      </c>
      <c r="B6891" s="1">
        <v>45835</v>
      </c>
      <c r="C6891">
        <v>2025</v>
      </c>
      <c r="D6891">
        <v>6</v>
      </c>
      <c r="E6891" t="s">
        <v>37</v>
      </c>
      <c r="F6891" t="s">
        <v>28</v>
      </c>
      <c r="G6891" t="s">
        <v>41</v>
      </c>
      <c r="H6891" t="s">
        <v>42</v>
      </c>
      <c r="I6891">
        <v>3697.1</v>
      </c>
      <c r="J6891">
        <v>4040.53</v>
      </c>
      <c r="K6891" t="s">
        <v>17</v>
      </c>
      <c r="L6891" t="b">
        <v>0</v>
      </c>
      <c r="N6891" s="2" t="str">
        <f t="shared" si="614"/>
        <v/>
      </c>
      <c r="Q6891" t="str">
        <f t="shared" si="611"/>
        <v/>
      </c>
    </row>
    <row r="6892" spans="1:17" hidden="1">
      <c r="A6892" t="s">
        <v>6997</v>
      </c>
      <c r="B6892" s="1">
        <v>45835</v>
      </c>
      <c r="C6892">
        <v>2025</v>
      </c>
      <c r="D6892">
        <v>6</v>
      </c>
      <c r="E6892" t="s">
        <v>37</v>
      </c>
      <c r="F6892" t="s">
        <v>28</v>
      </c>
      <c r="G6892" t="s">
        <v>62</v>
      </c>
      <c r="H6892" t="s">
        <v>121</v>
      </c>
      <c r="I6892">
        <v>2817.78</v>
      </c>
      <c r="J6892">
        <v>2884.29</v>
      </c>
      <c r="K6892" t="s">
        <v>17</v>
      </c>
      <c r="L6892" t="b">
        <v>0</v>
      </c>
      <c r="N6892" s="2" t="str">
        <f t="shared" si="614"/>
        <v/>
      </c>
      <c r="Q6892" t="str">
        <f t="shared" si="611"/>
        <v/>
      </c>
    </row>
    <row r="6893" spans="1:17" hidden="1">
      <c r="A6893" t="s">
        <v>6998</v>
      </c>
      <c r="B6893" s="1">
        <v>45836</v>
      </c>
      <c r="C6893">
        <v>2025</v>
      </c>
      <c r="D6893">
        <v>6</v>
      </c>
      <c r="E6893" t="s">
        <v>13</v>
      </c>
      <c r="F6893" t="s">
        <v>14</v>
      </c>
      <c r="G6893" t="s">
        <v>15</v>
      </c>
      <c r="H6893" t="s">
        <v>16</v>
      </c>
      <c r="I6893">
        <v>3472.38</v>
      </c>
      <c r="J6893">
        <v>3605.01</v>
      </c>
      <c r="K6893" t="s">
        <v>17</v>
      </c>
      <c r="L6893" t="b">
        <v>0</v>
      </c>
      <c r="N6893" s="2" t="str">
        <f t="shared" si="614"/>
        <v/>
      </c>
      <c r="Q6893" t="str">
        <f t="shared" si="611"/>
        <v/>
      </c>
    </row>
    <row r="6894" spans="1:17" hidden="1">
      <c r="A6894" t="s">
        <v>6999</v>
      </c>
      <c r="B6894" s="1">
        <v>45836</v>
      </c>
      <c r="C6894">
        <v>2025</v>
      </c>
      <c r="D6894">
        <v>6</v>
      </c>
      <c r="E6894" t="s">
        <v>13</v>
      </c>
      <c r="F6894" t="s">
        <v>24</v>
      </c>
      <c r="G6894" t="s">
        <v>15</v>
      </c>
      <c r="H6894" t="s">
        <v>89</v>
      </c>
      <c r="I6894">
        <v>3989.89</v>
      </c>
      <c r="J6894">
        <v>4253.8500000000004</v>
      </c>
      <c r="K6894" t="s">
        <v>17</v>
      </c>
      <c r="L6894" t="b">
        <v>0</v>
      </c>
      <c r="N6894" s="2" t="str">
        <f t="shared" si="614"/>
        <v/>
      </c>
      <c r="Q6894" t="str">
        <f t="shared" si="611"/>
        <v/>
      </c>
    </row>
    <row r="6895" spans="1:17" hidden="1">
      <c r="A6895" t="s">
        <v>7000</v>
      </c>
      <c r="B6895" s="1">
        <v>45836</v>
      </c>
      <c r="C6895">
        <v>2025</v>
      </c>
      <c r="D6895">
        <v>6</v>
      </c>
      <c r="E6895" t="s">
        <v>13</v>
      </c>
      <c r="F6895" t="s">
        <v>24</v>
      </c>
      <c r="G6895" t="s">
        <v>15</v>
      </c>
      <c r="H6895" t="s">
        <v>89</v>
      </c>
      <c r="I6895">
        <v>2689.48</v>
      </c>
      <c r="J6895">
        <v>2692.74</v>
      </c>
      <c r="K6895" t="s">
        <v>17</v>
      </c>
      <c r="L6895" t="b">
        <v>0</v>
      </c>
      <c r="N6895" s="2" t="str">
        <f t="shared" si="614"/>
        <v/>
      </c>
      <c r="Q6895" t="str">
        <f t="shared" si="611"/>
        <v/>
      </c>
    </row>
    <row r="6896" spans="1:17" hidden="1">
      <c r="A6896" t="s">
        <v>7001</v>
      </c>
      <c r="B6896" s="1">
        <v>45836</v>
      </c>
      <c r="C6896">
        <v>2025</v>
      </c>
      <c r="D6896">
        <v>6</v>
      </c>
      <c r="E6896" t="s">
        <v>47</v>
      </c>
      <c r="F6896" t="s">
        <v>14</v>
      </c>
      <c r="G6896" t="s">
        <v>77</v>
      </c>
      <c r="H6896" t="s">
        <v>130</v>
      </c>
      <c r="I6896">
        <v>13924.01</v>
      </c>
      <c r="J6896">
        <v>12031.08</v>
      </c>
      <c r="K6896" t="s">
        <v>17</v>
      </c>
      <c r="L6896" t="b">
        <v>0</v>
      </c>
      <c r="N6896" s="2" t="b">
        <f t="shared" si="614"/>
        <v>1</v>
      </c>
      <c r="O6896" t="b">
        <f t="shared" ref="O6896:O6898" si="619">IF(AND(E6885="HR",K6885="EXPENSE"),I6885&lt;J6885,"")</f>
        <v>1</v>
      </c>
      <c r="Q6896" t="str">
        <f t="shared" ref="Q6896:Q6959" si="620">IF(L6896=TRUE,OR(H6896="Apex Solutions Inc",H6896="Global Trade Partners",H6896="NovaTech Services"),"")</f>
        <v/>
      </c>
    </row>
    <row r="6897" spans="1:17" hidden="1">
      <c r="A6897" t="s">
        <v>7002</v>
      </c>
      <c r="B6897" s="1">
        <v>45836</v>
      </c>
      <c r="C6897">
        <v>2025</v>
      </c>
      <c r="D6897">
        <v>6</v>
      </c>
      <c r="E6897" t="s">
        <v>47</v>
      </c>
      <c r="F6897" t="s">
        <v>28</v>
      </c>
      <c r="G6897" t="s">
        <v>91</v>
      </c>
      <c r="H6897" t="s">
        <v>92</v>
      </c>
      <c r="I6897">
        <v>12730.46</v>
      </c>
      <c r="J6897">
        <v>10510.35</v>
      </c>
      <c r="K6897" t="s">
        <v>17</v>
      </c>
      <c r="L6897" t="b">
        <v>0</v>
      </c>
      <c r="N6897" s="2" t="b">
        <f t="shared" si="614"/>
        <v>1</v>
      </c>
      <c r="O6897" t="str">
        <f t="shared" si="619"/>
        <v/>
      </c>
      <c r="Q6897" t="str">
        <f t="shared" si="620"/>
        <v/>
      </c>
    </row>
    <row r="6898" spans="1:17" hidden="1">
      <c r="A6898" t="s">
        <v>7003</v>
      </c>
      <c r="B6898" s="1">
        <v>45836</v>
      </c>
      <c r="C6898">
        <v>2025</v>
      </c>
      <c r="D6898">
        <v>6</v>
      </c>
      <c r="E6898" t="s">
        <v>47</v>
      </c>
      <c r="F6898" t="s">
        <v>24</v>
      </c>
      <c r="G6898" t="s">
        <v>48</v>
      </c>
      <c r="H6898" t="s">
        <v>191</v>
      </c>
      <c r="I6898">
        <v>13006.13</v>
      </c>
      <c r="J6898">
        <v>11278.07</v>
      </c>
      <c r="K6898" t="s">
        <v>17</v>
      </c>
      <c r="L6898" t="b">
        <v>0</v>
      </c>
      <c r="N6898" s="2" t="b">
        <f t="shared" si="614"/>
        <v>1</v>
      </c>
      <c r="O6898" t="str">
        <f t="shared" si="619"/>
        <v/>
      </c>
      <c r="Q6898" t="str">
        <f t="shared" si="620"/>
        <v/>
      </c>
    </row>
    <row r="6899" spans="1:17" hidden="1">
      <c r="A6899" t="s">
        <v>7004</v>
      </c>
      <c r="B6899" s="1">
        <v>45836</v>
      </c>
      <c r="C6899">
        <v>2025</v>
      </c>
      <c r="D6899">
        <v>6</v>
      </c>
      <c r="E6899" t="s">
        <v>19</v>
      </c>
      <c r="F6899" t="s">
        <v>28</v>
      </c>
      <c r="G6899" t="s">
        <v>80</v>
      </c>
      <c r="H6899" t="s">
        <v>150</v>
      </c>
      <c r="I6899">
        <v>6930.49</v>
      </c>
      <c r="J6899">
        <v>6834.4</v>
      </c>
      <c r="K6899" t="s">
        <v>17</v>
      </c>
      <c r="L6899" t="b">
        <v>0</v>
      </c>
      <c r="N6899" s="2" t="str">
        <f t="shared" si="614"/>
        <v/>
      </c>
      <c r="Q6899" t="str">
        <f t="shared" si="620"/>
        <v/>
      </c>
    </row>
    <row r="6900" spans="1:17" hidden="1">
      <c r="A6900" t="s">
        <v>7005</v>
      </c>
      <c r="B6900" s="1">
        <v>45836</v>
      </c>
      <c r="C6900">
        <v>2025</v>
      </c>
      <c r="D6900">
        <v>6</v>
      </c>
      <c r="E6900" t="s">
        <v>37</v>
      </c>
      <c r="F6900" t="s">
        <v>14</v>
      </c>
      <c r="G6900" t="s">
        <v>38</v>
      </c>
      <c r="H6900" t="s">
        <v>118</v>
      </c>
      <c r="I6900">
        <v>4465.8500000000004</v>
      </c>
      <c r="J6900">
        <v>4716.68</v>
      </c>
      <c r="K6900" t="s">
        <v>17</v>
      </c>
      <c r="L6900" t="b">
        <v>0</v>
      </c>
      <c r="N6900" s="2" t="str">
        <f t="shared" si="614"/>
        <v/>
      </c>
      <c r="Q6900" t="str">
        <f t="shared" si="620"/>
        <v/>
      </c>
    </row>
    <row r="6901" spans="1:17" hidden="1">
      <c r="A6901" t="s">
        <v>7006</v>
      </c>
      <c r="B6901" s="1">
        <v>45836</v>
      </c>
      <c r="C6901">
        <v>2025</v>
      </c>
      <c r="D6901">
        <v>6</v>
      </c>
      <c r="E6901" t="s">
        <v>37</v>
      </c>
      <c r="F6901" t="s">
        <v>28</v>
      </c>
      <c r="G6901" t="s">
        <v>98</v>
      </c>
      <c r="H6901" t="s">
        <v>185</v>
      </c>
      <c r="I6901">
        <v>5686.34</v>
      </c>
      <c r="J6901">
        <v>5772.14</v>
      </c>
      <c r="K6901" t="s">
        <v>17</v>
      </c>
      <c r="L6901" t="b">
        <v>0</v>
      </c>
      <c r="N6901" s="2" t="str">
        <f t="shared" si="614"/>
        <v/>
      </c>
      <c r="Q6901" t="str">
        <f t="shared" si="620"/>
        <v/>
      </c>
    </row>
    <row r="6902" spans="1:17" hidden="1">
      <c r="A6902" t="s">
        <v>7007</v>
      </c>
      <c r="B6902" s="1">
        <v>45836</v>
      </c>
      <c r="C6902">
        <v>2025</v>
      </c>
      <c r="D6902">
        <v>6</v>
      </c>
      <c r="E6902" t="s">
        <v>37</v>
      </c>
      <c r="F6902" t="s">
        <v>24</v>
      </c>
      <c r="G6902" t="s">
        <v>38</v>
      </c>
      <c r="H6902" t="s">
        <v>227</v>
      </c>
      <c r="I6902">
        <v>4768.42</v>
      </c>
      <c r="J6902">
        <v>5135.5</v>
      </c>
      <c r="K6902" t="s">
        <v>17</v>
      </c>
      <c r="L6902" t="b">
        <v>0</v>
      </c>
      <c r="N6902" s="2" t="str">
        <f t="shared" si="614"/>
        <v/>
      </c>
      <c r="Q6902" t="str">
        <f t="shared" si="620"/>
        <v/>
      </c>
    </row>
    <row r="6903" spans="1:17" hidden="1">
      <c r="A6903" t="s">
        <v>7008</v>
      </c>
      <c r="B6903" s="1">
        <v>45836</v>
      </c>
      <c r="C6903">
        <v>2025</v>
      </c>
      <c r="D6903">
        <v>6</v>
      </c>
      <c r="E6903" t="s">
        <v>37</v>
      </c>
      <c r="F6903" t="s">
        <v>24</v>
      </c>
      <c r="G6903" t="s">
        <v>98</v>
      </c>
      <c r="H6903" t="s">
        <v>185</v>
      </c>
      <c r="I6903">
        <v>5172.2</v>
      </c>
      <c r="J6903">
        <v>4721.6400000000003</v>
      </c>
      <c r="K6903" t="s">
        <v>17</v>
      </c>
      <c r="L6903" t="b">
        <v>0</v>
      </c>
      <c r="N6903" s="2" t="str">
        <f t="shared" si="614"/>
        <v/>
      </c>
      <c r="Q6903" t="str">
        <f t="shared" si="620"/>
        <v/>
      </c>
    </row>
    <row r="6904" spans="1:17" hidden="1">
      <c r="A6904" t="s">
        <v>7009</v>
      </c>
      <c r="B6904" s="1">
        <v>45837</v>
      </c>
      <c r="C6904">
        <v>2025</v>
      </c>
      <c r="D6904">
        <v>6</v>
      </c>
      <c r="E6904" t="s">
        <v>13</v>
      </c>
      <c r="F6904" t="s">
        <v>14</v>
      </c>
      <c r="G6904" t="s">
        <v>102</v>
      </c>
      <c r="H6904" t="s">
        <v>278</v>
      </c>
      <c r="I6904">
        <v>5320.8</v>
      </c>
      <c r="J6904">
        <v>5721.25</v>
      </c>
      <c r="K6904" t="s">
        <v>17</v>
      </c>
      <c r="L6904" t="b">
        <v>0</v>
      </c>
      <c r="N6904" s="2" t="str">
        <f t="shared" si="614"/>
        <v/>
      </c>
      <c r="Q6904" t="str">
        <f t="shared" si="620"/>
        <v/>
      </c>
    </row>
    <row r="6905" spans="1:17" hidden="1">
      <c r="A6905" t="s">
        <v>7010</v>
      </c>
      <c r="B6905" s="1">
        <v>45837</v>
      </c>
      <c r="C6905">
        <v>2025</v>
      </c>
      <c r="D6905">
        <v>6</v>
      </c>
      <c r="E6905" t="s">
        <v>47</v>
      </c>
      <c r="F6905" t="s">
        <v>24</v>
      </c>
      <c r="G6905" t="s">
        <v>51</v>
      </c>
      <c r="H6905" t="s">
        <v>189</v>
      </c>
      <c r="I6905">
        <v>11808.24</v>
      </c>
      <c r="J6905">
        <v>10178.66</v>
      </c>
      <c r="K6905" t="s">
        <v>17</v>
      </c>
      <c r="L6905" t="b">
        <v>0</v>
      </c>
      <c r="N6905" s="2" t="b">
        <f t="shared" si="614"/>
        <v>1</v>
      </c>
      <c r="O6905" t="b">
        <f t="shared" ref="O6905:O6906" si="621">IF(AND(E6894="HR",K6894="EXPENSE"),I6894&lt;J6894,"")</f>
        <v>1</v>
      </c>
      <c r="Q6905" t="str">
        <f t="shared" si="620"/>
        <v/>
      </c>
    </row>
    <row r="6906" spans="1:17" hidden="1">
      <c r="A6906" t="s">
        <v>7011</v>
      </c>
      <c r="B6906" s="1">
        <v>45837</v>
      </c>
      <c r="C6906">
        <v>2025</v>
      </c>
      <c r="D6906">
        <v>6</v>
      </c>
      <c r="E6906" t="s">
        <v>47</v>
      </c>
      <c r="F6906" t="s">
        <v>24</v>
      </c>
      <c r="G6906" t="s">
        <v>51</v>
      </c>
      <c r="H6906" t="s">
        <v>72</v>
      </c>
      <c r="I6906">
        <v>12315.38</v>
      </c>
      <c r="J6906">
        <v>10185.09</v>
      </c>
      <c r="K6906" t="s">
        <v>17</v>
      </c>
      <c r="L6906" t="b">
        <v>0</v>
      </c>
      <c r="N6906" s="2" t="b">
        <f t="shared" si="614"/>
        <v>1</v>
      </c>
      <c r="O6906" t="b">
        <f t="shared" si="621"/>
        <v>1</v>
      </c>
      <c r="Q6906" t="str">
        <f t="shared" si="620"/>
        <v/>
      </c>
    </row>
    <row r="6907" spans="1:17" hidden="1">
      <c r="A6907" t="s">
        <v>7012</v>
      </c>
      <c r="B6907" s="1">
        <v>45837</v>
      </c>
      <c r="C6907">
        <v>2025</v>
      </c>
      <c r="D6907">
        <v>6</v>
      </c>
      <c r="E6907" t="s">
        <v>19</v>
      </c>
      <c r="F6907" t="s">
        <v>28</v>
      </c>
      <c r="G6907" t="s">
        <v>20</v>
      </c>
      <c r="H6907" t="s">
        <v>174</v>
      </c>
      <c r="I6907">
        <v>5772.21</v>
      </c>
      <c r="J6907">
        <v>5895.67</v>
      </c>
      <c r="K6907" t="s">
        <v>17</v>
      </c>
      <c r="L6907" t="b">
        <v>0</v>
      </c>
      <c r="N6907" s="2" t="str">
        <f t="shared" si="614"/>
        <v/>
      </c>
      <c r="Q6907" t="str">
        <f t="shared" si="620"/>
        <v/>
      </c>
    </row>
    <row r="6908" spans="1:17" hidden="1">
      <c r="A6908" t="s">
        <v>7013</v>
      </c>
      <c r="B6908" s="1">
        <v>45837</v>
      </c>
      <c r="C6908">
        <v>2025</v>
      </c>
      <c r="D6908">
        <v>6</v>
      </c>
      <c r="E6908" t="s">
        <v>19</v>
      </c>
      <c r="F6908" t="s">
        <v>28</v>
      </c>
      <c r="G6908" t="s">
        <v>80</v>
      </c>
      <c r="H6908" t="s">
        <v>113</v>
      </c>
      <c r="I6908">
        <v>7975.18</v>
      </c>
      <c r="J6908">
        <v>7550.89</v>
      </c>
      <c r="K6908" t="s">
        <v>17</v>
      </c>
      <c r="L6908" t="b">
        <v>0</v>
      </c>
      <c r="N6908" s="2" t="str">
        <f t="shared" si="614"/>
        <v/>
      </c>
      <c r="Q6908" t="str">
        <f t="shared" si="620"/>
        <v/>
      </c>
    </row>
    <row r="6909" spans="1:17" hidden="1">
      <c r="A6909" t="s">
        <v>7014</v>
      </c>
      <c r="B6909" s="1">
        <v>45837</v>
      </c>
      <c r="C6909">
        <v>2025</v>
      </c>
      <c r="D6909">
        <v>6</v>
      </c>
      <c r="E6909" t="s">
        <v>19</v>
      </c>
      <c r="F6909" t="s">
        <v>24</v>
      </c>
      <c r="G6909" t="s">
        <v>20</v>
      </c>
      <c r="H6909" t="s">
        <v>174</v>
      </c>
      <c r="I6909">
        <v>4931.68</v>
      </c>
      <c r="J6909">
        <v>4499.71</v>
      </c>
      <c r="K6909" t="s">
        <v>17</v>
      </c>
      <c r="L6909" t="b">
        <v>0</v>
      </c>
      <c r="N6909" s="2" t="str">
        <f t="shared" si="614"/>
        <v/>
      </c>
      <c r="Q6909" t="str">
        <f t="shared" si="620"/>
        <v/>
      </c>
    </row>
    <row r="6910" spans="1:17" hidden="1">
      <c r="A6910" t="s">
        <v>7015</v>
      </c>
      <c r="B6910" s="1">
        <v>45838</v>
      </c>
      <c r="C6910">
        <v>2025</v>
      </c>
      <c r="D6910">
        <v>6</v>
      </c>
      <c r="E6910" t="s">
        <v>13</v>
      </c>
      <c r="F6910" t="s">
        <v>28</v>
      </c>
      <c r="G6910" t="s">
        <v>15</v>
      </c>
      <c r="H6910" t="s">
        <v>16</v>
      </c>
      <c r="I6910">
        <v>2421.4899999999998</v>
      </c>
      <c r="J6910">
        <v>2219.19</v>
      </c>
      <c r="K6910" t="s">
        <v>17</v>
      </c>
      <c r="L6910" t="b">
        <v>0</v>
      </c>
      <c r="N6910" s="2" t="str">
        <f t="shared" si="614"/>
        <v/>
      </c>
      <c r="Q6910" t="str">
        <f t="shared" si="620"/>
        <v/>
      </c>
    </row>
    <row r="6911" spans="1:17" hidden="1">
      <c r="A6911" t="s">
        <v>7016</v>
      </c>
      <c r="B6911" s="1">
        <v>45839</v>
      </c>
      <c r="C6911">
        <v>2025</v>
      </c>
      <c r="D6911">
        <v>7</v>
      </c>
      <c r="E6911" t="s">
        <v>13</v>
      </c>
      <c r="F6911" t="s">
        <v>14</v>
      </c>
      <c r="G6911" t="s">
        <v>108</v>
      </c>
      <c r="H6911" t="s">
        <v>126</v>
      </c>
      <c r="I6911">
        <v>2540.3200000000002</v>
      </c>
      <c r="J6911">
        <v>2672.93</v>
      </c>
      <c r="K6911" t="s">
        <v>17</v>
      </c>
      <c r="L6911" t="b">
        <v>0</v>
      </c>
      <c r="N6911" s="2" t="str">
        <f t="shared" si="614"/>
        <v/>
      </c>
      <c r="Q6911" t="str">
        <f t="shared" si="620"/>
        <v/>
      </c>
    </row>
    <row r="6912" spans="1:17" hidden="1">
      <c r="A6912" t="s">
        <v>7017</v>
      </c>
      <c r="B6912" s="1">
        <v>45839</v>
      </c>
      <c r="C6912">
        <v>2025</v>
      </c>
      <c r="D6912">
        <v>7</v>
      </c>
      <c r="E6912" t="s">
        <v>13</v>
      </c>
      <c r="F6912" t="s">
        <v>24</v>
      </c>
      <c r="G6912" t="s">
        <v>108</v>
      </c>
      <c r="H6912" t="s">
        <v>123</v>
      </c>
      <c r="I6912">
        <v>4497.8100000000004</v>
      </c>
      <c r="J6912">
        <v>4242.62</v>
      </c>
      <c r="K6912" t="s">
        <v>17</v>
      </c>
      <c r="L6912" t="b">
        <v>0</v>
      </c>
      <c r="N6912" s="2" t="str">
        <f t="shared" si="614"/>
        <v/>
      </c>
      <c r="Q6912" t="str">
        <f t="shared" si="620"/>
        <v/>
      </c>
    </row>
    <row r="6913" spans="1:17" hidden="1">
      <c r="A6913" t="s">
        <v>7018</v>
      </c>
      <c r="B6913" s="1">
        <v>45839</v>
      </c>
      <c r="C6913">
        <v>2025</v>
      </c>
      <c r="D6913">
        <v>7</v>
      </c>
      <c r="E6913" t="s">
        <v>19</v>
      </c>
      <c r="F6913" t="s">
        <v>24</v>
      </c>
      <c r="G6913" t="s">
        <v>54</v>
      </c>
      <c r="H6913" t="s">
        <v>57</v>
      </c>
      <c r="I6913">
        <v>10531.56</v>
      </c>
      <c r="J6913">
        <v>10432.040000000001</v>
      </c>
      <c r="K6913" t="s">
        <v>17</v>
      </c>
      <c r="L6913" t="b">
        <v>0</v>
      </c>
      <c r="N6913" s="2" t="str">
        <f t="shared" si="614"/>
        <v/>
      </c>
      <c r="Q6913" t="str">
        <f t="shared" si="620"/>
        <v/>
      </c>
    </row>
    <row r="6914" spans="1:17" hidden="1">
      <c r="A6914" t="s">
        <v>7019</v>
      </c>
      <c r="B6914" s="1">
        <v>45839</v>
      </c>
      <c r="C6914">
        <v>2025</v>
      </c>
      <c r="D6914">
        <v>7</v>
      </c>
      <c r="E6914" t="s">
        <v>23</v>
      </c>
      <c r="F6914" t="s">
        <v>14</v>
      </c>
      <c r="G6914" t="s">
        <v>25</v>
      </c>
      <c r="H6914" t="s">
        <v>35</v>
      </c>
      <c r="I6914">
        <v>7942.67</v>
      </c>
      <c r="J6914">
        <v>8130.19</v>
      </c>
      <c r="K6914" t="s">
        <v>17</v>
      </c>
      <c r="L6914" t="b">
        <v>0</v>
      </c>
      <c r="N6914" s="2" t="str">
        <f t="shared" si="614"/>
        <v/>
      </c>
      <c r="Q6914" t="str">
        <f t="shared" si="620"/>
        <v/>
      </c>
    </row>
    <row r="6915" spans="1:17" hidden="1">
      <c r="A6915" t="s">
        <v>7020</v>
      </c>
      <c r="B6915" s="1">
        <v>45839</v>
      </c>
      <c r="C6915">
        <v>2025</v>
      </c>
      <c r="D6915">
        <v>7</v>
      </c>
      <c r="E6915" t="s">
        <v>37</v>
      </c>
      <c r="F6915" t="s">
        <v>14</v>
      </c>
      <c r="G6915" t="s">
        <v>62</v>
      </c>
      <c r="H6915" t="s">
        <v>360</v>
      </c>
      <c r="I6915">
        <v>4099.13</v>
      </c>
      <c r="J6915">
        <v>4098.6400000000003</v>
      </c>
      <c r="K6915" t="s">
        <v>17</v>
      </c>
      <c r="L6915" t="b">
        <v>0</v>
      </c>
      <c r="N6915" s="2" t="str">
        <f t="shared" ref="N6915:N6978" si="622">IF(AND(E6915="IT",K6915="EXPENSE"),I6915&gt;J6915,"")</f>
        <v/>
      </c>
      <c r="Q6915" t="str">
        <f t="shared" si="620"/>
        <v/>
      </c>
    </row>
    <row r="6916" spans="1:17" hidden="1">
      <c r="A6916" t="s">
        <v>7021</v>
      </c>
      <c r="B6916" s="1">
        <v>45839</v>
      </c>
      <c r="C6916">
        <v>2025</v>
      </c>
      <c r="D6916">
        <v>7</v>
      </c>
      <c r="E6916" t="s">
        <v>37</v>
      </c>
      <c r="F6916" t="s">
        <v>24</v>
      </c>
      <c r="G6916" t="s">
        <v>38</v>
      </c>
      <c r="H6916" t="s">
        <v>118</v>
      </c>
      <c r="I6916">
        <v>4550.08</v>
      </c>
      <c r="J6916">
        <v>4904.29</v>
      </c>
      <c r="K6916" t="s">
        <v>17</v>
      </c>
      <c r="L6916" t="b">
        <v>0</v>
      </c>
      <c r="N6916" s="2" t="str">
        <f t="shared" si="622"/>
        <v/>
      </c>
      <c r="Q6916" t="str">
        <f t="shared" si="620"/>
        <v/>
      </c>
    </row>
    <row r="6917" spans="1:17" hidden="1">
      <c r="A6917" t="s">
        <v>7022</v>
      </c>
      <c r="B6917" s="1">
        <v>45840</v>
      </c>
      <c r="C6917">
        <v>2025</v>
      </c>
      <c r="D6917">
        <v>7</v>
      </c>
      <c r="E6917" t="s">
        <v>13</v>
      </c>
      <c r="F6917" t="s">
        <v>14</v>
      </c>
      <c r="G6917" t="s">
        <v>102</v>
      </c>
      <c r="H6917" t="s">
        <v>278</v>
      </c>
      <c r="I6917">
        <v>3973.44</v>
      </c>
      <c r="J6917">
        <v>3664.44</v>
      </c>
      <c r="K6917" t="s">
        <v>17</v>
      </c>
      <c r="L6917" t="b">
        <v>0</v>
      </c>
      <c r="N6917" s="2" t="str">
        <f t="shared" si="622"/>
        <v/>
      </c>
      <c r="Q6917" t="str">
        <f t="shared" si="620"/>
        <v/>
      </c>
    </row>
    <row r="6918" spans="1:17" hidden="1">
      <c r="A6918" t="s">
        <v>7023</v>
      </c>
      <c r="B6918" s="1">
        <v>45840</v>
      </c>
      <c r="C6918">
        <v>2025</v>
      </c>
      <c r="D6918">
        <v>7</v>
      </c>
      <c r="E6918" t="s">
        <v>13</v>
      </c>
      <c r="F6918" t="s">
        <v>14</v>
      </c>
      <c r="G6918" t="s">
        <v>68</v>
      </c>
      <c r="H6918" t="s">
        <v>69</v>
      </c>
      <c r="I6918">
        <v>3833.33</v>
      </c>
      <c r="J6918">
        <v>3570.82</v>
      </c>
      <c r="K6918" t="s">
        <v>17</v>
      </c>
      <c r="L6918" t="b">
        <v>0</v>
      </c>
      <c r="N6918" s="2" t="str">
        <f t="shared" si="622"/>
        <v/>
      </c>
      <c r="Q6918" t="str">
        <f t="shared" si="620"/>
        <v/>
      </c>
    </row>
    <row r="6919" spans="1:17" hidden="1">
      <c r="A6919" t="s">
        <v>7024</v>
      </c>
      <c r="B6919" s="1">
        <v>45840</v>
      </c>
      <c r="C6919">
        <v>2025</v>
      </c>
      <c r="D6919">
        <v>7</v>
      </c>
      <c r="E6919" t="s">
        <v>47</v>
      </c>
      <c r="F6919" t="s">
        <v>14</v>
      </c>
      <c r="G6919" t="s">
        <v>77</v>
      </c>
      <c r="H6919" t="s">
        <v>147</v>
      </c>
      <c r="I6919">
        <v>17142.330000000002</v>
      </c>
      <c r="J6919">
        <v>14477.83</v>
      </c>
      <c r="K6919" t="s">
        <v>17</v>
      </c>
      <c r="L6919" t="b">
        <v>0</v>
      </c>
      <c r="N6919" s="2" t="b">
        <f t="shared" si="622"/>
        <v>1</v>
      </c>
      <c r="O6919" t="str">
        <f t="shared" ref="O6919:O6920" si="623">IF(AND(E6908="HR",K6908="EXPENSE"),I6908&lt;J6908,"")</f>
        <v/>
      </c>
      <c r="Q6919" t="str">
        <f t="shared" si="620"/>
        <v/>
      </c>
    </row>
    <row r="6920" spans="1:17" hidden="1">
      <c r="A6920" t="s">
        <v>7025</v>
      </c>
      <c r="B6920" s="1">
        <v>45840</v>
      </c>
      <c r="C6920">
        <v>2025</v>
      </c>
      <c r="D6920">
        <v>7</v>
      </c>
      <c r="E6920" t="s">
        <v>47</v>
      </c>
      <c r="F6920" t="s">
        <v>14</v>
      </c>
      <c r="G6920" t="s">
        <v>48</v>
      </c>
      <c r="H6920" t="s">
        <v>191</v>
      </c>
      <c r="I6920">
        <v>20823.02</v>
      </c>
      <c r="J6920">
        <v>17407.939999999999</v>
      </c>
      <c r="K6920" t="s">
        <v>17</v>
      </c>
      <c r="L6920" t="b">
        <v>0</v>
      </c>
      <c r="N6920" s="2" t="b">
        <f t="shared" si="622"/>
        <v>1</v>
      </c>
      <c r="O6920" t="str">
        <f t="shared" si="623"/>
        <v/>
      </c>
      <c r="Q6920" t="str">
        <f t="shared" si="620"/>
        <v/>
      </c>
    </row>
    <row r="6921" spans="1:17" hidden="1">
      <c r="A6921" t="s">
        <v>7026</v>
      </c>
      <c r="B6921" s="1">
        <v>45840</v>
      </c>
      <c r="C6921">
        <v>2025</v>
      </c>
      <c r="D6921">
        <v>7</v>
      </c>
      <c r="E6921" t="s">
        <v>19</v>
      </c>
      <c r="F6921" t="s">
        <v>28</v>
      </c>
      <c r="G6921" t="s">
        <v>54</v>
      </c>
      <c r="H6921" t="s">
        <v>57</v>
      </c>
      <c r="I6921">
        <v>6394.07</v>
      </c>
      <c r="J6921">
        <v>5901.39</v>
      </c>
      <c r="K6921" t="s">
        <v>17</v>
      </c>
      <c r="L6921" t="b">
        <v>0</v>
      </c>
      <c r="N6921" s="2" t="str">
        <f t="shared" si="622"/>
        <v/>
      </c>
      <c r="Q6921" t="str">
        <f t="shared" si="620"/>
        <v/>
      </c>
    </row>
    <row r="6922" spans="1:17" hidden="1">
      <c r="A6922" t="s">
        <v>7027</v>
      </c>
      <c r="B6922" s="1">
        <v>45840</v>
      </c>
      <c r="C6922">
        <v>2025</v>
      </c>
      <c r="D6922">
        <v>7</v>
      </c>
      <c r="E6922" t="s">
        <v>19</v>
      </c>
      <c r="F6922" t="s">
        <v>24</v>
      </c>
      <c r="G6922" t="s">
        <v>132</v>
      </c>
      <c r="H6922" t="s">
        <v>171</v>
      </c>
      <c r="I6922">
        <v>6297.83</v>
      </c>
      <c r="J6922">
        <v>6420.51</v>
      </c>
      <c r="K6922" t="s">
        <v>17</v>
      </c>
      <c r="L6922" t="b">
        <v>0</v>
      </c>
      <c r="N6922" s="2" t="str">
        <f t="shared" si="622"/>
        <v/>
      </c>
      <c r="Q6922" t="str">
        <f t="shared" si="620"/>
        <v/>
      </c>
    </row>
    <row r="6923" spans="1:17" hidden="1">
      <c r="A6923" t="s">
        <v>7028</v>
      </c>
      <c r="B6923" s="1">
        <v>45840</v>
      </c>
      <c r="C6923">
        <v>2025</v>
      </c>
      <c r="D6923">
        <v>7</v>
      </c>
      <c r="E6923" t="s">
        <v>23</v>
      </c>
      <c r="F6923" t="s">
        <v>14</v>
      </c>
      <c r="G6923" t="s">
        <v>59</v>
      </c>
      <c r="H6923" t="s">
        <v>60</v>
      </c>
      <c r="I6923">
        <v>6149.67</v>
      </c>
      <c r="J6923">
        <v>6422.3</v>
      </c>
      <c r="K6923" t="s">
        <v>17</v>
      </c>
      <c r="L6923" t="b">
        <v>0</v>
      </c>
      <c r="N6923" s="2" t="str">
        <f t="shared" si="622"/>
        <v/>
      </c>
      <c r="Q6923" t="str">
        <f t="shared" si="620"/>
        <v/>
      </c>
    </row>
    <row r="6924" spans="1:17" hidden="1">
      <c r="A6924" t="s">
        <v>7029</v>
      </c>
      <c r="B6924" s="1">
        <v>45840</v>
      </c>
      <c r="C6924">
        <v>2025</v>
      </c>
      <c r="D6924">
        <v>7</v>
      </c>
      <c r="E6924" t="s">
        <v>23</v>
      </c>
      <c r="F6924" t="s">
        <v>28</v>
      </c>
      <c r="G6924" t="s">
        <v>25</v>
      </c>
      <c r="H6924" t="s">
        <v>95</v>
      </c>
      <c r="I6924">
        <v>5791.01</v>
      </c>
      <c r="J6924">
        <v>5264.15</v>
      </c>
      <c r="K6924" t="s">
        <v>17</v>
      </c>
      <c r="L6924" t="b">
        <v>0</v>
      </c>
      <c r="N6924" s="2" t="str">
        <f t="shared" si="622"/>
        <v/>
      </c>
      <c r="Q6924" t="str">
        <f t="shared" si="620"/>
        <v/>
      </c>
    </row>
    <row r="6925" spans="1:17" hidden="1">
      <c r="A6925" t="s">
        <v>7030</v>
      </c>
      <c r="B6925" s="1">
        <v>45840</v>
      </c>
      <c r="C6925">
        <v>2025</v>
      </c>
      <c r="D6925">
        <v>7</v>
      </c>
      <c r="E6925" t="s">
        <v>23</v>
      </c>
      <c r="F6925" t="s">
        <v>28</v>
      </c>
      <c r="G6925" t="s">
        <v>30</v>
      </c>
      <c r="H6925" t="s">
        <v>106</v>
      </c>
      <c r="I6925">
        <v>5077.17</v>
      </c>
      <c r="J6925">
        <v>4586.1400000000003</v>
      </c>
      <c r="K6925" t="s">
        <v>17</v>
      </c>
      <c r="L6925" t="b">
        <v>0</v>
      </c>
      <c r="N6925" s="2" t="str">
        <f t="shared" si="622"/>
        <v/>
      </c>
      <c r="Q6925" t="str">
        <f t="shared" si="620"/>
        <v/>
      </c>
    </row>
    <row r="6926" spans="1:17" hidden="1">
      <c r="A6926" t="s">
        <v>7031</v>
      </c>
      <c r="B6926" s="1">
        <v>45840</v>
      </c>
      <c r="C6926">
        <v>2025</v>
      </c>
      <c r="D6926">
        <v>7</v>
      </c>
      <c r="E6926" t="s">
        <v>23</v>
      </c>
      <c r="F6926" t="s">
        <v>28</v>
      </c>
      <c r="G6926" t="s">
        <v>59</v>
      </c>
      <c r="H6926" t="s">
        <v>155</v>
      </c>
      <c r="I6926">
        <v>5880.51</v>
      </c>
      <c r="J6926">
        <v>6370.26</v>
      </c>
      <c r="K6926" t="s">
        <v>17</v>
      </c>
      <c r="L6926" t="b">
        <v>0</v>
      </c>
      <c r="N6926" s="2" t="str">
        <f t="shared" si="622"/>
        <v/>
      </c>
      <c r="Q6926" t="str">
        <f t="shared" si="620"/>
        <v/>
      </c>
    </row>
    <row r="6927" spans="1:17" hidden="1">
      <c r="A6927" t="s">
        <v>7032</v>
      </c>
      <c r="B6927" s="1">
        <v>45840</v>
      </c>
      <c r="C6927">
        <v>2025</v>
      </c>
      <c r="D6927">
        <v>7</v>
      </c>
      <c r="E6927" t="s">
        <v>37</v>
      </c>
      <c r="F6927" t="s">
        <v>28</v>
      </c>
      <c r="G6927" t="s">
        <v>98</v>
      </c>
      <c r="H6927" t="s">
        <v>185</v>
      </c>
      <c r="I6927">
        <v>3442.2</v>
      </c>
      <c r="J6927">
        <v>3494.65</v>
      </c>
      <c r="K6927" t="s">
        <v>17</v>
      </c>
      <c r="L6927" t="b">
        <v>0</v>
      </c>
      <c r="N6927" s="2" t="str">
        <f t="shared" si="622"/>
        <v/>
      </c>
      <c r="Q6927" t="str">
        <f t="shared" si="620"/>
        <v/>
      </c>
    </row>
    <row r="6928" spans="1:17" hidden="1">
      <c r="A6928" t="s">
        <v>7033</v>
      </c>
      <c r="B6928" s="1">
        <v>45841</v>
      </c>
      <c r="C6928">
        <v>2025</v>
      </c>
      <c r="D6928">
        <v>7</v>
      </c>
      <c r="E6928" t="s">
        <v>13</v>
      </c>
      <c r="F6928" t="s">
        <v>14</v>
      </c>
      <c r="G6928" t="s">
        <v>68</v>
      </c>
      <c r="H6928" t="s">
        <v>69</v>
      </c>
      <c r="I6928">
        <v>4358.6099999999997</v>
      </c>
      <c r="J6928">
        <v>4602.87</v>
      </c>
      <c r="K6928" t="s">
        <v>17</v>
      </c>
      <c r="L6928" t="b">
        <v>0</v>
      </c>
      <c r="N6928" s="2" t="str">
        <f t="shared" si="622"/>
        <v/>
      </c>
      <c r="Q6928" t="str">
        <f t="shared" si="620"/>
        <v/>
      </c>
    </row>
    <row r="6929" spans="1:17" hidden="1">
      <c r="A6929" t="s">
        <v>7034</v>
      </c>
      <c r="B6929" s="1">
        <v>45841</v>
      </c>
      <c r="C6929">
        <v>2025</v>
      </c>
      <c r="D6929">
        <v>7</v>
      </c>
      <c r="E6929" t="s">
        <v>47</v>
      </c>
      <c r="F6929" t="s">
        <v>24</v>
      </c>
      <c r="G6929" t="s">
        <v>77</v>
      </c>
      <c r="H6929" t="s">
        <v>147</v>
      </c>
      <c r="I6929">
        <v>19223.509999999998</v>
      </c>
      <c r="J6929">
        <v>16428.72</v>
      </c>
      <c r="K6929" t="s">
        <v>17</v>
      </c>
      <c r="L6929" t="b">
        <v>0</v>
      </c>
      <c r="N6929" s="2" t="b">
        <f t="shared" si="622"/>
        <v>1</v>
      </c>
      <c r="O6929" t="b">
        <f t="shared" ref="O6929:O6930" si="624">IF(AND(E6918="HR",K6918="EXPENSE"),I6918&lt;J6918,"")</f>
        <v>0</v>
      </c>
      <c r="Q6929" t="str">
        <f t="shared" si="620"/>
        <v/>
      </c>
    </row>
    <row r="6930" spans="1:17" hidden="1">
      <c r="A6930" t="s">
        <v>7035</v>
      </c>
      <c r="B6930" s="1">
        <v>45841</v>
      </c>
      <c r="C6930">
        <v>2025</v>
      </c>
      <c r="D6930">
        <v>7</v>
      </c>
      <c r="E6930" t="s">
        <v>47</v>
      </c>
      <c r="F6930" t="s">
        <v>24</v>
      </c>
      <c r="G6930" t="s">
        <v>51</v>
      </c>
      <c r="H6930" t="s">
        <v>189</v>
      </c>
      <c r="I6930">
        <v>15217.78</v>
      </c>
      <c r="J6930">
        <v>13043.07</v>
      </c>
      <c r="K6930" t="s">
        <v>17</v>
      </c>
      <c r="L6930" t="b">
        <v>0</v>
      </c>
      <c r="N6930" s="2" t="b">
        <f t="shared" si="622"/>
        <v>1</v>
      </c>
      <c r="O6930" t="str">
        <f t="shared" si="624"/>
        <v/>
      </c>
      <c r="Q6930" t="str">
        <f t="shared" si="620"/>
        <v/>
      </c>
    </row>
    <row r="6931" spans="1:17" hidden="1">
      <c r="A6931" t="s">
        <v>7036</v>
      </c>
      <c r="B6931" s="1">
        <v>45842</v>
      </c>
      <c r="C6931">
        <v>2025</v>
      </c>
      <c r="D6931">
        <v>7</v>
      </c>
      <c r="E6931" t="s">
        <v>13</v>
      </c>
      <c r="F6931" t="s">
        <v>14</v>
      </c>
      <c r="G6931" t="s">
        <v>108</v>
      </c>
      <c r="H6931" t="s">
        <v>126</v>
      </c>
      <c r="I6931">
        <v>3522.12</v>
      </c>
      <c r="J6931">
        <v>3521.07</v>
      </c>
      <c r="K6931" t="s">
        <v>17</v>
      </c>
      <c r="L6931" t="b">
        <v>0</v>
      </c>
      <c r="N6931" s="2" t="str">
        <f t="shared" si="622"/>
        <v/>
      </c>
      <c r="Q6931" t="str">
        <f t="shared" si="620"/>
        <v/>
      </c>
    </row>
    <row r="6932" spans="1:17" hidden="1">
      <c r="A6932" t="s">
        <v>7037</v>
      </c>
      <c r="B6932" s="1">
        <v>45842</v>
      </c>
      <c r="C6932">
        <v>2025</v>
      </c>
      <c r="D6932">
        <v>7</v>
      </c>
      <c r="E6932" t="s">
        <v>13</v>
      </c>
      <c r="F6932" t="s">
        <v>24</v>
      </c>
      <c r="G6932" t="s">
        <v>68</v>
      </c>
      <c r="H6932" t="s">
        <v>69</v>
      </c>
      <c r="I6932">
        <v>6342.47</v>
      </c>
      <c r="J6932">
        <v>6757.49</v>
      </c>
      <c r="K6932" t="s">
        <v>17</v>
      </c>
      <c r="L6932" t="b">
        <v>0</v>
      </c>
      <c r="N6932" s="2" t="str">
        <f t="shared" si="622"/>
        <v/>
      </c>
      <c r="Q6932" t="str">
        <f t="shared" si="620"/>
        <v/>
      </c>
    </row>
    <row r="6933" spans="1:17" hidden="1">
      <c r="A6933" t="s">
        <v>7038</v>
      </c>
      <c r="B6933" s="1">
        <v>45842</v>
      </c>
      <c r="C6933">
        <v>2025</v>
      </c>
      <c r="D6933">
        <v>7</v>
      </c>
      <c r="E6933" t="s">
        <v>47</v>
      </c>
      <c r="F6933" t="s">
        <v>14</v>
      </c>
      <c r="G6933" t="s">
        <v>77</v>
      </c>
      <c r="H6933" t="s">
        <v>130</v>
      </c>
      <c r="I6933">
        <v>13388.89</v>
      </c>
      <c r="J6933">
        <v>11238.88</v>
      </c>
      <c r="K6933" t="s">
        <v>17</v>
      </c>
      <c r="L6933" t="b">
        <v>0</v>
      </c>
      <c r="N6933" s="2" t="b">
        <f t="shared" si="622"/>
        <v>1</v>
      </c>
      <c r="O6933" t="str">
        <f t="shared" ref="O6933:O6934" si="625">IF(AND(E6922="HR",K6922="EXPENSE"),I6922&lt;J6922,"")</f>
        <v/>
      </c>
      <c r="Q6933" t="str">
        <f t="shared" si="620"/>
        <v/>
      </c>
    </row>
    <row r="6934" spans="1:17" hidden="1">
      <c r="A6934" t="s">
        <v>7039</v>
      </c>
      <c r="B6934" s="1">
        <v>45842</v>
      </c>
      <c r="C6934">
        <v>2025</v>
      </c>
      <c r="D6934">
        <v>7</v>
      </c>
      <c r="E6934" t="s">
        <v>47</v>
      </c>
      <c r="F6934" t="s">
        <v>28</v>
      </c>
      <c r="G6934" t="s">
        <v>77</v>
      </c>
      <c r="H6934" t="s">
        <v>78</v>
      </c>
      <c r="I6934">
        <v>15504.11</v>
      </c>
      <c r="J6934">
        <v>12916.18</v>
      </c>
      <c r="K6934" t="s">
        <v>17</v>
      </c>
      <c r="L6934" t="b">
        <v>0</v>
      </c>
      <c r="N6934" s="2" t="b">
        <f t="shared" si="622"/>
        <v>1</v>
      </c>
      <c r="O6934" t="str">
        <f t="shared" si="625"/>
        <v/>
      </c>
      <c r="Q6934" t="str">
        <f t="shared" si="620"/>
        <v/>
      </c>
    </row>
    <row r="6935" spans="1:17" hidden="1">
      <c r="A6935" t="s">
        <v>7040</v>
      </c>
      <c r="B6935" s="1">
        <v>45842</v>
      </c>
      <c r="C6935">
        <v>2025</v>
      </c>
      <c r="D6935">
        <v>7</v>
      </c>
      <c r="E6935" t="s">
        <v>19</v>
      </c>
      <c r="F6935" t="s">
        <v>24</v>
      </c>
      <c r="G6935" t="s">
        <v>80</v>
      </c>
      <c r="H6935" t="s">
        <v>217</v>
      </c>
      <c r="I6935">
        <v>9036.99</v>
      </c>
      <c r="J6935">
        <v>9414.48</v>
      </c>
      <c r="K6935" t="s">
        <v>17</v>
      </c>
      <c r="L6935" t="b">
        <v>0</v>
      </c>
      <c r="N6935" s="2" t="str">
        <f t="shared" si="622"/>
        <v/>
      </c>
      <c r="Q6935" t="str">
        <f t="shared" si="620"/>
        <v/>
      </c>
    </row>
    <row r="6936" spans="1:17" hidden="1">
      <c r="A6936" t="s">
        <v>7041</v>
      </c>
      <c r="B6936" s="1">
        <v>45842</v>
      </c>
      <c r="C6936">
        <v>2025</v>
      </c>
      <c r="D6936">
        <v>7</v>
      </c>
      <c r="E6936" t="s">
        <v>37</v>
      </c>
      <c r="F6936" t="s">
        <v>28</v>
      </c>
      <c r="G6936" t="s">
        <v>98</v>
      </c>
      <c r="H6936" t="s">
        <v>99</v>
      </c>
      <c r="I6936">
        <v>5350.8</v>
      </c>
      <c r="J6936">
        <v>5643.98</v>
      </c>
      <c r="K6936" t="s">
        <v>17</v>
      </c>
      <c r="L6936" t="b">
        <v>0</v>
      </c>
      <c r="N6936" s="2" t="str">
        <f t="shared" si="622"/>
        <v/>
      </c>
      <c r="Q6936" t="str">
        <f t="shared" si="620"/>
        <v/>
      </c>
    </row>
    <row r="6937" spans="1:17" hidden="1">
      <c r="A6937" t="s">
        <v>7042</v>
      </c>
      <c r="B6937" s="1">
        <v>45843</v>
      </c>
      <c r="C6937">
        <v>2025</v>
      </c>
      <c r="D6937">
        <v>7</v>
      </c>
      <c r="E6937" t="s">
        <v>13</v>
      </c>
      <c r="F6937" t="s">
        <v>28</v>
      </c>
      <c r="G6937" t="s">
        <v>108</v>
      </c>
      <c r="H6937" t="s">
        <v>123</v>
      </c>
      <c r="I6937">
        <v>4461.29</v>
      </c>
      <c r="J6937">
        <v>4113.84</v>
      </c>
      <c r="K6937" t="s">
        <v>17</v>
      </c>
      <c r="L6937" t="b">
        <v>0</v>
      </c>
      <c r="N6937" s="2" t="str">
        <f t="shared" si="622"/>
        <v/>
      </c>
      <c r="Q6937" t="str">
        <f t="shared" si="620"/>
        <v/>
      </c>
    </row>
    <row r="6938" spans="1:17" hidden="1">
      <c r="A6938" t="s">
        <v>7043</v>
      </c>
      <c r="B6938" s="1">
        <v>45843</v>
      </c>
      <c r="C6938">
        <v>2025</v>
      </c>
      <c r="D6938">
        <v>7</v>
      </c>
      <c r="E6938" t="s">
        <v>47</v>
      </c>
      <c r="F6938" t="s">
        <v>24</v>
      </c>
      <c r="G6938" t="s">
        <v>77</v>
      </c>
      <c r="H6938" t="s">
        <v>147</v>
      </c>
      <c r="I6938">
        <v>10143.459999999999</v>
      </c>
      <c r="J6938">
        <v>8326.61</v>
      </c>
      <c r="K6938" t="s">
        <v>17</v>
      </c>
      <c r="L6938" t="b">
        <v>0</v>
      </c>
      <c r="N6938" s="2" t="b">
        <f t="shared" si="622"/>
        <v>1</v>
      </c>
      <c r="O6938" t="str">
        <f t="shared" ref="O6938:O6939" si="626">IF(AND(E6927="HR",K6927="EXPENSE"),I6927&lt;J6927,"")</f>
        <v/>
      </c>
      <c r="Q6938" t="str">
        <f t="shared" si="620"/>
        <v/>
      </c>
    </row>
    <row r="6939" spans="1:17" hidden="1">
      <c r="A6939" t="s">
        <v>7044</v>
      </c>
      <c r="B6939" s="1">
        <v>45843</v>
      </c>
      <c r="C6939">
        <v>2025</v>
      </c>
      <c r="D6939">
        <v>7</v>
      </c>
      <c r="E6939" t="s">
        <v>47</v>
      </c>
      <c r="F6939" t="s">
        <v>24</v>
      </c>
      <c r="G6939" t="s">
        <v>77</v>
      </c>
      <c r="H6939" t="s">
        <v>78</v>
      </c>
      <c r="I6939">
        <v>8632.16</v>
      </c>
      <c r="J6939">
        <v>7159.09</v>
      </c>
      <c r="K6939" t="s">
        <v>17</v>
      </c>
      <c r="L6939" t="b">
        <v>0</v>
      </c>
      <c r="N6939" s="2" t="b">
        <f t="shared" si="622"/>
        <v>1</v>
      </c>
      <c r="O6939" t="b">
        <f t="shared" si="626"/>
        <v>1</v>
      </c>
      <c r="Q6939" t="str">
        <f t="shared" si="620"/>
        <v/>
      </c>
    </row>
    <row r="6940" spans="1:17" hidden="1">
      <c r="A6940" t="s">
        <v>7045</v>
      </c>
      <c r="B6940" s="1">
        <v>45843</v>
      </c>
      <c r="C6940">
        <v>2025</v>
      </c>
      <c r="D6940">
        <v>7</v>
      </c>
      <c r="E6940" t="s">
        <v>19</v>
      </c>
      <c r="F6940" t="s">
        <v>24</v>
      </c>
      <c r="G6940" t="s">
        <v>80</v>
      </c>
      <c r="H6940" t="s">
        <v>217</v>
      </c>
      <c r="I6940">
        <v>7272.42</v>
      </c>
      <c r="J6940">
        <v>7636.76</v>
      </c>
      <c r="K6940" t="s">
        <v>17</v>
      </c>
      <c r="L6940" t="b">
        <v>0</v>
      </c>
      <c r="N6940" s="2" t="str">
        <f t="shared" si="622"/>
        <v/>
      </c>
      <c r="Q6940" t="str">
        <f t="shared" si="620"/>
        <v/>
      </c>
    </row>
    <row r="6941" spans="1:17" hidden="1">
      <c r="A6941" t="s">
        <v>7046</v>
      </c>
      <c r="B6941" s="1">
        <v>45843</v>
      </c>
      <c r="C6941">
        <v>2025</v>
      </c>
      <c r="D6941">
        <v>7</v>
      </c>
      <c r="E6941" t="s">
        <v>23</v>
      </c>
      <c r="F6941" t="s">
        <v>14</v>
      </c>
      <c r="G6941" t="s">
        <v>30</v>
      </c>
      <c r="H6941" t="s">
        <v>106</v>
      </c>
      <c r="I6941">
        <v>8371.35</v>
      </c>
      <c r="J6941">
        <v>8717.0499999999993</v>
      </c>
      <c r="K6941" t="s">
        <v>17</v>
      </c>
      <c r="L6941" t="b">
        <v>0</v>
      </c>
      <c r="N6941" s="2" t="str">
        <f t="shared" si="622"/>
        <v/>
      </c>
      <c r="Q6941" t="str">
        <f t="shared" si="620"/>
        <v/>
      </c>
    </row>
    <row r="6942" spans="1:17" hidden="1">
      <c r="A6942" t="s">
        <v>7047</v>
      </c>
      <c r="B6942" s="1">
        <v>45843</v>
      </c>
      <c r="C6942">
        <v>2025</v>
      </c>
      <c r="D6942">
        <v>7</v>
      </c>
      <c r="E6942" t="s">
        <v>23</v>
      </c>
      <c r="F6942" t="s">
        <v>28</v>
      </c>
      <c r="G6942" t="s">
        <v>30</v>
      </c>
      <c r="H6942" t="s">
        <v>33</v>
      </c>
      <c r="I6942">
        <v>4192.1099999999997</v>
      </c>
      <c r="J6942">
        <v>4361.42</v>
      </c>
      <c r="K6942" t="s">
        <v>17</v>
      </c>
      <c r="L6942" t="b">
        <v>0</v>
      </c>
      <c r="N6942" s="2" t="str">
        <f t="shared" si="622"/>
        <v/>
      </c>
      <c r="Q6942" t="str">
        <f t="shared" si="620"/>
        <v/>
      </c>
    </row>
    <row r="6943" spans="1:17" hidden="1">
      <c r="A6943" t="s">
        <v>7048</v>
      </c>
      <c r="B6943" s="1">
        <v>45843</v>
      </c>
      <c r="C6943">
        <v>2025</v>
      </c>
      <c r="D6943">
        <v>7</v>
      </c>
      <c r="E6943" t="s">
        <v>23</v>
      </c>
      <c r="F6943" t="s">
        <v>28</v>
      </c>
      <c r="G6943" t="s">
        <v>141</v>
      </c>
      <c r="H6943" t="s">
        <v>142</v>
      </c>
      <c r="I6943">
        <v>4504.71</v>
      </c>
      <c r="J6943">
        <v>4817.82</v>
      </c>
      <c r="K6943" t="s">
        <v>17</v>
      </c>
      <c r="L6943" t="b">
        <v>0</v>
      </c>
      <c r="N6943" s="2" t="str">
        <f t="shared" si="622"/>
        <v/>
      </c>
      <c r="Q6943" t="str">
        <f t="shared" si="620"/>
        <v/>
      </c>
    </row>
    <row r="6944" spans="1:17" hidden="1">
      <c r="A6944" t="s">
        <v>7049</v>
      </c>
      <c r="B6944" s="1">
        <v>45843</v>
      </c>
      <c r="C6944">
        <v>2025</v>
      </c>
      <c r="D6944">
        <v>7</v>
      </c>
      <c r="E6944" t="s">
        <v>37</v>
      </c>
      <c r="F6944" t="s">
        <v>14</v>
      </c>
      <c r="G6944" t="s">
        <v>62</v>
      </c>
      <c r="H6944" t="s">
        <v>360</v>
      </c>
      <c r="I6944">
        <v>5065.37</v>
      </c>
      <c r="J6944">
        <v>5441.35</v>
      </c>
      <c r="K6944" t="s">
        <v>17</v>
      </c>
      <c r="L6944" t="b">
        <v>0</v>
      </c>
      <c r="N6944" s="2" t="str">
        <f t="shared" si="622"/>
        <v/>
      </c>
      <c r="Q6944" t="str">
        <f t="shared" si="620"/>
        <v/>
      </c>
    </row>
    <row r="6945" spans="1:17" hidden="1">
      <c r="A6945" t="s">
        <v>7050</v>
      </c>
      <c r="B6945" s="1">
        <v>45843</v>
      </c>
      <c r="C6945">
        <v>2025</v>
      </c>
      <c r="D6945">
        <v>7</v>
      </c>
      <c r="E6945" t="s">
        <v>37</v>
      </c>
      <c r="F6945" t="s">
        <v>28</v>
      </c>
      <c r="G6945" t="s">
        <v>83</v>
      </c>
      <c r="H6945" t="s">
        <v>84</v>
      </c>
      <c r="I6945">
        <v>178374.14</v>
      </c>
      <c r="J6945">
        <v>169455.44</v>
      </c>
      <c r="K6945" t="s">
        <v>85</v>
      </c>
      <c r="L6945" t="b">
        <v>0</v>
      </c>
      <c r="N6945" s="2" t="str">
        <f t="shared" si="622"/>
        <v/>
      </c>
      <c r="Q6945" t="str">
        <f t="shared" si="620"/>
        <v/>
      </c>
    </row>
    <row r="6946" spans="1:17" hidden="1">
      <c r="A6946" t="s">
        <v>7051</v>
      </c>
      <c r="B6946" s="1">
        <v>45844</v>
      </c>
      <c r="C6946">
        <v>2025</v>
      </c>
      <c r="D6946">
        <v>7</v>
      </c>
      <c r="E6946" t="s">
        <v>13</v>
      </c>
      <c r="F6946" t="s">
        <v>28</v>
      </c>
      <c r="G6946" t="s">
        <v>102</v>
      </c>
      <c r="H6946" t="s">
        <v>145</v>
      </c>
      <c r="I6946">
        <v>2686.21</v>
      </c>
      <c r="J6946">
        <v>2592.27</v>
      </c>
      <c r="K6946" t="s">
        <v>17</v>
      </c>
      <c r="L6946" t="b">
        <v>0</v>
      </c>
      <c r="N6946" s="2" t="str">
        <f t="shared" si="622"/>
        <v/>
      </c>
      <c r="Q6946" t="str">
        <f t="shared" si="620"/>
        <v/>
      </c>
    </row>
    <row r="6947" spans="1:17" hidden="1">
      <c r="A6947" t="s">
        <v>7052</v>
      </c>
      <c r="B6947" s="1">
        <v>45844</v>
      </c>
      <c r="C6947">
        <v>2025</v>
      </c>
      <c r="D6947">
        <v>7</v>
      </c>
      <c r="E6947" t="s">
        <v>13</v>
      </c>
      <c r="F6947" t="s">
        <v>24</v>
      </c>
      <c r="G6947" t="s">
        <v>15</v>
      </c>
      <c r="H6947" t="s">
        <v>89</v>
      </c>
      <c r="I6947">
        <v>4133.9799999999996</v>
      </c>
      <c r="J6947">
        <v>4511.42</v>
      </c>
      <c r="K6947" t="s">
        <v>17</v>
      </c>
      <c r="L6947" t="b">
        <v>0</v>
      </c>
      <c r="N6947" s="2" t="str">
        <f t="shared" si="622"/>
        <v/>
      </c>
      <c r="Q6947" t="str">
        <f t="shared" si="620"/>
        <v/>
      </c>
    </row>
    <row r="6948" spans="1:17" hidden="1">
      <c r="A6948" t="s">
        <v>7053</v>
      </c>
      <c r="B6948" s="1">
        <v>45844</v>
      </c>
      <c r="C6948">
        <v>2025</v>
      </c>
      <c r="D6948">
        <v>7</v>
      </c>
      <c r="E6948" t="s">
        <v>13</v>
      </c>
      <c r="F6948" t="s">
        <v>24</v>
      </c>
      <c r="G6948" t="s">
        <v>15</v>
      </c>
      <c r="H6948" t="s">
        <v>16</v>
      </c>
      <c r="I6948">
        <v>4891.34</v>
      </c>
      <c r="J6948">
        <v>5223.1400000000003</v>
      </c>
      <c r="K6948" t="s">
        <v>17</v>
      </c>
      <c r="L6948" t="b">
        <v>0</v>
      </c>
      <c r="N6948" s="2" t="str">
        <f t="shared" si="622"/>
        <v/>
      </c>
      <c r="Q6948" t="str">
        <f t="shared" si="620"/>
        <v/>
      </c>
    </row>
    <row r="6949" spans="1:17" hidden="1">
      <c r="A6949" t="s">
        <v>7054</v>
      </c>
      <c r="B6949" s="1">
        <v>45844</v>
      </c>
      <c r="C6949">
        <v>2025</v>
      </c>
      <c r="D6949">
        <v>7</v>
      </c>
      <c r="E6949" t="s">
        <v>19</v>
      </c>
      <c r="F6949" t="s">
        <v>14</v>
      </c>
      <c r="G6949" t="s">
        <v>54</v>
      </c>
      <c r="H6949" t="s">
        <v>163</v>
      </c>
      <c r="I6949">
        <v>4483.6899999999996</v>
      </c>
      <c r="J6949">
        <v>4324.82</v>
      </c>
      <c r="K6949" t="s">
        <v>17</v>
      </c>
      <c r="L6949" t="b">
        <v>0</v>
      </c>
      <c r="N6949" s="2" t="str">
        <f t="shared" si="622"/>
        <v/>
      </c>
      <c r="Q6949" t="str">
        <f t="shared" si="620"/>
        <v/>
      </c>
    </row>
    <row r="6950" spans="1:17" hidden="1">
      <c r="A6950" t="s">
        <v>7055</v>
      </c>
      <c r="B6950" s="1">
        <v>45844</v>
      </c>
      <c r="C6950">
        <v>2025</v>
      </c>
      <c r="D6950">
        <v>7</v>
      </c>
      <c r="E6950" t="s">
        <v>19</v>
      </c>
      <c r="F6950" t="s">
        <v>24</v>
      </c>
      <c r="G6950" t="s">
        <v>80</v>
      </c>
      <c r="H6950" t="s">
        <v>150</v>
      </c>
      <c r="I6950">
        <v>10610.39</v>
      </c>
      <c r="J6950">
        <v>10800.19</v>
      </c>
      <c r="K6950" t="s">
        <v>17</v>
      </c>
      <c r="L6950" t="b">
        <v>0</v>
      </c>
      <c r="N6950" s="2" t="str">
        <f t="shared" si="622"/>
        <v/>
      </c>
      <c r="Q6950" t="str">
        <f t="shared" si="620"/>
        <v/>
      </c>
    </row>
    <row r="6951" spans="1:17" hidden="1">
      <c r="A6951" t="s">
        <v>7056</v>
      </c>
      <c r="B6951" s="1">
        <v>45844</v>
      </c>
      <c r="C6951">
        <v>2025</v>
      </c>
      <c r="D6951">
        <v>7</v>
      </c>
      <c r="E6951" t="s">
        <v>19</v>
      </c>
      <c r="F6951" t="s">
        <v>24</v>
      </c>
      <c r="G6951" t="s">
        <v>80</v>
      </c>
      <c r="H6951" t="s">
        <v>113</v>
      </c>
      <c r="I6951">
        <v>6959.77</v>
      </c>
      <c r="J6951">
        <v>7603.95</v>
      </c>
      <c r="K6951" t="s">
        <v>17</v>
      </c>
      <c r="L6951" t="b">
        <v>0</v>
      </c>
      <c r="N6951" s="2" t="str">
        <f t="shared" si="622"/>
        <v/>
      </c>
      <c r="Q6951" t="str">
        <f t="shared" si="620"/>
        <v/>
      </c>
    </row>
    <row r="6952" spans="1:17" hidden="1">
      <c r="A6952" t="s">
        <v>7057</v>
      </c>
      <c r="B6952" s="1">
        <v>45844</v>
      </c>
      <c r="C6952">
        <v>2025</v>
      </c>
      <c r="D6952">
        <v>7</v>
      </c>
      <c r="E6952" t="s">
        <v>23</v>
      </c>
      <c r="F6952" t="s">
        <v>14</v>
      </c>
      <c r="G6952" t="s">
        <v>141</v>
      </c>
      <c r="H6952" t="s">
        <v>209</v>
      </c>
      <c r="I6952">
        <v>3435.9</v>
      </c>
      <c r="J6952">
        <v>3562.84</v>
      </c>
      <c r="K6952" t="s">
        <v>17</v>
      </c>
      <c r="L6952" t="b">
        <v>0</v>
      </c>
      <c r="N6952" s="2" t="str">
        <f t="shared" si="622"/>
        <v/>
      </c>
      <c r="Q6952" t="str">
        <f t="shared" si="620"/>
        <v/>
      </c>
    </row>
    <row r="6953" spans="1:17" hidden="1">
      <c r="A6953" t="s">
        <v>7058</v>
      </c>
      <c r="B6953" s="1">
        <v>45844</v>
      </c>
      <c r="C6953">
        <v>2025</v>
      </c>
      <c r="D6953">
        <v>7</v>
      </c>
      <c r="E6953" t="s">
        <v>23</v>
      </c>
      <c r="F6953" t="s">
        <v>24</v>
      </c>
      <c r="G6953" t="s">
        <v>30</v>
      </c>
      <c r="H6953" t="s">
        <v>106</v>
      </c>
      <c r="I6953">
        <v>7631.34</v>
      </c>
      <c r="J6953">
        <v>8065.5</v>
      </c>
      <c r="K6953" t="s">
        <v>17</v>
      </c>
      <c r="L6953" t="b">
        <v>0</v>
      </c>
      <c r="N6953" s="2" t="str">
        <f t="shared" si="622"/>
        <v/>
      </c>
      <c r="Q6953" t="str">
        <f t="shared" si="620"/>
        <v/>
      </c>
    </row>
    <row r="6954" spans="1:17" hidden="1">
      <c r="A6954" t="s">
        <v>7059</v>
      </c>
      <c r="B6954" s="1">
        <v>45844</v>
      </c>
      <c r="C6954">
        <v>2025</v>
      </c>
      <c r="D6954">
        <v>7</v>
      </c>
      <c r="E6954" t="s">
        <v>37</v>
      </c>
      <c r="F6954" t="s">
        <v>24</v>
      </c>
      <c r="G6954" t="s">
        <v>83</v>
      </c>
      <c r="H6954" t="s">
        <v>84</v>
      </c>
      <c r="I6954">
        <v>119529.88</v>
      </c>
      <c r="J6954">
        <v>113553.38</v>
      </c>
      <c r="K6954" t="s">
        <v>85</v>
      </c>
      <c r="L6954" t="b">
        <v>0</v>
      </c>
      <c r="N6954" s="2" t="str">
        <f t="shared" si="622"/>
        <v/>
      </c>
      <c r="Q6954" t="str">
        <f t="shared" si="620"/>
        <v/>
      </c>
    </row>
    <row r="6955" spans="1:17" hidden="1">
      <c r="A6955" t="s">
        <v>7060</v>
      </c>
      <c r="B6955" s="1">
        <v>45845</v>
      </c>
      <c r="C6955">
        <v>2025</v>
      </c>
      <c r="D6955">
        <v>7</v>
      </c>
      <c r="E6955" t="s">
        <v>23</v>
      </c>
      <c r="F6955" t="s">
        <v>24</v>
      </c>
      <c r="G6955" t="s">
        <v>141</v>
      </c>
      <c r="H6955" t="s">
        <v>209</v>
      </c>
      <c r="I6955">
        <v>9296.06</v>
      </c>
      <c r="J6955">
        <v>9669.15</v>
      </c>
      <c r="K6955" t="s">
        <v>17</v>
      </c>
      <c r="L6955" t="b">
        <v>0</v>
      </c>
      <c r="N6955" s="2" t="str">
        <f t="shared" si="622"/>
        <v/>
      </c>
      <c r="Q6955" t="str">
        <f t="shared" si="620"/>
        <v/>
      </c>
    </row>
    <row r="6956" spans="1:17" hidden="1">
      <c r="A6956" t="s">
        <v>7061</v>
      </c>
      <c r="B6956" s="1">
        <v>45846</v>
      </c>
      <c r="C6956">
        <v>2025</v>
      </c>
      <c r="D6956">
        <v>7</v>
      </c>
      <c r="E6956" t="s">
        <v>13</v>
      </c>
      <c r="F6956" t="s">
        <v>14</v>
      </c>
      <c r="G6956" t="s">
        <v>102</v>
      </c>
      <c r="H6956" t="s">
        <v>145</v>
      </c>
      <c r="I6956">
        <v>3014.74</v>
      </c>
      <c r="J6956">
        <v>2931.42</v>
      </c>
      <c r="K6956" t="s">
        <v>17</v>
      </c>
      <c r="L6956" t="b">
        <v>0</v>
      </c>
      <c r="N6956" s="2" t="str">
        <f t="shared" si="622"/>
        <v/>
      </c>
      <c r="Q6956" t="str">
        <f t="shared" si="620"/>
        <v/>
      </c>
    </row>
    <row r="6957" spans="1:17" hidden="1">
      <c r="A6957" t="s">
        <v>7062</v>
      </c>
      <c r="B6957" s="1">
        <v>45846</v>
      </c>
      <c r="C6957">
        <v>2025</v>
      </c>
      <c r="D6957">
        <v>7</v>
      </c>
      <c r="E6957" t="s">
        <v>47</v>
      </c>
      <c r="F6957" t="s">
        <v>14</v>
      </c>
      <c r="G6957" t="s">
        <v>48</v>
      </c>
      <c r="H6957" t="s">
        <v>111</v>
      </c>
      <c r="I6957">
        <v>13837.2</v>
      </c>
      <c r="J6957">
        <v>11539.44</v>
      </c>
      <c r="K6957" t="s">
        <v>17</v>
      </c>
      <c r="L6957" t="b">
        <v>0</v>
      </c>
      <c r="N6957" s="2" t="b">
        <f t="shared" si="622"/>
        <v>1</v>
      </c>
      <c r="O6957" t="b">
        <f t="shared" ref="O6957:O6959" si="627">IF(AND(E6946="HR",K6946="EXPENSE"),I6946&lt;J6946,"")</f>
        <v>0</v>
      </c>
      <c r="Q6957" t="str">
        <f t="shared" si="620"/>
        <v/>
      </c>
    </row>
    <row r="6958" spans="1:17" hidden="1">
      <c r="A6958" t="s">
        <v>7063</v>
      </c>
      <c r="B6958" s="1">
        <v>45846</v>
      </c>
      <c r="C6958">
        <v>2025</v>
      </c>
      <c r="D6958">
        <v>7</v>
      </c>
      <c r="E6958" t="s">
        <v>47</v>
      </c>
      <c r="F6958" t="s">
        <v>28</v>
      </c>
      <c r="G6958" t="s">
        <v>77</v>
      </c>
      <c r="H6958" t="s">
        <v>78</v>
      </c>
      <c r="I6958">
        <v>16647.53</v>
      </c>
      <c r="J6958">
        <v>13818.17</v>
      </c>
      <c r="K6958" t="s">
        <v>17</v>
      </c>
      <c r="L6958" t="b">
        <v>0</v>
      </c>
      <c r="N6958" s="2" t="b">
        <f t="shared" si="622"/>
        <v>1</v>
      </c>
      <c r="O6958" t="b">
        <f t="shared" si="627"/>
        <v>1</v>
      </c>
      <c r="Q6958" t="str">
        <f t="shared" si="620"/>
        <v/>
      </c>
    </row>
    <row r="6959" spans="1:17" hidden="1">
      <c r="A6959" t="s">
        <v>7064</v>
      </c>
      <c r="B6959" s="1">
        <v>45846</v>
      </c>
      <c r="C6959">
        <v>2025</v>
      </c>
      <c r="D6959">
        <v>7</v>
      </c>
      <c r="E6959" t="s">
        <v>47</v>
      </c>
      <c r="F6959" t="s">
        <v>24</v>
      </c>
      <c r="G6959" t="s">
        <v>91</v>
      </c>
      <c r="H6959" t="s">
        <v>128</v>
      </c>
      <c r="I6959">
        <v>14512.62</v>
      </c>
      <c r="J6959">
        <v>11924.59</v>
      </c>
      <c r="K6959" t="s">
        <v>17</v>
      </c>
      <c r="L6959" t="b">
        <v>0</v>
      </c>
      <c r="N6959" s="2" t="b">
        <f t="shared" si="622"/>
        <v>1</v>
      </c>
      <c r="O6959" t="b">
        <f t="shared" si="627"/>
        <v>1</v>
      </c>
      <c r="Q6959" t="str">
        <f t="shared" si="620"/>
        <v/>
      </c>
    </row>
    <row r="6960" spans="1:17" hidden="1">
      <c r="A6960" t="s">
        <v>7065</v>
      </c>
      <c r="B6960" s="1">
        <v>45846</v>
      </c>
      <c r="C6960">
        <v>2025</v>
      </c>
      <c r="D6960">
        <v>7</v>
      </c>
      <c r="E6960" t="s">
        <v>23</v>
      </c>
      <c r="F6960" t="s">
        <v>28</v>
      </c>
      <c r="G6960" t="s">
        <v>30</v>
      </c>
      <c r="H6960" t="s">
        <v>31</v>
      </c>
      <c r="I6960">
        <v>6248.8</v>
      </c>
      <c r="J6960">
        <v>6498.37</v>
      </c>
      <c r="K6960" t="s">
        <v>17</v>
      </c>
      <c r="L6960" t="b">
        <v>0</v>
      </c>
      <c r="N6960" s="2" t="str">
        <f t="shared" si="622"/>
        <v/>
      </c>
      <c r="Q6960" t="str">
        <f t="shared" ref="Q6960:Q7023" si="628">IF(L6960=TRUE,OR(H6960="Apex Solutions Inc",H6960="Global Trade Partners",H6960="NovaTech Services"),"")</f>
        <v/>
      </c>
    </row>
    <row r="6961" spans="1:17" hidden="1">
      <c r="A6961" t="s">
        <v>7066</v>
      </c>
      <c r="B6961" s="1">
        <v>45846</v>
      </c>
      <c r="C6961">
        <v>2025</v>
      </c>
      <c r="D6961">
        <v>7</v>
      </c>
      <c r="E6961" t="s">
        <v>23</v>
      </c>
      <c r="F6961" t="s">
        <v>24</v>
      </c>
      <c r="G6961" t="s">
        <v>30</v>
      </c>
      <c r="H6961" t="s">
        <v>33</v>
      </c>
      <c r="I6961">
        <v>4374.97</v>
      </c>
      <c r="J6961">
        <v>4711.12</v>
      </c>
      <c r="K6961" t="s">
        <v>17</v>
      </c>
      <c r="L6961" t="b">
        <v>0</v>
      </c>
      <c r="N6961" s="2" t="str">
        <f t="shared" si="622"/>
        <v/>
      </c>
      <c r="Q6961" t="str">
        <f t="shared" si="628"/>
        <v/>
      </c>
    </row>
    <row r="6962" spans="1:17" hidden="1">
      <c r="A6962" t="s">
        <v>7067</v>
      </c>
      <c r="B6962" s="1">
        <v>45846</v>
      </c>
      <c r="C6962">
        <v>2025</v>
      </c>
      <c r="D6962">
        <v>7</v>
      </c>
      <c r="E6962" t="s">
        <v>37</v>
      </c>
      <c r="F6962" t="s">
        <v>28</v>
      </c>
      <c r="G6962" t="s">
        <v>41</v>
      </c>
      <c r="H6962" t="s">
        <v>42</v>
      </c>
      <c r="I6962">
        <v>4163.1099999999997</v>
      </c>
      <c r="J6962">
        <v>4177.66</v>
      </c>
      <c r="K6962" t="s">
        <v>17</v>
      </c>
      <c r="L6962" t="b">
        <v>0</v>
      </c>
      <c r="N6962" s="2" t="str">
        <f t="shared" si="622"/>
        <v/>
      </c>
      <c r="Q6962" t="str">
        <f t="shared" si="628"/>
        <v/>
      </c>
    </row>
    <row r="6963" spans="1:17" hidden="1">
      <c r="A6963" t="s">
        <v>7068</v>
      </c>
      <c r="B6963" s="1">
        <v>45847</v>
      </c>
      <c r="C6963">
        <v>2025</v>
      </c>
      <c r="D6963">
        <v>7</v>
      </c>
      <c r="E6963" t="s">
        <v>13</v>
      </c>
      <c r="F6963" t="s">
        <v>28</v>
      </c>
      <c r="G6963" t="s">
        <v>15</v>
      </c>
      <c r="H6963" t="s">
        <v>16</v>
      </c>
      <c r="I6963">
        <v>3791.73</v>
      </c>
      <c r="J6963">
        <v>4152.38</v>
      </c>
      <c r="K6963" t="s">
        <v>17</v>
      </c>
      <c r="L6963" t="b">
        <v>0</v>
      </c>
      <c r="N6963" s="2" t="str">
        <f t="shared" si="622"/>
        <v/>
      </c>
      <c r="Q6963" t="str">
        <f t="shared" si="628"/>
        <v/>
      </c>
    </row>
    <row r="6964" spans="1:17" hidden="1">
      <c r="A6964" t="s">
        <v>7069</v>
      </c>
      <c r="B6964" s="1">
        <v>45847</v>
      </c>
      <c r="C6964">
        <v>2025</v>
      </c>
      <c r="D6964">
        <v>7</v>
      </c>
      <c r="E6964" t="s">
        <v>47</v>
      </c>
      <c r="F6964" t="s">
        <v>28</v>
      </c>
      <c r="G6964" t="s">
        <v>51</v>
      </c>
      <c r="H6964" t="s">
        <v>189</v>
      </c>
      <c r="I6964">
        <v>21857.5</v>
      </c>
      <c r="J6964">
        <v>17978.46</v>
      </c>
      <c r="K6964" t="s">
        <v>17</v>
      </c>
      <c r="L6964" t="b">
        <v>0</v>
      </c>
      <c r="N6964" s="2" t="b">
        <f t="shared" si="622"/>
        <v>1</v>
      </c>
      <c r="O6964" t="str">
        <f>IF(AND(E6953="HR",K6953="EXPENSE"),I6953&lt;J6953,"")</f>
        <v/>
      </c>
      <c r="Q6964" t="str">
        <f t="shared" si="628"/>
        <v/>
      </c>
    </row>
    <row r="6965" spans="1:17" hidden="1">
      <c r="A6965" t="s">
        <v>7070</v>
      </c>
      <c r="B6965" s="1">
        <v>45847</v>
      </c>
      <c r="C6965">
        <v>2025</v>
      </c>
      <c r="D6965">
        <v>7</v>
      </c>
      <c r="E6965" t="s">
        <v>19</v>
      </c>
      <c r="F6965" t="s">
        <v>14</v>
      </c>
      <c r="G6965" t="s">
        <v>54</v>
      </c>
      <c r="H6965" t="s">
        <v>55</v>
      </c>
      <c r="I6965">
        <v>5193.83</v>
      </c>
      <c r="J6965">
        <v>4849.9399999999996</v>
      </c>
      <c r="K6965" t="s">
        <v>17</v>
      </c>
      <c r="L6965" t="b">
        <v>0</v>
      </c>
      <c r="N6965" s="2" t="str">
        <f t="shared" si="622"/>
        <v/>
      </c>
      <c r="Q6965" t="str">
        <f t="shared" si="628"/>
        <v/>
      </c>
    </row>
    <row r="6966" spans="1:17" hidden="1">
      <c r="A6966" t="s">
        <v>7071</v>
      </c>
      <c r="B6966" s="1">
        <v>45847</v>
      </c>
      <c r="C6966">
        <v>2025</v>
      </c>
      <c r="D6966">
        <v>7</v>
      </c>
      <c r="E6966" t="s">
        <v>19</v>
      </c>
      <c r="F6966" t="s">
        <v>24</v>
      </c>
      <c r="G6966" t="s">
        <v>20</v>
      </c>
      <c r="H6966" t="s">
        <v>136</v>
      </c>
      <c r="I6966">
        <v>5262.66</v>
      </c>
      <c r="J6966">
        <v>5130.1499999999996</v>
      </c>
      <c r="K6966" t="s">
        <v>17</v>
      </c>
      <c r="L6966" t="b">
        <v>0</v>
      </c>
      <c r="N6966" s="2" t="str">
        <f t="shared" si="622"/>
        <v/>
      </c>
      <c r="Q6966" t="str">
        <f t="shared" si="628"/>
        <v/>
      </c>
    </row>
    <row r="6967" spans="1:17" hidden="1">
      <c r="A6967" t="s">
        <v>7072</v>
      </c>
      <c r="B6967" s="1">
        <v>45847</v>
      </c>
      <c r="C6967">
        <v>2025</v>
      </c>
      <c r="D6967">
        <v>7</v>
      </c>
      <c r="E6967" t="s">
        <v>19</v>
      </c>
      <c r="F6967" t="s">
        <v>24</v>
      </c>
      <c r="G6967" t="s">
        <v>80</v>
      </c>
      <c r="H6967" t="s">
        <v>81</v>
      </c>
      <c r="I6967">
        <v>6026.4</v>
      </c>
      <c r="J6967">
        <v>6557.62</v>
      </c>
      <c r="K6967" t="s">
        <v>17</v>
      </c>
      <c r="L6967" t="b">
        <v>0</v>
      </c>
      <c r="N6967" s="2" t="str">
        <f t="shared" si="622"/>
        <v/>
      </c>
      <c r="Q6967" t="str">
        <f t="shared" si="628"/>
        <v/>
      </c>
    </row>
    <row r="6968" spans="1:17" hidden="1">
      <c r="A6968" t="s">
        <v>7073</v>
      </c>
      <c r="B6968" s="1">
        <v>45847</v>
      </c>
      <c r="C6968">
        <v>2025</v>
      </c>
      <c r="D6968">
        <v>7</v>
      </c>
      <c r="E6968" t="s">
        <v>23</v>
      </c>
      <c r="F6968" t="s">
        <v>14</v>
      </c>
      <c r="G6968" t="s">
        <v>25</v>
      </c>
      <c r="H6968" t="s">
        <v>95</v>
      </c>
      <c r="I6968">
        <v>8022.42</v>
      </c>
      <c r="J6968">
        <v>8739.68</v>
      </c>
      <c r="K6968" t="s">
        <v>17</v>
      </c>
      <c r="L6968" t="b">
        <v>0</v>
      </c>
      <c r="N6968" s="2" t="str">
        <f t="shared" si="622"/>
        <v/>
      </c>
      <c r="Q6968" t="str">
        <f t="shared" si="628"/>
        <v/>
      </c>
    </row>
    <row r="6969" spans="1:17" hidden="1">
      <c r="A6969" t="s">
        <v>7074</v>
      </c>
      <c r="B6969" s="1">
        <v>45847</v>
      </c>
      <c r="C6969">
        <v>2025</v>
      </c>
      <c r="D6969">
        <v>7</v>
      </c>
      <c r="E6969" t="s">
        <v>23</v>
      </c>
      <c r="F6969" t="s">
        <v>28</v>
      </c>
      <c r="G6969" t="s">
        <v>141</v>
      </c>
      <c r="H6969" t="s">
        <v>153</v>
      </c>
      <c r="I6969">
        <v>2867.1</v>
      </c>
      <c r="J6969">
        <v>3048.69</v>
      </c>
      <c r="K6969" t="s">
        <v>17</v>
      </c>
      <c r="L6969" t="b">
        <v>0</v>
      </c>
      <c r="N6969" s="2" t="str">
        <f t="shared" si="622"/>
        <v/>
      </c>
      <c r="Q6969" t="str">
        <f t="shared" si="628"/>
        <v/>
      </c>
    </row>
    <row r="6970" spans="1:17" hidden="1">
      <c r="A6970" t="s">
        <v>7075</v>
      </c>
      <c r="B6970" s="1">
        <v>45847</v>
      </c>
      <c r="C6970">
        <v>2025</v>
      </c>
      <c r="D6970">
        <v>7</v>
      </c>
      <c r="E6970" t="s">
        <v>23</v>
      </c>
      <c r="F6970" t="s">
        <v>28</v>
      </c>
      <c r="G6970" t="s">
        <v>141</v>
      </c>
      <c r="H6970" t="s">
        <v>142</v>
      </c>
      <c r="I6970">
        <v>4571.55</v>
      </c>
      <c r="J6970">
        <v>4574.8100000000004</v>
      </c>
      <c r="K6970" t="s">
        <v>17</v>
      </c>
      <c r="L6970" t="b">
        <v>0</v>
      </c>
      <c r="N6970" s="2" t="str">
        <f t="shared" si="622"/>
        <v/>
      </c>
      <c r="Q6970" t="str">
        <f t="shared" si="628"/>
        <v/>
      </c>
    </row>
    <row r="6971" spans="1:17" hidden="1">
      <c r="A6971" t="s">
        <v>7076</v>
      </c>
      <c r="B6971" s="1">
        <v>45847</v>
      </c>
      <c r="C6971">
        <v>2025</v>
      </c>
      <c r="D6971">
        <v>7</v>
      </c>
      <c r="E6971" t="s">
        <v>37</v>
      </c>
      <c r="F6971" t="s">
        <v>14</v>
      </c>
      <c r="G6971" t="s">
        <v>98</v>
      </c>
      <c r="H6971" t="s">
        <v>99</v>
      </c>
      <c r="I6971">
        <v>4727.0200000000004</v>
      </c>
      <c r="J6971">
        <v>4565.37</v>
      </c>
      <c r="K6971" t="s">
        <v>17</v>
      </c>
      <c r="L6971" t="b">
        <v>0</v>
      </c>
      <c r="N6971" s="2" t="str">
        <f t="shared" si="622"/>
        <v/>
      </c>
      <c r="Q6971" t="str">
        <f t="shared" si="628"/>
        <v/>
      </c>
    </row>
    <row r="6972" spans="1:17" hidden="1">
      <c r="A6972" t="s">
        <v>7077</v>
      </c>
      <c r="B6972" s="1">
        <v>45847</v>
      </c>
      <c r="C6972">
        <v>2025</v>
      </c>
      <c r="D6972">
        <v>7</v>
      </c>
      <c r="E6972" t="s">
        <v>37</v>
      </c>
      <c r="F6972" t="s">
        <v>24</v>
      </c>
      <c r="G6972" t="s">
        <v>98</v>
      </c>
      <c r="H6972" t="s">
        <v>185</v>
      </c>
      <c r="I6972">
        <v>3926.82</v>
      </c>
      <c r="J6972">
        <v>4097.4799999999996</v>
      </c>
      <c r="K6972" t="s">
        <v>17</v>
      </c>
      <c r="L6972" t="b">
        <v>0</v>
      </c>
      <c r="N6972" s="2" t="str">
        <f t="shared" si="622"/>
        <v/>
      </c>
      <c r="Q6972" t="str">
        <f t="shared" si="628"/>
        <v/>
      </c>
    </row>
    <row r="6973" spans="1:17" hidden="1">
      <c r="A6973" t="s">
        <v>7078</v>
      </c>
      <c r="B6973" s="1">
        <v>45847</v>
      </c>
      <c r="C6973">
        <v>2025</v>
      </c>
      <c r="D6973">
        <v>7</v>
      </c>
      <c r="E6973" t="s">
        <v>37</v>
      </c>
      <c r="F6973" t="s">
        <v>24</v>
      </c>
      <c r="G6973" t="s">
        <v>62</v>
      </c>
      <c r="H6973" t="s">
        <v>360</v>
      </c>
      <c r="I6973">
        <v>5663.64</v>
      </c>
      <c r="J6973">
        <v>5545.03</v>
      </c>
      <c r="K6973" t="s">
        <v>17</v>
      </c>
      <c r="L6973" t="b">
        <v>0</v>
      </c>
      <c r="N6973" s="2" t="str">
        <f t="shared" si="622"/>
        <v/>
      </c>
      <c r="Q6973" t="str">
        <f t="shared" si="628"/>
        <v/>
      </c>
    </row>
    <row r="6974" spans="1:17" hidden="1">
      <c r="A6974" t="s">
        <v>7079</v>
      </c>
      <c r="B6974" s="1">
        <v>45848</v>
      </c>
      <c r="C6974">
        <v>2025</v>
      </c>
      <c r="D6974">
        <v>7</v>
      </c>
      <c r="E6974" t="s">
        <v>13</v>
      </c>
      <c r="F6974" t="s">
        <v>14</v>
      </c>
      <c r="G6974" t="s">
        <v>68</v>
      </c>
      <c r="H6974" t="s">
        <v>69</v>
      </c>
      <c r="I6974">
        <v>3212.06</v>
      </c>
      <c r="J6974">
        <v>3352.85</v>
      </c>
      <c r="K6974" t="s">
        <v>17</v>
      </c>
      <c r="L6974" t="b">
        <v>0</v>
      </c>
      <c r="N6974" s="2" t="str">
        <f t="shared" si="622"/>
        <v/>
      </c>
      <c r="Q6974" t="str">
        <f t="shared" si="628"/>
        <v/>
      </c>
    </row>
    <row r="6975" spans="1:17" hidden="1">
      <c r="A6975" t="s">
        <v>7080</v>
      </c>
      <c r="B6975" s="1">
        <v>45848</v>
      </c>
      <c r="C6975">
        <v>2025</v>
      </c>
      <c r="D6975">
        <v>7</v>
      </c>
      <c r="E6975" t="s">
        <v>47</v>
      </c>
      <c r="F6975" t="s">
        <v>28</v>
      </c>
      <c r="G6975" t="s">
        <v>48</v>
      </c>
      <c r="H6975" t="s">
        <v>111</v>
      </c>
      <c r="I6975">
        <v>24430.74</v>
      </c>
      <c r="J6975">
        <v>20599.310000000001</v>
      </c>
      <c r="K6975" t="s">
        <v>17</v>
      </c>
      <c r="L6975" t="b">
        <v>0</v>
      </c>
      <c r="N6975" s="2" t="b">
        <f t="shared" si="622"/>
        <v>1</v>
      </c>
      <c r="O6975" t="str">
        <f t="shared" ref="O6975:O6976" si="629">IF(AND(E6964="HR",K6964="EXPENSE"),I6964&lt;J6964,"")</f>
        <v/>
      </c>
      <c r="Q6975" t="str">
        <f t="shared" si="628"/>
        <v/>
      </c>
    </row>
    <row r="6976" spans="1:17" hidden="1">
      <c r="A6976" t="s">
        <v>7081</v>
      </c>
      <c r="B6976" s="1">
        <v>45848</v>
      </c>
      <c r="C6976">
        <v>2025</v>
      </c>
      <c r="D6976">
        <v>7</v>
      </c>
      <c r="E6976" t="s">
        <v>47</v>
      </c>
      <c r="F6976" t="s">
        <v>24</v>
      </c>
      <c r="G6976" t="s">
        <v>51</v>
      </c>
      <c r="H6976" t="s">
        <v>52</v>
      </c>
      <c r="I6976">
        <v>13089.08</v>
      </c>
      <c r="J6976">
        <v>11077.9</v>
      </c>
      <c r="K6976" t="s">
        <v>17</v>
      </c>
      <c r="L6976" t="b">
        <v>0</v>
      </c>
      <c r="N6976" s="2" t="b">
        <f t="shared" si="622"/>
        <v>1</v>
      </c>
      <c r="O6976" t="str">
        <f t="shared" si="629"/>
        <v/>
      </c>
      <c r="Q6976" t="str">
        <f t="shared" si="628"/>
        <v/>
      </c>
    </row>
    <row r="6977" spans="1:17" hidden="1">
      <c r="A6977" t="s">
        <v>7082</v>
      </c>
      <c r="B6977" s="1">
        <v>45848</v>
      </c>
      <c r="C6977">
        <v>2025</v>
      </c>
      <c r="D6977">
        <v>7</v>
      </c>
      <c r="E6977" t="s">
        <v>19</v>
      </c>
      <c r="F6977" t="s">
        <v>14</v>
      </c>
      <c r="G6977" t="s">
        <v>80</v>
      </c>
      <c r="H6977" t="s">
        <v>217</v>
      </c>
      <c r="I6977">
        <v>6701.25</v>
      </c>
      <c r="J6977">
        <v>7312.94</v>
      </c>
      <c r="K6977" t="s">
        <v>17</v>
      </c>
      <c r="L6977" t="b">
        <v>0</v>
      </c>
      <c r="N6977" s="2" t="str">
        <f t="shared" si="622"/>
        <v/>
      </c>
      <c r="Q6977" t="str">
        <f t="shared" si="628"/>
        <v/>
      </c>
    </row>
    <row r="6978" spans="1:17" hidden="1">
      <c r="A6978" t="s">
        <v>7083</v>
      </c>
      <c r="B6978" s="1">
        <v>45848</v>
      </c>
      <c r="C6978">
        <v>2025</v>
      </c>
      <c r="D6978">
        <v>7</v>
      </c>
      <c r="E6978" t="s">
        <v>23</v>
      </c>
      <c r="F6978" t="s">
        <v>28</v>
      </c>
      <c r="G6978" t="s">
        <v>30</v>
      </c>
      <c r="H6978" t="s">
        <v>31</v>
      </c>
      <c r="I6978">
        <v>4809.88</v>
      </c>
      <c r="J6978">
        <v>4645.25</v>
      </c>
      <c r="K6978" t="s">
        <v>17</v>
      </c>
      <c r="L6978" t="b">
        <v>0</v>
      </c>
      <c r="N6978" s="2" t="str">
        <f t="shared" si="622"/>
        <v/>
      </c>
      <c r="Q6978" t="str">
        <f t="shared" si="628"/>
        <v/>
      </c>
    </row>
    <row r="6979" spans="1:17" hidden="1">
      <c r="A6979" t="s">
        <v>7084</v>
      </c>
      <c r="B6979" s="1">
        <v>45848</v>
      </c>
      <c r="C6979">
        <v>2025</v>
      </c>
      <c r="D6979">
        <v>7</v>
      </c>
      <c r="E6979" t="s">
        <v>37</v>
      </c>
      <c r="F6979" t="s">
        <v>14</v>
      </c>
      <c r="G6979" t="s">
        <v>62</v>
      </c>
      <c r="H6979" t="s">
        <v>66</v>
      </c>
      <c r="I6979">
        <v>6125.96</v>
      </c>
      <c r="J6979">
        <v>6269.38</v>
      </c>
      <c r="K6979" t="s">
        <v>17</v>
      </c>
      <c r="L6979" t="b">
        <v>0</v>
      </c>
      <c r="N6979" s="2" t="str">
        <f t="shared" ref="N6979:N7042" si="630">IF(AND(E6979="IT",K6979="EXPENSE"),I6979&gt;J6979,"")</f>
        <v/>
      </c>
      <c r="Q6979" t="str">
        <f t="shared" si="628"/>
        <v/>
      </c>
    </row>
    <row r="6980" spans="1:17" hidden="1">
      <c r="A6980" t="s">
        <v>7085</v>
      </c>
      <c r="B6980" s="1">
        <v>45848</v>
      </c>
      <c r="C6980">
        <v>2025</v>
      </c>
      <c r="D6980">
        <v>7</v>
      </c>
      <c r="E6980" t="s">
        <v>37</v>
      </c>
      <c r="F6980" t="s">
        <v>24</v>
      </c>
      <c r="G6980" t="s">
        <v>41</v>
      </c>
      <c r="H6980" t="s">
        <v>42</v>
      </c>
      <c r="I6980">
        <v>3768.13</v>
      </c>
      <c r="J6980">
        <v>3898.14</v>
      </c>
      <c r="K6980" t="s">
        <v>17</v>
      </c>
      <c r="L6980" t="b">
        <v>0</v>
      </c>
      <c r="N6980" s="2" t="str">
        <f t="shared" si="630"/>
        <v/>
      </c>
      <c r="Q6980" t="str">
        <f t="shared" si="628"/>
        <v/>
      </c>
    </row>
    <row r="6981" spans="1:17" hidden="1">
      <c r="A6981" t="s">
        <v>7086</v>
      </c>
      <c r="B6981" s="1">
        <v>45849</v>
      </c>
      <c r="C6981">
        <v>2025</v>
      </c>
      <c r="D6981">
        <v>7</v>
      </c>
      <c r="E6981" t="s">
        <v>13</v>
      </c>
      <c r="F6981" t="s">
        <v>14</v>
      </c>
      <c r="G6981" t="s">
        <v>108</v>
      </c>
      <c r="H6981" t="s">
        <v>123</v>
      </c>
      <c r="I6981">
        <v>2611.14</v>
      </c>
      <c r="J6981">
        <v>2433.77</v>
      </c>
      <c r="K6981" t="s">
        <v>17</v>
      </c>
      <c r="L6981" t="b">
        <v>0</v>
      </c>
      <c r="N6981" s="2" t="str">
        <f t="shared" si="630"/>
        <v/>
      </c>
      <c r="Q6981" t="str">
        <f t="shared" si="628"/>
        <v/>
      </c>
    </row>
    <row r="6982" spans="1:17" hidden="1">
      <c r="A6982" t="s">
        <v>7087</v>
      </c>
      <c r="B6982" s="1">
        <v>45849</v>
      </c>
      <c r="C6982">
        <v>2025</v>
      </c>
      <c r="D6982">
        <v>7</v>
      </c>
      <c r="E6982" t="s">
        <v>13</v>
      </c>
      <c r="F6982" t="s">
        <v>28</v>
      </c>
      <c r="G6982" t="s">
        <v>102</v>
      </c>
      <c r="H6982" t="s">
        <v>103</v>
      </c>
      <c r="I6982">
        <v>2970.33</v>
      </c>
      <c r="J6982">
        <v>2734.14</v>
      </c>
      <c r="K6982" t="s">
        <v>17</v>
      </c>
      <c r="L6982" t="b">
        <v>0</v>
      </c>
      <c r="N6982" s="2" t="str">
        <f t="shared" si="630"/>
        <v/>
      </c>
      <c r="Q6982" t="str">
        <f t="shared" si="628"/>
        <v/>
      </c>
    </row>
    <row r="6983" spans="1:17" hidden="1">
      <c r="A6983" t="s">
        <v>7088</v>
      </c>
      <c r="B6983" s="1">
        <v>45849</v>
      </c>
      <c r="C6983">
        <v>2025</v>
      </c>
      <c r="D6983">
        <v>7</v>
      </c>
      <c r="E6983" t="s">
        <v>13</v>
      </c>
      <c r="F6983" t="s">
        <v>28</v>
      </c>
      <c r="G6983" t="s">
        <v>108</v>
      </c>
      <c r="H6983" t="s">
        <v>123</v>
      </c>
      <c r="I6983">
        <v>4815.53</v>
      </c>
      <c r="J6983">
        <v>5230.5</v>
      </c>
      <c r="K6983" t="s">
        <v>17</v>
      </c>
      <c r="L6983" t="b">
        <v>0</v>
      </c>
      <c r="N6983" s="2" t="str">
        <f t="shared" si="630"/>
        <v/>
      </c>
      <c r="Q6983" t="str">
        <f t="shared" si="628"/>
        <v/>
      </c>
    </row>
    <row r="6984" spans="1:17" hidden="1">
      <c r="A6984" t="s">
        <v>7089</v>
      </c>
      <c r="B6984" s="1">
        <v>45849</v>
      </c>
      <c r="C6984">
        <v>2025</v>
      </c>
      <c r="D6984">
        <v>7</v>
      </c>
      <c r="E6984" t="s">
        <v>13</v>
      </c>
      <c r="F6984" t="s">
        <v>24</v>
      </c>
      <c r="G6984" t="s">
        <v>15</v>
      </c>
      <c r="H6984" t="s">
        <v>16</v>
      </c>
      <c r="I6984">
        <v>4430.83</v>
      </c>
      <c r="J6984">
        <v>4248.8900000000003</v>
      </c>
      <c r="K6984" t="s">
        <v>17</v>
      </c>
      <c r="L6984" t="b">
        <v>0</v>
      </c>
      <c r="N6984" s="2" t="str">
        <f t="shared" si="630"/>
        <v/>
      </c>
      <c r="Q6984" t="str">
        <f t="shared" si="628"/>
        <v/>
      </c>
    </row>
    <row r="6985" spans="1:17" hidden="1">
      <c r="A6985" t="s">
        <v>7090</v>
      </c>
      <c r="B6985" s="1">
        <v>45849</v>
      </c>
      <c r="C6985">
        <v>2025</v>
      </c>
      <c r="D6985">
        <v>7</v>
      </c>
      <c r="E6985" t="s">
        <v>13</v>
      </c>
      <c r="F6985" t="s">
        <v>24</v>
      </c>
      <c r="G6985" t="s">
        <v>102</v>
      </c>
      <c r="H6985" t="s">
        <v>278</v>
      </c>
      <c r="I6985">
        <v>5103.24</v>
      </c>
      <c r="J6985">
        <v>5461.08</v>
      </c>
      <c r="K6985" t="s">
        <v>17</v>
      </c>
      <c r="L6985" t="b">
        <v>0</v>
      </c>
      <c r="N6985" s="2" t="str">
        <f t="shared" si="630"/>
        <v/>
      </c>
      <c r="Q6985" t="str">
        <f t="shared" si="628"/>
        <v/>
      </c>
    </row>
    <row r="6986" spans="1:17" hidden="1">
      <c r="A6986" t="s">
        <v>7091</v>
      </c>
      <c r="B6986" s="1">
        <v>45849</v>
      </c>
      <c r="C6986">
        <v>2025</v>
      </c>
      <c r="D6986">
        <v>7</v>
      </c>
      <c r="E6986" t="s">
        <v>47</v>
      </c>
      <c r="F6986" t="s">
        <v>28</v>
      </c>
      <c r="G6986" t="s">
        <v>91</v>
      </c>
      <c r="H6986" t="s">
        <v>249</v>
      </c>
      <c r="I6986">
        <v>16184.24</v>
      </c>
      <c r="J6986">
        <v>13989.04</v>
      </c>
      <c r="K6986" t="s">
        <v>17</v>
      </c>
      <c r="L6986" t="b">
        <v>0</v>
      </c>
      <c r="N6986" s="2" t="b">
        <f t="shared" si="630"/>
        <v>1</v>
      </c>
      <c r="O6986" t="str">
        <f>IF(AND(E6975="HR",K6975="EXPENSE"),I6975&lt;J6975,"")</f>
        <v/>
      </c>
      <c r="Q6986" t="str">
        <f t="shared" si="628"/>
        <v/>
      </c>
    </row>
    <row r="6987" spans="1:17" hidden="1">
      <c r="A6987" t="s">
        <v>7092</v>
      </c>
      <c r="B6987" s="1">
        <v>45849</v>
      </c>
      <c r="C6987">
        <v>2025</v>
      </c>
      <c r="D6987">
        <v>7</v>
      </c>
      <c r="E6987" t="s">
        <v>23</v>
      </c>
      <c r="F6987" t="s">
        <v>28</v>
      </c>
      <c r="G6987" t="s">
        <v>141</v>
      </c>
      <c r="H6987" t="s">
        <v>153</v>
      </c>
      <c r="I6987">
        <v>5899.02</v>
      </c>
      <c r="J6987">
        <v>5899.09</v>
      </c>
      <c r="K6987" t="s">
        <v>17</v>
      </c>
      <c r="L6987" t="b">
        <v>0</v>
      </c>
      <c r="N6987" s="2" t="str">
        <f t="shared" si="630"/>
        <v/>
      </c>
      <c r="Q6987" t="str">
        <f t="shared" si="628"/>
        <v/>
      </c>
    </row>
    <row r="6988" spans="1:17" hidden="1">
      <c r="A6988" t="s">
        <v>7093</v>
      </c>
      <c r="B6988" s="1">
        <v>45849</v>
      </c>
      <c r="C6988">
        <v>2025</v>
      </c>
      <c r="D6988">
        <v>7</v>
      </c>
      <c r="E6988" t="s">
        <v>37</v>
      </c>
      <c r="F6988" t="s">
        <v>28</v>
      </c>
      <c r="G6988" t="s">
        <v>41</v>
      </c>
      <c r="H6988" t="s">
        <v>42</v>
      </c>
      <c r="I6988">
        <v>3313.33</v>
      </c>
      <c r="J6988">
        <v>3581.95</v>
      </c>
      <c r="K6988" t="s">
        <v>17</v>
      </c>
      <c r="L6988" t="b">
        <v>0</v>
      </c>
      <c r="N6988" s="2" t="str">
        <f t="shared" si="630"/>
        <v/>
      </c>
      <c r="Q6988" t="str">
        <f t="shared" si="628"/>
        <v/>
      </c>
    </row>
    <row r="6989" spans="1:17" hidden="1">
      <c r="A6989" t="s">
        <v>7094</v>
      </c>
      <c r="B6989" s="1">
        <v>45849</v>
      </c>
      <c r="C6989">
        <v>2025</v>
      </c>
      <c r="D6989">
        <v>7</v>
      </c>
      <c r="E6989" t="s">
        <v>37</v>
      </c>
      <c r="F6989" t="s">
        <v>28</v>
      </c>
      <c r="G6989" t="s">
        <v>62</v>
      </c>
      <c r="H6989" t="s">
        <v>360</v>
      </c>
      <c r="I6989">
        <v>6952.68</v>
      </c>
      <c r="J6989">
        <v>7058.23</v>
      </c>
      <c r="K6989" t="s">
        <v>17</v>
      </c>
      <c r="L6989" t="b">
        <v>0</v>
      </c>
      <c r="N6989" s="2" t="str">
        <f t="shared" si="630"/>
        <v/>
      </c>
      <c r="Q6989" t="str">
        <f t="shared" si="628"/>
        <v/>
      </c>
    </row>
    <row r="6990" spans="1:17" hidden="1">
      <c r="A6990" t="s">
        <v>7095</v>
      </c>
      <c r="B6990" s="1">
        <v>45849</v>
      </c>
      <c r="C6990">
        <v>2025</v>
      </c>
      <c r="D6990">
        <v>7</v>
      </c>
      <c r="E6990" t="s">
        <v>37</v>
      </c>
      <c r="F6990" t="s">
        <v>28</v>
      </c>
      <c r="G6990" t="s">
        <v>62</v>
      </c>
      <c r="H6990" t="s">
        <v>360</v>
      </c>
      <c r="I6990">
        <v>4791.45</v>
      </c>
      <c r="J6990">
        <v>4747.13</v>
      </c>
      <c r="K6990" t="s">
        <v>17</v>
      </c>
      <c r="L6990" t="b">
        <v>0</v>
      </c>
      <c r="N6990" s="2" t="str">
        <f t="shared" si="630"/>
        <v/>
      </c>
      <c r="Q6990" t="str">
        <f t="shared" si="628"/>
        <v/>
      </c>
    </row>
    <row r="6991" spans="1:17" hidden="1">
      <c r="A6991" t="s">
        <v>7096</v>
      </c>
      <c r="B6991" s="1">
        <v>45850</v>
      </c>
      <c r="C6991">
        <v>2025</v>
      </c>
      <c r="D6991">
        <v>7</v>
      </c>
      <c r="E6991" t="s">
        <v>13</v>
      </c>
      <c r="F6991" t="s">
        <v>14</v>
      </c>
      <c r="G6991" t="s">
        <v>68</v>
      </c>
      <c r="H6991" t="s">
        <v>213</v>
      </c>
      <c r="I6991">
        <v>3782.91</v>
      </c>
      <c r="J6991">
        <v>3506.93</v>
      </c>
      <c r="K6991" t="s">
        <v>17</v>
      </c>
      <c r="L6991" t="b">
        <v>0</v>
      </c>
      <c r="N6991" s="2" t="str">
        <f t="shared" si="630"/>
        <v/>
      </c>
      <c r="Q6991" t="str">
        <f t="shared" si="628"/>
        <v/>
      </c>
    </row>
    <row r="6992" spans="1:17" hidden="1">
      <c r="A6992" t="s">
        <v>7097</v>
      </c>
      <c r="B6992" s="1">
        <v>45850</v>
      </c>
      <c r="C6992">
        <v>2025</v>
      </c>
      <c r="D6992">
        <v>7</v>
      </c>
      <c r="E6992" t="s">
        <v>47</v>
      </c>
      <c r="F6992" t="s">
        <v>14</v>
      </c>
      <c r="G6992" t="s">
        <v>51</v>
      </c>
      <c r="H6992" t="s">
        <v>189</v>
      </c>
      <c r="I6992">
        <v>14171</v>
      </c>
      <c r="J6992">
        <v>12082.74</v>
      </c>
      <c r="K6992" t="s">
        <v>17</v>
      </c>
      <c r="L6992" t="b">
        <v>0</v>
      </c>
      <c r="N6992" s="2" t="b">
        <f t="shared" si="630"/>
        <v>1</v>
      </c>
      <c r="O6992" t="b">
        <f>IF(AND(E6981="HR",K6981="EXPENSE"),I6981&lt;J6981,"")</f>
        <v>0</v>
      </c>
      <c r="Q6992" t="str">
        <f t="shared" si="628"/>
        <v/>
      </c>
    </row>
    <row r="6993" spans="1:17" hidden="1">
      <c r="A6993" t="s">
        <v>7098</v>
      </c>
      <c r="B6993" s="1">
        <v>45850</v>
      </c>
      <c r="C6993">
        <v>2025</v>
      </c>
      <c r="D6993">
        <v>7</v>
      </c>
      <c r="E6993" t="s">
        <v>19</v>
      </c>
      <c r="F6993" t="s">
        <v>14</v>
      </c>
      <c r="G6993" t="s">
        <v>54</v>
      </c>
      <c r="H6993" t="s">
        <v>55</v>
      </c>
      <c r="I6993">
        <v>6224</v>
      </c>
      <c r="J6993">
        <v>6557.72</v>
      </c>
      <c r="K6993" t="s">
        <v>17</v>
      </c>
      <c r="L6993" t="b">
        <v>0</v>
      </c>
      <c r="N6993" s="2" t="str">
        <f t="shared" si="630"/>
        <v/>
      </c>
      <c r="Q6993" t="str">
        <f t="shared" si="628"/>
        <v/>
      </c>
    </row>
    <row r="6994" spans="1:17" hidden="1">
      <c r="A6994" t="s">
        <v>7099</v>
      </c>
      <c r="B6994" s="1">
        <v>45850</v>
      </c>
      <c r="C6994">
        <v>2025</v>
      </c>
      <c r="D6994">
        <v>7</v>
      </c>
      <c r="E6994" t="s">
        <v>23</v>
      </c>
      <c r="F6994" t="s">
        <v>14</v>
      </c>
      <c r="G6994" t="s">
        <v>25</v>
      </c>
      <c r="H6994" t="s">
        <v>95</v>
      </c>
      <c r="I6994">
        <v>7095.09</v>
      </c>
      <c r="J6994">
        <v>7355.81</v>
      </c>
      <c r="K6994" t="s">
        <v>17</v>
      </c>
      <c r="L6994" t="b">
        <v>0</v>
      </c>
      <c r="N6994" s="2" t="str">
        <f t="shared" si="630"/>
        <v/>
      </c>
      <c r="Q6994" t="str">
        <f t="shared" si="628"/>
        <v/>
      </c>
    </row>
    <row r="6995" spans="1:17" hidden="1">
      <c r="A6995" t="s">
        <v>7100</v>
      </c>
      <c r="B6995" s="1">
        <v>45850</v>
      </c>
      <c r="C6995">
        <v>2025</v>
      </c>
      <c r="D6995">
        <v>7</v>
      </c>
      <c r="E6995" t="s">
        <v>23</v>
      </c>
      <c r="F6995" t="s">
        <v>28</v>
      </c>
      <c r="G6995" t="s">
        <v>30</v>
      </c>
      <c r="H6995" t="s">
        <v>106</v>
      </c>
      <c r="I6995">
        <v>6854.73</v>
      </c>
      <c r="J6995">
        <v>6513.79</v>
      </c>
      <c r="K6995" t="s">
        <v>17</v>
      </c>
      <c r="L6995" t="b">
        <v>0</v>
      </c>
      <c r="N6995" s="2" t="str">
        <f t="shared" si="630"/>
        <v/>
      </c>
      <c r="Q6995" t="str">
        <f t="shared" si="628"/>
        <v/>
      </c>
    </row>
    <row r="6996" spans="1:17" hidden="1">
      <c r="A6996" t="s">
        <v>7101</v>
      </c>
      <c r="B6996" s="1">
        <v>45850</v>
      </c>
      <c r="C6996">
        <v>2025</v>
      </c>
      <c r="D6996">
        <v>7</v>
      </c>
      <c r="E6996" t="s">
        <v>23</v>
      </c>
      <c r="F6996" t="s">
        <v>24</v>
      </c>
      <c r="G6996" t="s">
        <v>25</v>
      </c>
      <c r="H6996" t="s">
        <v>26</v>
      </c>
      <c r="I6996">
        <v>9069.14</v>
      </c>
      <c r="J6996">
        <v>9520.9699999999993</v>
      </c>
      <c r="K6996" t="s">
        <v>17</v>
      </c>
      <c r="L6996" t="b">
        <v>0</v>
      </c>
      <c r="N6996" s="2" t="str">
        <f t="shared" si="630"/>
        <v/>
      </c>
      <c r="Q6996" t="str">
        <f t="shared" si="628"/>
        <v/>
      </c>
    </row>
    <row r="6997" spans="1:17" hidden="1">
      <c r="A6997" t="s">
        <v>7102</v>
      </c>
      <c r="B6997" s="1">
        <v>45850</v>
      </c>
      <c r="C6997">
        <v>2025</v>
      </c>
      <c r="D6997">
        <v>7</v>
      </c>
      <c r="E6997" t="s">
        <v>37</v>
      </c>
      <c r="F6997" t="s">
        <v>28</v>
      </c>
      <c r="G6997" t="s">
        <v>62</v>
      </c>
      <c r="H6997" t="s">
        <v>63</v>
      </c>
      <c r="I6997">
        <v>6767.54</v>
      </c>
      <c r="J6997">
        <v>6818.08</v>
      </c>
      <c r="K6997" t="s">
        <v>17</v>
      </c>
      <c r="L6997" t="b">
        <v>0</v>
      </c>
      <c r="N6997" s="2" t="str">
        <f t="shared" si="630"/>
        <v/>
      </c>
      <c r="Q6997" t="str">
        <f t="shared" si="628"/>
        <v/>
      </c>
    </row>
    <row r="6998" spans="1:17" hidden="1">
      <c r="A6998" t="s">
        <v>7103</v>
      </c>
      <c r="B6998" s="1">
        <v>45851</v>
      </c>
      <c r="C6998">
        <v>2025</v>
      </c>
      <c r="D6998">
        <v>7</v>
      </c>
      <c r="E6998" t="s">
        <v>13</v>
      </c>
      <c r="F6998" t="s">
        <v>24</v>
      </c>
      <c r="G6998" t="s">
        <v>102</v>
      </c>
      <c r="H6998" t="s">
        <v>145</v>
      </c>
      <c r="I6998">
        <v>4790.76</v>
      </c>
      <c r="J6998">
        <v>4897.3100000000004</v>
      </c>
      <c r="K6998" t="s">
        <v>17</v>
      </c>
      <c r="L6998" t="b">
        <v>0</v>
      </c>
      <c r="N6998" s="2" t="str">
        <f t="shared" si="630"/>
        <v/>
      </c>
      <c r="Q6998" t="str">
        <f t="shared" si="628"/>
        <v/>
      </c>
    </row>
    <row r="6999" spans="1:17" hidden="1">
      <c r="A6999" t="s">
        <v>7104</v>
      </c>
      <c r="B6999" s="1">
        <v>45851</v>
      </c>
      <c r="C6999">
        <v>2025</v>
      </c>
      <c r="D6999">
        <v>7</v>
      </c>
      <c r="E6999" t="s">
        <v>47</v>
      </c>
      <c r="F6999" t="s">
        <v>14</v>
      </c>
      <c r="G6999" t="s">
        <v>48</v>
      </c>
      <c r="H6999" t="s">
        <v>191</v>
      </c>
      <c r="I6999">
        <v>17657.93</v>
      </c>
      <c r="J6999">
        <v>14663.88</v>
      </c>
      <c r="K6999" t="s">
        <v>17</v>
      </c>
      <c r="L6999" t="b">
        <v>0</v>
      </c>
      <c r="N6999" s="2" t="b">
        <f t="shared" si="630"/>
        <v>1</v>
      </c>
      <c r="O6999" t="str">
        <f>IF(AND(E6988="HR",K6988="EXPENSE"),I6988&lt;J6988,"")</f>
        <v/>
      </c>
      <c r="Q6999" t="str">
        <f t="shared" si="628"/>
        <v/>
      </c>
    </row>
    <row r="7000" spans="1:17" hidden="1">
      <c r="A7000" t="s">
        <v>7105</v>
      </c>
      <c r="B7000" s="1">
        <v>45851</v>
      </c>
      <c r="C7000">
        <v>2025</v>
      </c>
      <c r="D7000">
        <v>7</v>
      </c>
      <c r="E7000" t="s">
        <v>19</v>
      </c>
      <c r="F7000" t="s">
        <v>28</v>
      </c>
      <c r="G7000" t="s">
        <v>20</v>
      </c>
      <c r="H7000" t="s">
        <v>174</v>
      </c>
      <c r="I7000">
        <v>9050.6200000000008</v>
      </c>
      <c r="J7000">
        <v>9296.7999999999993</v>
      </c>
      <c r="K7000" t="s">
        <v>17</v>
      </c>
      <c r="L7000" t="b">
        <v>0</v>
      </c>
      <c r="N7000" s="2" t="str">
        <f t="shared" si="630"/>
        <v/>
      </c>
      <c r="Q7000" t="str">
        <f t="shared" si="628"/>
        <v/>
      </c>
    </row>
    <row r="7001" spans="1:17" hidden="1">
      <c r="A7001" t="s">
        <v>7106</v>
      </c>
      <c r="B7001" s="1">
        <v>45851</v>
      </c>
      <c r="C7001">
        <v>2025</v>
      </c>
      <c r="D7001">
        <v>7</v>
      </c>
      <c r="E7001" t="s">
        <v>37</v>
      </c>
      <c r="F7001" t="s">
        <v>14</v>
      </c>
      <c r="G7001" t="s">
        <v>38</v>
      </c>
      <c r="H7001" t="s">
        <v>39</v>
      </c>
      <c r="I7001">
        <v>3441.49</v>
      </c>
      <c r="J7001">
        <v>3632.83</v>
      </c>
      <c r="K7001" t="s">
        <v>17</v>
      </c>
      <c r="L7001" t="b">
        <v>0</v>
      </c>
      <c r="N7001" s="2" t="str">
        <f t="shared" si="630"/>
        <v/>
      </c>
      <c r="Q7001" t="str">
        <f t="shared" si="628"/>
        <v/>
      </c>
    </row>
    <row r="7002" spans="1:17" hidden="1">
      <c r="A7002" t="s">
        <v>7107</v>
      </c>
      <c r="B7002" s="1">
        <v>45852</v>
      </c>
      <c r="C7002">
        <v>2025</v>
      </c>
      <c r="D7002">
        <v>7</v>
      </c>
      <c r="E7002" t="s">
        <v>13</v>
      </c>
      <c r="F7002" t="s">
        <v>14</v>
      </c>
      <c r="G7002" t="s">
        <v>102</v>
      </c>
      <c r="H7002" t="s">
        <v>103</v>
      </c>
      <c r="I7002">
        <v>3656.87</v>
      </c>
      <c r="J7002">
        <v>3376.62</v>
      </c>
      <c r="K7002" t="s">
        <v>17</v>
      </c>
      <c r="L7002" t="b">
        <v>0</v>
      </c>
      <c r="N7002" s="2" t="str">
        <f t="shared" si="630"/>
        <v/>
      </c>
      <c r="Q7002" t="str">
        <f t="shared" si="628"/>
        <v/>
      </c>
    </row>
    <row r="7003" spans="1:17" hidden="1">
      <c r="A7003" t="s">
        <v>7108</v>
      </c>
      <c r="B7003" s="1">
        <v>45852</v>
      </c>
      <c r="C7003">
        <v>2025</v>
      </c>
      <c r="D7003">
        <v>7</v>
      </c>
      <c r="E7003" t="s">
        <v>13</v>
      </c>
      <c r="F7003" t="s">
        <v>14</v>
      </c>
      <c r="G7003" t="s">
        <v>102</v>
      </c>
      <c r="H7003" t="s">
        <v>103</v>
      </c>
      <c r="I7003">
        <v>2775.31</v>
      </c>
      <c r="J7003">
        <v>2859.82</v>
      </c>
      <c r="K7003" t="s">
        <v>17</v>
      </c>
      <c r="L7003" t="b">
        <v>0</v>
      </c>
      <c r="N7003" s="2" t="str">
        <f t="shared" si="630"/>
        <v/>
      </c>
      <c r="Q7003" t="str">
        <f t="shared" si="628"/>
        <v/>
      </c>
    </row>
    <row r="7004" spans="1:17" hidden="1">
      <c r="A7004" t="s">
        <v>7109</v>
      </c>
      <c r="B7004" s="1">
        <v>45852</v>
      </c>
      <c r="C7004">
        <v>2025</v>
      </c>
      <c r="D7004">
        <v>7</v>
      </c>
      <c r="E7004" t="s">
        <v>13</v>
      </c>
      <c r="F7004" t="s">
        <v>14</v>
      </c>
      <c r="G7004" t="s">
        <v>68</v>
      </c>
      <c r="H7004" t="s">
        <v>69</v>
      </c>
      <c r="I7004">
        <v>2088.77</v>
      </c>
      <c r="J7004">
        <v>1937.09</v>
      </c>
      <c r="K7004" t="s">
        <v>17</v>
      </c>
      <c r="L7004" t="b">
        <v>0</v>
      </c>
      <c r="N7004" s="2" t="str">
        <f t="shared" si="630"/>
        <v/>
      </c>
      <c r="Q7004" t="str">
        <f t="shared" si="628"/>
        <v/>
      </c>
    </row>
    <row r="7005" spans="1:17" hidden="1">
      <c r="A7005" t="s">
        <v>7110</v>
      </c>
      <c r="B7005" s="1">
        <v>45852</v>
      </c>
      <c r="C7005">
        <v>2025</v>
      </c>
      <c r="D7005">
        <v>7</v>
      </c>
      <c r="E7005" t="s">
        <v>47</v>
      </c>
      <c r="F7005" t="s">
        <v>14</v>
      </c>
      <c r="G7005" t="s">
        <v>77</v>
      </c>
      <c r="H7005" t="s">
        <v>130</v>
      </c>
      <c r="I7005">
        <v>12587.1</v>
      </c>
      <c r="J7005">
        <v>10576.22</v>
      </c>
      <c r="K7005" t="s">
        <v>17</v>
      </c>
      <c r="L7005" t="b">
        <v>0</v>
      </c>
      <c r="N7005" s="2" t="b">
        <f t="shared" si="630"/>
        <v>1</v>
      </c>
      <c r="O7005" t="str">
        <f t="shared" ref="O7005:O7007" si="631">IF(AND(E6994="HR",K6994="EXPENSE"),I6994&lt;J6994,"")</f>
        <v/>
      </c>
      <c r="Q7005" t="str">
        <f t="shared" si="628"/>
        <v/>
      </c>
    </row>
    <row r="7006" spans="1:17" hidden="1">
      <c r="A7006" t="s">
        <v>7111</v>
      </c>
      <c r="B7006" s="1">
        <v>45852</v>
      </c>
      <c r="C7006">
        <v>2025</v>
      </c>
      <c r="D7006">
        <v>7</v>
      </c>
      <c r="E7006" t="s">
        <v>47</v>
      </c>
      <c r="F7006" t="s">
        <v>24</v>
      </c>
      <c r="G7006" t="s">
        <v>91</v>
      </c>
      <c r="H7006" t="s">
        <v>249</v>
      </c>
      <c r="I7006">
        <v>13436.17</v>
      </c>
      <c r="J7006">
        <v>11303.83</v>
      </c>
      <c r="K7006" t="s">
        <v>17</v>
      </c>
      <c r="L7006" t="b">
        <v>0</v>
      </c>
      <c r="N7006" s="2" t="b">
        <f t="shared" si="630"/>
        <v>1</v>
      </c>
      <c r="O7006" t="str">
        <f t="shared" si="631"/>
        <v/>
      </c>
      <c r="Q7006" t="str">
        <f t="shared" si="628"/>
        <v/>
      </c>
    </row>
    <row r="7007" spans="1:17" hidden="1">
      <c r="A7007" t="s">
        <v>7112</v>
      </c>
      <c r="B7007" s="1">
        <v>45852</v>
      </c>
      <c r="C7007">
        <v>2025</v>
      </c>
      <c r="D7007">
        <v>7</v>
      </c>
      <c r="E7007" t="s">
        <v>47</v>
      </c>
      <c r="F7007" t="s">
        <v>24</v>
      </c>
      <c r="G7007" t="s">
        <v>51</v>
      </c>
      <c r="H7007" t="s">
        <v>52</v>
      </c>
      <c r="I7007">
        <v>16277.65</v>
      </c>
      <c r="J7007">
        <v>13540</v>
      </c>
      <c r="K7007" t="s">
        <v>17</v>
      </c>
      <c r="L7007" t="b">
        <v>0</v>
      </c>
      <c r="N7007" s="2" t="b">
        <f t="shared" si="630"/>
        <v>1</v>
      </c>
      <c r="O7007" t="str">
        <f t="shared" si="631"/>
        <v/>
      </c>
      <c r="Q7007" t="str">
        <f t="shared" si="628"/>
        <v/>
      </c>
    </row>
    <row r="7008" spans="1:17" hidden="1">
      <c r="A7008" t="s">
        <v>7113</v>
      </c>
      <c r="B7008" s="1">
        <v>45852</v>
      </c>
      <c r="C7008">
        <v>2025</v>
      </c>
      <c r="D7008">
        <v>7</v>
      </c>
      <c r="E7008" t="s">
        <v>19</v>
      </c>
      <c r="F7008" t="s">
        <v>28</v>
      </c>
      <c r="G7008" t="s">
        <v>54</v>
      </c>
      <c r="H7008" t="s">
        <v>163</v>
      </c>
      <c r="I7008">
        <v>4641.6499999999996</v>
      </c>
      <c r="J7008">
        <v>4186.3599999999997</v>
      </c>
      <c r="K7008" t="s">
        <v>17</v>
      </c>
      <c r="L7008" t="b">
        <v>0</v>
      </c>
      <c r="N7008" s="2" t="str">
        <f t="shared" si="630"/>
        <v/>
      </c>
      <c r="Q7008" t="str">
        <f t="shared" si="628"/>
        <v/>
      </c>
    </row>
    <row r="7009" spans="1:17" hidden="1">
      <c r="A7009" t="s">
        <v>7114</v>
      </c>
      <c r="B7009" s="1">
        <v>45852</v>
      </c>
      <c r="C7009">
        <v>2025</v>
      </c>
      <c r="D7009">
        <v>7</v>
      </c>
      <c r="E7009" t="s">
        <v>19</v>
      </c>
      <c r="F7009" t="s">
        <v>28</v>
      </c>
      <c r="G7009" t="s">
        <v>54</v>
      </c>
      <c r="H7009" t="s">
        <v>57</v>
      </c>
      <c r="I7009">
        <v>7339.4</v>
      </c>
      <c r="J7009">
        <v>8052.93</v>
      </c>
      <c r="K7009" t="s">
        <v>17</v>
      </c>
      <c r="L7009" t="b">
        <v>0</v>
      </c>
      <c r="N7009" s="2" t="str">
        <f t="shared" si="630"/>
        <v/>
      </c>
      <c r="Q7009" t="str">
        <f t="shared" si="628"/>
        <v/>
      </c>
    </row>
    <row r="7010" spans="1:17" hidden="1">
      <c r="A7010" t="s">
        <v>7115</v>
      </c>
      <c r="B7010" s="1">
        <v>45852</v>
      </c>
      <c r="C7010">
        <v>2025</v>
      </c>
      <c r="D7010">
        <v>7</v>
      </c>
      <c r="E7010" t="s">
        <v>23</v>
      </c>
      <c r="F7010" t="s">
        <v>14</v>
      </c>
      <c r="G7010" t="s">
        <v>141</v>
      </c>
      <c r="H7010" t="s">
        <v>153</v>
      </c>
      <c r="I7010">
        <v>4972.83</v>
      </c>
      <c r="J7010">
        <v>5214.82</v>
      </c>
      <c r="K7010" t="s">
        <v>17</v>
      </c>
      <c r="L7010" t="b">
        <v>0</v>
      </c>
      <c r="N7010" s="2" t="str">
        <f t="shared" si="630"/>
        <v/>
      </c>
      <c r="Q7010" t="str">
        <f t="shared" si="628"/>
        <v/>
      </c>
    </row>
    <row r="7011" spans="1:17" hidden="1">
      <c r="A7011" t="s">
        <v>7116</v>
      </c>
      <c r="B7011" s="1">
        <v>45853</v>
      </c>
      <c r="C7011">
        <v>2025</v>
      </c>
      <c r="D7011">
        <v>7</v>
      </c>
      <c r="E7011" t="s">
        <v>13</v>
      </c>
      <c r="F7011" t="s">
        <v>28</v>
      </c>
      <c r="G7011" t="s">
        <v>108</v>
      </c>
      <c r="H7011" t="s">
        <v>109</v>
      </c>
      <c r="I7011">
        <v>2615.65</v>
      </c>
      <c r="J7011">
        <v>2612.7800000000002</v>
      </c>
      <c r="K7011" t="s">
        <v>17</v>
      </c>
      <c r="L7011" t="b">
        <v>0</v>
      </c>
      <c r="N7011" s="2" t="str">
        <f t="shared" si="630"/>
        <v/>
      </c>
      <c r="Q7011" t="str">
        <f t="shared" si="628"/>
        <v/>
      </c>
    </row>
    <row r="7012" spans="1:17" hidden="1">
      <c r="A7012" t="s">
        <v>7117</v>
      </c>
      <c r="B7012" s="1">
        <v>45853</v>
      </c>
      <c r="C7012">
        <v>2025</v>
      </c>
      <c r="D7012">
        <v>7</v>
      </c>
      <c r="E7012" t="s">
        <v>47</v>
      </c>
      <c r="F7012" t="s">
        <v>14</v>
      </c>
      <c r="G7012" t="s">
        <v>48</v>
      </c>
      <c r="H7012" t="s">
        <v>49</v>
      </c>
      <c r="I7012">
        <v>13799.7</v>
      </c>
      <c r="J7012">
        <v>11774.05</v>
      </c>
      <c r="K7012" t="s">
        <v>17</v>
      </c>
      <c r="L7012" t="b">
        <v>0</v>
      </c>
      <c r="N7012" s="2" t="b">
        <f t="shared" si="630"/>
        <v>1</v>
      </c>
      <c r="O7012" t="str">
        <f t="shared" ref="O7012:O7016" si="632">IF(AND(E7001="HR",K7001="EXPENSE"),I7001&lt;J7001,"")</f>
        <v/>
      </c>
      <c r="Q7012" t="str">
        <f t="shared" si="628"/>
        <v/>
      </c>
    </row>
    <row r="7013" spans="1:17" hidden="1">
      <c r="A7013" t="s">
        <v>7118</v>
      </c>
      <c r="B7013" s="1">
        <v>45853</v>
      </c>
      <c r="C7013">
        <v>2025</v>
      </c>
      <c r="D7013">
        <v>7</v>
      </c>
      <c r="E7013" t="s">
        <v>47</v>
      </c>
      <c r="F7013" t="s">
        <v>14</v>
      </c>
      <c r="G7013" t="s">
        <v>77</v>
      </c>
      <c r="H7013" t="s">
        <v>78</v>
      </c>
      <c r="I7013">
        <v>9000.82</v>
      </c>
      <c r="J7013">
        <v>7780.9</v>
      </c>
      <c r="K7013" t="s">
        <v>17</v>
      </c>
      <c r="L7013" t="b">
        <v>0</v>
      </c>
      <c r="N7013" s="2" t="b">
        <f t="shared" si="630"/>
        <v>1</v>
      </c>
      <c r="O7013" t="b">
        <f t="shared" si="632"/>
        <v>0</v>
      </c>
      <c r="Q7013" t="str">
        <f t="shared" si="628"/>
        <v/>
      </c>
    </row>
    <row r="7014" spans="1:17" hidden="1">
      <c r="A7014" t="s">
        <v>7119</v>
      </c>
      <c r="B7014" s="1">
        <v>45853</v>
      </c>
      <c r="C7014">
        <v>2025</v>
      </c>
      <c r="D7014">
        <v>7</v>
      </c>
      <c r="E7014" t="s">
        <v>47</v>
      </c>
      <c r="F7014" t="s">
        <v>28</v>
      </c>
      <c r="G7014" t="s">
        <v>48</v>
      </c>
      <c r="H7014" t="s">
        <v>189</v>
      </c>
      <c r="I7014">
        <v>12868.57</v>
      </c>
      <c r="J7014">
        <v>10750.62</v>
      </c>
      <c r="K7014" t="s">
        <v>17</v>
      </c>
      <c r="L7014" t="b">
        <v>0</v>
      </c>
      <c r="N7014" s="2" t="b">
        <f t="shared" si="630"/>
        <v>1</v>
      </c>
      <c r="O7014" t="b">
        <f t="shared" si="632"/>
        <v>1</v>
      </c>
      <c r="Q7014" t="str">
        <f t="shared" si="628"/>
        <v/>
      </c>
    </row>
    <row r="7015" spans="1:17" hidden="1">
      <c r="A7015" t="s">
        <v>7120</v>
      </c>
      <c r="B7015" s="1">
        <v>45853</v>
      </c>
      <c r="C7015">
        <v>2025</v>
      </c>
      <c r="D7015">
        <v>7</v>
      </c>
      <c r="E7015" t="s">
        <v>47</v>
      </c>
      <c r="F7015" t="s">
        <v>24</v>
      </c>
      <c r="G7015" t="s">
        <v>48</v>
      </c>
      <c r="H7015" t="s">
        <v>189</v>
      </c>
      <c r="I7015">
        <v>12447.43</v>
      </c>
      <c r="J7015">
        <v>10203.43</v>
      </c>
      <c r="K7015" t="s">
        <v>17</v>
      </c>
      <c r="L7015" t="b">
        <v>0</v>
      </c>
      <c r="N7015" s="2" t="b">
        <f t="shared" si="630"/>
        <v>1</v>
      </c>
      <c r="O7015" t="b">
        <f t="shared" si="632"/>
        <v>0</v>
      </c>
      <c r="Q7015" t="str">
        <f t="shared" si="628"/>
        <v/>
      </c>
    </row>
    <row r="7016" spans="1:17" hidden="1">
      <c r="A7016" t="s">
        <v>7121</v>
      </c>
      <c r="B7016" s="1">
        <v>45853</v>
      </c>
      <c r="C7016">
        <v>2025</v>
      </c>
      <c r="D7016">
        <v>7</v>
      </c>
      <c r="E7016" t="s">
        <v>47</v>
      </c>
      <c r="F7016" t="s">
        <v>24</v>
      </c>
      <c r="G7016" t="s">
        <v>48</v>
      </c>
      <c r="H7016" t="s">
        <v>111</v>
      </c>
      <c r="I7016">
        <v>10311.83</v>
      </c>
      <c r="J7016">
        <v>8604.15</v>
      </c>
      <c r="K7016" t="s">
        <v>17</v>
      </c>
      <c r="L7016" t="b">
        <v>0</v>
      </c>
      <c r="N7016" s="2" t="b">
        <f t="shared" si="630"/>
        <v>1</v>
      </c>
      <c r="O7016" t="str">
        <f t="shared" si="632"/>
        <v/>
      </c>
      <c r="Q7016" t="str">
        <f t="shared" si="628"/>
        <v/>
      </c>
    </row>
    <row r="7017" spans="1:17" hidden="1">
      <c r="A7017" t="s">
        <v>7122</v>
      </c>
      <c r="B7017" s="1">
        <v>45853</v>
      </c>
      <c r="C7017">
        <v>2025</v>
      </c>
      <c r="D7017">
        <v>7</v>
      </c>
      <c r="E7017" t="s">
        <v>19</v>
      </c>
      <c r="F7017" t="s">
        <v>14</v>
      </c>
      <c r="G7017" t="s">
        <v>54</v>
      </c>
      <c r="H7017" t="s">
        <v>55</v>
      </c>
      <c r="I7017">
        <v>6760.68</v>
      </c>
      <c r="J7017">
        <v>6913.45</v>
      </c>
      <c r="K7017" t="s">
        <v>17</v>
      </c>
      <c r="L7017" t="b">
        <v>0</v>
      </c>
      <c r="N7017" s="2" t="str">
        <f t="shared" si="630"/>
        <v/>
      </c>
      <c r="Q7017" t="str">
        <f t="shared" si="628"/>
        <v/>
      </c>
    </row>
    <row r="7018" spans="1:17" hidden="1">
      <c r="A7018" t="s">
        <v>7123</v>
      </c>
      <c r="B7018" s="1">
        <v>45853</v>
      </c>
      <c r="C7018">
        <v>2025</v>
      </c>
      <c r="D7018">
        <v>7</v>
      </c>
      <c r="E7018" t="s">
        <v>19</v>
      </c>
      <c r="F7018" t="s">
        <v>14</v>
      </c>
      <c r="G7018" t="s">
        <v>20</v>
      </c>
      <c r="H7018" t="s">
        <v>136</v>
      </c>
      <c r="I7018">
        <v>5828.61</v>
      </c>
      <c r="J7018">
        <v>5414.35</v>
      </c>
      <c r="K7018" t="s">
        <v>17</v>
      </c>
      <c r="L7018" t="b">
        <v>0</v>
      </c>
      <c r="N7018" s="2" t="str">
        <f t="shared" si="630"/>
        <v/>
      </c>
      <c r="Q7018" t="str">
        <f t="shared" si="628"/>
        <v/>
      </c>
    </row>
    <row r="7019" spans="1:17" hidden="1">
      <c r="A7019" t="s">
        <v>7124</v>
      </c>
      <c r="B7019" s="1">
        <v>45853</v>
      </c>
      <c r="C7019">
        <v>2025</v>
      </c>
      <c r="D7019">
        <v>7</v>
      </c>
      <c r="E7019" t="s">
        <v>19</v>
      </c>
      <c r="F7019" t="s">
        <v>28</v>
      </c>
      <c r="G7019" t="s">
        <v>80</v>
      </c>
      <c r="H7019" t="s">
        <v>150</v>
      </c>
      <c r="I7019">
        <v>6245.54</v>
      </c>
      <c r="J7019">
        <v>6540.63</v>
      </c>
      <c r="K7019" t="s">
        <v>17</v>
      </c>
      <c r="L7019" t="b">
        <v>0</v>
      </c>
      <c r="N7019" s="2" t="str">
        <f t="shared" si="630"/>
        <v/>
      </c>
      <c r="Q7019" t="str">
        <f t="shared" si="628"/>
        <v/>
      </c>
    </row>
    <row r="7020" spans="1:17" hidden="1">
      <c r="A7020" t="s">
        <v>7125</v>
      </c>
      <c r="B7020" s="1">
        <v>45853</v>
      </c>
      <c r="C7020">
        <v>2025</v>
      </c>
      <c r="D7020">
        <v>7</v>
      </c>
      <c r="E7020" t="s">
        <v>23</v>
      </c>
      <c r="F7020" t="s">
        <v>14</v>
      </c>
      <c r="G7020" t="s">
        <v>25</v>
      </c>
      <c r="H7020" t="s">
        <v>26</v>
      </c>
      <c r="I7020">
        <v>9341.64</v>
      </c>
      <c r="J7020">
        <v>10017.81</v>
      </c>
      <c r="K7020" t="s">
        <v>17</v>
      </c>
      <c r="L7020" t="b">
        <v>0</v>
      </c>
      <c r="N7020" s="2" t="str">
        <f t="shared" si="630"/>
        <v/>
      </c>
      <c r="Q7020" t="str">
        <f t="shared" si="628"/>
        <v/>
      </c>
    </row>
    <row r="7021" spans="1:17" hidden="1">
      <c r="A7021" t="s">
        <v>7126</v>
      </c>
      <c r="B7021" s="1">
        <v>45853</v>
      </c>
      <c r="C7021">
        <v>2025</v>
      </c>
      <c r="D7021">
        <v>7</v>
      </c>
      <c r="E7021" t="s">
        <v>23</v>
      </c>
      <c r="F7021" t="s">
        <v>24</v>
      </c>
      <c r="G7021" t="s">
        <v>25</v>
      </c>
      <c r="H7021" t="s">
        <v>26</v>
      </c>
      <c r="I7021">
        <v>6359.06</v>
      </c>
      <c r="J7021">
        <v>6145.37</v>
      </c>
      <c r="K7021" t="s">
        <v>17</v>
      </c>
      <c r="L7021" t="b">
        <v>0</v>
      </c>
      <c r="N7021" s="2" t="str">
        <f t="shared" si="630"/>
        <v/>
      </c>
      <c r="Q7021" t="str">
        <f t="shared" si="628"/>
        <v/>
      </c>
    </row>
    <row r="7022" spans="1:17" hidden="1">
      <c r="A7022" t="s">
        <v>7127</v>
      </c>
      <c r="B7022" s="1">
        <v>45854</v>
      </c>
      <c r="C7022">
        <v>2025</v>
      </c>
      <c r="D7022">
        <v>7</v>
      </c>
      <c r="E7022" t="s">
        <v>13</v>
      </c>
      <c r="F7022" t="s">
        <v>14</v>
      </c>
      <c r="G7022" t="s">
        <v>108</v>
      </c>
      <c r="H7022" t="s">
        <v>123</v>
      </c>
      <c r="I7022">
        <v>3798.73</v>
      </c>
      <c r="J7022">
        <v>3662.05</v>
      </c>
      <c r="K7022" t="s">
        <v>17</v>
      </c>
      <c r="L7022" t="b">
        <v>0</v>
      </c>
      <c r="N7022" s="2" t="str">
        <f t="shared" si="630"/>
        <v/>
      </c>
      <c r="Q7022" t="str">
        <f t="shared" si="628"/>
        <v/>
      </c>
    </row>
    <row r="7023" spans="1:17" hidden="1">
      <c r="A7023" t="s">
        <v>7128</v>
      </c>
      <c r="B7023" s="1">
        <v>45854</v>
      </c>
      <c r="C7023">
        <v>2025</v>
      </c>
      <c r="D7023">
        <v>7</v>
      </c>
      <c r="E7023" t="s">
        <v>13</v>
      </c>
      <c r="F7023" t="s">
        <v>28</v>
      </c>
      <c r="G7023" t="s">
        <v>102</v>
      </c>
      <c r="H7023" t="s">
        <v>145</v>
      </c>
      <c r="I7023">
        <v>4548.8999999999996</v>
      </c>
      <c r="J7023">
        <v>4730.08</v>
      </c>
      <c r="K7023" t="s">
        <v>17</v>
      </c>
      <c r="L7023" t="b">
        <v>0</v>
      </c>
      <c r="N7023" s="2" t="str">
        <f t="shared" si="630"/>
        <v/>
      </c>
      <c r="Q7023" t="str">
        <f t="shared" si="628"/>
        <v/>
      </c>
    </row>
    <row r="7024" spans="1:17" hidden="1">
      <c r="A7024" t="s">
        <v>7129</v>
      </c>
      <c r="B7024" s="1">
        <v>45854</v>
      </c>
      <c r="C7024">
        <v>2025</v>
      </c>
      <c r="D7024">
        <v>7</v>
      </c>
      <c r="E7024" t="s">
        <v>13</v>
      </c>
      <c r="F7024" t="s">
        <v>28</v>
      </c>
      <c r="G7024" t="s">
        <v>102</v>
      </c>
      <c r="H7024" t="s">
        <v>145</v>
      </c>
      <c r="I7024">
        <v>4272.1499999999996</v>
      </c>
      <c r="J7024">
        <v>4633.51</v>
      </c>
      <c r="K7024" t="s">
        <v>17</v>
      </c>
      <c r="L7024" t="b">
        <v>0</v>
      </c>
      <c r="N7024" s="2" t="str">
        <f t="shared" si="630"/>
        <v/>
      </c>
      <c r="Q7024" t="str">
        <f t="shared" ref="Q7024:Q7087" si="633">IF(L7024=TRUE,OR(H7024="Apex Solutions Inc",H7024="Global Trade Partners",H7024="NovaTech Services"),"")</f>
        <v/>
      </c>
    </row>
    <row r="7025" spans="1:17" hidden="1">
      <c r="A7025" t="s">
        <v>7130</v>
      </c>
      <c r="B7025" s="1">
        <v>45854</v>
      </c>
      <c r="C7025">
        <v>2025</v>
      </c>
      <c r="D7025">
        <v>7</v>
      </c>
      <c r="E7025" t="s">
        <v>47</v>
      </c>
      <c r="F7025" t="s">
        <v>24</v>
      </c>
      <c r="G7025" t="s">
        <v>48</v>
      </c>
      <c r="H7025" t="s">
        <v>75</v>
      </c>
      <c r="I7025">
        <v>13726.49</v>
      </c>
      <c r="J7025">
        <v>11610.25</v>
      </c>
      <c r="K7025" t="s">
        <v>17</v>
      </c>
      <c r="L7025" t="b">
        <v>0</v>
      </c>
      <c r="N7025" s="2" t="b">
        <f t="shared" si="630"/>
        <v>1</v>
      </c>
      <c r="O7025" t="str">
        <f>IF(AND(E7014="HR",K7014="EXPENSE"),I7014&lt;J7014,"")</f>
        <v/>
      </c>
      <c r="Q7025" t="str">
        <f t="shared" si="633"/>
        <v/>
      </c>
    </row>
    <row r="7026" spans="1:17" hidden="1">
      <c r="A7026" t="s">
        <v>7131</v>
      </c>
      <c r="B7026" s="1">
        <v>45854</v>
      </c>
      <c r="C7026">
        <v>2025</v>
      </c>
      <c r="D7026">
        <v>7</v>
      </c>
      <c r="E7026" t="s">
        <v>19</v>
      </c>
      <c r="F7026" t="s">
        <v>14</v>
      </c>
      <c r="G7026" t="s">
        <v>54</v>
      </c>
      <c r="H7026" t="s">
        <v>57</v>
      </c>
      <c r="I7026">
        <v>5359.22</v>
      </c>
      <c r="J7026">
        <v>5181.25</v>
      </c>
      <c r="K7026" t="s">
        <v>17</v>
      </c>
      <c r="L7026" t="b">
        <v>0</v>
      </c>
      <c r="N7026" s="2" t="str">
        <f t="shared" si="630"/>
        <v/>
      </c>
      <c r="Q7026" t="str">
        <f t="shared" si="633"/>
        <v/>
      </c>
    </row>
    <row r="7027" spans="1:17" hidden="1">
      <c r="A7027" t="s">
        <v>7132</v>
      </c>
      <c r="B7027" s="1">
        <v>45854</v>
      </c>
      <c r="C7027">
        <v>2025</v>
      </c>
      <c r="D7027">
        <v>7</v>
      </c>
      <c r="E7027" t="s">
        <v>23</v>
      </c>
      <c r="F7027" t="s">
        <v>24</v>
      </c>
      <c r="G7027" t="s">
        <v>59</v>
      </c>
      <c r="H7027" t="s">
        <v>155</v>
      </c>
      <c r="I7027">
        <v>8051.54</v>
      </c>
      <c r="J7027">
        <v>7790.73</v>
      </c>
      <c r="K7027" t="s">
        <v>17</v>
      </c>
      <c r="L7027" t="b">
        <v>0</v>
      </c>
      <c r="N7027" s="2" t="str">
        <f t="shared" si="630"/>
        <v/>
      </c>
      <c r="Q7027" t="str">
        <f t="shared" si="633"/>
        <v/>
      </c>
    </row>
    <row r="7028" spans="1:17" hidden="1">
      <c r="A7028" t="s">
        <v>7133</v>
      </c>
      <c r="B7028" s="1">
        <v>45854</v>
      </c>
      <c r="C7028">
        <v>2025</v>
      </c>
      <c r="D7028">
        <v>7</v>
      </c>
      <c r="E7028" t="s">
        <v>37</v>
      </c>
      <c r="F7028" t="s">
        <v>14</v>
      </c>
      <c r="G7028" t="s">
        <v>38</v>
      </c>
      <c r="H7028" t="s">
        <v>118</v>
      </c>
      <c r="I7028">
        <v>6032.58</v>
      </c>
      <c r="J7028">
        <v>5652.7</v>
      </c>
      <c r="K7028" t="s">
        <v>17</v>
      </c>
      <c r="L7028" t="b">
        <v>0</v>
      </c>
      <c r="N7028" s="2" t="str">
        <f t="shared" si="630"/>
        <v/>
      </c>
      <c r="Q7028" t="str">
        <f t="shared" si="633"/>
        <v/>
      </c>
    </row>
    <row r="7029" spans="1:17" hidden="1">
      <c r="A7029" t="s">
        <v>7134</v>
      </c>
      <c r="B7029" s="1">
        <v>45854</v>
      </c>
      <c r="C7029">
        <v>2025</v>
      </c>
      <c r="D7029">
        <v>7</v>
      </c>
      <c r="E7029" t="s">
        <v>37</v>
      </c>
      <c r="F7029" t="s">
        <v>28</v>
      </c>
      <c r="G7029" t="s">
        <v>38</v>
      </c>
      <c r="H7029" t="s">
        <v>118</v>
      </c>
      <c r="I7029">
        <v>7041.88</v>
      </c>
      <c r="J7029">
        <v>6988.44</v>
      </c>
      <c r="K7029" t="s">
        <v>17</v>
      </c>
      <c r="L7029" t="b">
        <v>0</v>
      </c>
      <c r="N7029" s="2" t="str">
        <f t="shared" si="630"/>
        <v/>
      </c>
      <c r="Q7029" t="str">
        <f t="shared" si="633"/>
        <v/>
      </c>
    </row>
    <row r="7030" spans="1:17" hidden="1">
      <c r="A7030" t="s">
        <v>7135</v>
      </c>
      <c r="B7030" s="1">
        <v>45854</v>
      </c>
      <c r="C7030">
        <v>2025</v>
      </c>
      <c r="D7030">
        <v>7</v>
      </c>
      <c r="E7030" t="s">
        <v>37</v>
      </c>
      <c r="F7030" t="s">
        <v>14</v>
      </c>
      <c r="G7030" t="s">
        <v>83</v>
      </c>
      <c r="H7030" t="s">
        <v>84</v>
      </c>
      <c r="I7030">
        <v>283777.58</v>
      </c>
      <c r="J7030">
        <v>269588.7</v>
      </c>
      <c r="K7030" t="s">
        <v>85</v>
      </c>
      <c r="L7030" t="b">
        <v>0</v>
      </c>
      <c r="N7030" s="2" t="str">
        <f t="shared" si="630"/>
        <v/>
      </c>
      <c r="Q7030" t="str">
        <f t="shared" si="633"/>
        <v/>
      </c>
    </row>
    <row r="7031" spans="1:17" hidden="1">
      <c r="A7031" t="s">
        <v>7136</v>
      </c>
      <c r="B7031" s="1">
        <v>45855</v>
      </c>
      <c r="C7031">
        <v>2025</v>
      </c>
      <c r="D7031">
        <v>7</v>
      </c>
      <c r="E7031" t="s">
        <v>13</v>
      </c>
      <c r="F7031" t="s">
        <v>14</v>
      </c>
      <c r="G7031" t="s">
        <v>15</v>
      </c>
      <c r="H7031" t="s">
        <v>89</v>
      </c>
      <c r="I7031">
        <v>3048.18</v>
      </c>
      <c r="J7031">
        <v>2841.05</v>
      </c>
      <c r="K7031" t="s">
        <v>17</v>
      </c>
      <c r="L7031" t="b">
        <v>0</v>
      </c>
      <c r="N7031" s="2" t="str">
        <f t="shared" si="630"/>
        <v/>
      </c>
      <c r="Q7031" t="str">
        <f t="shared" si="633"/>
        <v/>
      </c>
    </row>
    <row r="7032" spans="1:17" hidden="1">
      <c r="A7032" t="s">
        <v>7137</v>
      </c>
      <c r="B7032" s="1">
        <v>45855</v>
      </c>
      <c r="C7032">
        <v>2025</v>
      </c>
      <c r="D7032">
        <v>7</v>
      </c>
      <c r="E7032" t="s">
        <v>19</v>
      </c>
      <c r="F7032" t="s">
        <v>14</v>
      </c>
      <c r="G7032" t="s">
        <v>132</v>
      </c>
      <c r="H7032" t="s">
        <v>171</v>
      </c>
      <c r="I7032">
        <v>6403.29</v>
      </c>
      <c r="J7032">
        <v>6409.89</v>
      </c>
      <c r="K7032" t="s">
        <v>17</v>
      </c>
      <c r="L7032" t="b">
        <v>0</v>
      </c>
      <c r="N7032" s="2" t="str">
        <f t="shared" si="630"/>
        <v/>
      </c>
      <c r="Q7032" t="str">
        <f t="shared" si="633"/>
        <v/>
      </c>
    </row>
    <row r="7033" spans="1:17" hidden="1">
      <c r="A7033" t="s">
        <v>7138</v>
      </c>
      <c r="B7033" s="1">
        <v>45855</v>
      </c>
      <c r="C7033">
        <v>2025</v>
      </c>
      <c r="D7033">
        <v>7</v>
      </c>
      <c r="E7033" t="s">
        <v>19</v>
      </c>
      <c r="F7033" t="s">
        <v>14</v>
      </c>
      <c r="G7033" t="s">
        <v>132</v>
      </c>
      <c r="H7033" t="s">
        <v>171</v>
      </c>
      <c r="I7033">
        <v>5138.37</v>
      </c>
      <c r="J7033">
        <v>5576.72</v>
      </c>
      <c r="K7033" t="s">
        <v>17</v>
      </c>
      <c r="L7033" t="b">
        <v>0</v>
      </c>
      <c r="N7033" s="2" t="str">
        <f t="shared" si="630"/>
        <v/>
      </c>
      <c r="Q7033" t="str">
        <f t="shared" si="633"/>
        <v/>
      </c>
    </row>
    <row r="7034" spans="1:17" hidden="1">
      <c r="A7034" t="s">
        <v>7139</v>
      </c>
      <c r="B7034" s="1">
        <v>45855</v>
      </c>
      <c r="C7034">
        <v>2025</v>
      </c>
      <c r="D7034">
        <v>7</v>
      </c>
      <c r="E7034" t="s">
        <v>19</v>
      </c>
      <c r="F7034" t="s">
        <v>28</v>
      </c>
      <c r="G7034" t="s">
        <v>54</v>
      </c>
      <c r="H7034" t="s">
        <v>55</v>
      </c>
      <c r="I7034">
        <v>8799.4599999999991</v>
      </c>
      <c r="J7034">
        <v>9061.3799999999992</v>
      </c>
      <c r="K7034" t="s">
        <v>17</v>
      </c>
      <c r="L7034" t="b">
        <v>0</v>
      </c>
      <c r="N7034" s="2" t="str">
        <f t="shared" si="630"/>
        <v/>
      </c>
      <c r="Q7034" t="str">
        <f t="shared" si="633"/>
        <v/>
      </c>
    </row>
    <row r="7035" spans="1:17" hidden="1">
      <c r="A7035" t="s">
        <v>7140</v>
      </c>
      <c r="B7035" s="1">
        <v>45855</v>
      </c>
      <c r="C7035">
        <v>2025</v>
      </c>
      <c r="D7035">
        <v>7</v>
      </c>
      <c r="E7035" t="s">
        <v>37</v>
      </c>
      <c r="F7035" t="s">
        <v>14</v>
      </c>
      <c r="G7035" t="s">
        <v>98</v>
      </c>
      <c r="H7035" t="s">
        <v>185</v>
      </c>
      <c r="I7035">
        <v>6405.03</v>
      </c>
      <c r="J7035">
        <v>6330.77</v>
      </c>
      <c r="K7035" t="s">
        <v>17</v>
      </c>
      <c r="L7035" t="b">
        <v>0</v>
      </c>
      <c r="N7035" s="2" t="str">
        <f t="shared" si="630"/>
        <v/>
      </c>
      <c r="Q7035" t="str">
        <f t="shared" si="633"/>
        <v/>
      </c>
    </row>
    <row r="7036" spans="1:17" hidden="1">
      <c r="A7036" t="s">
        <v>7141</v>
      </c>
      <c r="B7036" s="1">
        <v>45856</v>
      </c>
      <c r="C7036">
        <v>2025</v>
      </c>
      <c r="D7036">
        <v>7</v>
      </c>
      <c r="E7036" t="s">
        <v>13</v>
      </c>
      <c r="F7036" t="s">
        <v>28</v>
      </c>
      <c r="G7036" t="s">
        <v>102</v>
      </c>
      <c r="H7036" t="s">
        <v>145</v>
      </c>
      <c r="I7036">
        <v>4287.29</v>
      </c>
      <c r="J7036">
        <v>4522.43</v>
      </c>
      <c r="K7036" t="s">
        <v>17</v>
      </c>
      <c r="L7036" t="b">
        <v>0</v>
      </c>
      <c r="N7036" s="2" t="str">
        <f t="shared" si="630"/>
        <v/>
      </c>
      <c r="Q7036" t="str">
        <f t="shared" si="633"/>
        <v/>
      </c>
    </row>
    <row r="7037" spans="1:17" hidden="1">
      <c r="A7037" t="s">
        <v>7142</v>
      </c>
      <c r="B7037" s="1">
        <v>45856</v>
      </c>
      <c r="C7037">
        <v>2025</v>
      </c>
      <c r="D7037">
        <v>7</v>
      </c>
      <c r="E7037" t="s">
        <v>47</v>
      </c>
      <c r="F7037" t="s">
        <v>28</v>
      </c>
      <c r="G7037" t="s">
        <v>91</v>
      </c>
      <c r="H7037" t="s">
        <v>128</v>
      </c>
      <c r="I7037">
        <v>17968.009999999998</v>
      </c>
      <c r="J7037">
        <v>15425.66</v>
      </c>
      <c r="K7037" t="s">
        <v>17</v>
      </c>
      <c r="L7037" t="b">
        <v>0</v>
      </c>
      <c r="N7037" s="2" t="b">
        <f t="shared" si="630"/>
        <v>1</v>
      </c>
      <c r="O7037" t="str">
        <f>IF(AND(E7026="HR",K7026="EXPENSE"),I7026&lt;J7026,"")</f>
        <v/>
      </c>
      <c r="Q7037" t="str">
        <f t="shared" si="633"/>
        <v/>
      </c>
    </row>
    <row r="7038" spans="1:17" hidden="1">
      <c r="A7038" t="s">
        <v>7143</v>
      </c>
      <c r="B7038" s="1">
        <v>45856</v>
      </c>
      <c r="C7038">
        <v>2025</v>
      </c>
      <c r="D7038">
        <v>7</v>
      </c>
      <c r="E7038" t="s">
        <v>19</v>
      </c>
      <c r="F7038" t="s">
        <v>14</v>
      </c>
      <c r="G7038" t="s">
        <v>54</v>
      </c>
      <c r="H7038" t="s">
        <v>55</v>
      </c>
      <c r="I7038">
        <v>6532.79</v>
      </c>
      <c r="J7038">
        <v>6995.87</v>
      </c>
      <c r="K7038" t="s">
        <v>17</v>
      </c>
      <c r="L7038" t="b">
        <v>0</v>
      </c>
      <c r="N7038" s="2" t="str">
        <f t="shared" si="630"/>
        <v/>
      </c>
      <c r="Q7038" t="str">
        <f t="shared" si="633"/>
        <v/>
      </c>
    </row>
    <row r="7039" spans="1:17">
      <c r="A7039" t="s">
        <v>7144</v>
      </c>
      <c r="B7039" s="1">
        <v>45856</v>
      </c>
      <c r="C7039">
        <v>2025</v>
      </c>
      <c r="D7039">
        <v>7</v>
      </c>
      <c r="E7039" t="s">
        <v>19</v>
      </c>
      <c r="F7039" t="s">
        <v>24</v>
      </c>
      <c r="G7039" t="s">
        <v>80</v>
      </c>
      <c r="H7039" t="s">
        <v>322</v>
      </c>
      <c r="I7039">
        <v>34037.620000000003</v>
      </c>
      <c r="J7039">
        <v>7048.03</v>
      </c>
      <c r="K7039" t="s">
        <v>17</v>
      </c>
      <c r="L7039" t="b">
        <v>1</v>
      </c>
      <c r="N7039" s="2" t="str">
        <f t="shared" si="630"/>
        <v/>
      </c>
      <c r="Q7039" t="b">
        <f t="shared" si="633"/>
        <v>1</v>
      </c>
    </row>
    <row r="7040" spans="1:17" hidden="1">
      <c r="A7040" t="s">
        <v>7145</v>
      </c>
      <c r="B7040" s="1">
        <v>45856</v>
      </c>
      <c r="C7040">
        <v>2025</v>
      </c>
      <c r="D7040">
        <v>7</v>
      </c>
      <c r="E7040" t="s">
        <v>23</v>
      </c>
      <c r="F7040" t="s">
        <v>28</v>
      </c>
      <c r="G7040" t="s">
        <v>25</v>
      </c>
      <c r="H7040" t="s">
        <v>35</v>
      </c>
      <c r="I7040">
        <v>5100.01</v>
      </c>
      <c r="J7040">
        <v>5536.75</v>
      </c>
      <c r="K7040" t="s">
        <v>17</v>
      </c>
      <c r="L7040" t="b">
        <v>0</v>
      </c>
      <c r="N7040" s="2" t="str">
        <f t="shared" si="630"/>
        <v/>
      </c>
      <c r="Q7040" t="str">
        <f t="shared" si="633"/>
        <v/>
      </c>
    </row>
    <row r="7041" spans="1:17" hidden="1">
      <c r="A7041" t="s">
        <v>7146</v>
      </c>
      <c r="B7041" s="1">
        <v>45856</v>
      </c>
      <c r="C7041">
        <v>2025</v>
      </c>
      <c r="D7041">
        <v>7</v>
      </c>
      <c r="E7041" t="s">
        <v>23</v>
      </c>
      <c r="F7041" t="s">
        <v>24</v>
      </c>
      <c r="G7041" t="s">
        <v>25</v>
      </c>
      <c r="H7041" t="s">
        <v>35</v>
      </c>
      <c r="I7041">
        <v>3925.36</v>
      </c>
      <c r="J7041">
        <v>4118.32</v>
      </c>
      <c r="K7041" t="s">
        <v>17</v>
      </c>
      <c r="L7041" t="b">
        <v>0</v>
      </c>
      <c r="N7041" s="2" t="str">
        <f t="shared" si="630"/>
        <v/>
      </c>
      <c r="Q7041" t="str">
        <f t="shared" si="633"/>
        <v/>
      </c>
    </row>
    <row r="7042" spans="1:17" hidden="1">
      <c r="A7042" t="s">
        <v>7147</v>
      </c>
      <c r="B7042" s="1">
        <v>45856</v>
      </c>
      <c r="C7042">
        <v>2025</v>
      </c>
      <c r="D7042">
        <v>7</v>
      </c>
      <c r="E7042" t="s">
        <v>37</v>
      </c>
      <c r="F7042" t="s">
        <v>14</v>
      </c>
      <c r="G7042" t="s">
        <v>98</v>
      </c>
      <c r="H7042" t="s">
        <v>99</v>
      </c>
      <c r="I7042">
        <v>5451.11</v>
      </c>
      <c r="J7042">
        <v>5077.34</v>
      </c>
      <c r="K7042" t="s">
        <v>17</v>
      </c>
      <c r="L7042" t="b">
        <v>0</v>
      </c>
      <c r="N7042" s="2" t="str">
        <f t="shared" si="630"/>
        <v/>
      </c>
      <c r="Q7042" t="str">
        <f t="shared" si="633"/>
        <v/>
      </c>
    </row>
    <row r="7043" spans="1:17" hidden="1">
      <c r="A7043" t="s">
        <v>7148</v>
      </c>
      <c r="B7043" s="1">
        <v>45856</v>
      </c>
      <c r="C7043">
        <v>2025</v>
      </c>
      <c r="D7043">
        <v>7</v>
      </c>
      <c r="E7043" t="s">
        <v>37</v>
      </c>
      <c r="F7043" t="s">
        <v>28</v>
      </c>
      <c r="G7043" t="s">
        <v>38</v>
      </c>
      <c r="H7043" t="s">
        <v>118</v>
      </c>
      <c r="I7043">
        <v>3722.47</v>
      </c>
      <c r="J7043">
        <v>3802.67</v>
      </c>
      <c r="K7043" t="s">
        <v>17</v>
      </c>
      <c r="L7043" t="b">
        <v>0</v>
      </c>
      <c r="N7043" s="2" t="str">
        <f t="shared" ref="N7043:N7106" si="634">IF(AND(E7043="IT",K7043="EXPENSE"),I7043&gt;J7043,"")</f>
        <v/>
      </c>
      <c r="Q7043" t="str">
        <f t="shared" si="633"/>
        <v/>
      </c>
    </row>
    <row r="7044" spans="1:17" hidden="1">
      <c r="A7044" t="s">
        <v>7149</v>
      </c>
      <c r="B7044" s="1">
        <v>45856</v>
      </c>
      <c r="C7044">
        <v>2025</v>
      </c>
      <c r="D7044">
        <v>7</v>
      </c>
      <c r="E7044" t="s">
        <v>37</v>
      </c>
      <c r="F7044" t="s">
        <v>24</v>
      </c>
      <c r="G7044" t="s">
        <v>41</v>
      </c>
      <c r="H7044" t="s">
        <v>42</v>
      </c>
      <c r="I7044">
        <v>4355.08</v>
      </c>
      <c r="J7044">
        <v>4705.62</v>
      </c>
      <c r="K7044" t="s">
        <v>17</v>
      </c>
      <c r="L7044" t="b">
        <v>0</v>
      </c>
      <c r="N7044" s="2" t="str">
        <f t="shared" si="634"/>
        <v/>
      </c>
      <c r="Q7044" t="str">
        <f t="shared" si="633"/>
        <v/>
      </c>
    </row>
    <row r="7045" spans="1:17" hidden="1">
      <c r="A7045" t="s">
        <v>7150</v>
      </c>
      <c r="B7045" s="1">
        <v>45857</v>
      </c>
      <c r="C7045">
        <v>2025</v>
      </c>
      <c r="D7045">
        <v>7</v>
      </c>
      <c r="E7045" t="s">
        <v>23</v>
      </c>
      <c r="F7045" t="s">
        <v>14</v>
      </c>
      <c r="G7045" t="s">
        <v>25</v>
      </c>
      <c r="H7045" t="s">
        <v>26</v>
      </c>
      <c r="I7045">
        <v>7647.12</v>
      </c>
      <c r="J7045">
        <v>7099.15</v>
      </c>
      <c r="K7045" t="s">
        <v>17</v>
      </c>
      <c r="L7045" t="b">
        <v>0</v>
      </c>
      <c r="N7045" s="2" t="str">
        <f t="shared" si="634"/>
        <v/>
      </c>
      <c r="Q7045" t="str">
        <f t="shared" si="633"/>
        <v/>
      </c>
    </row>
    <row r="7046" spans="1:17" hidden="1">
      <c r="A7046" t="s">
        <v>7151</v>
      </c>
      <c r="B7046" s="1">
        <v>45858</v>
      </c>
      <c r="C7046">
        <v>2025</v>
      </c>
      <c r="D7046">
        <v>7</v>
      </c>
      <c r="E7046" t="s">
        <v>13</v>
      </c>
      <c r="F7046" t="s">
        <v>14</v>
      </c>
      <c r="G7046" t="s">
        <v>15</v>
      </c>
      <c r="H7046" t="s">
        <v>45</v>
      </c>
      <c r="I7046">
        <v>1844.48</v>
      </c>
      <c r="J7046">
        <v>1830.97</v>
      </c>
      <c r="K7046" t="s">
        <v>17</v>
      </c>
      <c r="L7046" t="b">
        <v>0</v>
      </c>
      <c r="N7046" s="2" t="str">
        <f t="shared" si="634"/>
        <v/>
      </c>
      <c r="Q7046" t="str">
        <f t="shared" si="633"/>
        <v/>
      </c>
    </row>
    <row r="7047" spans="1:17" hidden="1">
      <c r="A7047" t="s">
        <v>7152</v>
      </c>
      <c r="B7047" s="1">
        <v>45858</v>
      </c>
      <c r="C7047">
        <v>2025</v>
      </c>
      <c r="D7047">
        <v>7</v>
      </c>
      <c r="E7047" t="s">
        <v>13</v>
      </c>
      <c r="F7047" t="s">
        <v>24</v>
      </c>
      <c r="G7047" t="s">
        <v>15</v>
      </c>
      <c r="H7047" t="s">
        <v>16</v>
      </c>
      <c r="I7047">
        <v>4153.29</v>
      </c>
      <c r="J7047">
        <v>4116.3100000000004</v>
      </c>
      <c r="K7047" t="s">
        <v>17</v>
      </c>
      <c r="L7047" t="b">
        <v>0</v>
      </c>
      <c r="N7047" s="2" t="str">
        <f t="shared" si="634"/>
        <v/>
      </c>
      <c r="Q7047" t="str">
        <f t="shared" si="633"/>
        <v/>
      </c>
    </row>
    <row r="7048" spans="1:17" hidden="1">
      <c r="A7048" t="s">
        <v>7153</v>
      </c>
      <c r="B7048" s="1">
        <v>45858</v>
      </c>
      <c r="C7048">
        <v>2025</v>
      </c>
      <c r="D7048">
        <v>7</v>
      </c>
      <c r="E7048" t="s">
        <v>47</v>
      </c>
      <c r="F7048" t="s">
        <v>28</v>
      </c>
      <c r="G7048" t="s">
        <v>77</v>
      </c>
      <c r="H7048" t="s">
        <v>130</v>
      </c>
      <c r="I7048">
        <v>13939.73</v>
      </c>
      <c r="J7048">
        <v>11929.72</v>
      </c>
      <c r="K7048" t="s">
        <v>17</v>
      </c>
      <c r="L7048" t="b">
        <v>0</v>
      </c>
      <c r="N7048" s="2" t="b">
        <f t="shared" si="634"/>
        <v>1</v>
      </c>
      <c r="O7048" t="str">
        <f t="shared" ref="O7048:O7049" si="635">IF(AND(E7037="HR",K7037="EXPENSE"),I7037&lt;J7037,"")</f>
        <v/>
      </c>
      <c r="Q7048" t="str">
        <f t="shared" si="633"/>
        <v/>
      </c>
    </row>
    <row r="7049" spans="1:17" hidden="1">
      <c r="A7049" t="s">
        <v>7154</v>
      </c>
      <c r="B7049" s="1">
        <v>45858</v>
      </c>
      <c r="C7049">
        <v>2025</v>
      </c>
      <c r="D7049">
        <v>7</v>
      </c>
      <c r="E7049" t="s">
        <v>47</v>
      </c>
      <c r="F7049" t="s">
        <v>24</v>
      </c>
      <c r="G7049" t="s">
        <v>91</v>
      </c>
      <c r="H7049" t="s">
        <v>249</v>
      </c>
      <c r="I7049">
        <v>14908.26</v>
      </c>
      <c r="J7049">
        <v>12466.97</v>
      </c>
      <c r="K7049" t="s">
        <v>17</v>
      </c>
      <c r="L7049" t="b">
        <v>0</v>
      </c>
      <c r="N7049" s="2" t="b">
        <f t="shared" si="634"/>
        <v>1</v>
      </c>
      <c r="O7049" t="str">
        <f t="shared" si="635"/>
        <v/>
      </c>
      <c r="Q7049" t="str">
        <f t="shared" si="633"/>
        <v/>
      </c>
    </row>
    <row r="7050" spans="1:17" hidden="1">
      <c r="A7050" t="s">
        <v>7155</v>
      </c>
      <c r="B7050" s="1">
        <v>45858</v>
      </c>
      <c r="C7050">
        <v>2025</v>
      </c>
      <c r="D7050">
        <v>7</v>
      </c>
      <c r="E7050" t="s">
        <v>19</v>
      </c>
      <c r="F7050" t="s">
        <v>28</v>
      </c>
      <c r="G7050" t="s">
        <v>54</v>
      </c>
      <c r="H7050" t="s">
        <v>57</v>
      </c>
      <c r="I7050">
        <v>8378</v>
      </c>
      <c r="J7050">
        <v>9125.65</v>
      </c>
      <c r="K7050" t="s">
        <v>17</v>
      </c>
      <c r="L7050" t="b">
        <v>0</v>
      </c>
      <c r="N7050" s="2" t="str">
        <f t="shared" si="634"/>
        <v/>
      </c>
      <c r="Q7050" t="str">
        <f t="shared" si="633"/>
        <v/>
      </c>
    </row>
    <row r="7051" spans="1:17" hidden="1">
      <c r="A7051" t="s">
        <v>7156</v>
      </c>
      <c r="B7051" s="1">
        <v>45858</v>
      </c>
      <c r="C7051">
        <v>2025</v>
      </c>
      <c r="D7051">
        <v>7</v>
      </c>
      <c r="E7051" t="s">
        <v>23</v>
      </c>
      <c r="F7051" t="s">
        <v>24</v>
      </c>
      <c r="G7051" t="s">
        <v>25</v>
      </c>
      <c r="H7051" t="s">
        <v>95</v>
      </c>
      <c r="I7051">
        <v>8289.5300000000007</v>
      </c>
      <c r="J7051">
        <v>7803.43</v>
      </c>
      <c r="K7051" t="s">
        <v>17</v>
      </c>
      <c r="L7051" t="b">
        <v>0</v>
      </c>
      <c r="N7051" s="2" t="str">
        <f t="shared" si="634"/>
        <v/>
      </c>
      <c r="Q7051" t="str">
        <f t="shared" si="633"/>
        <v/>
      </c>
    </row>
    <row r="7052" spans="1:17" hidden="1">
      <c r="A7052" t="s">
        <v>7157</v>
      </c>
      <c r="B7052" s="1">
        <v>45858</v>
      </c>
      <c r="C7052">
        <v>2025</v>
      </c>
      <c r="D7052">
        <v>7</v>
      </c>
      <c r="E7052" t="s">
        <v>37</v>
      </c>
      <c r="F7052" t="s">
        <v>14</v>
      </c>
      <c r="G7052" t="s">
        <v>41</v>
      </c>
      <c r="H7052" t="s">
        <v>42</v>
      </c>
      <c r="I7052">
        <v>3812.68</v>
      </c>
      <c r="J7052">
        <v>3857.67</v>
      </c>
      <c r="K7052" t="s">
        <v>17</v>
      </c>
      <c r="L7052" t="b">
        <v>0</v>
      </c>
      <c r="N7052" s="2" t="str">
        <f t="shared" si="634"/>
        <v/>
      </c>
      <c r="Q7052" t="str">
        <f t="shared" si="633"/>
        <v/>
      </c>
    </row>
    <row r="7053" spans="1:17" hidden="1">
      <c r="A7053" t="s">
        <v>7158</v>
      </c>
      <c r="B7053" s="1">
        <v>45858</v>
      </c>
      <c r="C7053">
        <v>2025</v>
      </c>
      <c r="D7053">
        <v>7</v>
      </c>
      <c r="E7053" t="s">
        <v>37</v>
      </c>
      <c r="F7053" t="s">
        <v>14</v>
      </c>
      <c r="G7053" t="s">
        <v>98</v>
      </c>
      <c r="H7053" t="s">
        <v>99</v>
      </c>
      <c r="I7053">
        <v>6750.41</v>
      </c>
      <c r="J7053">
        <v>6708.23</v>
      </c>
      <c r="K7053" t="s">
        <v>17</v>
      </c>
      <c r="L7053" t="b">
        <v>0</v>
      </c>
      <c r="N7053" s="2" t="str">
        <f t="shared" si="634"/>
        <v/>
      </c>
      <c r="Q7053" t="str">
        <f t="shared" si="633"/>
        <v/>
      </c>
    </row>
    <row r="7054" spans="1:17" hidden="1">
      <c r="A7054" t="s">
        <v>7159</v>
      </c>
      <c r="B7054" s="1">
        <v>45858</v>
      </c>
      <c r="C7054">
        <v>2025</v>
      </c>
      <c r="D7054">
        <v>7</v>
      </c>
      <c r="E7054" t="s">
        <v>37</v>
      </c>
      <c r="F7054" t="s">
        <v>24</v>
      </c>
      <c r="G7054" t="s">
        <v>98</v>
      </c>
      <c r="H7054" t="s">
        <v>99</v>
      </c>
      <c r="I7054">
        <v>5089.01</v>
      </c>
      <c r="J7054">
        <v>5129.22</v>
      </c>
      <c r="K7054" t="s">
        <v>17</v>
      </c>
      <c r="L7054" t="b">
        <v>0</v>
      </c>
      <c r="N7054" s="2" t="str">
        <f t="shared" si="634"/>
        <v/>
      </c>
      <c r="Q7054" t="str">
        <f t="shared" si="633"/>
        <v/>
      </c>
    </row>
    <row r="7055" spans="1:17" hidden="1">
      <c r="A7055" t="s">
        <v>7160</v>
      </c>
      <c r="B7055" s="1">
        <v>45858</v>
      </c>
      <c r="C7055">
        <v>2025</v>
      </c>
      <c r="D7055">
        <v>7</v>
      </c>
      <c r="E7055" t="s">
        <v>37</v>
      </c>
      <c r="F7055" t="s">
        <v>24</v>
      </c>
      <c r="G7055" t="s">
        <v>98</v>
      </c>
      <c r="H7055" t="s">
        <v>99</v>
      </c>
      <c r="I7055">
        <v>3097.37</v>
      </c>
      <c r="J7055">
        <v>2993.16</v>
      </c>
      <c r="K7055" t="s">
        <v>17</v>
      </c>
      <c r="L7055" t="b">
        <v>0</v>
      </c>
      <c r="N7055" s="2" t="str">
        <f t="shared" si="634"/>
        <v/>
      </c>
      <c r="Q7055" t="str">
        <f t="shared" si="633"/>
        <v/>
      </c>
    </row>
    <row r="7056" spans="1:17" hidden="1">
      <c r="A7056" t="s">
        <v>7161</v>
      </c>
      <c r="B7056" s="1">
        <v>45859</v>
      </c>
      <c r="C7056">
        <v>2025</v>
      </c>
      <c r="D7056">
        <v>7</v>
      </c>
      <c r="E7056" t="s">
        <v>47</v>
      </c>
      <c r="F7056" t="s">
        <v>14</v>
      </c>
      <c r="G7056" t="s">
        <v>91</v>
      </c>
      <c r="H7056" t="s">
        <v>92</v>
      </c>
      <c r="I7056">
        <v>19584.75</v>
      </c>
      <c r="J7056">
        <v>16705.689999999999</v>
      </c>
      <c r="K7056" t="s">
        <v>17</v>
      </c>
      <c r="L7056" t="b">
        <v>0</v>
      </c>
      <c r="N7056" s="2" t="b">
        <f t="shared" si="634"/>
        <v>1</v>
      </c>
      <c r="O7056" t="str">
        <f>IF(AND(E7045="HR",K7045="EXPENSE"),I7045&lt;J7045,"")</f>
        <v/>
      </c>
      <c r="Q7056" t="str">
        <f t="shared" si="633"/>
        <v/>
      </c>
    </row>
    <row r="7057" spans="1:17" hidden="1">
      <c r="A7057" t="s">
        <v>7162</v>
      </c>
      <c r="B7057" s="1">
        <v>45859</v>
      </c>
      <c r="C7057">
        <v>2025</v>
      </c>
      <c r="D7057">
        <v>7</v>
      </c>
      <c r="E7057" t="s">
        <v>23</v>
      </c>
      <c r="F7057" t="s">
        <v>14</v>
      </c>
      <c r="G7057" t="s">
        <v>59</v>
      </c>
      <c r="H7057" t="s">
        <v>155</v>
      </c>
      <c r="I7057">
        <v>5599.8</v>
      </c>
      <c r="J7057">
        <v>5442.74</v>
      </c>
      <c r="K7057" t="s">
        <v>17</v>
      </c>
      <c r="L7057" t="b">
        <v>0</v>
      </c>
      <c r="N7057" s="2" t="str">
        <f t="shared" si="634"/>
        <v/>
      </c>
      <c r="Q7057" t="str">
        <f t="shared" si="633"/>
        <v/>
      </c>
    </row>
    <row r="7058" spans="1:17" hidden="1">
      <c r="A7058" t="s">
        <v>7163</v>
      </c>
      <c r="B7058" s="1">
        <v>45859</v>
      </c>
      <c r="C7058">
        <v>2025</v>
      </c>
      <c r="D7058">
        <v>7</v>
      </c>
      <c r="E7058" t="s">
        <v>23</v>
      </c>
      <c r="F7058" t="s">
        <v>28</v>
      </c>
      <c r="G7058" t="s">
        <v>59</v>
      </c>
      <c r="H7058" t="s">
        <v>60</v>
      </c>
      <c r="I7058">
        <v>1836.55</v>
      </c>
      <c r="J7058">
        <v>1896.36</v>
      </c>
      <c r="K7058" t="s">
        <v>17</v>
      </c>
      <c r="L7058" t="b">
        <v>0</v>
      </c>
      <c r="N7058" s="2" t="str">
        <f t="shared" si="634"/>
        <v/>
      </c>
      <c r="Q7058" t="str">
        <f t="shared" si="633"/>
        <v/>
      </c>
    </row>
    <row r="7059" spans="1:17" hidden="1">
      <c r="A7059" t="s">
        <v>7164</v>
      </c>
      <c r="B7059" s="1">
        <v>45859</v>
      </c>
      <c r="C7059">
        <v>2025</v>
      </c>
      <c r="D7059">
        <v>7</v>
      </c>
      <c r="E7059" t="s">
        <v>37</v>
      </c>
      <c r="F7059" t="s">
        <v>24</v>
      </c>
      <c r="G7059" t="s">
        <v>98</v>
      </c>
      <c r="H7059" t="s">
        <v>99</v>
      </c>
      <c r="I7059">
        <v>5069.45</v>
      </c>
      <c r="J7059">
        <v>4880.2700000000004</v>
      </c>
      <c r="K7059" t="s">
        <v>17</v>
      </c>
      <c r="L7059" t="b">
        <v>0</v>
      </c>
      <c r="N7059" s="2" t="str">
        <f t="shared" si="634"/>
        <v/>
      </c>
      <c r="Q7059" t="str">
        <f t="shared" si="633"/>
        <v/>
      </c>
    </row>
    <row r="7060" spans="1:17" hidden="1">
      <c r="A7060" t="s">
        <v>7165</v>
      </c>
      <c r="B7060" s="1">
        <v>45860</v>
      </c>
      <c r="C7060">
        <v>2025</v>
      </c>
      <c r="D7060">
        <v>7</v>
      </c>
      <c r="E7060" t="s">
        <v>13</v>
      </c>
      <c r="F7060" t="s">
        <v>28</v>
      </c>
      <c r="G7060" t="s">
        <v>102</v>
      </c>
      <c r="H7060" t="s">
        <v>145</v>
      </c>
      <c r="I7060">
        <v>4577.49</v>
      </c>
      <c r="J7060">
        <v>4454.6899999999996</v>
      </c>
      <c r="K7060" t="s">
        <v>17</v>
      </c>
      <c r="L7060" t="b">
        <v>0</v>
      </c>
      <c r="N7060" s="2" t="str">
        <f t="shared" si="634"/>
        <v/>
      </c>
      <c r="Q7060" t="str">
        <f t="shared" si="633"/>
        <v/>
      </c>
    </row>
    <row r="7061" spans="1:17" hidden="1">
      <c r="A7061" t="s">
        <v>7166</v>
      </c>
      <c r="B7061" s="1">
        <v>45860</v>
      </c>
      <c r="C7061">
        <v>2025</v>
      </c>
      <c r="D7061">
        <v>7</v>
      </c>
      <c r="E7061" t="s">
        <v>13</v>
      </c>
      <c r="F7061" t="s">
        <v>24</v>
      </c>
      <c r="G7061" t="s">
        <v>102</v>
      </c>
      <c r="H7061" t="s">
        <v>278</v>
      </c>
      <c r="I7061">
        <v>4019.22</v>
      </c>
      <c r="J7061">
        <v>3715.96</v>
      </c>
      <c r="K7061" t="s">
        <v>17</v>
      </c>
      <c r="L7061" t="b">
        <v>0</v>
      </c>
      <c r="N7061" s="2" t="str">
        <f t="shared" si="634"/>
        <v/>
      </c>
      <c r="Q7061" t="str">
        <f t="shared" si="633"/>
        <v/>
      </c>
    </row>
    <row r="7062" spans="1:17" hidden="1">
      <c r="A7062" t="s">
        <v>7167</v>
      </c>
      <c r="B7062" s="1">
        <v>45860</v>
      </c>
      <c r="C7062">
        <v>2025</v>
      </c>
      <c r="D7062">
        <v>7</v>
      </c>
      <c r="E7062" t="s">
        <v>47</v>
      </c>
      <c r="F7062" t="s">
        <v>24</v>
      </c>
      <c r="G7062" t="s">
        <v>51</v>
      </c>
      <c r="H7062" t="s">
        <v>72</v>
      </c>
      <c r="I7062">
        <v>9497.2800000000007</v>
      </c>
      <c r="J7062">
        <v>7930.78</v>
      </c>
      <c r="K7062" t="s">
        <v>17</v>
      </c>
      <c r="L7062" t="b">
        <v>0</v>
      </c>
      <c r="N7062" s="2" t="b">
        <f t="shared" si="634"/>
        <v>1</v>
      </c>
      <c r="O7062" t="str">
        <f>IF(AND(E7051="HR",K7051="EXPENSE"),I7051&lt;J7051,"")</f>
        <v/>
      </c>
      <c r="Q7062" t="str">
        <f t="shared" si="633"/>
        <v/>
      </c>
    </row>
    <row r="7063" spans="1:17" hidden="1">
      <c r="A7063" t="s">
        <v>7168</v>
      </c>
      <c r="B7063" s="1">
        <v>45860</v>
      </c>
      <c r="C7063">
        <v>2025</v>
      </c>
      <c r="D7063">
        <v>7</v>
      </c>
      <c r="E7063" t="s">
        <v>19</v>
      </c>
      <c r="F7063" t="s">
        <v>28</v>
      </c>
      <c r="G7063" t="s">
        <v>20</v>
      </c>
      <c r="H7063" t="s">
        <v>136</v>
      </c>
      <c r="I7063">
        <v>7727.18</v>
      </c>
      <c r="J7063">
        <v>8132.14</v>
      </c>
      <c r="K7063" t="s">
        <v>17</v>
      </c>
      <c r="L7063" t="b">
        <v>0</v>
      </c>
      <c r="N7063" s="2" t="str">
        <f t="shared" si="634"/>
        <v/>
      </c>
      <c r="Q7063" t="str">
        <f t="shared" si="633"/>
        <v/>
      </c>
    </row>
    <row r="7064" spans="1:17" hidden="1">
      <c r="A7064" t="s">
        <v>7169</v>
      </c>
      <c r="B7064" s="1">
        <v>45860</v>
      </c>
      <c r="C7064">
        <v>2025</v>
      </c>
      <c r="D7064">
        <v>7</v>
      </c>
      <c r="E7064" t="s">
        <v>19</v>
      </c>
      <c r="F7064" t="s">
        <v>28</v>
      </c>
      <c r="G7064" t="s">
        <v>80</v>
      </c>
      <c r="H7064" t="s">
        <v>113</v>
      </c>
      <c r="I7064">
        <v>6812.92</v>
      </c>
      <c r="J7064">
        <v>7129.34</v>
      </c>
      <c r="K7064" t="s">
        <v>17</v>
      </c>
      <c r="L7064" t="b">
        <v>0</v>
      </c>
      <c r="N7064" s="2" t="str">
        <f t="shared" si="634"/>
        <v/>
      </c>
      <c r="Q7064" t="str">
        <f t="shared" si="633"/>
        <v/>
      </c>
    </row>
    <row r="7065" spans="1:17" hidden="1">
      <c r="A7065" t="s">
        <v>7170</v>
      </c>
      <c r="B7065" s="1">
        <v>45860</v>
      </c>
      <c r="C7065">
        <v>2025</v>
      </c>
      <c r="D7065">
        <v>7</v>
      </c>
      <c r="E7065" t="s">
        <v>19</v>
      </c>
      <c r="F7065" t="s">
        <v>24</v>
      </c>
      <c r="G7065" t="s">
        <v>80</v>
      </c>
      <c r="H7065" t="s">
        <v>217</v>
      </c>
      <c r="I7065">
        <v>10257.81</v>
      </c>
      <c r="J7065">
        <v>10236.459999999999</v>
      </c>
      <c r="K7065" t="s">
        <v>17</v>
      </c>
      <c r="L7065" t="b">
        <v>0</v>
      </c>
      <c r="N7065" s="2" t="str">
        <f t="shared" si="634"/>
        <v/>
      </c>
      <c r="Q7065" t="str">
        <f t="shared" si="633"/>
        <v/>
      </c>
    </row>
    <row r="7066" spans="1:17" hidden="1">
      <c r="A7066" t="s">
        <v>7171</v>
      </c>
      <c r="B7066" s="1">
        <v>45860</v>
      </c>
      <c r="C7066">
        <v>2025</v>
      </c>
      <c r="D7066">
        <v>7</v>
      </c>
      <c r="E7066" t="s">
        <v>37</v>
      </c>
      <c r="F7066" t="s">
        <v>28</v>
      </c>
      <c r="G7066" t="s">
        <v>98</v>
      </c>
      <c r="H7066" t="s">
        <v>99</v>
      </c>
      <c r="I7066">
        <v>8082.34</v>
      </c>
      <c r="J7066">
        <v>8192.83</v>
      </c>
      <c r="K7066" t="s">
        <v>17</v>
      </c>
      <c r="L7066" t="b">
        <v>0</v>
      </c>
      <c r="N7066" s="2" t="str">
        <f t="shared" si="634"/>
        <v/>
      </c>
      <c r="Q7066" t="str">
        <f t="shared" si="633"/>
        <v/>
      </c>
    </row>
    <row r="7067" spans="1:17" hidden="1">
      <c r="A7067" t="s">
        <v>7172</v>
      </c>
      <c r="B7067" s="1">
        <v>45861</v>
      </c>
      <c r="C7067">
        <v>2025</v>
      </c>
      <c r="D7067">
        <v>7</v>
      </c>
      <c r="E7067" t="s">
        <v>13</v>
      </c>
      <c r="F7067" t="s">
        <v>24</v>
      </c>
      <c r="G7067" t="s">
        <v>108</v>
      </c>
      <c r="H7067" t="s">
        <v>126</v>
      </c>
      <c r="I7067">
        <v>5616.98</v>
      </c>
      <c r="J7067">
        <v>5332.05</v>
      </c>
      <c r="K7067" t="s">
        <v>17</v>
      </c>
      <c r="L7067" t="b">
        <v>0</v>
      </c>
      <c r="N7067" s="2" t="str">
        <f t="shared" si="634"/>
        <v/>
      </c>
      <c r="Q7067" t="str">
        <f t="shared" si="633"/>
        <v/>
      </c>
    </row>
    <row r="7068" spans="1:17" hidden="1">
      <c r="A7068" t="s">
        <v>7173</v>
      </c>
      <c r="B7068" s="1">
        <v>45861</v>
      </c>
      <c r="C7068">
        <v>2025</v>
      </c>
      <c r="D7068">
        <v>7</v>
      </c>
      <c r="E7068" t="s">
        <v>47</v>
      </c>
      <c r="F7068" t="s">
        <v>28</v>
      </c>
      <c r="G7068" t="s">
        <v>51</v>
      </c>
      <c r="H7068" t="s">
        <v>72</v>
      </c>
      <c r="I7068">
        <v>26115.78</v>
      </c>
      <c r="J7068">
        <v>22293.51</v>
      </c>
      <c r="K7068" t="s">
        <v>17</v>
      </c>
      <c r="L7068" t="b">
        <v>0</v>
      </c>
      <c r="N7068" s="2" t="b">
        <f t="shared" si="634"/>
        <v>1</v>
      </c>
      <c r="O7068" t="str">
        <f>IF(AND(E7057="HR",K7057="EXPENSE"),I7057&lt;J7057,"")</f>
        <v/>
      </c>
      <c r="Q7068" t="str">
        <f t="shared" si="633"/>
        <v/>
      </c>
    </row>
    <row r="7069" spans="1:17" hidden="1">
      <c r="A7069" t="s">
        <v>7174</v>
      </c>
      <c r="B7069" s="1">
        <v>45861</v>
      </c>
      <c r="C7069">
        <v>2025</v>
      </c>
      <c r="D7069">
        <v>7</v>
      </c>
      <c r="E7069" t="s">
        <v>19</v>
      </c>
      <c r="F7069" t="s">
        <v>28</v>
      </c>
      <c r="G7069" t="s">
        <v>132</v>
      </c>
      <c r="H7069" t="s">
        <v>138</v>
      </c>
      <c r="I7069">
        <v>4226.47</v>
      </c>
      <c r="J7069">
        <v>4313.7700000000004</v>
      </c>
      <c r="K7069" t="s">
        <v>17</v>
      </c>
      <c r="L7069" t="b">
        <v>0</v>
      </c>
      <c r="N7069" s="2" t="str">
        <f t="shared" si="634"/>
        <v/>
      </c>
      <c r="Q7069" t="str">
        <f t="shared" si="633"/>
        <v/>
      </c>
    </row>
    <row r="7070" spans="1:17" hidden="1">
      <c r="A7070" t="s">
        <v>7175</v>
      </c>
      <c r="B7070" s="1">
        <v>45861</v>
      </c>
      <c r="C7070">
        <v>2025</v>
      </c>
      <c r="D7070">
        <v>7</v>
      </c>
      <c r="E7070" t="s">
        <v>23</v>
      </c>
      <c r="F7070" t="s">
        <v>14</v>
      </c>
      <c r="G7070" t="s">
        <v>30</v>
      </c>
      <c r="H7070" t="s">
        <v>31</v>
      </c>
      <c r="I7070">
        <v>6099.39</v>
      </c>
      <c r="J7070">
        <v>6060.03</v>
      </c>
      <c r="K7070" t="s">
        <v>17</v>
      </c>
      <c r="L7070" t="b">
        <v>0</v>
      </c>
      <c r="N7070" s="2" t="str">
        <f t="shared" si="634"/>
        <v/>
      </c>
      <c r="Q7070" t="str">
        <f t="shared" si="633"/>
        <v/>
      </c>
    </row>
    <row r="7071" spans="1:17" hidden="1">
      <c r="A7071" t="s">
        <v>7176</v>
      </c>
      <c r="B7071" s="1">
        <v>45861</v>
      </c>
      <c r="C7071">
        <v>2025</v>
      </c>
      <c r="D7071">
        <v>7</v>
      </c>
      <c r="E7071" t="s">
        <v>23</v>
      </c>
      <c r="F7071" t="s">
        <v>28</v>
      </c>
      <c r="G7071" t="s">
        <v>30</v>
      </c>
      <c r="H7071" t="s">
        <v>31</v>
      </c>
      <c r="I7071">
        <v>4538.38</v>
      </c>
      <c r="J7071">
        <v>4962.62</v>
      </c>
      <c r="K7071" t="s">
        <v>17</v>
      </c>
      <c r="L7071" t="b">
        <v>0</v>
      </c>
      <c r="N7071" s="2" t="str">
        <f t="shared" si="634"/>
        <v/>
      </c>
      <c r="Q7071" t="str">
        <f t="shared" si="633"/>
        <v/>
      </c>
    </row>
    <row r="7072" spans="1:17" hidden="1">
      <c r="A7072" t="s">
        <v>7177</v>
      </c>
      <c r="B7072" s="1">
        <v>45861</v>
      </c>
      <c r="C7072">
        <v>2025</v>
      </c>
      <c r="D7072">
        <v>7</v>
      </c>
      <c r="E7072" t="s">
        <v>37</v>
      </c>
      <c r="F7072" t="s">
        <v>28</v>
      </c>
      <c r="G7072" t="s">
        <v>98</v>
      </c>
      <c r="H7072" t="s">
        <v>185</v>
      </c>
      <c r="I7072">
        <v>5506.22</v>
      </c>
      <c r="J7072">
        <v>5075.25</v>
      </c>
      <c r="K7072" t="s">
        <v>17</v>
      </c>
      <c r="L7072" t="b">
        <v>0</v>
      </c>
      <c r="N7072" s="2" t="str">
        <f t="shared" si="634"/>
        <v/>
      </c>
      <c r="Q7072" t="str">
        <f t="shared" si="633"/>
        <v/>
      </c>
    </row>
    <row r="7073" spans="1:17" hidden="1">
      <c r="A7073" t="s">
        <v>7178</v>
      </c>
      <c r="B7073" s="1">
        <v>45861</v>
      </c>
      <c r="C7073">
        <v>2025</v>
      </c>
      <c r="D7073">
        <v>7</v>
      </c>
      <c r="E7073" t="s">
        <v>37</v>
      </c>
      <c r="F7073" t="s">
        <v>24</v>
      </c>
      <c r="G7073" t="s">
        <v>62</v>
      </c>
      <c r="H7073" t="s">
        <v>63</v>
      </c>
      <c r="I7073">
        <v>6847.11</v>
      </c>
      <c r="J7073">
        <v>6870.18</v>
      </c>
      <c r="K7073" t="s">
        <v>17</v>
      </c>
      <c r="L7073" t="b">
        <v>0</v>
      </c>
      <c r="N7073" s="2" t="str">
        <f t="shared" si="634"/>
        <v/>
      </c>
      <c r="Q7073" t="str">
        <f t="shared" si="633"/>
        <v/>
      </c>
    </row>
    <row r="7074" spans="1:17" hidden="1">
      <c r="A7074" t="s">
        <v>7179</v>
      </c>
      <c r="B7074" s="1">
        <v>45861</v>
      </c>
      <c r="C7074">
        <v>2025</v>
      </c>
      <c r="D7074">
        <v>7</v>
      </c>
      <c r="E7074" t="s">
        <v>37</v>
      </c>
      <c r="F7074" t="s">
        <v>24</v>
      </c>
      <c r="G7074" t="s">
        <v>41</v>
      </c>
      <c r="H7074" t="s">
        <v>42</v>
      </c>
      <c r="I7074">
        <v>3678.19</v>
      </c>
      <c r="J7074">
        <v>3692.16</v>
      </c>
      <c r="K7074" t="s">
        <v>17</v>
      </c>
      <c r="L7074" t="b">
        <v>0</v>
      </c>
      <c r="N7074" s="2" t="str">
        <f t="shared" si="634"/>
        <v/>
      </c>
      <c r="Q7074" t="str">
        <f t="shared" si="633"/>
        <v/>
      </c>
    </row>
    <row r="7075" spans="1:17" hidden="1">
      <c r="A7075" t="s">
        <v>7180</v>
      </c>
      <c r="B7075" s="1">
        <v>45861</v>
      </c>
      <c r="C7075">
        <v>2025</v>
      </c>
      <c r="D7075">
        <v>7</v>
      </c>
      <c r="E7075" t="s">
        <v>37</v>
      </c>
      <c r="F7075" t="s">
        <v>24</v>
      </c>
      <c r="G7075" t="s">
        <v>41</v>
      </c>
      <c r="H7075" t="s">
        <v>42</v>
      </c>
      <c r="I7075">
        <v>2223.79</v>
      </c>
      <c r="J7075">
        <v>2318.36</v>
      </c>
      <c r="K7075" t="s">
        <v>17</v>
      </c>
      <c r="L7075" t="b">
        <v>0</v>
      </c>
      <c r="N7075" s="2" t="str">
        <f t="shared" si="634"/>
        <v/>
      </c>
      <c r="Q7075" t="str">
        <f t="shared" si="633"/>
        <v/>
      </c>
    </row>
    <row r="7076" spans="1:17" hidden="1">
      <c r="A7076" t="s">
        <v>7181</v>
      </c>
      <c r="B7076" s="1">
        <v>45862</v>
      </c>
      <c r="C7076">
        <v>2025</v>
      </c>
      <c r="D7076">
        <v>7</v>
      </c>
      <c r="E7076" t="s">
        <v>47</v>
      </c>
      <c r="F7076" t="s">
        <v>24</v>
      </c>
      <c r="G7076" t="s">
        <v>51</v>
      </c>
      <c r="H7076" t="s">
        <v>189</v>
      </c>
      <c r="I7076">
        <v>9362.75</v>
      </c>
      <c r="J7076">
        <v>7731.91</v>
      </c>
      <c r="K7076" t="s">
        <v>17</v>
      </c>
      <c r="L7076" t="b">
        <v>0</v>
      </c>
      <c r="N7076" s="2" t="b">
        <f t="shared" si="634"/>
        <v>1</v>
      </c>
      <c r="O7076" t="str">
        <f>IF(AND(E7065="HR",K7065="EXPENSE"),I7065&lt;J7065,"")</f>
        <v/>
      </c>
      <c r="Q7076" t="str">
        <f t="shared" si="633"/>
        <v/>
      </c>
    </row>
    <row r="7077" spans="1:17" hidden="1">
      <c r="A7077" t="s">
        <v>7182</v>
      </c>
      <c r="B7077" s="1">
        <v>45862</v>
      </c>
      <c r="C7077">
        <v>2025</v>
      </c>
      <c r="D7077">
        <v>7</v>
      </c>
      <c r="E7077" t="s">
        <v>19</v>
      </c>
      <c r="F7077" t="s">
        <v>24</v>
      </c>
      <c r="G7077" t="s">
        <v>20</v>
      </c>
      <c r="H7077" t="s">
        <v>21</v>
      </c>
      <c r="I7077">
        <v>4859.93</v>
      </c>
      <c r="J7077">
        <v>5314.01</v>
      </c>
      <c r="K7077" t="s">
        <v>17</v>
      </c>
      <c r="L7077" t="b">
        <v>0</v>
      </c>
      <c r="N7077" s="2" t="str">
        <f t="shared" si="634"/>
        <v/>
      </c>
      <c r="Q7077" t="str">
        <f t="shared" si="633"/>
        <v/>
      </c>
    </row>
    <row r="7078" spans="1:17" hidden="1">
      <c r="A7078" t="s">
        <v>7183</v>
      </c>
      <c r="B7078" s="1">
        <v>45862</v>
      </c>
      <c r="C7078">
        <v>2025</v>
      </c>
      <c r="D7078">
        <v>7</v>
      </c>
      <c r="E7078" t="s">
        <v>23</v>
      </c>
      <c r="F7078" t="s">
        <v>28</v>
      </c>
      <c r="G7078" t="s">
        <v>30</v>
      </c>
      <c r="H7078" t="s">
        <v>31</v>
      </c>
      <c r="I7078">
        <v>3460.07</v>
      </c>
      <c r="J7078">
        <v>3638.15</v>
      </c>
      <c r="K7078" t="s">
        <v>17</v>
      </c>
      <c r="L7078" t="b">
        <v>0</v>
      </c>
      <c r="N7078" s="2" t="str">
        <f t="shared" si="634"/>
        <v/>
      </c>
      <c r="Q7078" t="str">
        <f t="shared" si="633"/>
        <v/>
      </c>
    </row>
    <row r="7079" spans="1:17" hidden="1">
      <c r="A7079" t="s">
        <v>7184</v>
      </c>
      <c r="B7079" s="1">
        <v>45862</v>
      </c>
      <c r="C7079">
        <v>2025</v>
      </c>
      <c r="D7079">
        <v>7</v>
      </c>
      <c r="E7079" t="s">
        <v>37</v>
      </c>
      <c r="F7079" t="s">
        <v>28</v>
      </c>
      <c r="G7079" t="s">
        <v>98</v>
      </c>
      <c r="H7079" t="s">
        <v>99</v>
      </c>
      <c r="I7079">
        <v>5218.1499999999996</v>
      </c>
      <c r="J7079">
        <v>5576.5</v>
      </c>
      <c r="K7079" t="s">
        <v>17</v>
      </c>
      <c r="L7079" t="b">
        <v>0</v>
      </c>
      <c r="N7079" s="2" t="str">
        <f t="shared" si="634"/>
        <v/>
      </c>
      <c r="Q7079" t="str">
        <f t="shared" si="633"/>
        <v/>
      </c>
    </row>
    <row r="7080" spans="1:17" hidden="1">
      <c r="A7080" t="s">
        <v>7185</v>
      </c>
      <c r="B7080" s="1">
        <v>45863</v>
      </c>
      <c r="C7080">
        <v>2025</v>
      </c>
      <c r="D7080">
        <v>7</v>
      </c>
      <c r="E7080" t="s">
        <v>47</v>
      </c>
      <c r="F7080" t="s">
        <v>28</v>
      </c>
      <c r="G7080" t="s">
        <v>48</v>
      </c>
      <c r="H7080" t="s">
        <v>111</v>
      </c>
      <c r="I7080">
        <v>13499.11</v>
      </c>
      <c r="J7080">
        <v>11690.52</v>
      </c>
      <c r="K7080" t="s">
        <v>17</v>
      </c>
      <c r="L7080" t="b">
        <v>0</v>
      </c>
      <c r="N7080" s="2" t="b">
        <f t="shared" si="634"/>
        <v>1</v>
      </c>
      <c r="O7080" t="str">
        <f>IF(AND(E7069="HR",K7069="EXPENSE"),I7069&lt;J7069,"")</f>
        <v/>
      </c>
      <c r="Q7080" t="str">
        <f t="shared" si="633"/>
        <v/>
      </c>
    </row>
    <row r="7081" spans="1:17" hidden="1">
      <c r="A7081" t="s">
        <v>7186</v>
      </c>
      <c r="B7081" s="1">
        <v>45863</v>
      </c>
      <c r="C7081">
        <v>2025</v>
      </c>
      <c r="D7081">
        <v>7</v>
      </c>
      <c r="E7081" t="s">
        <v>19</v>
      </c>
      <c r="F7081" t="s">
        <v>14</v>
      </c>
      <c r="G7081" t="s">
        <v>20</v>
      </c>
      <c r="H7081" t="s">
        <v>174</v>
      </c>
      <c r="I7081">
        <v>6591.41</v>
      </c>
      <c r="J7081">
        <v>6283.55</v>
      </c>
      <c r="K7081" t="s">
        <v>17</v>
      </c>
      <c r="L7081" t="b">
        <v>0</v>
      </c>
      <c r="N7081" s="2" t="str">
        <f t="shared" si="634"/>
        <v/>
      </c>
      <c r="Q7081" t="str">
        <f t="shared" si="633"/>
        <v/>
      </c>
    </row>
    <row r="7082" spans="1:17" hidden="1">
      <c r="A7082" t="s">
        <v>7187</v>
      </c>
      <c r="B7082" s="1">
        <v>45863</v>
      </c>
      <c r="C7082">
        <v>2025</v>
      </c>
      <c r="D7082">
        <v>7</v>
      </c>
      <c r="E7082" t="s">
        <v>19</v>
      </c>
      <c r="F7082" t="s">
        <v>28</v>
      </c>
      <c r="G7082" t="s">
        <v>80</v>
      </c>
      <c r="H7082" t="s">
        <v>81</v>
      </c>
      <c r="I7082">
        <v>7327.08</v>
      </c>
      <c r="J7082">
        <v>7565.02</v>
      </c>
      <c r="K7082" t="s">
        <v>17</v>
      </c>
      <c r="L7082" t="b">
        <v>0</v>
      </c>
      <c r="N7082" s="2" t="str">
        <f t="shared" si="634"/>
        <v/>
      </c>
      <c r="Q7082" t="str">
        <f t="shared" si="633"/>
        <v/>
      </c>
    </row>
    <row r="7083" spans="1:17" hidden="1">
      <c r="A7083" t="s">
        <v>7188</v>
      </c>
      <c r="B7083" s="1">
        <v>45863</v>
      </c>
      <c r="C7083">
        <v>2025</v>
      </c>
      <c r="D7083">
        <v>7</v>
      </c>
      <c r="E7083" t="s">
        <v>23</v>
      </c>
      <c r="F7083" t="s">
        <v>28</v>
      </c>
      <c r="G7083" t="s">
        <v>141</v>
      </c>
      <c r="H7083" t="s">
        <v>153</v>
      </c>
      <c r="I7083">
        <v>3368.04</v>
      </c>
      <c r="J7083">
        <v>3682.65</v>
      </c>
      <c r="K7083" t="s">
        <v>17</v>
      </c>
      <c r="L7083" t="b">
        <v>0</v>
      </c>
      <c r="N7083" s="2" t="str">
        <f t="shared" si="634"/>
        <v/>
      </c>
      <c r="Q7083" t="str">
        <f t="shared" si="633"/>
        <v/>
      </c>
    </row>
    <row r="7084" spans="1:17" hidden="1">
      <c r="A7084" t="s">
        <v>7189</v>
      </c>
      <c r="B7084" s="1">
        <v>45863</v>
      </c>
      <c r="C7084">
        <v>2025</v>
      </c>
      <c r="D7084">
        <v>7</v>
      </c>
      <c r="E7084" t="s">
        <v>23</v>
      </c>
      <c r="F7084" t="s">
        <v>24</v>
      </c>
      <c r="G7084" t="s">
        <v>30</v>
      </c>
      <c r="H7084" t="s">
        <v>31</v>
      </c>
      <c r="I7084">
        <v>5882.64</v>
      </c>
      <c r="J7084">
        <v>5618.01</v>
      </c>
      <c r="K7084" t="s">
        <v>17</v>
      </c>
      <c r="L7084" t="b">
        <v>0</v>
      </c>
      <c r="N7084" s="2" t="str">
        <f t="shared" si="634"/>
        <v/>
      </c>
      <c r="Q7084" t="str">
        <f t="shared" si="633"/>
        <v/>
      </c>
    </row>
    <row r="7085" spans="1:17" hidden="1">
      <c r="A7085" t="s">
        <v>7190</v>
      </c>
      <c r="B7085" s="1">
        <v>45863</v>
      </c>
      <c r="C7085">
        <v>2025</v>
      </c>
      <c r="D7085">
        <v>7</v>
      </c>
      <c r="E7085" t="s">
        <v>37</v>
      </c>
      <c r="F7085" t="s">
        <v>14</v>
      </c>
      <c r="G7085" t="s">
        <v>38</v>
      </c>
      <c r="H7085" t="s">
        <v>227</v>
      </c>
      <c r="I7085">
        <v>5412.47</v>
      </c>
      <c r="J7085">
        <v>5133.2299999999996</v>
      </c>
      <c r="K7085" t="s">
        <v>17</v>
      </c>
      <c r="L7085" t="b">
        <v>0</v>
      </c>
      <c r="N7085" s="2" t="str">
        <f t="shared" si="634"/>
        <v/>
      </c>
      <c r="Q7085" t="str">
        <f t="shared" si="633"/>
        <v/>
      </c>
    </row>
    <row r="7086" spans="1:17" hidden="1">
      <c r="A7086" t="s">
        <v>7191</v>
      </c>
      <c r="B7086" s="1">
        <v>45863</v>
      </c>
      <c r="C7086">
        <v>2025</v>
      </c>
      <c r="D7086">
        <v>7</v>
      </c>
      <c r="E7086" t="s">
        <v>37</v>
      </c>
      <c r="F7086" t="s">
        <v>24</v>
      </c>
      <c r="G7086" t="s">
        <v>62</v>
      </c>
      <c r="H7086" t="s">
        <v>360</v>
      </c>
      <c r="I7086">
        <v>6040.53</v>
      </c>
      <c r="J7086">
        <v>5926.33</v>
      </c>
      <c r="K7086" t="s">
        <v>17</v>
      </c>
      <c r="L7086" t="b">
        <v>0</v>
      </c>
      <c r="N7086" s="2" t="str">
        <f t="shared" si="634"/>
        <v/>
      </c>
      <c r="Q7086" t="str">
        <f t="shared" si="633"/>
        <v/>
      </c>
    </row>
    <row r="7087" spans="1:17" hidden="1">
      <c r="A7087" t="s">
        <v>7192</v>
      </c>
      <c r="B7087" s="1">
        <v>45863</v>
      </c>
      <c r="C7087">
        <v>2025</v>
      </c>
      <c r="D7087">
        <v>7</v>
      </c>
      <c r="E7087" t="s">
        <v>37</v>
      </c>
      <c r="F7087" t="s">
        <v>24</v>
      </c>
      <c r="G7087" t="s">
        <v>41</v>
      </c>
      <c r="H7087" t="s">
        <v>42</v>
      </c>
      <c r="I7087">
        <v>5843.98</v>
      </c>
      <c r="J7087">
        <v>5900.33</v>
      </c>
      <c r="K7087" t="s">
        <v>17</v>
      </c>
      <c r="L7087" t="b">
        <v>0</v>
      </c>
      <c r="N7087" s="2" t="str">
        <f t="shared" si="634"/>
        <v/>
      </c>
      <c r="Q7087" t="str">
        <f t="shared" si="633"/>
        <v/>
      </c>
    </row>
    <row r="7088" spans="1:17" hidden="1">
      <c r="A7088" t="s">
        <v>7193</v>
      </c>
      <c r="B7088" s="1">
        <v>45864</v>
      </c>
      <c r="C7088">
        <v>2025</v>
      </c>
      <c r="D7088">
        <v>7</v>
      </c>
      <c r="E7088" t="s">
        <v>13</v>
      </c>
      <c r="F7088" t="s">
        <v>14</v>
      </c>
      <c r="G7088" t="s">
        <v>68</v>
      </c>
      <c r="H7088" t="s">
        <v>213</v>
      </c>
      <c r="I7088">
        <v>2791.57</v>
      </c>
      <c r="J7088">
        <v>2947.85</v>
      </c>
      <c r="K7088" t="s">
        <v>17</v>
      </c>
      <c r="L7088" t="b">
        <v>0</v>
      </c>
      <c r="N7088" s="2" t="str">
        <f t="shared" si="634"/>
        <v/>
      </c>
      <c r="Q7088" t="str">
        <f t="shared" ref="Q7088:Q7151" si="636">IF(L7088=TRUE,OR(H7088="Apex Solutions Inc",H7088="Global Trade Partners",H7088="NovaTech Services"),"")</f>
        <v/>
      </c>
    </row>
    <row r="7089" spans="1:17" hidden="1">
      <c r="A7089" t="s">
        <v>7194</v>
      </c>
      <c r="B7089" s="1">
        <v>45864</v>
      </c>
      <c r="C7089">
        <v>2025</v>
      </c>
      <c r="D7089">
        <v>7</v>
      </c>
      <c r="E7089" t="s">
        <v>13</v>
      </c>
      <c r="F7089" t="s">
        <v>28</v>
      </c>
      <c r="G7089" t="s">
        <v>15</v>
      </c>
      <c r="H7089" t="s">
        <v>89</v>
      </c>
      <c r="I7089">
        <v>4595.33</v>
      </c>
      <c r="J7089">
        <v>4539.3500000000004</v>
      </c>
      <c r="K7089" t="s">
        <v>17</v>
      </c>
      <c r="L7089" t="b">
        <v>0</v>
      </c>
      <c r="N7089" s="2" t="str">
        <f t="shared" si="634"/>
        <v/>
      </c>
      <c r="Q7089" t="str">
        <f t="shared" si="636"/>
        <v/>
      </c>
    </row>
    <row r="7090" spans="1:17" hidden="1">
      <c r="A7090" t="s">
        <v>7195</v>
      </c>
      <c r="B7090" s="1">
        <v>45864</v>
      </c>
      <c r="C7090">
        <v>2025</v>
      </c>
      <c r="D7090">
        <v>7</v>
      </c>
      <c r="E7090" t="s">
        <v>13</v>
      </c>
      <c r="F7090" t="s">
        <v>28</v>
      </c>
      <c r="G7090" t="s">
        <v>102</v>
      </c>
      <c r="H7090" t="s">
        <v>145</v>
      </c>
      <c r="I7090">
        <v>4220.3500000000004</v>
      </c>
      <c r="J7090">
        <v>4424.5</v>
      </c>
      <c r="K7090" t="s">
        <v>17</v>
      </c>
      <c r="L7090" t="b">
        <v>0</v>
      </c>
      <c r="N7090" s="2" t="str">
        <f t="shared" si="634"/>
        <v/>
      </c>
      <c r="Q7090" t="str">
        <f t="shared" si="636"/>
        <v/>
      </c>
    </row>
    <row r="7091" spans="1:17" hidden="1">
      <c r="A7091" t="s">
        <v>7196</v>
      </c>
      <c r="B7091" s="1">
        <v>45864</v>
      </c>
      <c r="C7091">
        <v>2025</v>
      </c>
      <c r="D7091">
        <v>7</v>
      </c>
      <c r="E7091" t="s">
        <v>47</v>
      </c>
      <c r="F7091" t="s">
        <v>14</v>
      </c>
      <c r="G7091" t="s">
        <v>48</v>
      </c>
      <c r="H7091" t="s">
        <v>49</v>
      </c>
      <c r="I7091">
        <v>17467.740000000002</v>
      </c>
      <c r="J7091">
        <v>15037.06</v>
      </c>
      <c r="K7091" t="s">
        <v>17</v>
      </c>
      <c r="L7091" t="b">
        <v>0</v>
      </c>
      <c r="N7091" s="2" t="b">
        <f t="shared" si="634"/>
        <v>1</v>
      </c>
      <c r="O7091" t="str">
        <f t="shared" ref="O7091:O7093" si="637">IF(AND(E7080="HR",K7080="EXPENSE"),I7080&lt;J7080,"")</f>
        <v/>
      </c>
      <c r="Q7091" t="str">
        <f t="shared" si="636"/>
        <v/>
      </c>
    </row>
    <row r="7092" spans="1:17" hidden="1">
      <c r="A7092" t="s">
        <v>7197</v>
      </c>
      <c r="B7092" s="1">
        <v>45864</v>
      </c>
      <c r="C7092">
        <v>2025</v>
      </c>
      <c r="D7092">
        <v>7</v>
      </c>
      <c r="E7092" t="s">
        <v>47</v>
      </c>
      <c r="F7092" t="s">
        <v>28</v>
      </c>
      <c r="G7092" t="s">
        <v>48</v>
      </c>
      <c r="H7092" t="s">
        <v>191</v>
      </c>
      <c r="I7092">
        <v>14308.45</v>
      </c>
      <c r="J7092">
        <v>12217.83</v>
      </c>
      <c r="K7092" t="s">
        <v>17</v>
      </c>
      <c r="L7092" t="b">
        <v>0</v>
      </c>
      <c r="N7092" s="2" t="b">
        <f t="shared" si="634"/>
        <v>1</v>
      </c>
      <c r="O7092" t="str">
        <f t="shared" si="637"/>
        <v/>
      </c>
      <c r="Q7092" t="str">
        <f t="shared" si="636"/>
        <v/>
      </c>
    </row>
    <row r="7093" spans="1:17" hidden="1">
      <c r="A7093" t="s">
        <v>7198</v>
      </c>
      <c r="B7093" s="1">
        <v>45864</v>
      </c>
      <c r="C7093">
        <v>2025</v>
      </c>
      <c r="D7093">
        <v>7</v>
      </c>
      <c r="E7093" t="s">
        <v>47</v>
      </c>
      <c r="F7093" t="s">
        <v>28</v>
      </c>
      <c r="G7093" t="s">
        <v>77</v>
      </c>
      <c r="H7093" t="s">
        <v>130</v>
      </c>
      <c r="I7093">
        <v>18402.099999999999</v>
      </c>
      <c r="J7093">
        <v>15399.36</v>
      </c>
      <c r="K7093" t="s">
        <v>17</v>
      </c>
      <c r="L7093" t="b">
        <v>0</v>
      </c>
      <c r="N7093" s="2" t="b">
        <f t="shared" si="634"/>
        <v>1</v>
      </c>
      <c r="O7093" t="str">
        <f t="shared" si="637"/>
        <v/>
      </c>
      <c r="Q7093" t="str">
        <f t="shared" si="636"/>
        <v/>
      </c>
    </row>
    <row r="7094" spans="1:17" hidden="1">
      <c r="A7094" t="s">
        <v>7199</v>
      </c>
      <c r="B7094" s="1">
        <v>45864</v>
      </c>
      <c r="C7094">
        <v>2025</v>
      </c>
      <c r="D7094">
        <v>7</v>
      </c>
      <c r="E7094" t="s">
        <v>19</v>
      </c>
      <c r="F7094" t="s">
        <v>14</v>
      </c>
      <c r="G7094" t="s">
        <v>54</v>
      </c>
      <c r="H7094" t="s">
        <v>163</v>
      </c>
      <c r="I7094">
        <v>5595.34</v>
      </c>
      <c r="J7094">
        <v>5442.96</v>
      </c>
      <c r="K7094" t="s">
        <v>17</v>
      </c>
      <c r="L7094" t="b">
        <v>0</v>
      </c>
      <c r="N7094" s="2" t="str">
        <f t="shared" si="634"/>
        <v/>
      </c>
      <c r="Q7094" t="str">
        <f t="shared" si="636"/>
        <v/>
      </c>
    </row>
    <row r="7095" spans="1:17" hidden="1">
      <c r="A7095" t="s">
        <v>7200</v>
      </c>
      <c r="B7095" s="1">
        <v>45864</v>
      </c>
      <c r="C7095">
        <v>2025</v>
      </c>
      <c r="D7095">
        <v>7</v>
      </c>
      <c r="E7095" t="s">
        <v>19</v>
      </c>
      <c r="F7095" t="s">
        <v>28</v>
      </c>
      <c r="G7095" t="s">
        <v>80</v>
      </c>
      <c r="H7095" t="s">
        <v>217</v>
      </c>
      <c r="I7095">
        <v>6855.82</v>
      </c>
      <c r="J7095">
        <v>6689.03</v>
      </c>
      <c r="K7095" t="s">
        <v>17</v>
      </c>
      <c r="L7095" t="b">
        <v>0</v>
      </c>
      <c r="N7095" s="2" t="str">
        <f t="shared" si="634"/>
        <v/>
      </c>
      <c r="Q7095" t="str">
        <f t="shared" si="636"/>
        <v/>
      </c>
    </row>
    <row r="7096" spans="1:17" hidden="1">
      <c r="A7096" t="s">
        <v>7201</v>
      </c>
      <c r="B7096" s="1">
        <v>45864</v>
      </c>
      <c r="C7096">
        <v>2025</v>
      </c>
      <c r="D7096">
        <v>7</v>
      </c>
      <c r="E7096" t="s">
        <v>23</v>
      </c>
      <c r="F7096" t="s">
        <v>28</v>
      </c>
      <c r="G7096" t="s">
        <v>59</v>
      </c>
      <c r="H7096" t="s">
        <v>60</v>
      </c>
      <c r="I7096">
        <v>4585.46</v>
      </c>
      <c r="J7096">
        <v>4381.1499999999996</v>
      </c>
      <c r="K7096" t="s">
        <v>17</v>
      </c>
      <c r="L7096" t="b">
        <v>0</v>
      </c>
      <c r="N7096" s="2" t="str">
        <f t="shared" si="634"/>
        <v/>
      </c>
      <c r="Q7096" t="str">
        <f t="shared" si="636"/>
        <v/>
      </c>
    </row>
    <row r="7097" spans="1:17" hidden="1">
      <c r="A7097" t="s">
        <v>7202</v>
      </c>
      <c r="B7097" s="1">
        <v>45864</v>
      </c>
      <c r="C7097">
        <v>2025</v>
      </c>
      <c r="D7097">
        <v>7</v>
      </c>
      <c r="E7097" t="s">
        <v>37</v>
      </c>
      <c r="F7097" t="s">
        <v>24</v>
      </c>
      <c r="G7097" t="s">
        <v>41</v>
      </c>
      <c r="H7097" t="s">
        <v>42</v>
      </c>
      <c r="I7097">
        <v>3639.58</v>
      </c>
      <c r="J7097">
        <v>3327.27</v>
      </c>
      <c r="K7097" t="s">
        <v>17</v>
      </c>
      <c r="L7097" t="b">
        <v>0</v>
      </c>
      <c r="N7097" s="2" t="str">
        <f t="shared" si="634"/>
        <v/>
      </c>
      <c r="Q7097" t="str">
        <f t="shared" si="636"/>
        <v/>
      </c>
    </row>
    <row r="7098" spans="1:17" hidden="1">
      <c r="A7098" t="s">
        <v>7203</v>
      </c>
      <c r="B7098" s="1">
        <v>45865</v>
      </c>
      <c r="C7098">
        <v>2025</v>
      </c>
      <c r="D7098">
        <v>7</v>
      </c>
      <c r="E7098" t="s">
        <v>13</v>
      </c>
      <c r="F7098" t="s">
        <v>14</v>
      </c>
      <c r="G7098" t="s">
        <v>108</v>
      </c>
      <c r="H7098" t="s">
        <v>126</v>
      </c>
      <c r="I7098">
        <v>2305.9</v>
      </c>
      <c r="J7098">
        <v>2421.02</v>
      </c>
      <c r="K7098" t="s">
        <v>17</v>
      </c>
      <c r="L7098" t="b">
        <v>0</v>
      </c>
      <c r="N7098" s="2" t="str">
        <f t="shared" si="634"/>
        <v/>
      </c>
      <c r="Q7098" t="str">
        <f t="shared" si="636"/>
        <v/>
      </c>
    </row>
    <row r="7099" spans="1:17" hidden="1">
      <c r="A7099" t="s">
        <v>7204</v>
      </c>
      <c r="B7099" s="1">
        <v>45865</v>
      </c>
      <c r="C7099">
        <v>2025</v>
      </c>
      <c r="D7099">
        <v>7</v>
      </c>
      <c r="E7099" t="s">
        <v>47</v>
      </c>
      <c r="F7099" t="s">
        <v>14</v>
      </c>
      <c r="G7099" t="s">
        <v>77</v>
      </c>
      <c r="H7099" t="s">
        <v>130</v>
      </c>
      <c r="I7099">
        <v>9009.75</v>
      </c>
      <c r="J7099">
        <v>7476.79</v>
      </c>
      <c r="K7099" t="s">
        <v>17</v>
      </c>
      <c r="L7099" t="b">
        <v>0</v>
      </c>
      <c r="N7099" s="2" t="b">
        <f t="shared" si="634"/>
        <v>1</v>
      </c>
      <c r="O7099" t="b">
        <f t="shared" ref="O7099:O7100" si="638">IF(AND(E7088="HR",K7088="EXPENSE"),I7088&lt;J7088,"")</f>
        <v>1</v>
      </c>
      <c r="Q7099" t="str">
        <f t="shared" si="636"/>
        <v/>
      </c>
    </row>
    <row r="7100" spans="1:17" hidden="1">
      <c r="A7100" t="s">
        <v>7205</v>
      </c>
      <c r="B7100" s="1">
        <v>45865</v>
      </c>
      <c r="C7100">
        <v>2025</v>
      </c>
      <c r="D7100">
        <v>7</v>
      </c>
      <c r="E7100" t="s">
        <v>47</v>
      </c>
      <c r="F7100" t="s">
        <v>24</v>
      </c>
      <c r="G7100" t="s">
        <v>77</v>
      </c>
      <c r="H7100" t="s">
        <v>147</v>
      </c>
      <c r="I7100">
        <v>10529.5</v>
      </c>
      <c r="J7100">
        <v>9061.32</v>
      </c>
      <c r="K7100" t="s">
        <v>17</v>
      </c>
      <c r="L7100" t="b">
        <v>0</v>
      </c>
      <c r="N7100" s="2" t="b">
        <f t="shared" si="634"/>
        <v>1</v>
      </c>
      <c r="O7100" t="b">
        <f t="shared" si="638"/>
        <v>0</v>
      </c>
      <c r="Q7100" t="str">
        <f t="shared" si="636"/>
        <v/>
      </c>
    </row>
    <row r="7101" spans="1:17" hidden="1">
      <c r="A7101" t="s">
        <v>7206</v>
      </c>
      <c r="B7101" s="1">
        <v>45865</v>
      </c>
      <c r="C7101">
        <v>2025</v>
      </c>
      <c r="D7101">
        <v>7</v>
      </c>
      <c r="E7101" t="s">
        <v>19</v>
      </c>
      <c r="F7101" t="s">
        <v>14</v>
      </c>
      <c r="G7101" t="s">
        <v>54</v>
      </c>
      <c r="H7101" t="s">
        <v>163</v>
      </c>
      <c r="I7101">
        <v>2503.14</v>
      </c>
      <c r="J7101">
        <v>2487.21</v>
      </c>
      <c r="K7101" t="s">
        <v>17</v>
      </c>
      <c r="L7101" t="b">
        <v>0</v>
      </c>
      <c r="N7101" s="2" t="str">
        <f t="shared" si="634"/>
        <v/>
      </c>
      <c r="Q7101" t="str">
        <f t="shared" si="636"/>
        <v/>
      </c>
    </row>
    <row r="7102" spans="1:17" hidden="1">
      <c r="A7102" t="s">
        <v>7207</v>
      </c>
      <c r="B7102" s="1">
        <v>45865</v>
      </c>
      <c r="C7102">
        <v>2025</v>
      </c>
      <c r="D7102">
        <v>7</v>
      </c>
      <c r="E7102" t="s">
        <v>19</v>
      </c>
      <c r="F7102" t="s">
        <v>28</v>
      </c>
      <c r="G7102" t="s">
        <v>80</v>
      </c>
      <c r="H7102" t="s">
        <v>81</v>
      </c>
      <c r="I7102">
        <v>7468.12</v>
      </c>
      <c r="J7102">
        <v>7975.74</v>
      </c>
      <c r="K7102" t="s">
        <v>17</v>
      </c>
      <c r="L7102" t="b">
        <v>0</v>
      </c>
      <c r="N7102" s="2" t="str">
        <f t="shared" si="634"/>
        <v/>
      </c>
      <c r="Q7102" t="str">
        <f t="shared" si="636"/>
        <v/>
      </c>
    </row>
    <row r="7103" spans="1:17" hidden="1">
      <c r="A7103" t="s">
        <v>7208</v>
      </c>
      <c r="B7103" s="1">
        <v>45865</v>
      </c>
      <c r="C7103">
        <v>2025</v>
      </c>
      <c r="D7103">
        <v>7</v>
      </c>
      <c r="E7103" t="s">
        <v>19</v>
      </c>
      <c r="F7103" t="s">
        <v>24</v>
      </c>
      <c r="G7103" t="s">
        <v>80</v>
      </c>
      <c r="H7103" t="s">
        <v>217</v>
      </c>
      <c r="I7103">
        <v>8194.76</v>
      </c>
      <c r="J7103">
        <v>8500.5499999999993</v>
      </c>
      <c r="K7103" t="s">
        <v>17</v>
      </c>
      <c r="L7103" t="b">
        <v>0</v>
      </c>
      <c r="N7103" s="2" t="str">
        <f t="shared" si="634"/>
        <v/>
      </c>
      <c r="Q7103" t="str">
        <f t="shared" si="636"/>
        <v/>
      </c>
    </row>
    <row r="7104" spans="1:17" hidden="1">
      <c r="A7104" t="s">
        <v>7209</v>
      </c>
      <c r="B7104" s="1">
        <v>45865</v>
      </c>
      <c r="C7104">
        <v>2025</v>
      </c>
      <c r="D7104">
        <v>7</v>
      </c>
      <c r="E7104" t="s">
        <v>37</v>
      </c>
      <c r="F7104" t="s">
        <v>14</v>
      </c>
      <c r="G7104" t="s">
        <v>62</v>
      </c>
      <c r="H7104" t="s">
        <v>63</v>
      </c>
      <c r="I7104">
        <v>5335.36</v>
      </c>
      <c r="J7104">
        <v>4946.29</v>
      </c>
      <c r="K7104" t="s">
        <v>17</v>
      </c>
      <c r="L7104" t="b">
        <v>0</v>
      </c>
      <c r="N7104" s="2" t="str">
        <f t="shared" si="634"/>
        <v/>
      </c>
      <c r="Q7104" t="str">
        <f t="shared" si="636"/>
        <v/>
      </c>
    </row>
    <row r="7105" spans="1:17" hidden="1">
      <c r="A7105" t="s">
        <v>7210</v>
      </c>
      <c r="B7105" s="1">
        <v>45865</v>
      </c>
      <c r="C7105">
        <v>2025</v>
      </c>
      <c r="D7105">
        <v>7</v>
      </c>
      <c r="E7105" t="s">
        <v>37</v>
      </c>
      <c r="F7105" t="s">
        <v>24</v>
      </c>
      <c r="G7105" t="s">
        <v>41</v>
      </c>
      <c r="H7105" t="s">
        <v>42</v>
      </c>
      <c r="I7105">
        <v>3519.71</v>
      </c>
      <c r="J7105">
        <v>3492.95</v>
      </c>
      <c r="K7105" t="s">
        <v>17</v>
      </c>
      <c r="L7105" t="b">
        <v>0</v>
      </c>
      <c r="N7105" s="2" t="str">
        <f t="shared" si="634"/>
        <v/>
      </c>
      <c r="Q7105" t="str">
        <f t="shared" si="636"/>
        <v/>
      </c>
    </row>
    <row r="7106" spans="1:17" hidden="1">
      <c r="A7106" t="s">
        <v>7211</v>
      </c>
      <c r="B7106" s="1">
        <v>45866</v>
      </c>
      <c r="C7106">
        <v>2025</v>
      </c>
      <c r="D7106">
        <v>7</v>
      </c>
      <c r="E7106" t="s">
        <v>13</v>
      </c>
      <c r="F7106" t="s">
        <v>14</v>
      </c>
      <c r="G7106" t="s">
        <v>15</v>
      </c>
      <c r="H7106" t="s">
        <v>89</v>
      </c>
      <c r="I7106">
        <v>3810.18</v>
      </c>
      <c r="J7106">
        <v>4081.06</v>
      </c>
      <c r="K7106" t="s">
        <v>17</v>
      </c>
      <c r="L7106" t="b">
        <v>0</v>
      </c>
      <c r="N7106" s="2" t="str">
        <f t="shared" si="634"/>
        <v/>
      </c>
      <c r="Q7106" t="str">
        <f t="shared" si="636"/>
        <v/>
      </c>
    </row>
    <row r="7107" spans="1:17" hidden="1">
      <c r="A7107" t="s">
        <v>7212</v>
      </c>
      <c r="B7107" s="1">
        <v>45866</v>
      </c>
      <c r="C7107">
        <v>2025</v>
      </c>
      <c r="D7107">
        <v>7</v>
      </c>
      <c r="E7107" t="s">
        <v>13</v>
      </c>
      <c r="F7107" t="s">
        <v>28</v>
      </c>
      <c r="G7107" t="s">
        <v>68</v>
      </c>
      <c r="H7107" t="s">
        <v>87</v>
      </c>
      <c r="I7107">
        <v>4584.46</v>
      </c>
      <c r="J7107">
        <v>4179.7700000000004</v>
      </c>
      <c r="K7107" t="s">
        <v>17</v>
      </c>
      <c r="L7107" t="b">
        <v>0</v>
      </c>
      <c r="N7107" s="2" t="str">
        <f t="shared" ref="N7107:N7170" si="639">IF(AND(E7107="IT",K7107="EXPENSE"),I7107&gt;J7107,"")</f>
        <v/>
      </c>
      <c r="Q7107" t="str">
        <f t="shared" si="636"/>
        <v/>
      </c>
    </row>
    <row r="7108" spans="1:17" hidden="1">
      <c r="A7108" t="s">
        <v>7213</v>
      </c>
      <c r="B7108" s="1">
        <v>45866</v>
      </c>
      <c r="C7108">
        <v>2025</v>
      </c>
      <c r="D7108">
        <v>7</v>
      </c>
      <c r="E7108" t="s">
        <v>13</v>
      </c>
      <c r="F7108" t="s">
        <v>24</v>
      </c>
      <c r="G7108" t="s">
        <v>102</v>
      </c>
      <c r="H7108" t="s">
        <v>103</v>
      </c>
      <c r="I7108">
        <v>2979.95</v>
      </c>
      <c r="J7108">
        <v>2882.16</v>
      </c>
      <c r="K7108" t="s">
        <v>17</v>
      </c>
      <c r="L7108" t="b">
        <v>0</v>
      </c>
      <c r="N7108" s="2" t="str">
        <f t="shared" si="639"/>
        <v/>
      </c>
      <c r="Q7108" t="str">
        <f t="shared" si="636"/>
        <v/>
      </c>
    </row>
    <row r="7109" spans="1:17" hidden="1">
      <c r="A7109" t="s">
        <v>7214</v>
      </c>
      <c r="B7109" s="1">
        <v>45866</v>
      </c>
      <c r="C7109">
        <v>2025</v>
      </c>
      <c r="D7109">
        <v>7</v>
      </c>
      <c r="E7109" t="s">
        <v>47</v>
      </c>
      <c r="F7109" t="s">
        <v>14</v>
      </c>
      <c r="G7109" t="s">
        <v>51</v>
      </c>
      <c r="H7109" t="s">
        <v>72</v>
      </c>
      <c r="I7109">
        <v>16842.259999999998</v>
      </c>
      <c r="J7109">
        <v>14070.47</v>
      </c>
      <c r="K7109" t="s">
        <v>17</v>
      </c>
      <c r="L7109" t="b">
        <v>0</v>
      </c>
      <c r="N7109" s="2" t="b">
        <f t="shared" si="639"/>
        <v>1</v>
      </c>
      <c r="O7109" t="b">
        <f>IF(AND(E7098="HR",K7098="EXPENSE"),I7098&lt;J7098,"")</f>
        <v>1</v>
      </c>
      <c r="Q7109" t="str">
        <f t="shared" si="636"/>
        <v/>
      </c>
    </row>
    <row r="7110" spans="1:17" hidden="1">
      <c r="A7110" t="s">
        <v>7215</v>
      </c>
      <c r="B7110" s="1">
        <v>45866</v>
      </c>
      <c r="C7110">
        <v>2025</v>
      </c>
      <c r="D7110">
        <v>7</v>
      </c>
      <c r="E7110" t="s">
        <v>19</v>
      </c>
      <c r="F7110" t="s">
        <v>14</v>
      </c>
      <c r="G7110" t="s">
        <v>132</v>
      </c>
      <c r="H7110" t="s">
        <v>138</v>
      </c>
      <c r="I7110">
        <v>7721.73</v>
      </c>
      <c r="J7110">
        <v>7616.78</v>
      </c>
      <c r="K7110" t="s">
        <v>17</v>
      </c>
      <c r="L7110" t="b">
        <v>0</v>
      </c>
      <c r="N7110" s="2" t="str">
        <f t="shared" si="639"/>
        <v/>
      </c>
      <c r="Q7110" t="str">
        <f t="shared" si="636"/>
        <v/>
      </c>
    </row>
    <row r="7111" spans="1:17" hidden="1">
      <c r="A7111" t="s">
        <v>7216</v>
      </c>
      <c r="B7111" s="1">
        <v>45866</v>
      </c>
      <c r="C7111">
        <v>2025</v>
      </c>
      <c r="D7111">
        <v>7</v>
      </c>
      <c r="E7111" t="s">
        <v>23</v>
      </c>
      <c r="F7111" t="s">
        <v>28</v>
      </c>
      <c r="G7111" t="s">
        <v>141</v>
      </c>
      <c r="H7111" t="s">
        <v>209</v>
      </c>
      <c r="I7111">
        <v>4205.12</v>
      </c>
      <c r="J7111">
        <v>3827.17</v>
      </c>
      <c r="K7111" t="s">
        <v>17</v>
      </c>
      <c r="L7111" t="b">
        <v>0</v>
      </c>
      <c r="N7111" s="2" t="str">
        <f t="shared" si="639"/>
        <v/>
      </c>
      <c r="Q7111" t="str">
        <f t="shared" si="636"/>
        <v/>
      </c>
    </row>
    <row r="7112" spans="1:17" hidden="1">
      <c r="A7112" t="s">
        <v>7217</v>
      </c>
      <c r="B7112" s="1">
        <v>45866</v>
      </c>
      <c r="C7112">
        <v>2025</v>
      </c>
      <c r="D7112">
        <v>7</v>
      </c>
      <c r="E7112" t="s">
        <v>37</v>
      </c>
      <c r="F7112" t="s">
        <v>24</v>
      </c>
      <c r="G7112" t="s">
        <v>41</v>
      </c>
      <c r="H7112" t="s">
        <v>42</v>
      </c>
      <c r="I7112">
        <v>3267.14</v>
      </c>
      <c r="J7112">
        <v>3419.59</v>
      </c>
      <c r="K7112" t="s">
        <v>17</v>
      </c>
      <c r="L7112" t="b">
        <v>0</v>
      </c>
      <c r="N7112" s="2" t="str">
        <f t="shared" si="639"/>
        <v/>
      </c>
      <c r="Q7112" t="str">
        <f t="shared" si="636"/>
        <v/>
      </c>
    </row>
    <row r="7113" spans="1:17" hidden="1">
      <c r="A7113" t="s">
        <v>7218</v>
      </c>
      <c r="B7113" s="1">
        <v>45866</v>
      </c>
      <c r="C7113">
        <v>2025</v>
      </c>
      <c r="D7113">
        <v>7</v>
      </c>
      <c r="E7113" t="s">
        <v>37</v>
      </c>
      <c r="F7113" t="s">
        <v>24</v>
      </c>
      <c r="G7113" t="s">
        <v>62</v>
      </c>
      <c r="H7113" t="s">
        <v>66</v>
      </c>
      <c r="I7113">
        <v>4218.4799999999996</v>
      </c>
      <c r="J7113">
        <v>4257.1000000000004</v>
      </c>
      <c r="K7113" t="s">
        <v>17</v>
      </c>
      <c r="L7113" t="b">
        <v>0</v>
      </c>
      <c r="N7113" s="2" t="str">
        <f t="shared" si="639"/>
        <v/>
      </c>
      <c r="Q7113" t="str">
        <f t="shared" si="636"/>
        <v/>
      </c>
    </row>
    <row r="7114" spans="1:17" hidden="1">
      <c r="A7114" t="s">
        <v>7219</v>
      </c>
      <c r="B7114" s="1">
        <v>45867</v>
      </c>
      <c r="C7114">
        <v>2025</v>
      </c>
      <c r="D7114">
        <v>7</v>
      </c>
      <c r="E7114" t="s">
        <v>47</v>
      </c>
      <c r="F7114" t="s">
        <v>24</v>
      </c>
      <c r="G7114" t="s">
        <v>91</v>
      </c>
      <c r="H7114" t="s">
        <v>128</v>
      </c>
      <c r="I7114">
        <v>13328.74</v>
      </c>
      <c r="J7114">
        <v>11014.25</v>
      </c>
      <c r="K7114" t="s">
        <v>17</v>
      </c>
      <c r="L7114" t="b">
        <v>0</v>
      </c>
      <c r="N7114" s="2" t="b">
        <f t="shared" si="639"/>
        <v>1</v>
      </c>
      <c r="O7114" t="str">
        <f>IF(AND(E7103="HR",K7103="EXPENSE"),I7103&lt;J7103,"")</f>
        <v/>
      </c>
      <c r="Q7114" t="str">
        <f t="shared" si="636"/>
        <v/>
      </c>
    </row>
    <row r="7115" spans="1:17" hidden="1">
      <c r="A7115" t="s">
        <v>7220</v>
      </c>
      <c r="B7115" s="1">
        <v>45867</v>
      </c>
      <c r="C7115">
        <v>2025</v>
      </c>
      <c r="D7115">
        <v>7</v>
      </c>
      <c r="E7115" t="s">
        <v>19</v>
      </c>
      <c r="F7115" t="s">
        <v>14</v>
      </c>
      <c r="G7115" t="s">
        <v>80</v>
      </c>
      <c r="H7115" t="s">
        <v>150</v>
      </c>
      <c r="I7115">
        <v>5434</v>
      </c>
      <c r="J7115">
        <v>5116.75</v>
      </c>
      <c r="K7115" t="s">
        <v>17</v>
      </c>
      <c r="L7115" t="b">
        <v>0</v>
      </c>
      <c r="N7115" s="2" t="str">
        <f t="shared" si="639"/>
        <v/>
      </c>
      <c r="Q7115" t="str">
        <f t="shared" si="636"/>
        <v/>
      </c>
    </row>
    <row r="7116" spans="1:17" hidden="1">
      <c r="A7116" t="s">
        <v>7221</v>
      </c>
      <c r="B7116" s="1">
        <v>45867</v>
      </c>
      <c r="C7116">
        <v>2025</v>
      </c>
      <c r="D7116">
        <v>7</v>
      </c>
      <c r="E7116" t="s">
        <v>19</v>
      </c>
      <c r="F7116" t="s">
        <v>28</v>
      </c>
      <c r="G7116" t="s">
        <v>54</v>
      </c>
      <c r="H7116" t="s">
        <v>57</v>
      </c>
      <c r="I7116">
        <v>4258.1400000000003</v>
      </c>
      <c r="J7116">
        <v>4536.6099999999997</v>
      </c>
      <c r="K7116" t="s">
        <v>17</v>
      </c>
      <c r="L7116" t="b">
        <v>0</v>
      </c>
      <c r="N7116" s="2" t="str">
        <f t="shared" si="639"/>
        <v/>
      </c>
      <c r="Q7116" t="str">
        <f t="shared" si="636"/>
        <v/>
      </c>
    </row>
    <row r="7117" spans="1:17" hidden="1">
      <c r="A7117" t="s">
        <v>7222</v>
      </c>
      <c r="B7117" s="1">
        <v>45868</v>
      </c>
      <c r="C7117">
        <v>2025</v>
      </c>
      <c r="D7117">
        <v>7</v>
      </c>
      <c r="E7117" t="s">
        <v>13</v>
      </c>
      <c r="F7117" t="s">
        <v>24</v>
      </c>
      <c r="G7117" t="s">
        <v>68</v>
      </c>
      <c r="H7117" t="s">
        <v>69</v>
      </c>
      <c r="I7117">
        <v>4074.7</v>
      </c>
      <c r="J7117">
        <v>4344.75</v>
      </c>
      <c r="K7117" t="s">
        <v>17</v>
      </c>
      <c r="L7117" t="b">
        <v>0</v>
      </c>
      <c r="N7117" s="2" t="str">
        <f t="shared" si="639"/>
        <v/>
      </c>
      <c r="Q7117" t="str">
        <f t="shared" si="636"/>
        <v/>
      </c>
    </row>
    <row r="7118" spans="1:17" hidden="1">
      <c r="A7118" t="s">
        <v>7223</v>
      </c>
      <c r="B7118" s="1">
        <v>45868</v>
      </c>
      <c r="C7118">
        <v>2025</v>
      </c>
      <c r="D7118">
        <v>7</v>
      </c>
      <c r="E7118" t="s">
        <v>19</v>
      </c>
      <c r="F7118" t="s">
        <v>14</v>
      </c>
      <c r="G7118" t="s">
        <v>132</v>
      </c>
      <c r="H7118" t="s">
        <v>133</v>
      </c>
      <c r="I7118">
        <v>4766.26</v>
      </c>
      <c r="J7118">
        <v>4769.97</v>
      </c>
      <c r="K7118" t="s">
        <v>17</v>
      </c>
      <c r="L7118" t="b">
        <v>0</v>
      </c>
      <c r="N7118" s="2" t="str">
        <f t="shared" si="639"/>
        <v/>
      </c>
      <c r="Q7118" t="str">
        <f t="shared" si="636"/>
        <v/>
      </c>
    </row>
    <row r="7119" spans="1:17" hidden="1">
      <c r="A7119" t="s">
        <v>7224</v>
      </c>
      <c r="B7119" s="1">
        <v>45868</v>
      </c>
      <c r="C7119">
        <v>2025</v>
      </c>
      <c r="D7119">
        <v>7</v>
      </c>
      <c r="E7119" t="s">
        <v>23</v>
      </c>
      <c r="F7119" t="s">
        <v>14</v>
      </c>
      <c r="G7119" t="s">
        <v>59</v>
      </c>
      <c r="H7119" t="s">
        <v>60</v>
      </c>
      <c r="I7119">
        <v>1893.68</v>
      </c>
      <c r="J7119">
        <v>1854.98</v>
      </c>
      <c r="K7119" t="s">
        <v>17</v>
      </c>
      <c r="L7119" t="b">
        <v>0</v>
      </c>
      <c r="N7119" s="2" t="str">
        <f t="shared" si="639"/>
        <v/>
      </c>
      <c r="Q7119" t="str">
        <f t="shared" si="636"/>
        <v/>
      </c>
    </row>
    <row r="7120" spans="1:17" hidden="1">
      <c r="A7120" t="s">
        <v>7225</v>
      </c>
      <c r="B7120" s="1">
        <v>45868</v>
      </c>
      <c r="C7120">
        <v>2025</v>
      </c>
      <c r="D7120">
        <v>7</v>
      </c>
      <c r="E7120" t="s">
        <v>23</v>
      </c>
      <c r="F7120" t="s">
        <v>24</v>
      </c>
      <c r="G7120" t="s">
        <v>141</v>
      </c>
      <c r="H7120" t="s">
        <v>209</v>
      </c>
      <c r="I7120">
        <v>7911.4</v>
      </c>
      <c r="J7120">
        <v>8341.5</v>
      </c>
      <c r="K7120" t="s">
        <v>17</v>
      </c>
      <c r="L7120" t="b">
        <v>0</v>
      </c>
      <c r="N7120" s="2" t="str">
        <f t="shared" si="639"/>
        <v/>
      </c>
      <c r="Q7120" t="str">
        <f t="shared" si="636"/>
        <v/>
      </c>
    </row>
    <row r="7121" spans="1:17" hidden="1">
      <c r="A7121" t="s">
        <v>7226</v>
      </c>
      <c r="B7121" s="1">
        <v>45868</v>
      </c>
      <c r="C7121">
        <v>2025</v>
      </c>
      <c r="D7121">
        <v>7</v>
      </c>
      <c r="E7121" t="s">
        <v>37</v>
      </c>
      <c r="F7121" t="s">
        <v>14</v>
      </c>
      <c r="G7121" t="s">
        <v>98</v>
      </c>
      <c r="H7121" t="s">
        <v>185</v>
      </c>
      <c r="I7121">
        <v>4112.62</v>
      </c>
      <c r="J7121">
        <v>4504.4799999999996</v>
      </c>
      <c r="K7121" t="s">
        <v>17</v>
      </c>
      <c r="L7121" t="b">
        <v>0</v>
      </c>
      <c r="N7121" s="2" t="str">
        <f t="shared" si="639"/>
        <v/>
      </c>
      <c r="Q7121" t="str">
        <f t="shared" si="636"/>
        <v/>
      </c>
    </row>
    <row r="7122" spans="1:17" hidden="1">
      <c r="A7122" t="s">
        <v>7227</v>
      </c>
      <c r="B7122" s="1">
        <v>45869</v>
      </c>
      <c r="C7122">
        <v>2025</v>
      </c>
      <c r="D7122">
        <v>7</v>
      </c>
      <c r="E7122" t="s">
        <v>13</v>
      </c>
      <c r="F7122" t="s">
        <v>28</v>
      </c>
      <c r="G7122" t="s">
        <v>68</v>
      </c>
      <c r="H7122" t="s">
        <v>213</v>
      </c>
      <c r="I7122">
        <v>3599.63</v>
      </c>
      <c r="J7122">
        <v>3677.45</v>
      </c>
      <c r="K7122" t="s">
        <v>17</v>
      </c>
      <c r="L7122" t="b">
        <v>0</v>
      </c>
      <c r="N7122" s="2" t="str">
        <f t="shared" si="639"/>
        <v/>
      </c>
      <c r="Q7122" t="str">
        <f t="shared" si="636"/>
        <v/>
      </c>
    </row>
    <row r="7123" spans="1:17" hidden="1">
      <c r="A7123" t="s">
        <v>7228</v>
      </c>
      <c r="B7123" s="1">
        <v>45869</v>
      </c>
      <c r="C7123">
        <v>2025</v>
      </c>
      <c r="D7123">
        <v>7</v>
      </c>
      <c r="E7123" t="s">
        <v>13</v>
      </c>
      <c r="F7123" t="s">
        <v>24</v>
      </c>
      <c r="G7123" t="s">
        <v>102</v>
      </c>
      <c r="H7123" t="s">
        <v>145</v>
      </c>
      <c r="I7123">
        <v>4895.1099999999997</v>
      </c>
      <c r="J7123">
        <v>4991.8100000000004</v>
      </c>
      <c r="K7123" t="s">
        <v>17</v>
      </c>
      <c r="L7123" t="b">
        <v>0</v>
      </c>
      <c r="N7123" s="2" t="str">
        <f t="shared" si="639"/>
        <v/>
      </c>
      <c r="Q7123" t="str">
        <f t="shared" si="636"/>
        <v/>
      </c>
    </row>
    <row r="7124" spans="1:17" hidden="1">
      <c r="A7124" t="s">
        <v>7229</v>
      </c>
      <c r="B7124" s="1">
        <v>45869</v>
      </c>
      <c r="C7124">
        <v>2025</v>
      </c>
      <c r="D7124">
        <v>7</v>
      </c>
      <c r="E7124" t="s">
        <v>19</v>
      </c>
      <c r="F7124" t="s">
        <v>14</v>
      </c>
      <c r="G7124" t="s">
        <v>54</v>
      </c>
      <c r="H7124" t="s">
        <v>57</v>
      </c>
      <c r="I7124">
        <v>6341.31</v>
      </c>
      <c r="J7124">
        <v>6686.56</v>
      </c>
      <c r="K7124" t="s">
        <v>17</v>
      </c>
      <c r="L7124" t="b">
        <v>0</v>
      </c>
      <c r="N7124" s="2" t="str">
        <f t="shared" si="639"/>
        <v/>
      </c>
      <c r="Q7124" t="str">
        <f t="shared" si="636"/>
        <v/>
      </c>
    </row>
    <row r="7125" spans="1:17" hidden="1">
      <c r="A7125" t="s">
        <v>7230</v>
      </c>
      <c r="B7125" s="1">
        <v>45869</v>
      </c>
      <c r="C7125">
        <v>2025</v>
      </c>
      <c r="D7125">
        <v>7</v>
      </c>
      <c r="E7125" t="s">
        <v>23</v>
      </c>
      <c r="F7125" t="s">
        <v>24</v>
      </c>
      <c r="G7125" t="s">
        <v>25</v>
      </c>
      <c r="H7125" t="s">
        <v>95</v>
      </c>
      <c r="I7125">
        <v>3908.32</v>
      </c>
      <c r="J7125">
        <v>3621.97</v>
      </c>
      <c r="K7125" t="s">
        <v>17</v>
      </c>
      <c r="L7125" t="b">
        <v>0</v>
      </c>
      <c r="N7125" s="2" t="str">
        <f t="shared" si="639"/>
        <v/>
      </c>
      <c r="Q7125" t="str">
        <f t="shared" si="636"/>
        <v/>
      </c>
    </row>
    <row r="7126" spans="1:17" hidden="1">
      <c r="A7126" t="s">
        <v>7231</v>
      </c>
      <c r="B7126" s="1">
        <v>45869</v>
      </c>
      <c r="C7126">
        <v>2025</v>
      </c>
      <c r="D7126">
        <v>7</v>
      </c>
      <c r="E7126" t="s">
        <v>23</v>
      </c>
      <c r="F7126" t="s">
        <v>24</v>
      </c>
      <c r="G7126" t="s">
        <v>30</v>
      </c>
      <c r="H7126" t="s">
        <v>106</v>
      </c>
      <c r="I7126">
        <v>5855.44</v>
      </c>
      <c r="J7126">
        <v>5957.06</v>
      </c>
      <c r="K7126" t="s">
        <v>17</v>
      </c>
      <c r="L7126" t="b">
        <v>0</v>
      </c>
      <c r="N7126" s="2" t="str">
        <f t="shared" si="639"/>
        <v/>
      </c>
      <c r="Q7126" t="str">
        <f t="shared" si="636"/>
        <v/>
      </c>
    </row>
    <row r="7127" spans="1:17" hidden="1">
      <c r="A7127" t="s">
        <v>7232</v>
      </c>
      <c r="B7127" s="1">
        <v>45870</v>
      </c>
      <c r="C7127">
        <v>2025</v>
      </c>
      <c r="D7127">
        <v>8</v>
      </c>
      <c r="E7127" t="s">
        <v>47</v>
      </c>
      <c r="F7127" t="s">
        <v>14</v>
      </c>
      <c r="G7127" t="s">
        <v>51</v>
      </c>
      <c r="H7127" t="s">
        <v>52</v>
      </c>
      <c r="I7127">
        <v>17352.72</v>
      </c>
      <c r="J7127">
        <v>14327.03</v>
      </c>
      <c r="K7127" t="s">
        <v>17</v>
      </c>
      <c r="L7127" t="b">
        <v>0</v>
      </c>
      <c r="N7127" s="2" t="b">
        <f t="shared" si="639"/>
        <v>1</v>
      </c>
      <c r="O7127" t="str">
        <f>IF(AND(E7116="HR",K7116="EXPENSE"),I7116&lt;J7116,"")</f>
        <v/>
      </c>
      <c r="Q7127" t="str">
        <f t="shared" si="636"/>
        <v/>
      </c>
    </row>
    <row r="7128" spans="1:17" hidden="1">
      <c r="A7128" t="s">
        <v>7233</v>
      </c>
      <c r="B7128" s="1">
        <v>45870</v>
      </c>
      <c r="C7128">
        <v>2025</v>
      </c>
      <c r="D7128">
        <v>8</v>
      </c>
      <c r="E7128" t="s">
        <v>19</v>
      </c>
      <c r="F7128" t="s">
        <v>28</v>
      </c>
      <c r="G7128" t="s">
        <v>80</v>
      </c>
      <c r="H7128" t="s">
        <v>150</v>
      </c>
      <c r="I7128">
        <v>9519.66</v>
      </c>
      <c r="J7128">
        <v>9908.56</v>
      </c>
      <c r="K7128" t="s">
        <v>17</v>
      </c>
      <c r="L7128" t="b">
        <v>0</v>
      </c>
      <c r="N7128" s="2" t="str">
        <f t="shared" si="639"/>
        <v/>
      </c>
      <c r="Q7128" t="str">
        <f t="shared" si="636"/>
        <v/>
      </c>
    </row>
    <row r="7129" spans="1:17" hidden="1">
      <c r="A7129" t="s">
        <v>7234</v>
      </c>
      <c r="B7129" s="1">
        <v>45870</v>
      </c>
      <c r="C7129">
        <v>2025</v>
      </c>
      <c r="D7129">
        <v>8</v>
      </c>
      <c r="E7129" t="s">
        <v>19</v>
      </c>
      <c r="F7129" t="s">
        <v>28</v>
      </c>
      <c r="G7129" t="s">
        <v>54</v>
      </c>
      <c r="H7129" t="s">
        <v>57</v>
      </c>
      <c r="I7129">
        <v>7644.6</v>
      </c>
      <c r="J7129">
        <v>7452.12</v>
      </c>
      <c r="K7129" t="s">
        <v>17</v>
      </c>
      <c r="L7129" t="b">
        <v>0</v>
      </c>
      <c r="N7129" s="2" t="str">
        <f t="shared" si="639"/>
        <v/>
      </c>
      <c r="Q7129" t="str">
        <f t="shared" si="636"/>
        <v/>
      </c>
    </row>
    <row r="7130" spans="1:17" hidden="1">
      <c r="A7130" t="s">
        <v>7235</v>
      </c>
      <c r="B7130" s="1">
        <v>45870</v>
      </c>
      <c r="C7130">
        <v>2025</v>
      </c>
      <c r="D7130">
        <v>8</v>
      </c>
      <c r="E7130" t="s">
        <v>19</v>
      </c>
      <c r="F7130" t="s">
        <v>28</v>
      </c>
      <c r="G7130" t="s">
        <v>54</v>
      </c>
      <c r="H7130" t="s">
        <v>55</v>
      </c>
      <c r="I7130">
        <v>8679.4599999999991</v>
      </c>
      <c r="J7130">
        <v>8557.84</v>
      </c>
      <c r="K7130" t="s">
        <v>17</v>
      </c>
      <c r="L7130" t="b">
        <v>0</v>
      </c>
      <c r="N7130" s="2" t="str">
        <f t="shared" si="639"/>
        <v/>
      </c>
      <c r="Q7130" t="str">
        <f t="shared" si="636"/>
        <v/>
      </c>
    </row>
    <row r="7131" spans="1:17" hidden="1">
      <c r="A7131" t="s">
        <v>7236</v>
      </c>
      <c r="B7131" s="1">
        <v>45870</v>
      </c>
      <c r="C7131">
        <v>2025</v>
      </c>
      <c r="D7131">
        <v>8</v>
      </c>
      <c r="E7131" t="s">
        <v>19</v>
      </c>
      <c r="F7131" t="s">
        <v>24</v>
      </c>
      <c r="G7131" t="s">
        <v>20</v>
      </c>
      <c r="H7131" t="s">
        <v>21</v>
      </c>
      <c r="I7131">
        <v>7246.34</v>
      </c>
      <c r="J7131">
        <v>6608.52</v>
      </c>
      <c r="K7131" t="s">
        <v>17</v>
      </c>
      <c r="L7131" t="b">
        <v>0</v>
      </c>
      <c r="N7131" s="2" t="str">
        <f t="shared" si="639"/>
        <v/>
      </c>
      <c r="Q7131" t="str">
        <f t="shared" si="636"/>
        <v/>
      </c>
    </row>
    <row r="7132" spans="1:17" hidden="1">
      <c r="A7132" t="s">
        <v>7237</v>
      </c>
      <c r="B7132" s="1">
        <v>45870</v>
      </c>
      <c r="C7132">
        <v>2025</v>
      </c>
      <c r="D7132">
        <v>8</v>
      </c>
      <c r="E7132" t="s">
        <v>19</v>
      </c>
      <c r="F7132" t="s">
        <v>24</v>
      </c>
      <c r="G7132" t="s">
        <v>80</v>
      </c>
      <c r="H7132" t="s">
        <v>113</v>
      </c>
      <c r="I7132">
        <v>6660.71</v>
      </c>
      <c r="J7132">
        <v>6439.35</v>
      </c>
      <c r="K7132" t="s">
        <v>17</v>
      </c>
      <c r="L7132" t="b">
        <v>0</v>
      </c>
      <c r="N7132" s="2" t="str">
        <f t="shared" si="639"/>
        <v/>
      </c>
      <c r="Q7132" t="str">
        <f t="shared" si="636"/>
        <v/>
      </c>
    </row>
    <row r="7133" spans="1:17" hidden="1">
      <c r="A7133" t="s">
        <v>7238</v>
      </c>
      <c r="B7133" s="1">
        <v>45870</v>
      </c>
      <c r="C7133">
        <v>2025</v>
      </c>
      <c r="D7133">
        <v>8</v>
      </c>
      <c r="E7133" t="s">
        <v>23</v>
      </c>
      <c r="F7133" t="s">
        <v>24</v>
      </c>
      <c r="G7133" t="s">
        <v>25</v>
      </c>
      <c r="H7133" t="s">
        <v>95</v>
      </c>
      <c r="I7133">
        <v>5518.09</v>
      </c>
      <c r="J7133">
        <v>5352.89</v>
      </c>
      <c r="K7133" t="s">
        <v>17</v>
      </c>
      <c r="L7133" t="b">
        <v>0</v>
      </c>
      <c r="N7133" s="2" t="str">
        <f t="shared" si="639"/>
        <v/>
      </c>
      <c r="Q7133" t="str">
        <f t="shared" si="636"/>
        <v/>
      </c>
    </row>
    <row r="7134" spans="1:17" hidden="1">
      <c r="A7134" t="s">
        <v>7239</v>
      </c>
      <c r="B7134" s="1">
        <v>45870</v>
      </c>
      <c r="C7134">
        <v>2025</v>
      </c>
      <c r="D7134">
        <v>8</v>
      </c>
      <c r="E7134" t="s">
        <v>23</v>
      </c>
      <c r="F7134" t="s">
        <v>24</v>
      </c>
      <c r="G7134" t="s">
        <v>25</v>
      </c>
      <c r="H7134" t="s">
        <v>35</v>
      </c>
      <c r="I7134">
        <v>3395.39</v>
      </c>
      <c r="J7134">
        <v>3114.11</v>
      </c>
      <c r="K7134" t="s">
        <v>17</v>
      </c>
      <c r="L7134" t="b">
        <v>0</v>
      </c>
      <c r="N7134" s="2" t="str">
        <f t="shared" si="639"/>
        <v/>
      </c>
      <c r="Q7134" t="str">
        <f t="shared" si="636"/>
        <v/>
      </c>
    </row>
    <row r="7135" spans="1:17" hidden="1">
      <c r="A7135" t="s">
        <v>7240</v>
      </c>
      <c r="B7135" s="1">
        <v>45870</v>
      </c>
      <c r="C7135">
        <v>2025</v>
      </c>
      <c r="D7135">
        <v>8</v>
      </c>
      <c r="E7135" t="s">
        <v>37</v>
      </c>
      <c r="F7135" t="s">
        <v>14</v>
      </c>
      <c r="G7135" t="s">
        <v>98</v>
      </c>
      <c r="H7135" t="s">
        <v>185</v>
      </c>
      <c r="I7135">
        <v>4520.63</v>
      </c>
      <c r="J7135">
        <v>4364.93</v>
      </c>
      <c r="K7135" t="s">
        <v>17</v>
      </c>
      <c r="L7135" t="b">
        <v>0</v>
      </c>
      <c r="N7135" s="2" t="str">
        <f t="shared" si="639"/>
        <v/>
      </c>
      <c r="Q7135" t="str">
        <f t="shared" si="636"/>
        <v/>
      </c>
    </row>
    <row r="7136" spans="1:17" hidden="1">
      <c r="A7136" t="s">
        <v>7241</v>
      </c>
      <c r="B7136" s="1">
        <v>45870</v>
      </c>
      <c r="C7136">
        <v>2025</v>
      </c>
      <c r="D7136">
        <v>8</v>
      </c>
      <c r="E7136" t="s">
        <v>37</v>
      </c>
      <c r="F7136" t="s">
        <v>14</v>
      </c>
      <c r="G7136" t="s">
        <v>98</v>
      </c>
      <c r="H7136" t="s">
        <v>99</v>
      </c>
      <c r="I7136">
        <v>3304.37</v>
      </c>
      <c r="J7136">
        <v>3311.24</v>
      </c>
      <c r="K7136" t="s">
        <v>17</v>
      </c>
      <c r="L7136" t="b">
        <v>0</v>
      </c>
      <c r="N7136" s="2" t="str">
        <f t="shared" si="639"/>
        <v/>
      </c>
      <c r="Q7136" t="str">
        <f t="shared" si="636"/>
        <v/>
      </c>
    </row>
    <row r="7137" spans="1:17" hidden="1">
      <c r="A7137" t="s">
        <v>7242</v>
      </c>
      <c r="B7137" s="1">
        <v>45870</v>
      </c>
      <c r="C7137">
        <v>2025</v>
      </c>
      <c r="D7137">
        <v>8</v>
      </c>
      <c r="E7137" t="s">
        <v>37</v>
      </c>
      <c r="F7137" t="s">
        <v>28</v>
      </c>
      <c r="G7137" t="s">
        <v>83</v>
      </c>
      <c r="H7137" t="s">
        <v>84</v>
      </c>
      <c r="I7137">
        <v>191026.39</v>
      </c>
      <c r="J7137">
        <v>181475.07</v>
      </c>
      <c r="K7137" t="s">
        <v>85</v>
      </c>
      <c r="L7137" t="b">
        <v>0</v>
      </c>
      <c r="N7137" s="2" t="str">
        <f t="shared" si="639"/>
        <v/>
      </c>
      <c r="Q7137" t="str">
        <f t="shared" si="636"/>
        <v/>
      </c>
    </row>
    <row r="7138" spans="1:17" hidden="1">
      <c r="A7138" t="s">
        <v>7243</v>
      </c>
      <c r="B7138" s="1">
        <v>45871</v>
      </c>
      <c r="C7138">
        <v>2025</v>
      </c>
      <c r="D7138">
        <v>8</v>
      </c>
      <c r="E7138" t="s">
        <v>13</v>
      </c>
      <c r="F7138" t="s">
        <v>14</v>
      </c>
      <c r="G7138" t="s">
        <v>15</v>
      </c>
      <c r="H7138" t="s">
        <v>89</v>
      </c>
      <c r="I7138">
        <v>2574.02</v>
      </c>
      <c r="J7138">
        <v>2383.0700000000002</v>
      </c>
      <c r="K7138" t="s">
        <v>17</v>
      </c>
      <c r="L7138" t="b">
        <v>0</v>
      </c>
      <c r="N7138" s="2" t="str">
        <f t="shared" si="639"/>
        <v/>
      </c>
      <c r="Q7138" t="str">
        <f t="shared" si="636"/>
        <v/>
      </c>
    </row>
    <row r="7139" spans="1:17" hidden="1">
      <c r="A7139" t="s">
        <v>7244</v>
      </c>
      <c r="B7139" s="1">
        <v>45871</v>
      </c>
      <c r="C7139">
        <v>2025</v>
      </c>
      <c r="D7139">
        <v>8</v>
      </c>
      <c r="E7139" t="s">
        <v>13</v>
      </c>
      <c r="F7139" t="s">
        <v>24</v>
      </c>
      <c r="G7139" t="s">
        <v>15</v>
      </c>
      <c r="H7139" t="s">
        <v>45</v>
      </c>
      <c r="I7139">
        <v>2560.42</v>
      </c>
      <c r="J7139">
        <v>2611.2199999999998</v>
      </c>
      <c r="K7139" t="s">
        <v>17</v>
      </c>
      <c r="L7139" t="b">
        <v>0</v>
      </c>
      <c r="N7139" s="2" t="str">
        <f t="shared" si="639"/>
        <v/>
      </c>
      <c r="Q7139" t="str">
        <f t="shared" si="636"/>
        <v/>
      </c>
    </row>
    <row r="7140" spans="1:17" hidden="1">
      <c r="A7140" t="s">
        <v>7245</v>
      </c>
      <c r="B7140" s="1">
        <v>45871</v>
      </c>
      <c r="C7140">
        <v>2025</v>
      </c>
      <c r="D7140">
        <v>8</v>
      </c>
      <c r="E7140" t="s">
        <v>13</v>
      </c>
      <c r="F7140" t="s">
        <v>24</v>
      </c>
      <c r="G7140" t="s">
        <v>68</v>
      </c>
      <c r="H7140" t="s">
        <v>213</v>
      </c>
      <c r="I7140">
        <v>2352.64</v>
      </c>
      <c r="J7140">
        <v>2452.9899999999998</v>
      </c>
      <c r="K7140" t="s">
        <v>17</v>
      </c>
      <c r="L7140" t="b">
        <v>0</v>
      </c>
      <c r="N7140" s="2" t="str">
        <f t="shared" si="639"/>
        <v/>
      </c>
      <c r="Q7140" t="str">
        <f t="shared" si="636"/>
        <v/>
      </c>
    </row>
    <row r="7141" spans="1:17" hidden="1">
      <c r="A7141" t="s">
        <v>7246</v>
      </c>
      <c r="B7141" s="1">
        <v>45871</v>
      </c>
      <c r="C7141">
        <v>2025</v>
      </c>
      <c r="D7141">
        <v>8</v>
      </c>
      <c r="E7141" t="s">
        <v>13</v>
      </c>
      <c r="F7141" t="s">
        <v>24</v>
      </c>
      <c r="G7141" t="s">
        <v>68</v>
      </c>
      <c r="H7141" t="s">
        <v>87</v>
      </c>
      <c r="I7141">
        <v>5529.61</v>
      </c>
      <c r="J7141">
        <v>5797.1</v>
      </c>
      <c r="K7141" t="s">
        <v>17</v>
      </c>
      <c r="L7141" t="b">
        <v>0</v>
      </c>
      <c r="N7141" s="2" t="str">
        <f t="shared" si="639"/>
        <v/>
      </c>
      <c r="Q7141" t="str">
        <f t="shared" si="636"/>
        <v/>
      </c>
    </row>
    <row r="7142" spans="1:17" hidden="1">
      <c r="A7142" t="s">
        <v>7247</v>
      </c>
      <c r="B7142" s="1">
        <v>45871</v>
      </c>
      <c r="C7142">
        <v>2025</v>
      </c>
      <c r="D7142">
        <v>8</v>
      </c>
      <c r="E7142" t="s">
        <v>13</v>
      </c>
      <c r="F7142" t="s">
        <v>24</v>
      </c>
      <c r="G7142" t="s">
        <v>108</v>
      </c>
      <c r="H7142" t="s">
        <v>109</v>
      </c>
      <c r="I7142">
        <v>5408.53</v>
      </c>
      <c r="J7142">
        <v>5105.63</v>
      </c>
      <c r="K7142" t="s">
        <v>17</v>
      </c>
      <c r="L7142" t="b">
        <v>0</v>
      </c>
      <c r="N7142" s="2" t="str">
        <f t="shared" si="639"/>
        <v/>
      </c>
      <c r="Q7142" t="str">
        <f t="shared" si="636"/>
        <v/>
      </c>
    </row>
    <row r="7143" spans="1:17" hidden="1">
      <c r="A7143" t="s">
        <v>7248</v>
      </c>
      <c r="B7143" s="1">
        <v>45871</v>
      </c>
      <c r="C7143">
        <v>2025</v>
      </c>
      <c r="D7143">
        <v>8</v>
      </c>
      <c r="E7143" t="s">
        <v>47</v>
      </c>
      <c r="F7143" t="s">
        <v>14</v>
      </c>
      <c r="G7143" t="s">
        <v>91</v>
      </c>
      <c r="H7143" t="s">
        <v>254</v>
      </c>
      <c r="I7143">
        <v>10512.47</v>
      </c>
      <c r="J7143">
        <v>8639.6299999999992</v>
      </c>
      <c r="K7143" t="s">
        <v>17</v>
      </c>
      <c r="L7143" t="b">
        <v>0</v>
      </c>
      <c r="N7143" s="2" t="b">
        <f t="shared" si="639"/>
        <v>1</v>
      </c>
      <c r="O7143" t="str">
        <f t="shared" ref="O7143:O7144" si="640">IF(AND(E7132="HR",K7132="EXPENSE"),I7132&lt;J7132,"")</f>
        <v/>
      </c>
      <c r="Q7143" t="str">
        <f t="shared" si="636"/>
        <v/>
      </c>
    </row>
    <row r="7144" spans="1:17" hidden="1">
      <c r="A7144" t="s">
        <v>7249</v>
      </c>
      <c r="B7144" s="1">
        <v>45871</v>
      </c>
      <c r="C7144">
        <v>2025</v>
      </c>
      <c r="D7144">
        <v>8</v>
      </c>
      <c r="E7144" t="s">
        <v>47</v>
      </c>
      <c r="F7144" t="s">
        <v>24</v>
      </c>
      <c r="G7144" t="s">
        <v>77</v>
      </c>
      <c r="H7144" t="s">
        <v>147</v>
      </c>
      <c r="I7144">
        <v>20095.259999999998</v>
      </c>
      <c r="J7144">
        <v>16739.53</v>
      </c>
      <c r="K7144" t="s">
        <v>17</v>
      </c>
      <c r="L7144" t="b">
        <v>0</v>
      </c>
      <c r="N7144" s="2" t="b">
        <f t="shared" si="639"/>
        <v>1</v>
      </c>
      <c r="O7144" t="str">
        <f t="shared" si="640"/>
        <v/>
      </c>
      <c r="Q7144" t="str">
        <f t="shared" si="636"/>
        <v/>
      </c>
    </row>
    <row r="7145" spans="1:17" hidden="1">
      <c r="A7145" t="s">
        <v>7250</v>
      </c>
      <c r="B7145" s="1">
        <v>45871</v>
      </c>
      <c r="C7145">
        <v>2025</v>
      </c>
      <c r="D7145">
        <v>8</v>
      </c>
      <c r="E7145" t="s">
        <v>23</v>
      </c>
      <c r="F7145" t="s">
        <v>24</v>
      </c>
      <c r="G7145" t="s">
        <v>25</v>
      </c>
      <c r="H7145" t="s">
        <v>95</v>
      </c>
      <c r="I7145">
        <v>4194.25</v>
      </c>
      <c r="J7145">
        <v>4146.6499999999996</v>
      </c>
      <c r="K7145" t="s">
        <v>17</v>
      </c>
      <c r="L7145" t="b">
        <v>0</v>
      </c>
      <c r="N7145" s="2" t="str">
        <f t="shared" si="639"/>
        <v/>
      </c>
      <c r="Q7145" t="str">
        <f t="shared" si="636"/>
        <v/>
      </c>
    </row>
    <row r="7146" spans="1:17" hidden="1">
      <c r="A7146" t="s">
        <v>7251</v>
      </c>
      <c r="B7146" s="1">
        <v>45871</v>
      </c>
      <c r="C7146">
        <v>2025</v>
      </c>
      <c r="D7146">
        <v>8</v>
      </c>
      <c r="E7146" t="s">
        <v>37</v>
      </c>
      <c r="F7146" t="s">
        <v>28</v>
      </c>
      <c r="G7146" t="s">
        <v>62</v>
      </c>
      <c r="H7146" t="s">
        <v>360</v>
      </c>
      <c r="I7146">
        <v>2374.1999999999998</v>
      </c>
      <c r="J7146">
        <v>2358.85</v>
      </c>
      <c r="K7146" t="s">
        <v>17</v>
      </c>
      <c r="L7146" t="b">
        <v>0</v>
      </c>
      <c r="N7146" s="2" t="str">
        <f t="shared" si="639"/>
        <v/>
      </c>
      <c r="Q7146" t="str">
        <f t="shared" si="636"/>
        <v/>
      </c>
    </row>
    <row r="7147" spans="1:17" hidden="1">
      <c r="A7147" t="s">
        <v>7252</v>
      </c>
      <c r="B7147" s="1">
        <v>45871</v>
      </c>
      <c r="C7147">
        <v>2025</v>
      </c>
      <c r="D7147">
        <v>8</v>
      </c>
      <c r="E7147" t="s">
        <v>37</v>
      </c>
      <c r="F7147" t="s">
        <v>24</v>
      </c>
      <c r="G7147" t="s">
        <v>38</v>
      </c>
      <c r="H7147" t="s">
        <v>39</v>
      </c>
      <c r="I7147">
        <v>2585.79</v>
      </c>
      <c r="J7147">
        <v>2567.15</v>
      </c>
      <c r="K7147" t="s">
        <v>17</v>
      </c>
      <c r="L7147" t="b">
        <v>0</v>
      </c>
      <c r="N7147" s="2" t="str">
        <f t="shared" si="639"/>
        <v/>
      </c>
      <c r="Q7147" t="str">
        <f t="shared" si="636"/>
        <v/>
      </c>
    </row>
    <row r="7148" spans="1:17" hidden="1">
      <c r="A7148" t="s">
        <v>7253</v>
      </c>
      <c r="B7148" s="1">
        <v>45872</v>
      </c>
      <c r="C7148">
        <v>2025</v>
      </c>
      <c r="D7148">
        <v>8</v>
      </c>
      <c r="E7148" t="s">
        <v>13</v>
      </c>
      <c r="F7148" t="s">
        <v>14</v>
      </c>
      <c r="G7148" t="s">
        <v>108</v>
      </c>
      <c r="H7148" t="s">
        <v>123</v>
      </c>
      <c r="I7148">
        <v>2465.19</v>
      </c>
      <c r="J7148">
        <v>2535.36</v>
      </c>
      <c r="K7148" t="s">
        <v>17</v>
      </c>
      <c r="L7148" t="b">
        <v>0</v>
      </c>
      <c r="N7148" s="2" t="str">
        <f t="shared" si="639"/>
        <v/>
      </c>
      <c r="Q7148" t="str">
        <f t="shared" si="636"/>
        <v/>
      </c>
    </row>
    <row r="7149" spans="1:17" hidden="1">
      <c r="A7149" t="s">
        <v>7254</v>
      </c>
      <c r="B7149" s="1">
        <v>45872</v>
      </c>
      <c r="C7149">
        <v>2025</v>
      </c>
      <c r="D7149">
        <v>8</v>
      </c>
      <c r="E7149" t="s">
        <v>13</v>
      </c>
      <c r="F7149" t="s">
        <v>28</v>
      </c>
      <c r="G7149" t="s">
        <v>68</v>
      </c>
      <c r="H7149" t="s">
        <v>87</v>
      </c>
      <c r="I7149">
        <v>2969.36</v>
      </c>
      <c r="J7149">
        <v>3238.49</v>
      </c>
      <c r="K7149" t="s">
        <v>17</v>
      </c>
      <c r="L7149" t="b">
        <v>0</v>
      </c>
      <c r="N7149" s="2" t="str">
        <f t="shared" si="639"/>
        <v/>
      </c>
      <c r="Q7149" t="str">
        <f t="shared" si="636"/>
        <v/>
      </c>
    </row>
    <row r="7150" spans="1:17" hidden="1">
      <c r="A7150" t="s">
        <v>7255</v>
      </c>
      <c r="B7150" s="1">
        <v>45872</v>
      </c>
      <c r="C7150">
        <v>2025</v>
      </c>
      <c r="D7150">
        <v>8</v>
      </c>
      <c r="E7150" t="s">
        <v>13</v>
      </c>
      <c r="F7150" t="s">
        <v>24</v>
      </c>
      <c r="G7150" t="s">
        <v>68</v>
      </c>
      <c r="H7150" t="s">
        <v>213</v>
      </c>
      <c r="I7150">
        <v>2951.76</v>
      </c>
      <c r="J7150">
        <v>3106.68</v>
      </c>
      <c r="K7150" t="s">
        <v>17</v>
      </c>
      <c r="L7150" t="b">
        <v>0</v>
      </c>
      <c r="N7150" s="2" t="str">
        <f t="shared" si="639"/>
        <v/>
      </c>
      <c r="Q7150" t="str">
        <f t="shared" si="636"/>
        <v/>
      </c>
    </row>
    <row r="7151" spans="1:17" hidden="1">
      <c r="A7151" t="s">
        <v>7256</v>
      </c>
      <c r="B7151" s="1">
        <v>45872</v>
      </c>
      <c r="C7151">
        <v>2025</v>
      </c>
      <c r="D7151">
        <v>8</v>
      </c>
      <c r="E7151" t="s">
        <v>47</v>
      </c>
      <c r="F7151" t="s">
        <v>24</v>
      </c>
      <c r="G7151" t="s">
        <v>48</v>
      </c>
      <c r="H7151" t="s">
        <v>49</v>
      </c>
      <c r="I7151">
        <v>13248.69</v>
      </c>
      <c r="J7151">
        <v>11239.13</v>
      </c>
      <c r="K7151" t="s">
        <v>17</v>
      </c>
      <c r="L7151" t="b">
        <v>0</v>
      </c>
      <c r="N7151" s="2" t="b">
        <f t="shared" si="639"/>
        <v>1</v>
      </c>
      <c r="O7151" t="b">
        <f>IF(AND(E7140="HR",K7140="EXPENSE"),I7140&lt;J7140,"")</f>
        <v>1</v>
      </c>
      <c r="Q7151" t="str">
        <f t="shared" si="636"/>
        <v/>
      </c>
    </row>
    <row r="7152" spans="1:17" hidden="1">
      <c r="A7152" t="s">
        <v>7257</v>
      </c>
      <c r="B7152" s="1">
        <v>45872</v>
      </c>
      <c r="C7152">
        <v>2025</v>
      </c>
      <c r="D7152">
        <v>8</v>
      </c>
      <c r="E7152" t="s">
        <v>19</v>
      </c>
      <c r="F7152" t="s">
        <v>14</v>
      </c>
      <c r="G7152" t="s">
        <v>54</v>
      </c>
      <c r="H7152" t="s">
        <v>163</v>
      </c>
      <c r="I7152">
        <v>6811.82</v>
      </c>
      <c r="J7152">
        <v>6690.03</v>
      </c>
      <c r="K7152" t="s">
        <v>17</v>
      </c>
      <c r="L7152" t="b">
        <v>0</v>
      </c>
      <c r="N7152" s="2" t="str">
        <f t="shared" si="639"/>
        <v/>
      </c>
      <c r="Q7152" t="str">
        <f t="shared" ref="Q7152:Q7215" si="641">IF(L7152=TRUE,OR(H7152="Apex Solutions Inc",H7152="Global Trade Partners",H7152="NovaTech Services"),"")</f>
        <v/>
      </c>
    </row>
    <row r="7153" spans="1:17" hidden="1">
      <c r="A7153" t="s">
        <v>7258</v>
      </c>
      <c r="B7153" s="1">
        <v>45872</v>
      </c>
      <c r="C7153">
        <v>2025</v>
      </c>
      <c r="D7153">
        <v>8</v>
      </c>
      <c r="E7153" t="s">
        <v>19</v>
      </c>
      <c r="F7153" t="s">
        <v>28</v>
      </c>
      <c r="G7153" t="s">
        <v>54</v>
      </c>
      <c r="H7153" t="s">
        <v>163</v>
      </c>
      <c r="I7153">
        <v>6297.01</v>
      </c>
      <c r="J7153">
        <v>6798.6</v>
      </c>
      <c r="K7153" t="s">
        <v>17</v>
      </c>
      <c r="L7153" t="b">
        <v>0</v>
      </c>
      <c r="N7153" s="2" t="str">
        <f t="shared" si="639"/>
        <v/>
      </c>
      <c r="Q7153" t="str">
        <f t="shared" si="641"/>
        <v/>
      </c>
    </row>
    <row r="7154" spans="1:17" hidden="1">
      <c r="A7154" t="s">
        <v>7259</v>
      </c>
      <c r="B7154" s="1">
        <v>45872</v>
      </c>
      <c r="C7154">
        <v>2025</v>
      </c>
      <c r="D7154">
        <v>8</v>
      </c>
      <c r="E7154" t="s">
        <v>23</v>
      </c>
      <c r="F7154" t="s">
        <v>24</v>
      </c>
      <c r="G7154" t="s">
        <v>59</v>
      </c>
      <c r="H7154" t="s">
        <v>155</v>
      </c>
      <c r="I7154">
        <v>2007.7</v>
      </c>
      <c r="J7154">
        <v>2021.62</v>
      </c>
      <c r="K7154" t="s">
        <v>17</v>
      </c>
      <c r="L7154" t="b">
        <v>0</v>
      </c>
      <c r="N7154" s="2" t="str">
        <f t="shared" si="639"/>
        <v/>
      </c>
      <c r="Q7154" t="str">
        <f t="shared" si="641"/>
        <v/>
      </c>
    </row>
    <row r="7155" spans="1:17" hidden="1">
      <c r="A7155" t="s">
        <v>7260</v>
      </c>
      <c r="B7155" s="1">
        <v>45872</v>
      </c>
      <c r="C7155">
        <v>2025</v>
      </c>
      <c r="D7155">
        <v>8</v>
      </c>
      <c r="E7155" t="s">
        <v>37</v>
      </c>
      <c r="F7155" t="s">
        <v>14</v>
      </c>
      <c r="G7155" t="s">
        <v>98</v>
      </c>
      <c r="H7155" t="s">
        <v>99</v>
      </c>
      <c r="I7155">
        <v>3734.62</v>
      </c>
      <c r="J7155">
        <v>3501.78</v>
      </c>
      <c r="K7155" t="s">
        <v>17</v>
      </c>
      <c r="L7155" t="b">
        <v>0</v>
      </c>
      <c r="N7155" s="2" t="str">
        <f t="shared" si="639"/>
        <v/>
      </c>
      <c r="Q7155" t="str">
        <f t="shared" si="641"/>
        <v/>
      </c>
    </row>
    <row r="7156" spans="1:17" hidden="1">
      <c r="A7156" t="s">
        <v>7261</v>
      </c>
      <c r="B7156" s="1">
        <v>45872</v>
      </c>
      <c r="C7156">
        <v>2025</v>
      </c>
      <c r="D7156">
        <v>8</v>
      </c>
      <c r="E7156" t="s">
        <v>37</v>
      </c>
      <c r="F7156" t="s">
        <v>24</v>
      </c>
      <c r="G7156" t="s">
        <v>98</v>
      </c>
      <c r="H7156" t="s">
        <v>99</v>
      </c>
      <c r="I7156">
        <v>3243.11</v>
      </c>
      <c r="J7156">
        <v>3030.99</v>
      </c>
      <c r="K7156" t="s">
        <v>17</v>
      </c>
      <c r="L7156" t="b">
        <v>0</v>
      </c>
      <c r="N7156" s="2" t="str">
        <f t="shared" si="639"/>
        <v/>
      </c>
      <c r="Q7156" t="str">
        <f t="shared" si="641"/>
        <v/>
      </c>
    </row>
    <row r="7157" spans="1:17" hidden="1">
      <c r="A7157" t="s">
        <v>7262</v>
      </c>
      <c r="B7157" s="1">
        <v>45873</v>
      </c>
      <c r="C7157">
        <v>2025</v>
      </c>
      <c r="D7157">
        <v>8</v>
      </c>
      <c r="E7157" t="s">
        <v>13</v>
      </c>
      <c r="F7157" t="s">
        <v>24</v>
      </c>
      <c r="G7157" t="s">
        <v>68</v>
      </c>
      <c r="H7157" t="s">
        <v>213</v>
      </c>
      <c r="I7157">
        <v>4486.6099999999997</v>
      </c>
      <c r="J7157">
        <v>4380.3100000000004</v>
      </c>
      <c r="K7157" t="s">
        <v>17</v>
      </c>
      <c r="L7157" t="b">
        <v>0</v>
      </c>
      <c r="N7157" s="2" t="str">
        <f t="shared" si="639"/>
        <v/>
      </c>
      <c r="Q7157" t="str">
        <f t="shared" si="641"/>
        <v/>
      </c>
    </row>
    <row r="7158" spans="1:17" hidden="1">
      <c r="A7158" t="s">
        <v>7263</v>
      </c>
      <c r="B7158" s="1">
        <v>45873</v>
      </c>
      <c r="C7158">
        <v>2025</v>
      </c>
      <c r="D7158">
        <v>8</v>
      </c>
      <c r="E7158" t="s">
        <v>47</v>
      </c>
      <c r="F7158" t="s">
        <v>28</v>
      </c>
      <c r="G7158" t="s">
        <v>51</v>
      </c>
      <c r="H7158" t="s">
        <v>52</v>
      </c>
      <c r="I7158">
        <v>10932.75</v>
      </c>
      <c r="J7158">
        <v>9453.06</v>
      </c>
      <c r="K7158" t="s">
        <v>17</v>
      </c>
      <c r="L7158" t="b">
        <v>0</v>
      </c>
      <c r="N7158" s="2" t="b">
        <f t="shared" si="639"/>
        <v>1</v>
      </c>
      <c r="O7158" t="str">
        <f t="shared" ref="O7158:O7159" si="642">IF(AND(E7147="HR",K7147="EXPENSE"),I7147&lt;J7147,"")</f>
        <v/>
      </c>
      <c r="Q7158" t="str">
        <f t="shared" si="641"/>
        <v/>
      </c>
    </row>
    <row r="7159" spans="1:17" hidden="1">
      <c r="A7159" t="s">
        <v>7264</v>
      </c>
      <c r="B7159" s="1">
        <v>45873</v>
      </c>
      <c r="C7159">
        <v>2025</v>
      </c>
      <c r="D7159">
        <v>8</v>
      </c>
      <c r="E7159" t="s">
        <v>47</v>
      </c>
      <c r="F7159" t="s">
        <v>24</v>
      </c>
      <c r="G7159" t="s">
        <v>48</v>
      </c>
      <c r="H7159" t="s">
        <v>189</v>
      </c>
      <c r="I7159">
        <v>7406.3</v>
      </c>
      <c r="J7159">
        <v>6098.08</v>
      </c>
      <c r="K7159" t="s">
        <v>17</v>
      </c>
      <c r="L7159" t="b">
        <v>0</v>
      </c>
      <c r="N7159" s="2" t="b">
        <f t="shared" si="639"/>
        <v>1</v>
      </c>
      <c r="O7159" t="b">
        <f t="shared" si="642"/>
        <v>1</v>
      </c>
      <c r="Q7159" t="str">
        <f t="shared" si="641"/>
        <v/>
      </c>
    </row>
    <row r="7160" spans="1:17" hidden="1">
      <c r="A7160" t="s">
        <v>7265</v>
      </c>
      <c r="B7160" s="1">
        <v>45873</v>
      </c>
      <c r="C7160">
        <v>2025</v>
      </c>
      <c r="D7160">
        <v>8</v>
      </c>
      <c r="E7160" t="s">
        <v>19</v>
      </c>
      <c r="F7160" t="s">
        <v>14</v>
      </c>
      <c r="G7160" t="s">
        <v>80</v>
      </c>
      <c r="H7160" t="s">
        <v>113</v>
      </c>
      <c r="I7160">
        <v>11686.98</v>
      </c>
      <c r="J7160">
        <v>10740.72</v>
      </c>
      <c r="K7160" t="s">
        <v>17</v>
      </c>
      <c r="L7160" t="b">
        <v>0</v>
      </c>
      <c r="N7160" s="2" t="str">
        <f t="shared" si="639"/>
        <v/>
      </c>
      <c r="Q7160" t="str">
        <f t="shared" si="641"/>
        <v/>
      </c>
    </row>
    <row r="7161" spans="1:17" hidden="1">
      <c r="A7161" t="s">
        <v>7266</v>
      </c>
      <c r="B7161" s="1">
        <v>45873</v>
      </c>
      <c r="C7161">
        <v>2025</v>
      </c>
      <c r="D7161">
        <v>8</v>
      </c>
      <c r="E7161" t="s">
        <v>19</v>
      </c>
      <c r="F7161" t="s">
        <v>24</v>
      </c>
      <c r="G7161" t="s">
        <v>80</v>
      </c>
      <c r="H7161" t="s">
        <v>217</v>
      </c>
      <c r="I7161">
        <v>5716.43</v>
      </c>
      <c r="J7161">
        <v>5404.83</v>
      </c>
      <c r="K7161" t="s">
        <v>17</v>
      </c>
      <c r="L7161" t="b">
        <v>0</v>
      </c>
      <c r="N7161" s="2" t="str">
        <f t="shared" si="639"/>
        <v/>
      </c>
      <c r="Q7161" t="str">
        <f t="shared" si="641"/>
        <v/>
      </c>
    </row>
    <row r="7162" spans="1:17" hidden="1">
      <c r="A7162" t="s">
        <v>7267</v>
      </c>
      <c r="B7162" s="1">
        <v>45873</v>
      </c>
      <c r="C7162">
        <v>2025</v>
      </c>
      <c r="D7162">
        <v>8</v>
      </c>
      <c r="E7162" t="s">
        <v>23</v>
      </c>
      <c r="F7162" t="s">
        <v>14</v>
      </c>
      <c r="G7162" t="s">
        <v>25</v>
      </c>
      <c r="H7162" t="s">
        <v>95</v>
      </c>
      <c r="I7162">
        <v>5036.0600000000004</v>
      </c>
      <c r="J7162">
        <v>4608.6000000000004</v>
      </c>
      <c r="K7162" t="s">
        <v>17</v>
      </c>
      <c r="L7162" t="b">
        <v>0</v>
      </c>
      <c r="N7162" s="2" t="str">
        <f t="shared" si="639"/>
        <v/>
      </c>
      <c r="Q7162" t="str">
        <f t="shared" si="641"/>
        <v/>
      </c>
    </row>
    <row r="7163" spans="1:17" hidden="1">
      <c r="A7163" t="s">
        <v>7268</v>
      </c>
      <c r="B7163" s="1">
        <v>45873</v>
      </c>
      <c r="C7163">
        <v>2025</v>
      </c>
      <c r="D7163">
        <v>8</v>
      </c>
      <c r="E7163" t="s">
        <v>23</v>
      </c>
      <c r="F7163" t="s">
        <v>28</v>
      </c>
      <c r="G7163" t="s">
        <v>25</v>
      </c>
      <c r="H7163" t="s">
        <v>26</v>
      </c>
      <c r="I7163">
        <v>5796.13</v>
      </c>
      <c r="J7163">
        <v>5261.79</v>
      </c>
      <c r="K7163" t="s">
        <v>17</v>
      </c>
      <c r="L7163" t="b">
        <v>0</v>
      </c>
      <c r="N7163" s="2" t="str">
        <f t="shared" si="639"/>
        <v/>
      </c>
      <c r="Q7163" t="str">
        <f t="shared" si="641"/>
        <v/>
      </c>
    </row>
    <row r="7164" spans="1:17" hidden="1">
      <c r="A7164" t="s">
        <v>7269</v>
      </c>
      <c r="B7164" s="1">
        <v>45873</v>
      </c>
      <c r="C7164">
        <v>2025</v>
      </c>
      <c r="D7164">
        <v>8</v>
      </c>
      <c r="E7164" t="s">
        <v>37</v>
      </c>
      <c r="F7164" t="s">
        <v>14</v>
      </c>
      <c r="G7164" t="s">
        <v>98</v>
      </c>
      <c r="H7164" t="s">
        <v>185</v>
      </c>
      <c r="I7164">
        <v>5191.22</v>
      </c>
      <c r="J7164">
        <v>5604.72</v>
      </c>
      <c r="K7164" t="s">
        <v>17</v>
      </c>
      <c r="L7164" t="b">
        <v>0</v>
      </c>
      <c r="N7164" s="2" t="str">
        <f t="shared" si="639"/>
        <v/>
      </c>
      <c r="Q7164" t="str">
        <f t="shared" si="641"/>
        <v/>
      </c>
    </row>
    <row r="7165" spans="1:17" hidden="1">
      <c r="A7165" t="s">
        <v>7270</v>
      </c>
      <c r="B7165" s="1">
        <v>45873</v>
      </c>
      <c r="C7165">
        <v>2025</v>
      </c>
      <c r="D7165">
        <v>8</v>
      </c>
      <c r="E7165" t="s">
        <v>37</v>
      </c>
      <c r="F7165" t="s">
        <v>24</v>
      </c>
      <c r="G7165" t="s">
        <v>62</v>
      </c>
      <c r="H7165" t="s">
        <v>66</v>
      </c>
      <c r="I7165">
        <v>5158.42</v>
      </c>
      <c r="J7165">
        <v>4927.07</v>
      </c>
      <c r="K7165" t="s">
        <v>17</v>
      </c>
      <c r="L7165" t="b">
        <v>0</v>
      </c>
      <c r="N7165" s="2" t="str">
        <f t="shared" si="639"/>
        <v/>
      </c>
      <c r="Q7165" t="str">
        <f t="shared" si="641"/>
        <v/>
      </c>
    </row>
    <row r="7166" spans="1:17" hidden="1">
      <c r="A7166" t="s">
        <v>7271</v>
      </c>
      <c r="B7166" s="1">
        <v>45873</v>
      </c>
      <c r="C7166">
        <v>2025</v>
      </c>
      <c r="D7166">
        <v>8</v>
      </c>
      <c r="E7166" t="s">
        <v>37</v>
      </c>
      <c r="F7166" t="s">
        <v>14</v>
      </c>
      <c r="G7166" t="s">
        <v>83</v>
      </c>
      <c r="H7166" t="s">
        <v>84</v>
      </c>
      <c r="I7166">
        <v>290926.61</v>
      </c>
      <c r="J7166">
        <v>276380.28000000003</v>
      </c>
      <c r="K7166" t="s">
        <v>85</v>
      </c>
      <c r="L7166" t="b">
        <v>0</v>
      </c>
      <c r="N7166" s="2" t="str">
        <f t="shared" si="639"/>
        <v/>
      </c>
      <c r="Q7166" t="str">
        <f t="shared" si="641"/>
        <v/>
      </c>
    </row>
    <row r="7167" spans="1:17" hidden="1">
      <c r="A7167" t="s">
        <v>7272</v>
      </c>
      <c r="B7167" s="1">
        <v>45874</v>
      </c>
      <c r="C7167">
        <v>2025</v>
      </c>
      <c r="D7167">
        <v>8</v>
      </c>
      <c r="E7167" t="s">
        <v>13</v>
      </c>
      <c r="F7167" t="s">
        <v>14</v>
      </c>
      <c r="G7167" t="s">
        <v>15</v>
      </c>
      <c r="H7167" t="s">
        <v>45</v>
      </c>
      <c r="I7167">
        <v>4401.3100000000004</v>
      </c>
      <c r="J7167">
        <v>4756.33</v>
      </c>
      <c r="K7167" t="s">
        <v>17</v>
      </c>
      <c r="L7167" t="b">
        <v>0</v>
      </c>
      <c r="N7167" s="2" t="str">
        <f t="shared" si="639"/>
        <v/>
      </c>
      <c r="Q7167" t="str">
        <f t="shared" si="641"/>
        <v/>
      </c>
    </row>
    <row r="7168" spans="1:17" hidden="1">
      <c r="A7168" t="s">
        <v>7273</v>
      </c>
      <c r="B7168" s="1">
        <v>45874</v>
      </c>
      <c r="C7168">
        <v>2025</v>
      </c>
      <c r="D7168">
        <v>8</v>
      </c>
      <c r="E7168" t="s">
        <v>13</v>
      </c>
      <c r="F7168" t="s">
        <v>28</v>
      </c>
      <c r="G7168" t="s">
        <v>68</v>
      </c>
      <c r="H7168" t="s">
        <v>69</v>
      </c>
      <c r="I7168">
        <v>3909.19</v>
      </c>
      <c r="J7168">
        <v>4199.71</v>
      </c>
      <c r="K7168" t="s">
        <v>17</v>
      </c>
      <c r="L7168" t="b">
        <v>0</v>
      </c>
      <c r="N7168" s="2" t="str">
        <f t="shared" si="639"/>
        <v/>
      </c>
      <c r="Q7168" t="str">
        <f t="shared" si="641"/>
        <v/>
      </c>
    </row>
    <row r="7169" spans="1:17" hidden="1">
      <c r="A7169" t="s">
        <v>7274</v>
      </c>
      <c r="B7169" s="1">
        <v>45874</v>
      </c>
      <c r="C7169">
        <v>2025</v>
      </c>
      <c r="D7169">
        <v>8</v>
      </c>
      <c r="E7169" t="s">
        <v>47</v>
      </c>
      <c r="F7169" t="s">
        <v>28</v>
      </c>
      <c r="G7169" t="s">
        <v>51</v>
      </c>
      <c r="H7169" t="s">
        <v>52</v>
      </c>
      <c r="I7169">
        <v>12495.75</v>
      </c>
      <c r="J7169">
        <v>10667.11</v>
      </c>
      <c r="K7169" t="s">
        <v>17</v>
      </c>
      <c r="L7169" t="b">
        <v>0</v>
      </c>
      <c r="N7169" s="2" t="b">
        <f t="shared" si="639"/>
        <v>1</v>
      </c>
      <c r="O7169" t="str">
        <f t="shared" ref="O7169:O7170" si="643">IF(AND(E7158="HR",K7158="EXPENSE"),I7158&lt;J7158,"")</f>
        <v/>
      </c>
      <c r="Q7169" t="str">
        <f t="shared" si="641"/>
        <v/>
      </c>
    </row>
    <row r="7170" spans="1:17" hidden="1">
      <c r="A7170" t="s">
        <v>7275</v>
      </c>
      <c r="B7170" s="1">
        <v>45874</v>
      </c>
      <c r="C7170">
        <v>2025</v>
      </c>
      <c r="D7170">
        <v>8</v>
      </c>
      <c r="E7170" t="s">
        <v>47</v>
      </c>
      <c r="F7170" t="s">
        <v>24</v>
      </c>
      <c r="G7170" t="s">
        <v>51</v>
      </c>
      <c r="H7170" t="s">
        <v>189</v>
      </c>
      <c r="I7170">
        <v>20953.919999999998</v>
      </c>
      <c r="J7170">
        <v>17687.93</v>
      </c>
      <c r="K7170" t="s">
        <v>17</v>
      </c>
      <c r="L7170" t="b">
        <v>0</v>
      </c>
      <c r="N7170" s="2" t="b">
        <f t="shared" si="639"/>
        <v>1</v>
      </c>
      <c r="O7170" t="str">
        <f t="shared" si="643"/>
        <v/>
      </c>
      <c r="Q7170" t="str">
        <f t="shared" si="641"/>
        <v/>
      </c>
    </row>
    <row r="7171" spans="1:17" hidden="1">
      <c r="A7171" t="s">
        <v>7276</v>
      </c>
      <c r="B7171" s="1">
        <v>45874</v>
      </c>
      <c r="C7171">
        <v>2025</v>
      </c>
      <c r="D7171">
        <v>8</v>
      </c>
      <c r="E7171" t="s">
        <v>23</v>
      </c>
      <c r="F7171" t="s">
        <v>14</v>
      </c>
      <c r="G7171" t="s">
        <v>25</v>
      </c>
      <c r="H7171" t="s">
        <v>35</v>
      </c>
      <c r="I7171">
        <v>4092.98</v>
      </c>
      <c r="J7171">
        <v>4374.62</v>
      </c>
      <c r="K7171" t="s">
        <v>17</v>
      </c>
      <c r="L7171" t="b">
        <v>0</v>
      </c>
      <c r="N7171" s="2" t="str">
        <f t="shared" ref="N7171:N7234" si="644">IF(AND(E7171="IT",K7171="EXPENSE"),I7171&gt;J7171,"")</f>
        <v/>
      </c>
      <c r="Q7171" t="str">
        <f t="shared" si="641"/>
        <v/>
      </c>
    </row>
    <row r="7172" spans="1:17" hidden="1">
      <c r="A7172" t="s">
        <v>7277</v>
      </c>
      <c r="B7172" s="1">
        <v>45874</v>
      </c>
      <c r="C7172">
        <v>2025</v>
      </c>
      <c r="D7172">
        <v>8</v>
      </c>
      <c r="E7172" t="s">
        <v>23</v>
      </c>
      <c r="F7172" t="s">
        <v>24</v>
      </c>
      <c r="G7172" t="s">
        <v>59</v>
      </c>
      <c r="H7172" t="s">
        <v>60</v>
      </c>
      <c r="I7172">
        <v>5660.5</v>
      </c>
      <c r="J7172">
        <v>5235.79</v>
      </c>
      <c r="K7172" t="s">
        <v>17</v>
      </c>
      <c r="L7172" t="b">
        <v>0</v>
      </c>
      <c r="N7172" s="2" t="str">
        <f t="shared" si="644"/>
        <v/>
      </c>
      <c r="Q7172" t="str">
        <f t="shared" si="641"/>
        <v/>
      </c>
    </row>
    <row r="7173" spans="1:17" hidden="1">
      <c r="A7173" t="s">
        <v>7278</v>
      </c>
      <c r="B7173" s="1">
        <v>45874</v>
      </c>
      <c r="C7173">
        <v>2025</v>
      </c>
      <c r="D7173">
        <v>8</v>
      </c>
      <c r="E7173" t="s">
        <v>37</v>
      </c>
      <c r="F7173" t="s">
        <v>24</v>
      </c>
      <c r="G7173" t="s">
        <v>98</v>
      </c>
      <c r="H7173" t="s">
        <v>185</v>
      </c>
      <c r="I7173">
        <v>4894.7700000000004</v>
      </c>
      <c r="J7173">
        <v>4841.2</v>
      </c>
      <c r="K7173" t="s">
        <v>17</v>
      </c>
      <c r="L7173" t="b">
        <v>0</v>
      </c>
      <c r="N7173" s="2" t="str">
        <f t="shared" si="644"/>
        <v/>
      </c>
      <c r="Q7173" t="str">
        <f t="shared" si="641"/>
        <v/>
      </c>
    </row>
    <row r="7174" spans="1:17" hidden="1">
      <c r="A7174" t="s">
        <v>7279</v>
      </c>
      <c r="B7174" s="1">
        <v>45875</v>
      </c>
      <c r="C7174">
        <v>2025</v>
      </c>
      <c r="D7174">
        <v>8</v>
      </c>
      <c r="E7174" t="s">
        <v>13</v>
      </c>
      <c r="F7174" t="s">
        <v>24</v>
      </c>
      <c r="G7174" t="s">
        <v>68</v>
      </c>
      <c r="H7174" t="s">
        <v>213</v>
      </c>
      <c r="I7174">
        <v>5079</v>
      </c>
      <c r="J7174">
        <v>4889.03</v>
      </c>
      <c r="K7174" t="s">
        <v>17</v>
      </c>
      <c r="L7174" t="b">
        <v>0</v>
      </c>
      <c r="N7174" s="2" t="str">
        <f t="shared" si="644"/>
        <v/>
      </c>
      <c r="Q7174" t="str">
        <f t="shared" si="641"/>
        <v/>
      </c>
    </row>
    <row r="7175" spans="1:17" hidden="1">
      <c r="A7175" t="s">
        <v>7280</v>
      </c>
      <c r="B7175" s="1">
        <v>45875</v>
      </c>
      <c r="C7175">
        <v>2025</v>
      </c>
      <c r="D7175">
        <v>8</v>
      </c>
      <c r="E7175" t="s">
        <v>13</v>
      </c>
      <c r="F7175" t="s">
        <v>24</v>
      </c>
      <c r="G7175" t="s">
        <v>15</v>
      </c>
      <c r="H7175" t="s">
        <v>45</v>
      </c>
      <c r="I7175">
        <v>3171.67</v>
      </c>
      <c r="J7175">
        <v>3422.79</v>
      </c>
      <c r="K7175" t="s">
        <v>17</v>
      </c>
      <c r="L7175" t="b">
        <v>0</v>
      </c>
      <c r="N7175" s="2" t="str">
        <f t="shared" si="644"/>
        <v/>
      </c>
      <c r="Q7175" t="str">
        <f t="shared" si="641"/>
        <v/>
      </c>
    </row>
    <row r="7176" spans="1:17" hidden="1">
      <c r="A7176" t="s">
        <v>7281</v>
      </c>
      <c r="B7176" s="1">
        <v>45875</v>
      </c>
      <c r="C7176">
        <v>2025</v>
      </c>
      <c r="D7176">
        <v>8</v>
      </c>
      <c r="E7176" t="s">
        <v>47</v>
      </c>
      <c r="F7176" t="s">
        <v>24</v>
      </c>
      <c r="G7176" t="s">
        <v>48</v>
      </c>
      <c r="H7176" t="s">
        <v>49</v>
      </c>
      <c r="I7176">
        <v>16630.64</v>
      </c>
      <c r="J7176">
        <v>14244.23</v>
      </c>
      <c r="K7176" t="s">
        <v>17</v>
      </c>
      <c r="L7176" t="b">
        <v>0</v>
      </c>
      <c r="N7176" s="2" t="b">
        <f t="shared" si="644"/>
        <v>1</v>
      </c>
      <c r="O7176" t="str">
        <f>IF(AND(E7165="HR",K7165="EXPENSE"),I7165&lt;J7165,"")</f>
        <v/>
      </c>
      <c r="Q7176" t="str">
        <f t="shared" si="641"/>
        <v/>
      </c>
    </row>
    <row r="7177" spans="1:17" hidden="1">
      <c r="A7177" t="s">
        <v>7282</v>
      </c>
      <c r="B7177" s="1">
        <v>45875</v>
      </c>
      <c r="C7177">
        <v>2025</v>
      </c>
      <c r="D7177">
        <v>8</v>
      </c>
      <c r="E7177" t="s">
        <v>23</v>
      </c>
      <c r="F7177" t="s">
        <v>14</v>
      </c>
      <c r="G7177" t="s">
        <v>25</v>
      </c>
      <c r="H7177" t="s">
        <v>95</v>
      </c>
      <c r="I7177">
        <v>6150.5</v>
      </c>
      <c r="J7177">
        <v>5953.28</v>
      </c>
      <c r="K7177" t="s">
        <v>17</v>
      </c>
      <c r="L7177" t="b">
        <v>0</v>
      </c>
      <c r="N7177" s="2" t="str">
        <f t="shared" si="644"/>
        <v/>
      </c>
      <c r="Q7177" t="str">
        <f t="shared" si="641"/>
        <v/>
      </c>
    </row>
    <row r="7178" spans="1:17" hidden="1">
      <c r="A7178" t="s">
        <v>7283</v>
      </c>
      <c r="B7178" s="1">
        <v>45875</v>
      </c>
      <c r="C7178">
        <v>2025</v>
      </c>
      <c r="D7178">
        <v>8</v>
      </c>
      <c r="E7178" t="s">
        <v>37</v>
      </c>
      <c r="F7178" t="s">
        <v>14</v>
      </c>
      <c r="G7178" t="s">
        <v>38</v>
      </c>
      <c r="H7178" t="s">
        <v>39</v>
      </c>
      <c r="I7178">
        <v>4010.18</v>
      </c>
      <c r="J7178">
        <v>3703.96</v>
      </c>
      <c r="K7178" t="s">
        <v>17</v>
      </c>
      <c r="L7178" t="b">
        <v>0</v>
      </c>
      <c r="N7178" s="2" t="str">
        <f t="shared" si="644"/>
        <v/>
      </c>
      <c r="Q7178" t="str">
        <f t="shared" si="641"/>
        <v/>
      </c>
    </row>
    <row r="7179" spans="1:17" hidden="1">
      <c r="A7179" t="s">
        <v>7284</v>
      </c>
      <c r="B7179" s="1">
        <v>45875</v>
      </c>
      <c r="C7179">
        <v>2025</v>
      </c>
      <c r="D7179">
        <v>8</v>
      </c>
      <c r="E7179" t="s">
        <v>37</v>
      </c>
      <c r="F7179" t="s">
        <v>28</v>
      </c>
      <c r="G7179" t="s">
        <v>62</v>
      </c>
      <c r="H7179" t="s">
        <v>360</v>
      </c>
      <c r="I7179">
        <v>4073.82</v>
      </c>
      <c r="J7179">
        <v>3900.27</v>
      </c>
      <c r="K7179" t="s">
        <v>17</v>
      </c>
      <c r="L7179" t="b">
        <v>0</v>
      </c>
      <c r="N7179" s="2" t="str">
        <f t="shared" si="644"/>
        <v/>
      </c>
      <c r="Q7179" t="str">
        <f t="shared" si="641"/>
        <v/>
      </c>
    </row>
    <row r="7180" spans="1:17" hidden="1">
      <c r="A7180" t="s">
        <v>7285</v>
      </c>
      <c r="B7180" s="1">
        <v>45876</v>
      </c>
      <c r="C7180">
        <v>2025</v>
      </c>
      <c r="D7180">
        <v>8</v>
      </c>
      <c r="E7180" t="s">
        <v>13</v>
      </c>
      <c r="F7180" t="s">
        <v>14</v>
      </c>
      <c r="G7180" t="s">
        <v>15</v>
      </c>
      <c r="H7180" t="s">
        <v>16</v>
      </c>
      <c r="I7180">
        <v>1699.64</v>
      </c>
      <c r="J7180">
        <v>1823.84</v>
      </c>
      <c r="K7180" t="s">
        <v>17</v>
      </c>
      <c r="L7180" t="b">
        <v>0</v>
      </c>
      <c r="N7180" s="2" t="str">
        <f t="shared" si="644"/>
        <v/>
      </c>
      <c r="Q7180" t="str">
        <f t="shared" si="641"/>
        <v/>
      </c>
    </row>
    <row r="7181" spans="1:17" hidden="1">
      <c r="A7181" t="s">
        <v>7286</v>
      </c>
      <c r="B7181" s="1">
        <v>45876</v>
      </c>
      <c r="C7181">
        <v>2025</v>
      </c>
      <c r="D7181">
        <v>8</v>
      </c>
      <c r="E7181" t="s">
        <v>47</v>
      </c>
      <c r="F7181" t="s">
        <v>24</v>
      </c>
      <c r="G7181" t="s">
        <v>51</v>
      </c>
      <c r="H7181" t="s">
        <v>72</v>
      </c>
      <c r="I7181">
        <v>22028.33</v>
      </c>
      <c r="J7181">
        <v>18574.62</v>
      </c>
      <c r="K7181" t="s">
        <v>17</v>
      </c>
      <c r="L7181" t="b">
        <v>0</v>
      </c>
      <c r="N7181" s="2" t="b">
        <f t="shared" si="644"/>
        <v>1</v>
      </c>
      <c r="O7181" t="str">
        <f>IF(AND(E7170="HR",K7170="EXPENSE"),I7170&lt;J7170,"")</f>
        <v/>
      </c>
      <c r="Q7181" t="str">
        <f t="shared" si="641"/>
        <v/>
      </c>
    </row>
    <row r="7182" spans="1:17" hidden="1">
      <c r="A7182" t="s">
        <v>7287</v>
      </c>
      <c r="B7182" s="1">
        <v>45876</v>
      </c>
      <c r="C7182">
        <v>2025</v>
      </c>
      <c r="D7182">
        <v>8</v>
      </c>
      <c r="E7182" t="s">
        <v>19</v>
      </c>
      <c r="F7182" t="s">
        <v>14</v>
      </c>
      <c r="G7182" t="s">
        <v>80</v>
      </c>
      <c r="H7182" t="s">
        <v>150</v>
      </c>
      <c r="I7182">
        <v>10293.07</v>
      </c>
      <c r="J7182">
        <v>10574.33</v>
      </c>
      <c r="K7182" t="s">
        <v>17</v>
      </c>
      <c r="L7182" t="b">
        <v>0</v>
      </c>
      <c r="N7182" s="2" t="str">
        <f t="shared" si="644"/>
        <v/>
      </c>
      <c r="Q7182" t="str">
        <f t="shared" si="641"/>
        <v/>
      </c>
    </row>
    <row r="7183" spans="1:17" hidden="1">
      <c r="A7183" t="s">
        <v>7288</v>
      </c>
      <c r="B7183" s="1">
        <v>45876</v>
      </c>
      <c r="C7183">
        <v>2025</v>
      </c>
      <c r="D7183">
        <v>8</v>
      </c>
      <c r="E7183" t="s">
        <v>19</v>
      </c>
      <c r="F7183" t="s">
        <v>28</v>
      </c>
      <c r="G7183" t="s">
        <v>54</v>
      </c>
      <c r="H7183" t="s">
        <v>55</v>
      </c>
      <c r="I7183">
        <v>8282.11</v>
      </c>
      <c r="J7183">
        <v>8251.57</v>
      </c>
      <c r="K7183" t="s">
        <v>17</v>
      </c>
      <c r="L7183" t="b">
        <v>0</v>
      </c>
      <c r="N7183" s="2" t="str">
        <f t="shared" si="644"/>
        <v/>
      </c>
      <c r="Q7183" t="str">
        <f t="shared" si="641"/>
        <v/>
      </c>
    </row>
    <row r="7184" spans="1:17" hidden="1">
      <c r="A7184" t="s">
        <v>7289</v>
      </c>
      <c r="B7184" s="1">
        <v>45876</v>
      </c>
      <c r="C7184">
        <v>2025</v>
      </c>
      <c r="D7184">
        <v>8</v>
      </c>
      <c r="E7184" t="s">
        <v>23</v>
      </c>
      <c r="F7184" t="s">
        <v>28</v>
      </c>
      <c r="G7184" t="s">
        <v>30</v>
      </c>
      <c r="H7184" t="s">
        <v>106</v>
      </c>
      <c r="I7184">
        <v>7144.88</v>
      </c>
      <c r="J7184">
        <v>7210.1</v>
      </c>
      <c r="K7184" t="s">
        <v>17</v>
      </c>
      <c r="L7184" t="b">
        <v>0</v>
      </c>
      <c r="N7184" s="2" t="str">
        <f t="shared" si="644"/>
        <v/>
      </c>
      <c r="Q7184" t="str">
        <f t="shared" si="641"/>
        <v/>
      </c>
    </row>
    <row r="7185" spans="1:17" hidden="1">
      <c r="A7185" t="s">
        <v>7290</v>
      </c>
      <c r="B7185" s="1">
        <v>45877</v>
      </c>
      <c r="C7185">
        <v>2025</v>
      </c>
      <c r="D7185">
        <v>8</v>
      </c>
      <c r="E7185" t="s">
        <v>19</v>
      </c>
      <c r="F7185" t="s">
        <v>14</v>
      </c>
      <c r="G7185" t="s">
        <v>54</v>
      </c>
      <c r="H7185" t="s">
        <v>163</v>
      </c>
      <c r="I7185">
        <v>9124.43</v>
      </c>
      <c r="J7185">
        <v>9125.41</v>
      </c>
      <c r="K7185" t="s">
        <v>17</v>
      </c>
      <c r="L7185" t="b">
        <v>0</v>
      </c>
      <c r="N7185" s="2" t="str">
        <f t="shared" si="644"/>
        <v/>
      </c>
      <c r="Q7185" t="str">
        <f t="shared" si="641"/>
        <v/>
      </c>
    </row>
    <row r="7186" spans="1:17" hidden="1">
      <c r="A7186" t="s">
        <v>7291</v>
      </c>
      <c r="B7186" s="1">
        <v>45877</v>
      </c>
      <c r="C7186">
        <v>2025</v>
      </c>
      <c r="D7186">
        <v>8</v>
      </c>
      <c r="E7186" t="s">
        <v>37</v>
      </c>
      <c r="F7186" t="s">
        <v>24</v>
      </c>
      <c r="G7186" t="s">
        <v>62</v>
      </c>
      <c r="H7186" t="s">
        <v>121</v>
      </c>
      <c r="I7186">
        <v>4212.3500000000004</v>
      </c>
      <c r="J7186">
        <v>4393.96</v>
      </c>
      <c r="K7186" t="s">
        <v>17</v>
      </c>
      <c r="L7186" t="b">
        <v>0</v>
      </c>
      <c r="N7186" s="2" t="str">
        <f t="shared" si="644"/>
        <v/>
      </c>
      <c r="Q7186" t="str">
        <f t="shared" si="641"/>
        <v/>
      </c>
    </row>
    <row r="7187" spans="1:17" hidden="1">
      <c r="A7187" t="s">
        <v>7292</v>
      </c>
      <c r="B7187" s="1">
        <v>45878</v>
      </c>
      <c r="C7187">
        <v>2025</v>
      </c>
      <c r="D7187">
        <v>8</v>
      </c>
      <c r="E7187" t="s">
        <v>13</v>
      </c>
      <c r="F7187" t="s">
        <v>14</v>
      </c>
      <c r="G7187" t="s">
        <v>15</v>
      </c>
      <c r="H7187" t="s">
        <v>45</v>
      </c>
      <c r="I7187">
        <v>3879.72</v>
      </c>
      <c r="J7187">
        <v>4044.8</v>
      </c>
      <c r="K7187" t="s">
        <v>17</v>
      </c>
      <c r="L7187" t="b">
        <v>0</v>
      </c>
      <c r="N7187" s="2" t="str">
        <f t="shared" si="644"/>
        <v/>
      </c>
      <c r="Q7187" t="str">
        <f t="shared" si="641"/>
        <v/>
      </c>
    </row>
    <row r="7188" spans="1:17" hidden="1">
      <c r="A7188" t="s">
        <v>7293</v>
      </c>
      <c r="B7188" s="1">
        <v>45878</v>
      </c>
      <c r="C7188">
        <v>2025</v>
      </c>
      <c r="D7188">
        <v>8</v>
      </c>
      <c r="E7188" t="s">
        <v>13</v>
      </c>
      <c r="F7188" t="s">
        <v>28</v>
      </c>
      <c r="G7188" t="s">
        <v>108</v>
      </c>
      <c r="H7188" t="s">
        <v>126</v>
      </c>
      <c r="I7188">
        <v>3526.04</v>
      </c>
      <c r="J7188">
        <v>3531.2</v>
      </c>
      <c r="K7188" t="s">
        <v>17</v>
      </c>
      <c r="L7188" t="b">
        <v>0</v>
      </c>
      <c r="N7188" s="2" t="str">
        <f t="shared" si="644"/>
        <v/>
      </c>
      <c r="Q7188" t="str">
        <f t="shared" si="641"/>
        <v/>
      </c>
    </row>
    <row r="7189" spans="1:17" hidden="1">
      <c r="A7189" t="s">
        <v>7294</v>
      </c>
      <c r="B7189" s="1">
        <v>45878</v>
      </c>
      <c r="C7189">
        <v>2025</v>
      </c>
      <c r="D7189">
        <v>8</v>
      </c>
      <c r="E7189" t="s">
        <v>13</v>
      </c>
      <c r="F7189" t="s">
        <v>28</v>
      </c>
      <c r="G7189" t="s">
        <v>68</v>
      </c>
      <c r="H7189" t="s">
        <v>213</v>
      </c>
      <c r="I7189">
        <v>2594.16</v>
      </c>
      <c r="J7189">
        <v>2711.66</v>
      </c>
      <c r="K7189" t="s">
        <v>17</v>
      </c>
      <c r="L7189" t="b">
        <v>0</v>
      </c>
      <c r="N7189" s="2" t="str">
        <f t="shared" si="644"/>
        <v/>
      </c>
      <c r="Q7189" t="str">
        <f t="shared" si="641"/>
        <v/>
      </c>
    </row>
    <row r="7190" spans="1:17" hidden="1">
      <c r="A7190" t="s">
        <v>7295</v>
      </c>
      <c r="B7190" s="1">
        <v>45878</v>
      </c>
      <c r="C7190">
        <v>2025</v>
      </c>
      <c r="D7190">
        <v>8</v>
      </c>
      <c r="E7190" t="s">
        <v>13</v>
      </c>
      <c r="F7190" t="s">
        <v>28</v>
      </c>
      <c r="G7190" t="s">
        <v>15</v>
      </c>
      <c r="H7190" t="s">
        <v>45</v>
      </c>
      <c r="I7190">
        <v>2670.32</v>
      </c>
      <c r="J7190">
        <v>2618.56</v>
      </c>
      <c r="K7190" t="s">
        <v>17</v>
      </c>
      <c r="L7190" t="b">
        <v>0</v>
      </c>
      <c r="N7190" s="2" t="str">
        <f t="shared" si="644"/>
        <v/>
      </c>
      <c r="Q7190" t="str">
        <f t="shared" si="641"/>
        <v/>
      </c>
    </row>
    <row r="7191" spans="1:17" hidden="1">
      <c r="A7191" t="s">
        <v>7296</v>
      </c>
      <c r="B7191" s="1">
        <v>45878</v>
      </c>
      <c r="C7191">
        <v>2025</v>
      </c>
      <c r="D7191">
        <v>8</v>
      </c>
      <c r="E7191" t="s">
        <v>47</v>
      </c>
      <c r="F7191" t="s">
        <v>14</v>
      </c>
      <c r="G7191" t="s">
        <v>51</v>
      </c>
      <c r="H7191" t="s">
        <v>52</v>
      </c>
      <c r="I7191">
        <v>14930.7</v>
      </c>
      <c r="J7191">
        <v>12605.37</v>
      </c>
      <c r="K7191" t="s">
        <v>17</v>
      </c>
      <c r="L7191" t="b">
        <v>0</v>
      </c>
      <c r="N7191" s="2" t="b">
        <f t="shared" si="644"/>
        <v>1</v>
      </c>
      <c r="O7191" t="b">
        <f t="shared" ref="O7191:O7193" si="645">IF(AND(E7180="HR",K7180="EXPENSE"),I7180&lt;J7180,"")</f>
        <v>1</v>
      </c>
      <c r="Q7191" t="str">
        <f t="shared" si="641"/>
        <v/>
      </c>
    </row>
    <row r="7192" spans="1:17" hidden="1">
      <c r="A7192" t="s">
        <v>7297</v>
      </c>
      <c r="B7192" s="1">
        <v>45878</v>
      </c>
      <c r="C7192">
        <v>2025</v>
      </c>
      <c r="D7192">
        <v>8</v>
      </c>
      <c r="E7192" t="s">
        <v>47</v>
      </c>
      <c r="F7192" t="s">
        <v>14</v>
      </c>
      <c r="G7192" t="s">
        <v>91</v>
      </c>
      <c r="H7192" t="s">
        <v>92</v>
      </c>
      <c r="I7192">
        <v>10977.28</v>
      </c>
      <c r="J7192">
        <v>9416.98</v>
      </c>
      <c r="K7192" t="s">
        <v>17</v>
      </c>
      <c r="L7192" t="b">
        <v>0</v>
      </c>
      <c r="N7192" s="2" t="b">
        <f t="shared" si="644"/>
        <v>1</v>
      </c>
      <c r="O7192" t="str">
        <f t="shared" si="645"/>
        <v/>
      </c>
      <c r="Q7192" t="str">
        <f t="shared" si="641"/>
        <v/>
      </c>
    </row>
    <row r="7193" spans="1:17" hidden="1">
      <c r="A7193" t="s">
        <v>7298</v>
      </c>
      <c r="B7193" s="1">
        <v>45878</v>
      </c>
      <c r="C7193">
        <v>2025</v>
      </c>
      <c r="D7193">
        <v>8</v>
      </c>
      <c r="E7193" t="s">
        <v>47</v>
      </c>
      <c r="F7193" t="s">
        <v>28</v>
      </c>
      <c r="G7193" t="s">
        <v>77</v>
      </c>
      <c r="H7193" t="s">
        <v>78</v>
      </c>
      <c r="I7193">
        <v>8787.89</v>
      </c>
      <c r="J7193">
        <v>7482.16</v>
      </c>
      <c r="K7193" t="s">
        <v>17</v>
      </c>
      <c r="L7193" t="b">
        <v>0</v>
      </c>
      <c r="N7193" s="2" t="b">
        <f t="shared" si="644"/>
        <v>1</v>
      </c>
      <c r="O7193" t="str">
        <f t="shared" si="645"/>
        <v/>
      </c>
      <c r="Q7193" t="str">
        <f t="shared" si="641"/>
        <v/>
      </c>
    </row>
    <row r="7194" spans="1:17" hidden="1">
      <c r="A7194" t="s">
        <v>7299</v>
      </c>
      <c r="B7194" s="1">
        <v>45878</v>
      </c>
      <c r="C7194">
        <v>2025</v>
      </c>
      <c r="D7194">
        <v>8</v>
      </c>
      <c r="E7194" t="s">
        <v>19</v>
      </c>
      <c r="F7194" t="s">
        <v>14</v>
      </c>
      <c r="G7194" t="s">
        <v>54</v>
      </c>
      <c r="H7194" t="s">
        <v>57</v>
      </c>
      <c r="I7194">
        <v>7075.97</v>
      </c>
      <c r="J7194">
        <v>7572.61</v>
      </c>
      <c r="K7194" t="s">
        <v>17</v>
      </c>
      <c r="L7194" t="b">
        <v>0</v>
      </c>
      <c r="N7194" s="2" t="str">
        <f t="shared" si="644"/>
        <v/>
      </c>
      <c r="Q7194" t="str">
        <f t="shared" si="641"/>
        <v/>
      </c>
    </row>
    <row r="7195" spans="1:17" hidden="1">
      <c r="A7195" t="s">
        <v>7300</v>
      </c>
      <c r="B7195" s="1">
        <v>45878</v>
      </c>
      <c r="C7195">
        <v>2025</v>
      </c>
      <c r="D7195">
        <v>8</v>
      </c>
      <c r="E7195" t="s">
        <v>19</v>
      </c>
      <c r="F7195" t="s">
        <v>28</v>
      </c>
      <c r="G7195" t="s">
        <v>80</v>
      </c>
      <c r="H7195" t="s">
        <v>113</v>
      </c>
      <c r="I7195">
        <v>9723.7199999999993</v>
      </c>
      <c r="J7195">
        <v>9024.1299999999992</v>
      </c>
      <c r="K7195" t="s">
        <v>17</v>
      </c>
      <c r="L7195" t="b">
        <v>0</v>
      </c>
      <c r="N7195" s="2" t="str">
        <f t="shared" si="644"/>
        <v/>
      </c>
      <c r="Q7195" t="str">
        <f t="shared" si="641"/>
        <v/>
      </c>
    </row>
    <row r="7196" spans="1:17" hidden="1">
      <c r="A7196" t="s">
        <v>7301</v>
      </c>
      <c r="B7196" s="1">
        <v>45878</v>
      </c>
      <c r="C7196">
        <v>2025</v>
      </c>
      <c r="D7196">
        <v>8</v>
      </c>
      <c r="E7196" t="s">
        <v>23</v>
      </c>
      <c r="F7196" t="s">
        <v>24</v>
      </c>
      <c r="G7196" t="s">
        <v>25</v>
      </c>
      <c r="H7196" t="s">
        <v>95</v>
      </c>
      <c r="I7196">
        <v>3860.42</v>
      </c>
      <c r="J7196">
        <v>3587.72</v>
      </c>
      <c r="K7196" t="s">
        <v>17</v>
      </c>
      <c r="L7196" t="b">
        <v>0</v>
      </c>
      <c r="N7196" s="2" t="str">
        <f t="shared" si="644"/>
        <v/>
      </c>
      <c r="Q7196" t="str">
        <f t="shared" si="641"/>
        <v/>
      </c>
    </row>
    <row r="7197" spans="1:17" hidden="1">
      <c r="A7197" t="s">
        <v>7302</v>
      </c>
      <c r="B7197" s="1">
        <v>45878</v>
      </c>
      <c r="C7197">
        <v>2025</v>
      </c>
      <c r="D7197">
        <v>8</v>
      </c>
      <c r="E7197" t="s">
        <v>37</v>
      </c>
      <c r="F7197" t="s">
        <v>28</v>
      </c>
      <c r="G7197" t="s">
        <v>38</v>
      </c>
      <c r="H7197" t="s">
        <v>118</v>
      </c>
      <c r="I7197">
        <v>4945.3500000000004</v>
      </c>
      <c r="J7197">
        <v>5041.3500000000004</v>
      </c>
      <c r="K7197" t="s">
        <v>17</v>
      </c>
      <c r="L7197" t="b">
        <v>0</v>
      </c>
      <c r="N7197" s="2" t="str">
        <f t="shared" si="644"/>
        <v/>
      </c>
      <c r="Q7197" t="str">
        <f t="shared" si="641"/>
        <v/>
      </c>
    </row>
    <row r="7198" spans="1:17" hidden="1">
      <c r="A7198" t="s">
        <v>7303</v>
      </c>
      <c r="B7198" s="1">
        <v>45878</v>
      </c>
      <c r="C7198">
        <v>2025</v>
      </c>
      <c r="D7198">
        <v>8</v>
      </c>
      <c r="E7198" t="s">
        <v>37</v>
      </c>
      <c r="F7198" t="s">
        <v>28</v>
      </c>
      <c r="G7198" t="s">
        <v>98</v>
      </c>
      <c r="H7198" t="s">
        <v>185</v>
      </c>
      <c r="I7198">
        <v>2284.7199999999998</v>
      </c>
      <c r="J7198">
        <v>2218.0700000000002</v>
      </c>
      <c r="K7198" t="s">
        <v>17</v>
      </c>
      <c r="L7198" t="b">
        <v>0</v>
      </c>
      <c r="N7198" s="2" t="str">
        <f t="shared" si="644"/>
        <v/>
      </c>
      <c r="Q7198" t="str">
        <f t="shared" si="641"/>
        <v/>
      </c>
    </row>
    <row r="7199" spans="1:17" hidden="1">
      <c r="A7199" t="s">
        <v>7304</v>
      </c>
      <c r="B7199" s="1">
        <v>45879</v>
      </c>
      <c r="C7199">
        <v>2025</v>
      </c>
      <c r="D7199">
        <v>8</v>
      </c>
      <c r="E7199" t="s">
        <v>13</v>
      </c>
      <c r="F7199" t="s">
        <v>14</v>
      </c>
      <c r="G7199" t="s">
        <v>68</v>
      </c>
      <c r="H7199" t="s">
        <v>87</v>
      </c>
      <c r="I7199">
        <v>3155.61</v>
      </c>
      <c r="J7199">
        <v>3291.22</v>
      </c>
      <c r="K7199" t="s">
        <v>17</v>
      </c>
      <c r="L7199" t="b">
        <v>0</v>
      </c>
      <c r="N7199" s="2" t="str">
        <f t="shared" si="644"/>
        <v/>
      </c>
      <c r="Q7199" t="str">
        <f t="shared" si="641"/>
        <v/>
      </c>
    </row>
    <row r="7200" spans="1:17" hidden="1">
      <c r="A7200" t="s">
        <v>7305</v>
      </c>
      <c r="B7200" s="1">
        <v>45879</v>
      </c>
      <c r="C7200">
        <v>2025</v>
      </c>
      <c r="D7200">
        <v>8</v>
      </c>
      <c r="E7200" t="s">
        <v>13</v>
      </c>
      <c r="F7200" t="s">
        <v>28</v>
      </c>
      <c r="G7200" t="s">
        <v>15</v>
      </c>
      <c r="H7200" t="s">
        <v>45</v>
      </c>
      <c r="I7200">
        <v>4010.19</v>
      </c>
      <c r="J7200">
        <v>3644.34</v>
      </c>
      <c r="K7200" t="s">
        <v>17</v>
      </c>
      <c r="L7200" t="b">
        <v>0</v>
      </c>
      <c r="N7200" s="2" t="str">
        <f t="shared" si="644"/>
        <v/>
      </c>
      <c r="Q7200" t="str">
        <f t="shared" si="641"/>
        <v/>
      </c>
    </row>
    <row r="7201" spans="1:17" hidden="1">
      <c r="A7201" t="s">
        <v>7306</v>
      </c>
      <c r="B7201" s="1">
        <v>45879</v>
      </c>
      <c r="C7201">
        <v>2025</v>
      </c>
      <c r="D7201">
        <v>8</v>
      </c>
      <c r="E7201" t="s">
        <v>47</v>
      </c>
      <c r="F7201" t="s">
        <v>14</v>
      </c>
      <c r="G7201" t="s">
        <v>77</v>
      </c>
      <c r="H7201" t="s">
        <v>78</v>
      </c>
      <c r="I7201">
        <v>15752.72</v>
      </c>
      <c r="J7201">
        <v>12922.58</v>
      </c>
      <c r="K7201" t="s">
        <v>17</v>
      </c>
      <c r="L7201" t="b">
        <v>0</v>
      </c>
      <c r="N7201" s="2" t="b">
        <f t="shared" si="644"/>
        <v>1</v>
      </c>
      <c r="O7201" t="b">
        <f>IF(AND(E7190="HR",K7190="EXPENSE"),I7190&lt;J7190,"")</f>
        <v>0</v>
      </c>
      <c r="Q7201" t="str">
        <f t="shared" si="641"/>
        <v/>
      </c>
    </row>
    <row r="7202" spans="1:17" hidden="1">
      <c r="A7202" t="s">
        <v>7307</v>
      </c>
      <c r="B7202" s="1">
        <v>45879</v>
      </c>
      <c r="C7202">
        <v>2025</v>
      </c>
      <c r="D7202">
        <v>8</v>
      </c>
      <c r="E7202" t="s">
        <v>19</v>
      </c>
      <c r="F7202" t="s">
        <v>14</v>
      </c>
      <c r="G7202" t="s">
        <v>80</v>
      </c>
      <c r="H7202" t="s">
        <v>81</v>
      </c>
      <c r="I7202">
        <v>9231.06</v>
      </c>
      <c r="J7202">
        <v>8412.9</v>
      </c>
      <c r="K7202" t="s">
        <v>17</v>
      </c>
      <c r="L7202" t="b">
        <v>0</v>
      </c>
      <c r="N7202" s="2" t="str">
        <f t="shared" si="644"/>
        <v/>
      </c>
      <c r="Q7202" t="str">
        <f t="shared" si="641"/>
        <v/>
      </c>
    </row>
    <row r="7203" spans="1:17" hidden="1">
      <c r="A7203" t="s">
        <v>7308</v>
      </c>
      <c r="B7203" s="1">
        <v>45879</v>
      </c>
      <c r="C7203">
        <v>2025</v>
      </c>
      <c r="D7203">
        <v>8</v>
      </c>
      <c r="E7203" t="s">
        <v>19</v>
      </c>
      <c r="F7203" t="s">
        <v>28</v>
      </c>
      <c r="G7203" t="s">
        <v>80</v>
      </c>
      <c r="H7203" t="s">
        <v>217</v>
      </c>
      <c r="I7203">
        <v>7472.7</v>
      </c>
      <c r="J7203">
        <v>6748.01</v>
      </c>
      <c r="K7203" t="s">
        <v>17</v>
      </c>
      <c r="L7203" t="b">
        <v>0</v>
      </c>
      <c r="N7203" s="2" t="str">
        <f t="shared" si="644"/>
        <v/>
      </c>
      <c r="Q7203" t="str">
        <f t="shared" si="641"/>
        <v/>
      </c>
    </row>
    <row r="7204" spans="1:17" hidden="1">
      <c r="A7204" t="s">
        <v>7309</v>
      </c>
      <c r="B7204" s="1">
        <v>45879</v>
      </c>
      <c r="C7204">
        <v>2025</v>
      </c>
      <c r="D7204">
        <v>8</v>
      </c>
      <c r="E7204" t="s">
        <v>37</v>
      </c>
      <c r="F7204" t="s">
        <v>14</v>
      </c>
      <c r="G7204" t="s">
        <v>41</v>
      </c>
      <c r="H7204" t="s">
        <v>42</v>
      </c>
      <c r="I7204">
        <v>4383.7</v>
      </c>
      <c r="J7204">
        <v>4817.74</v>
      </c>
      <c r="K7204" t="s">
        <v>17</v>
      </c>
      <c r="L7204" t="b">
        <v>0</v>
      </c>
      <c r="N7204" s="2" t="str">
        <f t="shared" si="644"/>
        <v/>
      </c>
      <c r="Q7204" t="str">
        <f t="shared" si="641"/>
        <v/>
      </c>
    </row>
    <row r="7205" spans="1:17" hidden="1">
      <c r="A7205" t="s">
        <v>7310</v>
      </c>
      <c r="B7205" s="1">
        <v>45879</v>
      </c>
      <c r="C7205">
        <v>2025</v>
      </c>
      <c r="D7205">
        <v>8</v>
      </c>
      <c r="E7205" t="s">
        <v>37</v>
      </c>
      <c r="F7205" t="s">
        <v>28</v>
      </c>
      <c r="G7205" t="s">
        <v>38</v>
      </c>
      <c r="H7205" t="s">
        <v>227</v>
      </c>
      <c r="I7205">
        <v>4712.58</v>
      </c>
      <c r="J7205">
        <v>4963.67</v>
      </c>
      <c r="K7205" t="s">
        <v>17</v>
      </c>
      <c r="L7205" t="b">
        <v>0</v>
      </c>
      <c r="N7205" s="2" t="str">
        <f t="shared" si="644"/>
        <v/>
      </c>
      <c r="Q7205" t="str">
        <f t="shared" si="641"/>
        <v/>
      </c>
    </row>
    <row r="7206" spans="1:17" hidden="1">
      <c r="A7206" t="s">
        <v>7311</v>
      </c>
      <c r="B7206" s="1">
        <v>45880</v>
      </c>
      <c r="C7206">
        <v>2025</v>
      </c>
      <c r="D7206">
        <v>8</v>
      </c>
      <c r="E7206" t="s">
        <v>13</v>
      </c>
      <c r="F7206" t="s">
        <v>14</v>
      </c>
      <c r="G7206" t="s">
        <v>102</v>
      </c>
      <c r="H7206" t="s">
        <v>278</v>
      </c>
      <c r="I7206">
        <v>5109.13</v>
      </c>
      <c r="J7206">
        <v>5417.84</v>
      </c>
      <c r="K7206" t="s">
        <v>17</v>
      </c>
      <c r="L7206" t="b">
        <v>0</v>
      </c>
      <c r="N7206" s="2" t="str">
        <f t="shared" si="644"/>
        <v/>
      </c>
      <c r="Q7206" t="str">
        <f t="shared" si="641"/>
        <v/>
      </c>
    </row>
    <row r="7207" spans="1:17" hidden="1">
      <c r="A7207" t="s">
        <v>7312</v>
      </c>
      <c r="B7207" s="1">
        <v>45880</v>
      </c>
      <c r="C7207">
        <v>2025</v>
      </c>
      <c r="D7207">
        <v>8</v>
      </c>
      <c r="E7207" t="s">
        <v>47</v>
      </c>
      <c r="F7207" t="s">
        <v>14</v>
      </c>
      <c r="G7207" t="s">
        <v>48</v>
      </c>
      <c r="H7207" t="s">
        <v>191</v>
      </c>
      <c r="I7207">
        <v>13350.62</v>
      </c>
      <c r="J7207">
        <v>11539.19</v>
      </c>
      <c r="K7207" t="s">
        <v>17</v>
      </c>
      <c r="L7207" t="b">
        <v>0</v>
      </c>
      <c r="N7207" s="2" t="b">
        <f t="shared" si="644"/>
        <v>1</v>
      </c>
      <c r="O7207" t="str">
        <f t="shared" ref="O7207:O7208" si="646">IF(AND(E7196="HR",K7196="EXPENSE"),I7196&lt;J7196,"")</f>
        <v/>
      </c>
      <c r="Q7207" t="str">
        <f t="shared" si="641"/>
        <v/>
      </c>
    </row>
    <row r="7208" spans="1:17" hidden="1">
      <c r="A7208" t="s">
        <v>7313</v>
      </c>
      <c r="B7208" s="1">
        <v>45880</v>
      </c>
      <c r="C7208">
        <v>2025</v>
      </c>
      <c r="D7208">
        <v>8</v>
      </c>
      <c r="E7208" t="s">
        <v>47</v>
      </c>
      <c r="F7208" t="s">
        <v>28</v>
      </c>
      <c r="G7208" t="s">
        <v>48</v>
      </c>
      <c r="H7208" t="s">
        <v>191</v>
      </c>
      <c r="I7208">
        <v>7400.65</v>
      </c>
      <c r="J7208">
        <v>6412.46</v>
      </c>
      <c r="K7208" t="s">
        <v>17</v>
      </c>
      <c r="L7208" t="b">
        <v>0</v>
      </c>
      <c r="N7208" s="2" t="b">
        <f t="shared" si="644"/>
        <v>1</v>
      </c>
      <c r="O7208" t="str">
        <f t="shared" si="646"/>
        <v/>
      </c>
      <c r="Q7208" t="str">
        <f t="shared" si="641"/>
        <v/>
      </c>
    </row>
    <row r="7209" spans="1:17" hidden="1">
      <c r="A7209" t="s">
        <v>7314</v>
      </c>
      <c r="B7209" s="1">
        <v>45880</v>
      </c>
      <c r="C7209">
        <v>2025</v>
      </c>
      <c r="D7209">
        <v>8</v>
      </c>
      <c r="E7209" t="s">
        <v>23</v>
      </c>
      <c r="F7209" t="s">
        <v>14</v>
      </c>
      <c r="G7209" t="s">
        <v>25</v>
      </c>
      <c r="H7209" t="s">
        <v>95</v>
      </c>
      <c r="I7209">
        <v>5242.53</v>
      </c>
      <c r="J7209">
        <v>5736.4</v>
      </c>
      <c r="K7209" t="s">
        <v>17</v>
      </c>
      <c r="L7209" t="b">
        <v>0</v>
      </c>
      <c r="N7209" s="2" t="str">
        <f t="shared" si="644"/>
        <v/>
      </c>
      <c r="Q7209" t="str">
        <f t="shared" si="641"/>
        <v/>
      </c>
    </row>
    <row r="7210" spans="1:17" hidden="1">
      <c r="A7210" t="s">
        <v>7315</v>
      </c>
      <c r="B7210" s="1">
        <v>45880</v>
      </c>
      <c r="C7210">
        <v>2025</v>
      </c>
      <c r="D7210">
        <v>8</v>
      </c>
      <c r="E7210" t="s">
        <v>23</v>
      </c>
      <c r="F7210" t="s">
        <v>14</v>
      </c>
      <c r="G7210" t="s">
        <v>59</v>
      </c>
      <c r="H7210" t="s">
        <v>155</v>
      </c>
      <c r="I7210">
        <v>5669.57</v>
      </c>
      <c r="J7210">
        <v>5328.99</v>
      </c>
      <c r="K7210" t="s">
        <v>17</v>
      </c>
      <c r="L7210" t="b">
        <v>0</v>
      </c>
      <c r="N7210" s="2" t="str">
        <f t="shared" si="644"/>
        <v/>
      </c>
      <c r="Q7210" t="str">
        <f t="shared" si="641"/>
        <v/>
      </c>
    </row>
    <row r="7211" spans="1:17" hidden="1">
      <c r="A7211" t="s">
        <v>7316</v>
      </c>
      <c r="B7211" s="1">
        <v>45880</v>
      </c>
      <c r="C7211">
        <v>2025</v>
      </c>
      <c r="D7211">
        <v>8</v>
      </c>
      <c r="E7211" t="s">
        <v>23</v>
      </c>
      <c r="F7211" t="s">
        <v>24</v>
      </c>
      <c r="G7211" t="s">
        <v>141</v>
      </c>
      <c r="H7211" t="s">
        <v>153</v>
      </c>
      <c r="I7211">
        <v>5338.34</v>
      </c>
      <c r="J7211">
        <v>5001.78</v>
      </c>
      <c r="K7211" t="s">
        <v>17</v>
      </c>
      <c r="L7211" t="b">
        <v>0</v>
      </c>
      <c r="N7211" s="2" t="str">
        <f t="shared" si="644"/>
        <v/>
      </c>
      <c r="Q7211" t="str">
        <f t="shared" si="641"/>
        <v/>
      </c>
    </row>
    <row r="7212" spans="1:17" hidden="1">
      <c r="A7212" t="s">
        <v>7317</v>
      </c>
      <c r="B7212" s="1">
        <v>45880</v>
      </c>
      <c r="C7212">
        <v>2025</v>
      </c>
      <c r="D7212">
        <v>8</v>
      </c>
      <c r="E7212" t="s">
        <v>37</v>
      </c>
      <c r="F7212" t="s">
        <v>14</v>
      </c>
      <c r="G7212" t="s">
        <v>41</v>
      </c>
      <c r="H7212" t="s">
        <v>42</v>
      </c>
      <c r="I7212">
        <v>3466.27</v>
      </c>
      <c r="J7212">
        <v>3122.67</v>
      </c>
      <c r="K7212" t="s">
        <v>17</v>
      </c>
      <c r="L7212" t="b">
        <v>0</v>
      </c>
      <c r="N7212" s="2" t="str">
        <f t="shared" si="644"/>
        <v/>
      </c>
      <c r="Q7212" t="str">
        <f t="shared" si="641"/>
        <v/>
      </c>
    </row>
    <row r="7213" spans="1:17" hidden="1">
      <c r="A7213" t="s">
        <v>7318</v>
      </c>
      <c r="B7213" s="1">
        <v>45880</v>
      </c>
      <c r="C7213">
        <v>2025</v>
      </c>
      <c r="D7213">
        <v>8</v>
      </c>
      <c r="E7213" t="s">
        <v>37</v>
      </c>
      <c r="F7213" t="s">
        <v>14</v>
      </c>
      <c r="G7213" t="s">
        <v>98</v>
      </c>
      <c r="H7213" t="s">
        <v>99</v>
      </c>
      <c r="I7213">
        <v>3014.65</v>
      </c>
      <c r="J7213">
        <v>2813.71</v>
      </c>
      <c r="K7213" t="s">
        <v>17</v>
      </c>
      <c r="L7213" t="b">
        <v>0</v>
      </c>
      <c r="N7213" s="2" t="str">
        <f t="shared" si="644"/>
        <v/>
      </c>
      <c r="Q7213" t="str">
        <f t="shared" si="641"/>
        <v/>
      </c>
    </row>
    <row r="7214" spans="1:17" hidden="1">
      <c r="A7214" t="s">
        <v>7319</v>
      </c>
      <c r="B7214" s="1">
        <v>45880</v>
      </c>
      <c r="C7214">
        <v>2025</v>
      </c>
      <c r="D7214">
        <v>8</v>
      </c>
      <c r="E7214" t="s">
        <v>37</v>
      </c>
      <c r="F7214" t="s">
        <v>24</v>
      </c>
      <c r="G7214" t="s">
        <v>62</v>
      </c>
      <c r="H7214" t="s">
        <v>66</v>
      </c>
      <c r="I7214">
        <v>3541</v>
      </c>
      <c r="J7214">
        <v>3817.3</v>
      </c>
      <c r="K7214" t="s">
        <v>17</v>
      </c>
      <c r="L7214" t="b">
        <v>0</v>
      </c>
      <c r="N7214" s="2" t="str">
        <f t="shared" si="644"/>
        <v/>
      </c>
      <c r="Q7214" t="str">
        <f t="shared" si="641"/>
        <v/>
      </c>
    </row>
    <row r="7215" spans="1:17" hidden="1">
      <c r="A7215" t="s">
        <v>7320</v>
      </c>
      <c r="B7215" s="1">
        <v>45881</v>
      </c>
      <c r="C7215">
        <v>2025</v>
      </c>
      <c r="D7215">
        <v>8</v>
      </c>
      <c r="E7215" t="s">
        <v>13</v>
      </c>
      <c r="F7215" t="s">
        <v>14</v>
      </c>
      <c r="G7215" t="s">
        <v>15</v>
      </c>
      <c r="H7215" t="s">
        <v>16</v>
      </c>
      <c r="I7215">
        <v>3921.1</v>
      </c>
      <c r="J7215">
        <v>3678.11</v>
      </c>
      <c r="K7215" t="s">
        <v>17</v>
      </c>
      <c r="L7215" t="b">
        <v>0</v>
      </c>
      <c r="N7215" s="2" t="str">
        <f t="shared" si="644"/>
        <v/>
      </c>
      <c r="Q7215" t="str">
        <f t="shared" si="641"/>
        <v/>
      </c>
    </row>
    <row r="7216" spans="1:17" hidden="1">
      <c r="A7216" t="s">
        <v>7321</v>
      </c>
      <c r="B7216" s="1">
        <v>45881</v>
      </c>
      <c r="C7216">
        <v>2025</v>
      </c>
      <c r="D7216">
        <v>8</v>
      </c>
      <c r="E7216" t="s">
        <v>47</v>
      </c>
      <c r="F7216" t="s">
        <v>14</v>
      </c>
      <c r="G7216" t="s">
        <v>48</v>
      </c>
      <c r="H7216" t="s">
        <v>75</v>
      </c>
      <c r="I7216">
        <v>13529.42</v>
      </c>
      <c r="J7216">
        <v>11586.81</v>
      </c>
      <c r="K7216" t="s">
        <v>17</v>
      </c>
      <c r="L7216" t="b">
        <v>0</v>
      </c>
      <c r="N7216" s="2" t="b">
        <f t="shared" si="644"/>
        <v>1</v>
      </c>
      <c r="O7216" t="str">
        <f>IF(AND(E7205="HR",K7205="EXPENSE"),I7205&lt;J7205,"")</f>
        <v/>
      </c>
      <c r="Q7216" t="str">
        <f t="shared" ref="Q7216:Q7279" si="647">IF(L7216=TRUE,OR(H7216="Apex Solutions Inc",H7216="Global Trade Partners",H7216="NovaTech Services"),"")</f>
        <v/>
      </c>
    </row>
    <row r="7217" spans="1:17" hidden="1">
      <c r="A7217" t="s">
        <v>7322</v>
      </c>
      <c r="B7217" s="1">
        <v>45881</v>
      </c>
      <c r="C7217">
        <v>2025</v>
      </c>
      <c r="D7217">
        <v>8</v>
      </c>
      <c r="E7217" t="s">
        <v>19</v>
      </c>
      <c r="F7217" t="s">
        <v>14</v>
      </c>
      <c r="G7217" t="s">
        <v>132</v>
      </c>
      <c r="H7217" t="s">
        <v>138</v>
      </c>
      <c r="I7217">
        <v>7726.21</v>
      </c>
      <c r="J7217">
        <v>8476.2800000000007</v>
      </c>
      <c r="K7217" t="s">
        <v>17</v>
      </c>
      <c r="L7217" t="b">
        <v>0</v>
      </c>
      <c r="N7217" s="2" t="str">
        <f t="shared" si="644"/>
        <v/>
      </c>
      <c r="Q7217" t="str">
        <f t="shared" si="647"/>
        <v/>
      </c>
    </row>
    <row r="7218" spans="1:17" hidden="1">
      <c r="A7218" t="s">
        <v>7323</v>
      </c>
      <c r="B7218" s="1">
        <v>45881</v>
      </c>
      <c r="C7218">
        <v>2025</v>
      </c>
      <c r="D7218">
        <v>8</v>
      </c>
      <c r="E7218" t="s">
        <v>19</v>
      </c>
      <c r="F7218" t="s">
        <v>24</v>
      </c>
      <c r="G7218" t="s">
        <v>80</v>
      </c>
      <c r="H7218" t="s">
        <v>81</v>
      </c>
      <c r="I7218">
        <v>5857.69</v>
      </c>
      <c r="J7218">
        <v>6366.67</v>
      </c>
      <c r="K7218" t="s">
        <v>17</v>
      </c>
      <c r="L7218" t="b">
        <v>0</v>
      </c>
      <c r="N7218" s="2" t="str">
        <f t="shared" si="644"/>
        <v/>
      </c>
      <c r="Q7218" t="str">
        <f t="shared" si="647"/>
        <v/>
      </c>
    </row>
    <row r="7219" spans="1:17" hidden="1">
      <c r="A7219" t="s">
        <v>7324</v>
      </c>
      <c r="B7219" s="1">
        <v>45881</v>
      </c>
      <c r="C7219">
        <v>2025</v>
      </c>
      <c r="D7219">
        <v>8</v>
      </c>
      <c r="E7219" t="s">
        <v>19</v>
      </c>
      <c r="F7219" t="s">
        <v>24</v>
      </c>
      <c r="G7219" t="s">
        <v>80</v>
      </c>
      <c r="H7219" t="s">
        <v>150</v>
      </c>
      <c r="I7219">
        <v>4125.05</v>
      </c>
      <c r="J7219">
        <v>4222.68</v>
      </c>
      <c r="K7219" t="s">
        <v>17</v>
      </c>
      <c r="L7219" t="b">
        <v>0</v>
      </c>
      <c r="N7219" s="2" t="str">
        <f t="shared" si="644"/>
        <v/>
      </c>
      <c r="Q7219" t="str">
        <f t="shared" si="647"/>
        <v/>
      </c>
    </row>
    <row r="7220" spans="1:17" hidden="1">
      <c r="A7220" t="s">
        <v>7325</v>
      </c>
      <c r="B7220" s="1">
        <v>45881</v>
      </c>
      <c r="C7220">
        <v>2025</v>
      </c>
      <c r="D7220">
        <v>8</v>
      </c>
      <c r="E7220" t="s">
        <v>23</v>
      </c>
      <c r="F7220" t="s">
        <v>24</v>
      </c>
      <c r="G7220" t="s">
        <v>141</v>
      </c>
      <c r="H7220" t="s">
        <v>153</v>
      </c>
      <c r="I7220">
        <v>4393.24</v>
      </c>
      <c r="J7220">
        <v>4552.6000000000004</v>
      </c>
      <c r="K7220" t="s">
        <v>17</v>
      </c>
      <c r="L7220" t="b">
        <v>0</v>
      </c>
      <c r="N7220" s="2" t="str">
        <f t="shared" si="644"/>
        <v/>
      </c>
      <c r="Q7220" t="str">
        <f t="shared" si="647"/>
        <v/>
      </c>
    </row>
    <row r="7221" spans="1:17" hidden="1">
      <c r="A7221" t="s">
        <v>7326</v>
      </c>
      <c r="B7221" s="1">
        <v>45882</v>
      </c>
      <c r="C7221">
        <v>2025</v>
      </c>
      <c r="D7221">
        <v>8</v>
      </c>
      <c r="E7221" t="s">
        <v>13</v>
      </c>
      <c r="F7221" t="s">
        <v>24</v>
      </c>
      <c r="G7221" t="s">
        <v>68</v>
      </c>
      <c r="H7221" t="s">
        <v>69</v>
      </c>
      <c r="I7221">
        <v>3580.83</v>
      </c>
      <c r="J7221">
        <v>3882.6</v>
      </c>
      <c r="K7221" t="s">
        <v>17</v>
      </c>
      <c r="L7221" t="b">
        <v>0</v>
      </c>
      <c r="N7221" s="2" t="str">
        <f t="shared" si="644"/>
        <v/>
      </c>
      <c r="Q7221" t="str">
        <f t="shared" si="647"/>
        <v/>
      </c>
    </row>
    <row r="7222" spans="1:17" hidden="1">
      <c r="A7222" t="s">
        <v>7327</v>
      </c>
      <c r="B7222" s="1">
        <v>45882</v>
      </c>
      <c r="C7222">
        <v>2025</v>
      </c>
      <c r="D7222">
        <v>8</v>
      </c>
      <c r="E7222" t="s">
        <v>47</v>
      </c>
      <c r="F7222" t="s">
        <v>14</v>
      </c>
      <c r="G7222" t="s">
        <v>51</v>
      </c>
      <c r="H7222" t="s">
        <v>189</v>
      </c>
      <c r="I7222">
        <v>13480.84</v>
      </c>
      <c r="J7222">
        <v>11620.5</v>
      </c>
      <c r="K7222" t="s">
        <v>17</v>
      </c>
      <c r="L7222" t="b">
        <v>0</v>
      </c>
      <c r="N7222" s="2" t="b">
        <f t="shared" si="644"/>
        <v>1</v>
      </c>
      <c r="O7222" t="str">
        <f t="shared" ref="O7222:O7224" si="648">IF(AND(E7211="HR",K7211="EXPENSE"),I7211&lt;J7211,"")</f>
        <v/>
      </c>
      <c r="Q7222" t="str">
        <f t="shared" si="647"/>
        <v/>
      </c>
    </row>
    <row r="7223" spans="1:17" hidden="1">
      <c r="A7223" t="s">
        <v>7328</v>
      </c>
      <c r="B7223" s="1">
        <v>45882</v>
      </c>
      <c r="C7223">
        <v>2025</v>
      </c>
      <c r="D7223">
        <v>8</v>
      </c>
      <c r="E7223" t="s">
        <v>47</v>
      </c>
      <c r="F7223" t="s">
        <v>28</v>
      </c>
      <c r="G7223" t="s">
        <v>51</v>
      </c>
      <c r="H7223" t="s">
        <v>52</v>
      </c>
      <c r="I7223">
        <v>16268.61</v>
      </c>
      <c r="J7223">
        <v>13420.91</v>
      </c>
      <c r="K7223" t="s">
        <v>17</v>
      </c>
      <c r="L7223" t="b">
        <v>0</v>
      </c>
      <c r="N7223" s="2" t="b">
        <f t="shared" si="644"/>
        <v>1</v>
      </c>
      <c r="O7223" t="str">
        <f t="shared" si="648"/>
        <v/>
      </c>
      <c r="Q7223" t="str">
        <f t="shared" si="647"/>
        <v/>
      </c>
    </row>
    <row r="7224" spans="1:17" hidden="1">
      <c r="A7224" t="s">
        <v>7329</v>
      </c>
      <c r="B7224" s="1">
        <v>45882</v>
      </c>
      <c r="C7224">
        <v>2025</v>
      </c>
      <c r="D7224">
        <v>8</v>
      </c>
      <c r="E7224" t="s">
        <v>47</v>
      </c>
      <c r="F7224" t="s">
        <v>24</v>
      </c>
      <c r="G7224" t="s">
        <v>77</v>
      </c>
      <c r="H7224" t="s">
        <v>147</v>
      </c>
      <c r="I7224">
        <v>14949.11</v>
      </c>
      <c r="J7224">
        <v>12988.17</v>
      </c>
      <c r="K7224" t="s">
        <v>17</v>
      </c>
      <c r="L7224" t="b">
        <v>0</v>
      </c>
      <c r="N7224" s="2" t="b">
        <f t="shared" si="644"/>
        <v>1</v>
      </c>
      <c r="O7224" t="str">
        <f t="shared" si="648"/>
        <v/>
      </c>
      <c r="Q7224" t="str">
        <f t="shared" si="647"/>
        <v/>
      </c>
    </row>
    <row r="7225" spans="1:17" hidden="1">
      <c r="A7225" t="s">
        <v>7330</v>
      </c>
      <c r="B7225" s="1">
        <v>45882</v>
      </c>
      <c r="C7225">
        <v>2025</v>
      </c>
      <c r="D7225">
        <v>8</v>
      </c>
      <c r="E7225" t="s">
        <v>19</v>
      </c>
      <c r="F7225" t="s">
        <v>24</v>
      </c>
      <c r="G7225" t="s">
        <v>80</v>
      </c>
      <c r="H7225" t="s">
        <v>150</v>
      </c>
      <c r="I7225">
        <v>4473.8500000000004</v>
      </c>
      <c r="J7225">
        <v>4095.74</v>
      </c>
      <c r="K7225" t="s">
        <v>17</v>
      </c>
      <c r="L7225" t="b">
        <v>0</v>
      </c>
      <c r="N7225" s="2" t="str">
        <f t="shared" si="644"/>
        <v/>
      </c>
      <c r="Q7225" t="str">
        <f t="shared" si="647"/>
        <v/>
      </c>
    </row>
    <row r="7226" spans="1:17" hidden="1">
      <c r="A7226" t="s">
        <v>7331</v>
      </c>
      <c r="B7226" s="1">
        <v>45882</v>
      </c>
      <c r="C7226">
        <v>2025</v>
      </c>
      <c r="D7226">
        <v>8</v>
      </c>
      <c r="E7226" t="s">
        <v>23</v>
      </c>
      <c r="F7226" t="s">
        <v>24</v>
      </c>
      <c r="G7226" t="s">
        <v>25</v>
      </c>
      <c r="H7226" t="s">
        <v>26</v>
      </c>
      <c r="I7226">
        <v>1069.24</v>
      </c>
      <c r="J7226">
        <v>964.05</v>
      </c>
      <c r="K7226" t="s">
        <v>17</v>
      </c>
      <c r="L7226" t="b">
        <v>0</v>
      </c>
      <c r="N7226" s="2" t="str">
        <f t="shared" si="644"/>
        <v/>
      </c>
      <c r="Q7226" t="str">
        <f t="shared" si="647"/>
        <v/>
      </c>
    </row>
    <row r="7227" spans="1:17" hidden="1">
      <c r="A7227" t="s">
        <v>7332</v>
      </c>
      <c r="B7227" s="1">
        <v>45882</v>
      </c>
      <c r="C7227">
        <v>2025</v>
      </c>
      <c r="D7227">
        <v>8</v>
      </c>
      <c r="E7227" t="s">
        <v>37</v>
      </c>
      <c r="F7227" t="s">
        <v>24</v>
      </c>
      <c r="G7227" t="s">
        <v>41</v>
      </c>
      <c r="H7227" t="s">
        <v>42</v>
      </c>
      <c r="I7227">
        <v>4329.28</v>
      </c>
      <c r="J7227">
        <v>4747.7299999999996</v>
      </c>
      <c r="K7227" t="s">
        <v>17</v>
      </c>
      <c r="L7227" t="b">
        <v>0</v>
      </c>
      <c r="N7227" s="2" t="str">
        <f t="shared" si="644"/>
        <v/>
      </c>
      <c r="Q7227" t="str">
        <f t="shared" si="647"/>
        <v/>
      </c>
    </row>
    <row r="7228" spans="1:17" hidden="1">
      <c r="A7228" t="s">
        <v>7333</v>
      </c>
      <c r="B7228" s="1">
        <v>45883</v>
      </c>
      <c r="C7228">
        <v>2025</v>
      </c>
      <c r="D7228">
        <v>8</v>
      </c>
      <c r="E7228" t="s">
        <v>13</v>
      </c>
      <c r="F7228" t="s">
        <v>28</v>
      </c>
      <c r="G7228" t="s">
        <v>68</v>
      </c>
      <c r="H7228" t="s">
        <v>87</v>
      </c>
      <c r="I7228">
        <v>3917.99</v>
      </c>
      <c r="J7228">
        <v>3776.68</v>
      </c>
      <c r="K7228" t="s">
        <v>17</v>
      </c>
      <c r="L7228" t="b">
        <v>0</v>
      </c>
      <c r="N7228" s="2" t="str">
        <f t="shared" si="644"/>
        <v/>
      </c>
      <c r="Q7228" t="str">
        <f t="shared" si="647"/>
        <v/>
      </c>
    </row>
    <row r="7229" spans="1:17" hidden="1">
      <c r="A7229" t="s">
        <v>7334</v>
      </c>
      <c r="B7229" s="1">
        <v>45883</v>
      </c>
      <c r="C7229">
        <v>2025</v>
      </c>
      <c r="D7229">
        <v>8</v>
      </c>
      <c r="E7229" t="s">
        <v>13</v>
      </c>
      <c r="F7229" t="s">
        <v>28</v>
      </c>
      <c r="G7229" t="s">
        <v>108</v>
      </c>
      <c r="H7229" t="s">
        <v>109</v>
      </c>
      <c r="I7229">
        <v>3344.33</v>
      </c>
      <c r="J7229">
        <v>3108.13</v>
      </c>
      <c r="K7229" t="s">
        <v>17</v>
      </c>
      <c r="L7229" t="b">
        <v>0</v>
      </c>
      <c r="N7229" s="2" t="str">
        <f t="shared" si="644"/>
        <v/>
      </c>
      <c r="Q7229" t="str">
        <f t="shared" si="647"/>
        <v/>
      </c>
    </row>
    <row r="7230" spans="1:17" hidden="1">
      <c r="A7230" t="s">
        <v>7335</v>
      </c>
      <c r="B7230" s="1">
        <v>45883</v>
      </c>
      <c r="C7230">
        <v>2025</v>
      </c>
      <c r="D7230">
        <v>8</v>
      </c>
      <c r="E7230" t="s">
        <v>47</v>
      </c>
      <c r="F7230" t="s">
        <v>24</v>
      </c>
      <c r="G7230" t="s">
        <v>77</v>
      </c>
      <c r="H7230" t="s">
        <v>130</v>
      </c>
      <c r="I7230">
        <v>16606.68</v>
      </c>
      <c r="J7230">
        <v>14250.74</v>
      </c>
      <c r="K7230" t="s">
        <v>17</v>
      </c>
      <c r="L7230" t="b">
        <v>0</v>
      </c>
      <c r="N7230" s="2" t="b">
        <f t="shared" si="644"/>
        <v>1</v>
      </c>
      <c r="O7230" t="str">
        <f>IF(AND(E7219="HR",K7219="EXPENSE"),I7219&lt;J7219,"")</f>
        <v/>
      </c>
      <c r="Q7230" t="str">
        <f t="shared" si="647"/>
        <v/>
      </c>
    </row>
    <row r="7231" spans="1:17" hidden="1">
      <c r="A7231" t="s">
        <v>7336</v>
      </c>
      <c r="B7231" s="1">
        <v>45883</v>
      </c>
      <c r="C7231">
        <v>2025</v>
      </c>
      <c r="D7231">
        <v>8</v>
      </c>
      <c r="E7231" t="s">
        <v>19</v>
      </c>
      <c r="F7231" t="s">
        <v>14</v>
      </c>
      <c r="G7231" t="s">
        <v>132</v>
      </c>
      <c r="H7231" t="s">
        <v>133</v>
      </c>
      <c r="I7231">
        <v>8680.25</v>
      </c>
      <c r="J7231">
        <v>8144.41</v>
      </c>
      <c r="K7231" t="s">
        <v>17</v>
      </c>
      <c r="L7231" t="b">
        <v>0</v>
      </c>
      <c r="N7231" s="2" t="str">
        <f t="shared" si="644"/>
        <v/>
      </c>
      <c r="Q7231" t="str">
        <f t="shared" si="647"/>
        <v/>
      </c>
    </row>
    <row r="7232" spans="1:17" hidden="1">
      <c r="A7232" t="s">
        <v>7337</v>
      </c>
      <c r="B7232" s="1">
        <v>45883</v>
      </c>
      <c r="C7232">
        <v>2025</v>
      </c>
      <c r="D7232">
        <v>8</v>
      </c>
      <c r="E7232" t="s">
        <v>19</v>
      </c>
      <c r="F7232" t="s">
        <v>28</v>
      </c>
      <c r="G7232" t="s">
        <v>54</v>
      </c>
      <c r="H7232" t="s">
        <v>57</v>
      </c>
      <c r="I7232">
        <v>8149.46</v>
      </c>
      <c r="J7232">
        <v>8412.43</v>
      </c>
      <c r="K7232" t="s">
        <v>17</v>
      </c>
      <c r="L7232" t="b">
        <v>0</v>
      </c>
      <c r="N7232" s="2" t="str">
        <f t="shared" si="644"/>
        <v/>
      </c>
      <c r="Q7232" t="str">
        <f t="shared" si="647"/>
        <v/>
      </c>
    </row>
    <row r="7233" spans="1:17" hidden="1">
      <c r="A7233" t="s">
        <v>7338</v>
      </c>
      <c r="B7233" s="1">
        <v>45883</v>
      </c>
      <c r="C7233">
        <v>2025</v>
      </c>
      <c r="D7233">
        <v>8</v>
      </c>
      <c r="E7233" t="s">
        <v>19</v>
      </c>
      <c r="F7233" t="s">
        <v>24</v>
      </c>
      <c r="G7233" t="s">
        <v>20</v>
      </c>
      <c r="H7233" t="s">
        <v>21</v>
      </c>
      <c r="I7233">
        <v>5336.5</v>
      </c>
      <c r="J7233">
        <v>5577.9</v>
      </c>
      <c r="K7233" t="s">
        <v>17</v>
      </c>
      <c r="L7233" t="b">
        <v>0</v>
      </c>
      <c r="N7233" s="2" t="str">
        <f t="shared" si="644"/>
        <v/>
      </c>
      <c r="Q7233" t="str">
        <f t="shared" si="647"/>
        <v/>
      </c>
    </row>
    <row r="7234" spans="1:17" hidden="1">
      <c r="A7234" t="s">
        <v>7339</v>
      </c>
      <c r="B7234" s="1">
        <v>45883</v>
      </c>
      <c r="C7234">
        <v>2025</v>
      </c>
      <c r="D7234">
        <v>8</v>
      </c>
      <c r="E7234" t="s">
        <v>19</v>
      </c>
      <c r="F7234" t="s">
        <v>24</v>
      </c>
      <c r="G7234" t="s">
        <v>20</v>
      </c>
      <c r="H7234" t="s">
        <v>136</v>
      </c>
      <c r="I7234">
        <v>4983.33</v>
      </c>
      <c r="J7234">
        <v>4606.01</v>
      </c>
      <c r="K7234" t="s">
        <v>17</v>
      </c>
      <c r="L7234" t="b">
        <v>0</v>
      </c>
      <c r="N7234" s="2" t="str">
        <f t="shared" si="644"/>
        <v/>
      </c>
      <c r="Q7234" t="str">
        <f t="shared" si="647"/>
        <v/>
      </c>
    </row>
    <row r="7235" spans="1:17" hidden="1">
      <c r="A7235" t="s">
        <v>7340</v>
      </c>
      <c r="B7235" s="1">
        <v>45883</v>
      </c>
      <c r="C7235">
        <v>2025</v>
      </c>
      <c r="D7235">
        <v>8</v>
      </c>
      <c r="E7235" t="s">
        <v>23</v>
      </c>
      <c r="F7235" t="s">
        <v>24</v>
      </c>
      <c r="G7235" t="s">
        <v>25</v>
      </c>
      <c r="H7235" t="s">
        <v>95</v>
      </c>
      <c r="I7235">
        <v>2191.15</v>
      </c>
      <c r="J7235">
        <v>2221.11</v>
      </c>
      <c r="K7235" t="s">
        <v>17</v>
      </c>
      <c r="L7235" t="b">
        <v>0</v>
      </c>
      <c r="N7235" s="2" t="str">
        <f t="shared" ref="N7235:N7298" si="649">IF(AND(E7235="IT",K7235="EXPENSE"),I7235&gt;J7235,"")</f>
        <v/>
      </c>
      <c r="Q7235" t="str">
        <f t="shared" si="647"/>
        <v/>
      </c>
    </row>
    <row r="7236" spans="1:17" hidden="1">
      <c r="A7236" t="s">
        <v>7341</v>
      </c>
      <c r="B7236" s="1">
        <v>45883</v>
      </c>
      <c r="C7236">
        <v>2025</v>
      </c>
      <c r="D7236">
        <v>8</v>
      </c>
      <c r="E7236" t="s">
        <v>37</v>
      </c>
      <c r="F7236" t="s">
        <v>14</v>
      </c>
      <c r="G7236" t="s">
        <v>62</v>
      </c>
      <c r="H7236" t="s">
        <v>63</v>
      </c>
      <c r="I7236">
        <v>6168.88</v>
      </c>
      <c r="J7236">
        <v>6250.08</v>
      </c>
      <c r="K7236" t="s">
        <v>17</v>
      </c>
      <c r="L7236" t="b">
        <v>0</v>
      </c>
      <c r="N7236" s="2" t="str">
        <f t="shared" si="649"/>
        <v/>
      </c>
      <c r="Q7236" t="str">
        <f t="shared" si="647"/>
        <v/>
      </c>
    </row>
    <row r="7237" spans="1:17" hidden="1">
      <c r="A7237" t="s">
        <v>7342</v>
      </c>
      <c r="B7237" s="1">
        <v>45883</v>
      </c>
      <c r="C7237">
        <v>2025</v>
      </c>
      <c r="D7237">
        <v>8</v>
      </c>
      <c r="E7237" t="s">
        <v>37</v>
      </c>
      <c r="F7237" t="s">
        <v>14</v>
      </c>
      <c r="G7237" t="s">
        <v>41</v>
      </c>
      <c r="H7237" t="s">
        <v>42</v>
      </c>
      <c r="I7237">
        <v>4333.68</v>
      </c>
      <c r="J7237">
        <v>3958.02</v>
      </c>
      <c r="K7237" t="s">
        <v>17</v>
      </c>
      <c r="L7237" t="b">
        <v>0</v>
      </c>
      <c r="N7237" s="2" t="str">
        <f t="shared" si="649"/>
        <v/>
      </c>
      <c r="Q7237" t="str">
        <f t="shared" si="647"/>
        <v/>
      </c>
    </row>
    <row r="7238" spans="1:17" hidden="1">
      <c r="A7238" t="s">
        <v>7343</v>
      </c>
      <c r="B7238" s="1">
        <v>45883</v>
      </c>
      <c r="C7238">
        <v>2025</v>
      </c>
      <c r="D7238">
        <v>8</v>
      </c>
      <c r="E7238" t="s">
        <v>37</v>
      </c>
      <c r="F7238" t="s">
        <v>28</v>
      </c>
      <c r="G7238" t="s">
        <v>62</v>
      </c>
      <c r="H7238" t="s">
        <v>121</v>
      </c>
      <c r="I7238">
        <v>3741.66</v>
      </c>
      <c r="J7238">
        <v>4037.48</v>
      </c>
      <c r="K7238" t="s">
        <v>17</v>
      </c>
      <c r="L7238" t="b">
        <v>0</v>
      </c>
      <c r="N7238" s="2" t="str">
        <f t="shared" si="649"/>
        <v/>
      </c>
      <c r="Q7238" t="str">
        <f t="shared" si="647"/>
        <v/>
      </c>
    </row>
    <row r="7239" spans="1:17" hidden="1">
      <c r="A7239" t="s">
        <v>7344</v>
      </c>
      <c r="B7239" s="1">
        <v>45884</v>
      </c>
      <c r="C7239">
        <v>2025</v>
      </c>
      <c r="D7239">
        <v>8</v>
      </c>
      <c r="E7239" t="s">
        <v>13</v>
      </c>
      <c r="F7239" t="s">
        <v>28</v>
      </c>
      <c r="G7239" t="s">
        <v>15</v>
      </c>
      <c r="H7239" t="s">
        <v>89</v>
      </c>
      <c r="I7239">
        <v>3007.96</v>
      </c>
      <c r="J7239">
        <v>2812.41</v>
      </c>
      <c r="K7239" t="s">
        <v>17</v>
      </c>
      <c r="L7239" t="b">
        <v>0</v>
      </c>
      <c r="N7239" s="2" t="str">
        <f t="shared" si="649"/>
        <v/>
      </c>
      <c r="Q7239" t="str">
        <f t="shared" si="647"/>
        <v/>
      </c>
    </row>
    <row r="7240" spans="1:17" hidden="1">
      <c r="A7240" t="s">
        <v>7345</v>
      </c>
      <c r="B7240" s="1">
        <v>45884</v>
      </c>
      <c r="C7240">
        <v>2025</v>
      </c>
      <c r="D7240">
        <v>8</v>
      </c>
      <c r="E7240" t="s">
        <v>13</v>
      </c>
      <c r="F7240" t="s">
        <v>24</v>
      </c>
      <c r="G7240" t="s">
        <v>102</v>
      </c>
      <c r="H7240" t="s">
        <v>145</v>
      </c>
      <c r="I7240">
        <v>4160.57</v>
      </c>
      <c r="J7240">
        <v>4018.51</v>
      </c>
      <c r="K7240" t="s">
        <v>17</v>
      </c>
      <c r="L7240" t="b">
        <v>0</v>
      </c>
      <c r="N7240" s="2" t="str">
        <f t="shared" si="649"/>
        <v/>
      </c>
      <c r="Q7240" t="str">
        <f t="shared" si="647"/>
        <v/>
      </c>
    </row>
    <row r="7241" spans="1:17" hidden="1">
      <c r="A7241" t="s">
        <v>7346</v>
      </c>
      <c r="B7241" s="1">
        <v>45884</v>
      </c>
      <c r="C7241">
        <v>2025</v>
      </c>
      <c r="D7241">
        <v>8</v>
      </c>
      <c r="E7241" t="s">
        <v>47</v>
      </c>
      <c r="F7241" t="s">
        <v>14</v>
      </c>
      <c r="G7241" t="s">
        <v>48</v>
      </c>
      <c r="H7241" t="s">
        <v>75</v>
      </c>
      <c r="I7241">
        <v>11005.15</v>
      </c>
      <c r="J7241">
        <v>9424.36</v>
      </c>
      <c r="K7241" t="s">
        <v>17</v>
      </c>
      <c r="L7241" t="b">
        <v>0</v>
      </c>
      <c r="N7241" s="2" t="b">
        <f t="shared" si="649"/>
        <v>1</v>
      </c>
      <c r="O7241" t="str">
        <f t="shared" ref="O7241:O7242" si="650">IF(AND(E7230="HR",K7230="EXPENSE"),I7230&lt;J7230,"")</f>
        <v/>
      </c>
      <c r="Q7241" t="str">
        <f t="shared" si="647"/>
        <v/>
      </c>
    </row>
    <row r="7242" spans="1:17" hidden="1">
      <c r="A7242" t="s">
        <v>7347</v>
      </c>
      <c r="B7242" s="1">
        <v>45884</v>
      </c>
      <c r="C7242">
        <v>2025</v>
      </c>
      <c r="D7242">
        <v>8</v>
      </c>
      <c r="E7242" t="s">
        <v>47</v>
      </c>
      <c r="F7242" t="s">
        <v>28</v>
      </c>
      <c r="G7242" t="s">
        <v>51</v>
      </c>
      <c r="H7242" t="s">
        <v>72</v>
      </c>
      <c r="I7242">
        <v>6798.98</v>
      </c>
      <c r="J7242">
        <v>5688.78</v>
      </c>
      <c r="K7242" t="s">
        <v>17</v>
      </c>
      <c r="L7242" t="b">
        <v>0</v>
      </c>
      <c r="N7242" s="2" t="b">
        <f t="shared" si="649"/>
        <v>1</v>
      </c>
      <c r="O7242" t="str">
        <f t="shared" si="650"/>
        <v/>
      </c>
      <c r="Q7242" t="str">
        <f t="shared" si="647"/>
        <v/>
      </c>
    </row>
    <row r="7243" spans="1:17" hidden="1">
      <c r="A7243" t="s">
        <v>7348</v>
      </c>
      <c r="B7243" s="1">
        <v>45884</v>
      </c>
      <c r="C7243">
        <v>2025</v>
      </c>
      <c r="D7243">
        <v>8</v>
      </c>
      <c r="E7243" t="s">
        <v>23</v>
      </c>
      <c r="F7243" t="s">
        <v>14</v>
      </c>
      <c r="G7243" t="s">
        <v>25</v>
      </c>
      <c r="H7243" t="s">
        <v>95</v>
      </c>
      <c r="I7243">
        <v>4618.7700000000004</v>
      </c>
      <c r="J7243">
        <v>4421.46</v>
      </c>
      <c r="K7243" t="s">
        <v>17</v>
      </c>
      <c r="L7243" t="b">
        <v>0</v>
      </c>
      <c r="N7243" s="2" t="str">
        <f t="shared" si="649"/>
        <v/>
      </c>
      <c r="Q7243" t="str">
        <f t="shared" si="647"/>
        <v/>
      </c>
    </row>
    <row r="7244" spans="1:17" hidden="1">
      <c r="A7244" t="s">
        <v>7349</v>
      </c>
      <c r="B7244" s="1">
        <v>45884</v>
      </c>
      <c r="C7244">
        <v>2025</v>
      </c>
      <c r="D7244">
        <v>8</v>
      </c>
      <c r="E7244" t="s">
        <v>23</v>
      </c>
      <c r="F7244" t="s">
        <v>28</v>
      </c>
      <c r="G7244" t="s">
        <v>59</v>
      </c>
      <c r="H7244" t="s">
        <v>155</v>
      </c>
      <c r="I7244">
        <v>7818.78</v>
      </c>
      <c r="J7244">
        <v>7485.13</v>
      </c>
      <c r="K7244" t="s">
        <v>17</v>
      </c>
      <c r="L7244" t="b">
        <v>0</v>
      </c>
      <c r="N7244" s="2" t="str">
        <f t="shared" si="649"/>
        <v/>
      </c>
      <c r="Q7244" t="str">
        <f t="shared" si="647"/>
        <v/>
      </c>
    </row>
    <row r="7245" spans="1:17" hidden="1">
      <c r="A7245" t="s">
        <v>7350</v>
      </c>
      <c r="B7245" s="1">
        <v>45884</v>
      </c>
      <c r="C7245">
        <v>2025</v>
      </c>
      <c r="D7245">
        <v>8</v>
      </c>
      <c r="E7245" t="s">
        <v>37</v>
      </c>
      <c r="F7245" t="s">
        <v>14</v>
      </c>
      <c r="G7245" t="s">
        <v>38</v>
      </c>
      <c r="H7245" t="s">
        <v>39</v>
      </c>
      <c r="I7245">
        <v>3920.95</v>
      </c>
      <c r="J7245">
        <v>4289.71</v>
      </c>
      <c r="K7245" t="s">
        <v>17</v>
      </c>
      <c r="L7245" t="b">
        <v>0</v>
      </c>
      <c r="N7245" s="2" t="str">
        <f t="shared" si="649"/>
        <v/>
      </c>
      <c r="Q7245" t="str">
        <f t="shared" si="647"/>
        <v/>
      </c>
    </row>
    <row r="7246" spans="1:17" hidden="1">
      <c r="A7246" t="s">
        <v>7351</v>
      </c>
      <c r="B7246" s="1">
        <v>45884</v>
      </c>
      <c r="C7246">
        <v>2025</v>
      </c>
      <c r="D7246">
        <v>8</v>
      </c>
      <c r="E7246" t="s">
        <v>37</v>
      </c>
      <c r="F7246" t="s">
        <v>24</v>
      </c>
      <c r="G7246" t="s">
        <v>38</v>
      </c>
      <c r="H7246" t="s">
        <v>227</v>
      </c>
      <c r="I7246">
        <v>2819.81</v>
      </c>
      <c r="J7246">
        <v>2624.02</v>
      </c>
      <c r="K7246" t="s">
        <v>17</v>
      </c>
      <c r="L7246" t="b">
        <v>0</v>
      </c>
      <c r="N7246" s="2" t="str">
        <f t="shared" si="649"/>
        <v/>
      </c>
      <c r="Q7246" t="str">
        <f t="shared" si="647"/>
        <v/>
      </c>
    </row>
    <row r="7247" spans="1:17" hidden="1">
      <c r="A7247" t="s">
        <v>7352</v>
      </c>
      <c r="B7247" s="1">
        <v>45885</v>
      </c>
      <c r="C7247">
        <v>2025</v>
      </c>
      <c r="D7247">
        <v>8</v>
      </c>
      <c r="E7247" t="s">
        <v>47</v>
      </c>
      <c r="F7247" t="s">
        <v>14</v>
      </c>
      <c r="G7247" t="s">
        <v>91</v>
      </c>
      <c r="H7247" t="s">
        <v>249</v>
      </c>
      <c r="I7247">
        <v>6813.71</v>
      </c>
      <c r="J7247">
        <v>5680.98</v>
      </c>
      <c r="K7247" t="s">
        <v>17</v>
      </c>
      <c r="L7247" t="b">
        <v>0</v>
      </c>
      <c r="N7247" s="2" t="b">
        <f t="shared" si="649"/>
        <v>1</v>
      </c>
      <c r="O7247" t="str">
        <f>IF(AND(E7236="HR",K7236="EXPENSE"),I7236&lt;J7236,"")</f>
        <v/>
      </c>
      <c r="Q7247" t="str">
        <f t="shared" si="647"/>
        <v/>
      </c>
    </row>
    <row r="7248" spans="1:17" hidden="1">
      <c r="A7248" t="s">
        <v>7353</v>
      </c>
      <c r="B7248" s="1">
        <v>45885</v>
      </c>
      <c r="C7248">
        <v>2025</v>
      </c>
      <c r="D7248">
        <v>8</v>
      </c>
      <c r="E7248" t="s">
        <v>37</v>
      </c>
      <c r="F7248" t="s">
        <v>14</v>
      </c>
      <c r="G7248" t="s">
        <v>62</v>
      </c>
      <c r="H7248" t="s">
        <v>63</v>
      </c>
      <c r="I7248">
        <v>5172.9399999999996</v>
      </c>
      <c r="J7248">
        <v>5352.6</v>
      </c>
      <c r="K7248" t="s">
        <v>17</v>
      </c>
      <c r="L7248" t="b">
        <v>0</v>
      </c>
      <c r="N7248" s="2" t="str">
        <f t="shared" si="649"/>
        <v/>
      </c>
      <c r="Q7248" t="str">
        <f t="shared" si="647"/>
        <v/>
      </c>
    </row>
    <row r="7249" spans="1:17" hidden="1">
      <c r="A7249" t="s">
        <v>7354</v>
      </c>
      <c r="B7249" s="1">
        <v>45885</v>
      </c>
      <c r="C7249">
        <v>2025</v>
      </c>
      <c r="D7249">
        <v>8</v>
      </c>
      <c r="E7249" t="s">
        <v>37</v>
      </c>
      <c r="F7249" t="s">
        <v>24</v>
      </c>
      <c r="G7249" t="s">
        <v>38</v>
      </c>
      <c r="H7249" t="s">
        <v>39</v>
      </c>
      <c r="I7249">
        <v>3110.21</v>
      </c>
      <c r="J7249">
        <v>3196.08</v>
      </c>
      <c r="K7249" t="s">
        <v>17</v>
      </c>
      <c r="L7249" t="b">
        <v>0</v>
      </c>
      <c r="N7249" s="2" t="str">
        <f t="shared" si="649"/>
        <v/>
      </c>
      <c r="Q7249" t="str">
        <f t="shared" si="647"/>
        <v/>
      </c>
    </row>
    <row r="7250" spans="1:17" hidden="1">
      <c r="A7250" t="s">
        <v>7355</v>
      </c>
      <c r="B7250" s="1">
        <v>45886</v>
      </c>
      <c r="C7250">
        <v>2025</v>
      </c>
      <c r="D7250">
        <v>8</v>
      </c>
      <c r="E7250" t="s">
        <v>13</v>
      </c>
      <c r="F7250" t="s">
        <v>28</v>
      </c>
      <c r="G7250" t="s">
        <v>15</v>
      </c>
      <c r="H7250" t="s">
        <v>16</v>
      </c>
      <c r="I7250">
        <v>3088.17</v>
      </c>
      <c r="J7250">
        <v>3111.07</v>
      </c>
      <c r="K7250" t="s">
        <v>17</v>
      </c>
      <c r="L7250" t="b">
        <v>0</v>
      </c>
      <c r="N7250" s="2" t="str">
        <f t="shared" si="649"/>
        <v/>
      </c>
      <c r="Q7250" t="str">
        <f t="shared" si="647"/>
        <v/>
      </c>
    </row>
    <row r="7251" spans="1:17" hidden="1">
      <c r="A7251" t="s">
        <v>7356</v>
      </c>
      <c r="B7251" s="1">
        <v>45886</v>
      </c>
      <c r="C7251">
        <v>2025</v>
      </c>
      <c r="D7251">
        <v>8</v>
      </c>
      <c r="E7251" t="s">
        <v>13</v>
      </c>
      <c r="F7251" t="s">
        <v>28</v>
      </c>
      <c r="G7251" t="s">
        <v>68</v>
      </c>
      <c r="H7251" t="s">
        <v>87</v>
      </c>
      <c r="I7251">
        <v>3613.5</v>
      </c>
      <c r="J7251">
        <v>3609.53</v>
      </c>
      <c r="K7251" t="s">
        <v>17</v>
      </c>
      <c r="L7251" t="b">
        <v>0</v>
      </c>
      <c r="N7251" s="2" t="str">
        <f t="shared" si="649"/>
        <v/>
      </c>
      <c r="Q7251" t="str">
        <f t="shared" si="647"/>
        <v/>
      </c>
    </row>
    <row r="7252" spans="1:17" hidden="1">
      <c r="A7252" t="s">
        <v>7357</v>
      </c>
      <c r="B7252" s="1">
        <v>45886</v>
      </c>
      <c r="C7252">
        <v>2025</v>
      </c>
      <c r="D7252">
        <v>8</v>
      </c>
      <c r="E7252" t="s">
        <v>47</v>
      </c>
      <c r="F7252" t="s">
        <v>14</v>
      </c>
      <c r="G7252" t="s">
        <v>48</v>
      </c>
      <c r="H7252" t="s">
        <v>49</v>
      </c>
      <c r="I7252">
        <v>14395.31</v>
      </c>
      <c r="J7252">
        <v>12139.28</v>
      </c>
      <c r="K7252" t="s">
        <v>17</v>
      </c>
      <c r="L7252" t="b">
        <v>0</v>
      </c>
      <c r="N7252" s="2" t="b">
        <f t="shared" si="649"/>
        <v>1</v>
      </c>
      <c r="O7252" t="str">
        <f t="shared" ref="O7252:O7254" si="651">IF(AND(E7241="HR",K7241="EXPENSE"),I7241&lt;J7241,"")</f>
        <v/>
      </c>
      <c r="Q7252" t="str">
        <f t="shared" si="647"/>
        <v/>
      </c>
    </row>
    <row r="7253" spans="1:17" hidden="1">
      <c r="A7253" t="s">
        <v>7358</v>
      </c>
      <c r="B7253" s="1">
        <v>45886</v>
      </c>
      <c r="C7253">
        <v>2025</v>
      </c>
      <c r="D7253">
        <v>8</v>
      </c>
      <c r="E7253" t="s">
        <v>47</v>
      </c>
      <c r="F7253" t="s">
        <v>28</v>
      </c>
      <c r="G7253" t="s">
        <v>77</v>
      </c>
      <c r="H7253" t="s">
        <v>78</v>
      </c>
      <c r="I7253">
        <v>19097.38</v>
      </c>
      <c r="J7253">
        <v>15857.49</v>
      </c>
      <c r="K7253" t="s">
        <v>17</v>
      </c>
      <c r="L7253" t="b">
        <v>0</v>
      </c>
      <c r="N7253" s="2" t="b">
        <f t="shared" si="649"/>
        <v>1</v>
      </c>
      <c r="O7253" t="str">
        <f t="shared" si="651"/>
        <v/>
      </c>
      <c r="Q7253" t="str">
        <f t="shared" si="647"/>
        <v/>
      </c>
    </row>
    <row r="7254" spans="1:17" hidden="1">
      <c r="A7254" t="s">
        <v>7359</v>
      </c>
      <c r="B7254" s="1">
        <v>45886</v>
      </c>
      <c r="C7254">
        <v>2025</v>
      </c>
      <c r="D7254">
        <v>8</v>
      </c>
      <c r="E7254" t="s">
        <v>47</v>
      </c>
      <c r="F7254" t="s">
        <v>28</v>
      </c>
      <c r="G7254" t="s">
        <v>77</v>
      </c>
      <c r="H7254" t="s">
        <v>78</v>
      </c>
      <c r="I7254">
        <v>5835.45</v>
      </c>
      <c r="J7254">
        <v>5025.18</v>
      </c>
      <c r="K7254" t="s">
        <v>17</v>
      </c>
      <c r="L7254" t="b">
        <v>0</v>
      </c>
      <c r="N7254" s="2" t="b">
        <f t="shared" si="649"/>
        <v>1</v>
      </c>
      <c r="O7254" t="str">
        <f t="shared" si="651"/>
        <v/>
      </c>
      <c r="Q7254" t="str">
        <f t="shared" si="647"/>
        <v/>
      </c>
    </row>
    <row r="7255" spans="1:17" hidden="1">
      <c r="A7255" t="s">
        <v>7360</v>
      </c>
      <c r="B7255" s="1">
        <v>45886</v>
      </c>
      <c r="C7255">
        <v>2025</v>
      </c>
      <c r="D7255">
        <v>8</v>
      </c>
      <c r="E7255" t="s">
        <v>19</v>
      </c>
      <c r="F7255" t="s">
        <v>14</v>
      </c>
      <c r="G7255" t="s">
        <v>54</v>
      </c>
      <c r="H7255" t="s">
        <v>163</v>
      </c>
      <c r="I7255">
        <v>9631.26</v>
      </c>
      <c r="J7255">
        <v>9495.06</v>
      </c>
      <c r="K7255" t="s">
        <v>17</v>
      </c>
      <c r="L7255" t="b">
        <v>0</v>
      </c>
      <c r="N7255" s="2" t="str">
        <f t="shared" si="649"/>
        <v/>
      </c>
      <c r="Q7255" t="str">
        <f t="shared" si="647"/>
        <v/>
      </c>
    </row>
    <row r="7256" spans="1:17" hidden="1">
      <c r="A7256" t="s">
        <v>7361</v>
      </c>
      <c r="B7256" s="1">
        <v>45886</v>
      </c>
      <c r="C7256">
        <v>2025</v>
      </c>
      <c r="D7256">
        <v>8</v>
      </c>
      <c r="E7256" t="s">
        <v>19</v>
      </c>
      <c r="F7256" t="s">
        <v>24</v>
      </c>
      <c r="G7256" t="s">
        <v>80</v>
      </c>
      <c r="H7256" t="s">
        <v>81</v>
      </c>
      <c r="I7256">
        <v>3579.82</v>
      </c>
      <c r="J7256">
        <v>3498.6</v>
      </c>
      <c r="K7256" t="s">
        <v>17</v>
      </c>
      <c r="L7256" t="b">
        <v>0</v>
      </c>
      <c r="N7256" s="2" t="str">
        <f t="shared" si="649"/>
        <v/>
      </c>
      <c r="Q7256" t="str">
        <f t="shared" si="647"/>
        <v/>
      </c>
    </row>
    <row r="7257" spans="1:17" hidden="1">
      <c r="A7257" t="s">
        <v>7362</v>
      </c>
      <c r="B7257" s="1">
        <v>45886</v>
      </c>
      <c r="C7257">
        <v>2025</v>
      </c>
      <c r="D7257">
        <v>8</v>
      </c>
      <c r="E7257" t="s">
        <v>19</v>
      </c>
      <c r="F7257" t="s">
        <v>24</v>
      </c>
      <c r="G7257" t="s">
        <v>80</v>
      </c>
      <c r="H7257" t="s">
        <v>81</v>
      </c>
      <c r="I7257">
        <v>7609.88</v>
      </c>
      <c r="J7257">
        <v>6867.3</v>
      </c>
      <c r="K7257" t="s">
        <v>17</v>
      </c>
      <c r="L7257" t="b">
        <v>0</v>
      </c>
      <c r="N7257" s="2" t="str">
        <f t="shared" si="649"/>
        <v/>
      </c>
      <c r="Q7257" t="str">
        <f t="shared" si="647"/>
        <v/>
      </c>
    </row>
    <row r="7258" spans="1:17" hidden="1">
      <c r="A7258" t="s">
        <v>7363</v>
      </c>
      <c r="B7258" s="1">
        <v>45886</v>
      </c>
      <c r="C7258">
        <v>2025</v>
      </c>
      <c r="D7258">
        <v>8</v>
      </c>
      <c r="E7258" t="s">
        <v>19</v>
      </c>
      <c r="F7258" t="s">
        <v>24</v>
      </c>
      <c r="G7258" t="s">
        <v>54</v>
      </c>
      <c r="H7258" t="s">
        <v>57</v>
      </c>
      <c r="I7258">
        <v>3559.88</v>
      </c>
      <c r="J7258">
        <v>3278.14</v>
      </c>
      <c r="K7258" t="s">
        <v>17</v>
      </c>
      <c r="L7258" t="b">
        <v>0</v>
      </c>
      <c r="N7258" s="2" t="str">
        <f t="shared" si="649"/>
        <v/>
      </c>
      <c r="Q7258" t="str">
        <f t="shared" si="647"/>
        <v/>
      </c>
    </row>
    <row r="7259" spans="1:17" hidden="1">
      <c r="A7259" t="s">
        <v>7364</v>
      </c>
      <c r="B7259" s="1">
        <v>45886</v>
      </c>
      <c r="C7259">
        <v>2025</v>
      </c>
      <c r="D7259">
        <v>8</v>
      </c>
      <c r="E7259" t="s">
        <v>37</v>
      </c>
      <c r="F7259" t="s">
        <v>24</v>
      </c>
      <c r="G7259" t="s">
        <v>41</v>
      </c>
      <c r="H7259" t="s">
        <v>42</v>
      </c>
      <c r="I7259">
        <v>4180.54</v>
      </c>
      <c r="J7259">
        <v>4083.32</v>
      </c>
      <c r="K7259" t="s">
        <v>17</v>
      </c>
      <c r="L7259" t="b">
        <v>0</v>
      </c>
      <c r="N7259" s="2" t="str">
        <f t="shared" si="649"/>
        <v/>
      </c>
      <c r="Q7259" t="str">
        <f t="shared" si="647"/>
        <v/>
      </c>
    </row>
    <row r="7260" spans="1:17" hidden="1">
      <c r="A7260" t="s">
        <v>7365</v>
      </c>
      <c r="B7260" s="1">
        <v>45886</v>
      </c>
      <c r="C7260">
        <v>2025</v>
      </c>
      <c r="D7260">
        <v>8</v>
      </c>
      <c r="E7260" t="s">
        <v>37</v>
      </c>
      <c r="F7260" t="s">
        <v>24</v>
      </c>
      <c r="G7260" t="s">
        <v>62</v>
      </c>
      <c r="H7260" t="s">
        <v>360</v>
      </c>
      <c r="I7260">
        <v>2813.72</v>
      </c>
      <c r="J7260">
        <v>2687.66</v>
      </c>
      <c r="K7260" t="s">
        <v>17</v>
      </c>
      <c r="L7260" t="b">
        <v>0</v>
      </c>
      <c r="N7260" s="2" t="str">
        <f t="shared" si="649"/>
        <v/>
      </c>
      <c r="Q7260" t="str">
        <f t="shared" si="647"/>
        <v/>
      </c>
    </row>
    <row r="7261" spans="1:17" hidden="1">
      <c r="A7261" t="s">
        <v>7366</v>
      </c>
      <c r="B7261" s="1">
        <v>45887</v>
      </c>
      <c r="C7261">
        <v>2025</v>
      </c>
      <c r="D7261">
        <v>8</v>
      </c>
      <c r="E7261" t="s">
        <v>47</v>
      </c>
      <c r="F7261" t="s">
        <v>28</v>
      </c>
      <c r="G7261" t="s">
        <v>48</v>
      </c>
      <c r="H7261" t="s">
        <v>189</v>
      </c>
      <c r="I7261">
        <v>12465.18</v>
      </c>
      <c r="J7261">
        <v>10286.92</v>
      </c>
      <c r="K7261" t="s">
        <v>17</v>
      </c>
      <c r="L7261" t="b">
        <v>0</v>
      </c>
      <c r="N7261" s="2" t="b">
        <f t="shared" si="649"/>
        <v>1</v>
      </c>
      <c r="O7261" t="b">
        <f t="shared" ref="O7261:O7263" si="652">IF(AND(E7250="HR",K7250="EXPENSE"),I7250&lt;J7250,"")</f>
        <v>1</v>
      </c>
      <c r="Q7261" t="str">
        <f t="shared" si="647"/>
        <v/>
      </c>
    </row>
    <row r="7262" spans="1:17" hidden="1">
      <c r="A7262" t="s">
        <v>7367</v>
      </c>
      <c r="B7262" s="1">
        <v>45887</v>
      </c>
      <c r="C7262">
        <v>2025</v>
      </c>
      <c r="D7262">
        <v>8</v>
      </c>
      <c r="E7262" t="s">
        <v>47</v>
      </c>
      <c r="F7262" t="s">
        <v>28</v>
      </c>
      <c r="G7262" t="s">
        <v>48</v>
      </c>
      <c r="H7262" t="s">
        <v>111</v>
      </c>
      <c r="I7262">
        <v>17860.21</v>
      </c>
      <c r="J7262">
        <v>14777.96</v>
      </c>
      <c r="K7262" t="s">
        <v>17</v>
      </c>
      <c r="L7262" t="b">
        <v>0</v>
      </c>
      <c r="N7262" s="2" t="b">
        <f t="shared" si="649"/>
        <v>1</v>
      </c>
      <c r="O7262" t="b">
        <f t="shared" si="652"/>
        <v>0</v>
      </c>
      <c r="Q7262" t="str">
        <f t="shared" si="647"/>
        <v/>
      </c>
    </row>
    <row r="7263" spans="1:17" hidden="1">
      <c r="A7263" t="s">
        <v>7368</v>
      </c>
      <c r="B7263" s="1">
        <v>45887</v>
      </c>
      <c r="C7263">
        <v>2025</v>
      </c>
      <c r="D7263">
        <v>8</v>
      </c>
      <c r="E7263" t="s">
        <v>47</v>
      </c>
      <c r="F7263" t="s">
        <v>24</v>
      </c>
      <c r="G7263" t="s">
        <v>48</v>
      </c>
      <c r="H7263" t="s">
        <v>111</v>
      </c>
      <c r="I7263">
        <v>22009.68</v>
      </c>
      <c r="J7263">
        <v>18734.599999999999</v>
      </c>
      <c r="K7263" t="s">
        <v>17</v>
      </c>
      <c r="L7263" t="b">
        <v>0</v>
      </c>
      <c r="N7263" s="2" t="b">
        <f t="shared" si="649"/>
        <v>1</v>
      </c>
      <c r="O7263" t="str">
        <f t="shared" si="652"/>
        <v/>
      </c>
      <c r="Q7263" t="str">
        <f t="shared" si="647"/>
        <v/>
      </c>
    </row>
    <row r="7264" spans="1:17" hidden="1">
      <c r="A7264" t="s">
        <v>7369</v>
      </c>
      <c r="B7264" s="1">
        <v>45887</v>
      </c>
      <c r="C7264">
        <v>2025</v>
      </c>
      <c r="D7264">
        <v>8</v>
      </c>
      <c r="E7264" t="s">
        <v>19</v>
      </c>
      <c r="F7264" t="s">
        <v>24</v>
      </c>
      <c r="G7264" t="s">
        <v>20</v>
      </c>
      <c r="H7264" t="s">
        <v>21</v>
      </c>
      <c r="I7264">
        <v>4458.97</v>
      </c>
      <c r="J7264">
        <v>4140.5</v>
      </c>
      <c r="K7264" t="s">
        <v>17</v>
      </c>
      <c r="L7264" t="b">
        <v>0</v>
      </c>
      <c r="N7264" s="2" t="str">
        <f t="shared" si="649"/>
        <v/>
      </c>
      <c r="Q7264" t="str">
        <f t="shared" si="647"/>
        <v/>
      </c>
    </row>
    <row r="7265" spans="1:17" hidden="1">
      <c r="A7265" t="s">
        <v>7370</v>
      </c>
      <c r="B7265" s="1">
        <v>45887</v>
      </c>
      <c r="C7265">
        <v>2025</v>
      </c>
      <c r="D7265">
        <v>8</v>
      </c>
      <c r="E7265" t="s">
        <v>19</v>
      </c>
      <c r="F7265" t="s">
        <v>24</v>
      </c>
      <c r="G7265" t="s">
        <v>20</v>
      </c>
      <c r="H7265" t="s">
        <v>21</v>
      </c>
      <c r="I7265">
        <v>6152.77</v>
      </c>
      <c r="J7265">
        <v>6466.98</v>
      </c>
      <c r="K7265" t="s">
        <v>17</v>
      </c>
      <c r="L7265" t="b">
        <v>0</v>
      </c>
      <c r="N7265" s="2" t="str">
        <f t="shared" si="649"/>
        <v/>
      </c>
      <c r="Q7265" t="str">
        <f t="shared" si="647"/>
        <v/>
      </c>
    </row>
    <row r="7266" spans="1:17" hidden="1">
      <c r="A7266" t="s">
        <v>7371</v>
      </c>
      <c r="B7266" s="1">
        <v>45887</v>
      </c>
      <c r="C7266">
        <v>2025</v>
      </c>
      <c r="D7266">
        <v>8</v>
      </c>
      <c r="E7266" t="s">
        <v>37</v>
      </c>
      <c r="F7266" t="s">
        <v>14</v>
      </c>
      <c r="G7266" t="s">
        <v>38</v>
      </c>
      <c r="H7266" t="s">
        <v>39</v>
      </c>
      <c r="I7266">
        <v>3824.16</v>
      </c>
      <c r="J7266">
        <v>3828.04</v>
      </c>
      <c r="K7266" t="s">
        <v>17</v>
      </c>
      <c r="L7266" t="b">
        <v>0</v>
      </c>
      <c r="N7266" s="2" t="str">
        <f t="shared" si="649"/>
        <v/>
      </c>
      <c r="Q7266" t="str">
        <f t="shared" si="647"/>
        <v/>
      </c>
    </row>
    <row r="7267" spans="1:17" hidden="1">
      <c r="A7267" t="s">
        <v>7372</v>
      </c>
      <c r="B7267" s="1">
        <v>45888</v>
      </c>
      <c r="C7267">
        <v>2025</v>
      </c>
      <c r="D7267">
        <v>8</v>
      </c>
      <c r="E7267" t="s">
        <v>13</v>
      </c>
      <c r="F7267" t="s">
        <v>14</v>
      </c>
      <c r="G7267" t="s">
        <v>108</v>
      </c>
      <c r="H7267" t="s">
        <v>109</v>
      </c>
      <c r="I7267">
        <v>3284.89</v>
      </c>
      <c r="J7267">
        <v>3111.71</v>
      </c>
      <c r="K7267" t="s">
        <v>17</v>
      </c>
      <c r="L7267" t="b">
        <v>0</v>
      </c>
      <c r="N7267" s="2" t="str">
        <f t="shared" si="649"/>
        <v/>
      </c>
      <c r="Q7267" t="str">
        <f t="shared" si="647"/>
        <v/>
      </c>
    </row>
    <row r="7268" spans="1:17" hidden="1">
      <c r="A7268" t="s">
        <v>7373</v>
      </c>
      <c r="B7268" s="1">
        <v>45888</v>
      </c>
      <c r="C7268">
        <v>2025</v>
      </c>
      <c r="D7268">
        <v>8</v>
      </c>
      <c r="E7268" t="s">
        <v>13</v>
      </c>
      <c r="F7268" t="s">
        <v>14</v>
      </c>
      <c r="G7268" t="s">
        <v>102</v>
      </c>
      <c r="H7268" t="s">
        <v>145</v>
      </c>
      <c r="I7268">
        <v>3593.93</v>
      </c>
      <c r="J7268">
        <v>3895.32</v>
      </c>
      <c r="K7268" t="s">
        <v>17</v>
      </c>
      <c r="L7268" t="b">
        <v>0</v>
      </c>
      <c r="N7268" s="2" t="str">
        <f t="shared" si="649"/>
        <v/>
      </c>
      <c r="Q7268" t="str">
        <f t="shared" si="647"/>
        <v/>
      </c>
    </row>
    <row r="7269" spans="1:17" hidden="1">
      <c r="A7269" t="s">
        <v>7374</v>
      </c>
      <c r="B7269" s="1">
        <v>45888</v>
      </c>
      <c r="C7269">
        <v>2025</v>
      </c>
      <c r="D7269">
        <v>8</v>
      </c>
      <c r="E7269" t="s">
        <v>13</v>
      </c>
      <c r="F7269" t="s">
        <v>28</v>
      </c>
      <c r="G7269" t="s">
        <v>102</v>
      </c>
      <c r="H7269" t="s">
        <v>103</v>
      </c>
      <c r="I7269">
        <v>3635.43</v>
      </c>
      <c r="J7269">
        <v>3381.59</v>
      </c>
      <c r="K7269" t="s">
        <v>17</v>
      </c>
      <c r="L7269" t="b">
        <v>0</v>
      </c>
      <c r="N7269" s="2" t="str">
        <f t="shared" si="649"/>
        <v/>
      </c>
      <c r="Q7269" t="str">
        <f t="shared" si="647"/>
        <v/>
      </c>
    </row>
    <row r="7270" spans="1:17" hidden="1">
      <c r="A7270" t="s">
        <v>7375</v>
      </c>
      <c r="B7270" s="1">
        <v>45888</v>
      </c>
      <c r="C7270">
        <v>2025</v>
      </c>
      <c r="D7270">
        <v>8</v>
      </c>
      <c r="E7270" t="s">
        <v>47</v>
      </c>
      <c r="F7270" t="s">
        <v>24</v>
      </c>
      <c r="G7270" t="s">
        <v>51</v>
      </c>
      <c r="H7270" t="s">
        <v>189</v>
      </c>
      <c r="I7270">
        <v>18099.78</v>
      </c>
      <c r="J7270">
        <v>15630.7</v>
      </c>
      <c r="K7270" t="s">
        <v>17</v>
      </c>
      <c r="L7270" t="b">
        <v>0</v>
      </c>
      <c r="N7270" s="2" t="b">
        <f t="shared" si="649"/>
        <v>1</v>
      </c>
      <c r="O7270" t="str">
        <f>IF(AND(E7259="HR",K7259="EXPENSE"),I7259&lt;J7259,"")</f>
        <v/>
      </c>
      <c r="Q7270" t="str">
        <f t="shared" si="647"/>
        <v/>
      </c>
    </row>
    <row r="7271" spans="1:17" hidden="1">
      <c r="A7271" t="s">
        <v>7376</v>
      </c>
      <c r="B7271" s="1">
        <v>45888</v>
      </c>
      <c r="C7271">
        <v>2025</v>
      </c>
      <c r="D7271">
        <v>8</v>
      </c>
      <c r="E7271" t="s">
        <v>19</v>
      </c>
      <c r="F7271" t="s">
        <v>28</v>
      </c>
      <c r="G7271" t="s">
        <v>132</v>
      </c>
      <c r="H7271" t="s">
        <v>171</v>
      </c>
      <c r="I7271">
        <v>8549.57</v>
      </c>
      <c r="J7271">
        <v>8913.85</v>
      </c>
      <c r="K7271" t="s">
        <v>17</v>
      </c>
      <c r="L7271" t="b">
        <v>0</v>
      </c>
      <c r="N7271" s="2" t="str">
        <f t="shared" si="649"/>
        <v/>
      </c>
      <c r="Q7271" t="str">
        <f t="shared" si="647"/>
        <v/>
      </c>
    </row>
    <row r="7272" spans="1:17" hidden="1">
      <c r="A7272" t="s">
        <v>7377</v>
      </c>
      <c r="B7272" s="1">
        <v>45888</v>
      </c>
      <c r="C7272">
        <v>2025</v>
      </c>
      <c r="D7272">
        <v>8</v>
      </c>
      <c r="E7272" t="s">
        <v>19</v>
      </c>
      <c r="F7272" t="s">
        <v>24</v>
      </c>
      <c r="G7272" t="s">
        <v>80</v>
      </c>
      <c r="H7272" t="s">
        <v>81</v>
      </c>
      <c r="I7272">
        <v>6465.95</v>
      </c>
      <c r="J7272">
        <v>5986.93</v>
      </c>
      <c r="K7272" t="s">
        <v>17</v>
      </c>
      <c r="L7272" t="b">
        <v>0</v>
      </c>
      <c r="N7272" s="2" t="str">
        <f t="shared" si="649"/>
        <v/>
      </c>
      <c r="Q7272" t="str">
        <f t="shared" si="647"/>
        <v/>
      </c>
    </row>
    <row r="7273" spans="1:17" hidden="1">
      <c r="A7273" t="s">
        <v>7378</v>
      </c>
      <c r="B7273" s="1">
        <v>45888</v>
      </c>
      <c r="C7273">
        <v>2025</v>
      </c>
      <c r="D7273">
        <v>8</v>
      </c>
      <c r="E7273" t="s">
        <v>23</v>
      </c>
      <c r="F7273" t="s">
        <v>24</v>
      </c>
      <c r="G7273" t="s">
        <v>30</v>
      </c>
      <c r="H7273" t="s">
        <v>31</v>
      </c>
      <c r="I7273">
        <v>6442.41</v>
      </c>
      <c r="J7273">
        <v>7007.19</v>
      </c>
      <c r="K7273" t="s">
        <v>17</v>
      </c>
      <c r="L7273" t="b">
        <v>0</v>
      </c>
      <c r="N7273" s="2" t="str">
        <f t="shared" si="649"/>
        <v/>
      </c>
      <c r="Q7273" t="str">
        <f t="shared" si="647"/>
        <v/>
      </c>
    </row>
    <row r="7274" spans="1:17" hidden="1">
      <c r="A7274" t="s">
        <v>7379</v>
      </c>
      <c r="B7274" s="1">
        <v>45889</v>
      </c>
      <c r="C7274">
        <v>2025</v>
      </c>
      <c r="D7274">
        <v>8</v>
      </c>
      <c r="E7274" t="s">
        <v>47</v>
      </c>
      <c r="F7274" t="s">
        <v>14</v>
      </c>
      <c r="G7274" t="s">
        <v>51</v>
      </c>
      <c r="H7274" t="s">
        <v>52</v>
      </c>
      <c r="I7274">
        <v>18001.990000000002</v>
      </c>
      <c r="J7274">
        <v>14982.34</v>
      </c>
      <c r="K7274" t="s">
        <v>17</v>
      </c>
      <c r="L7274" t="b">
        <v>0</v>
      </c>
      <c r="N7274" s="2" t="b">
        <f t="shared" si="649"/>
        <v>1</v>
      </c>
      <c r="O7274" t="str">
        <f t="shared" ref="O7274:O7275" si="653">IF(AND(E7263="HR",K7263="EXPENSE"),I7263&lt;J7263,"")</f>
        <v/>
      </c>
      <c r="Q7274" t="str">
        <f t="shared" si="647"/>
        <v/>
      </c>
    </row>
    <row r="7275" spans="1:17" hidden="1">
      <c r="A7275" t="s">
        <v>7380</v>
      </c>
      <c r="B7275" s="1">
        <v>45889</v>
      </c>
      <c r="C7275">
        <v>2025</v>
      </c>
      <c r="D7275">
        <v>8</v>
      </c>
      <c r="E7275" t="s">
        <v>47</v>
      </c>
      <c r="F7275" t="s">
        <v>28</v>
      </c>
      <c r="G7275" t="s">
        <v>51</v>
      </c>
      <c r="H7275" t="s">
        <v>72</v>
      </c>
      <c r="I7275">
        <v>9948.7999999999993</v>
      </c>
      <c r="J7275">
        <v>8488.34</v>
      </c>
      <c r="K7275" t="s">
        <v>17</v>
      </c>
      <c r="L7275" t="b">
        <v>0</v>
      </c>
      <c r="N7275" s="2" t="b">
        <f t="shared" si="649"/>
        <v>1</v>
      </c>
      <c r="O7275" t="str">
        <f t="shared" si="653"/>
        <v/>
      </c>
      <c r="Q7275" t="str">
        <f t="shared" si="647"/>
        <v/>
      </c>
    </row>
    <row r="7276" spans="1:17" hidden="1">
      <c r="A7276" t="s">
        <v>7381</v>
      </c>
      <c r="B7276" s="1">
        <v>45889</v>
      </c>
      <c r="C7276">
        <v>2025</v>
      </c>
      <c r="D7276">
        <v>8</v>
      </c>
      <c r="E7276" t="s">
        <v>23</v>
      </c>
      <c r="F7276" t="s">
        <v>14</v>
      </c>
      <c r="G7276" t="s">
        <v>30</v>
      </c>
      <c r="H7276" t="s">
        <v>33</v>
      </c>
      <c r="I7276">
        <v>6070.83</v>
      </c>
      <c r="J7276">
        <v>6299.52</v>
      </c>
      <c r="K7276" t="s">
        <v>17</v>
      </c>
      <c r="L7276" t="b">
        <v>0</v>
      </c>
      <c r="N7276" s="2" t="str">
        <f t="shared" si="649"/>
        <v/>
      </c>
      <c r="Q7276" t="str">
        <f t="shared" si="647"/>
        <v/>
      </c>
    </row>
    <row r="7277" spans="1:17" hidden="1">
      <c r="A7277" t="s">
        <v>7382</v>
      </c>
      <c r="B7277" s="1">
        <v>45889</v>
      </c>
      <c r="C7277">
        <v>2025</v>
      </c>
      <c r="D7277">
        <v>8</v>
      </c>
      <c r="E7277" t="s">
        <v>23</v>
      </c>
      <c r="F7277" t="s">
        <v>28</v>
      </c>
      <c r="G7277" t="s">
        <v>141</v>
      </c>
      <c r="H7277" t="s">
        <v>142</v>
      </c>
      <c r="I7277">
        <v>7807.05</v>
      </c>
      <c r="J7277">
        <v>7675.5</v>
      </c>
      <c r="K7277" t="s">
        <v>17</v>
      </c>
      <c r="L7277" t="b">
        <v>0</v>
      </c>
      <c r="N7277" s="2" t="str">
        <f t="shared" si="649"/>
        <v/>
      </c>
      <c r="Q7277" t="str">
        <f t="shared" si="647"/>
        <v/>
      </c>
    </row>
    <row r="7278" spans="1:17" hidden="1">
      <c r="A7278" t="s">
        <v>7383</v>
      </c>
      <c r="B7278" s="1">
        <v>45889</v>
      </c>
      <c r="C7278">
        <v>2025</v>
      </c>
      <c r="D7278">
        <v>8</v>
      </c>
      <c r="E7278" t="s">
        <v>23</v>
      </c>
      <c r="F7278" t="s">
        <v>24</v>
      </c>
      <c r="G7278" t="s">
        <v>25</v>
      </c>
      <c r="H7278" t="s">
        <v>35</v>
      </c>
      <c r="I7278">
        <v>4843.09</v>
      </c>
      <c r="J7278">
        <v>4410.57</v>
      </c>
      <c r="K7278" t="s">
        <v>17</v>
      </c>
      <c r="L7278" t="b">
        <v>0</v>
      </c>
      <c r="N7278" s="2" t="str">
        <f t="shared" si="649"/>
        <v/>
      </c>
      <c r="Q7278" t="str">
        <f t="shared" si="647"/>
        <v/>
      </c>
    </row>
    <row r="7279" spans="1:17" hidden="1">
      <c r="A7279" t="s">
        <v>7384</v>
      </c>
      <c r="B7279" s="1">
        <v>45889</v>
      </c>
      <c r="C7279">
        <v>2025</v>
      </c>
      <c r="D7279">
        <v>8</v>
      </c>
      <c r="E7279" t="s">
        <v>37</v>
      </c>
      <c r="F7279" t="s">
        <v>14</v>
      </c>
      <c r="G7279" t="s">
        <v>38</v>
      </c>
      <c r="H7279" t="s">
        <v>118</v>
      </c>
      <c r="I7279">
        <v>4655.38</v>
      </c>
      <c r="J7279">
        <v>4974.91</v>
      </c>
      <c r="K7279" t="s">
        <v>17</v>
      </c>
      <c r="L7279" t="b">
        <v>0</v>
      </c>
      <c r="N7279" s="2" t="str">
        <f t="shared" si="649"/>
        <v/>
      </c>
      <c r="Q7279" t="str">
        <f t="shared" si="647"/>
        <v/>
      </c>
    </row>
    <row r="7280" spans="1:17" hidden="1">
      <c r="A7280" t="s">
        <v>7385</v>
      </c>
      <c r="B7280" s="1">
        <v>45889</v>
      </c>
      <c r="C7280">
        <v>2025</v>
      </c>
      <c r="D7280">
        <v>8</v>
      </c>
      <c r="E7280" t="s">
        <v>37</v>
      </c>
      <c r="F7280" t="s">
        <v>24</v>
      </c>
      <c r="G7280" t="s">
        <v>38</v>
      </c>
      <c r="H7280" t="s">
        <v>39</v>
      </c>
      <c r="I7280">
        <v>5179.3</v>
      </c>
      <c r="J7280">
        <v>5240.42</v>
      </c>
      <c r="K7280" t="s">
        <v>17</v>
      </c>
      <c r="L7280" t="b">
        <v>0</v>
      </c>
      <c r="N7280" s="2" t="str">
        <f t="shared" si="649"/>
        <v/>
      </c>
      <c r="Q7280" t="str">
        <f t="shared" ref="Q7280:Q7343" si="654">IF(L7280=TRUE,OR(H7280="Apex Solutions Inc",H7280="Global Trade Partners",H7280="NovaTech Services"),"")</f>
        <v/>
      </c>
    </row>
    <row r="7281" spans="1:17" hidden="1">
      <c r="A7281" t="s">
        <v>7386</v>
      </c>
      <c r="B7281" s="1">
        <v>45890</v>
      </c>
      <c r="C7281">
        <v>2025</v>
      </c>
      <c r="D7281">
        <v>8</v>
      </c>
      <c r="E7281" t="s">
        <v>13</v>
      </c>
      <c r="F7281" t="s">
        <v>24</v>
      </c>
      <c r="G7281" t="s">
        <v>108</v>
      </c>
      <c r="H7281" t="s">
        <v>123</v>
      </c>
      <c r="I7281">
        <v>4231.3500000000004</v>
      </c>
      <c r="J7281">
        <v>4142.99</v>
      </c>
      <c r="K7281" t="s">
        <v>17</v>
      </c>
      <c r="L7281" t="b">
        <v>0</v>
      </c>
      <c r="N7281" s="2" t="str">
        <f t="shared" si="649"/>
        <v/>
      </c>
      <c r="Q7281" t="str">
        <f t="shared" si="654"/>
        <v/>
      </c>
    </row>
    <row r="7282" spans="1:17" hidden="1">
      <c r="A7282" t="s">
        <v>7387</v>
      </c>
      <c r="B7282" s="1">
        <v>45890</v>
      </c>
      <c r="C7282">
        <v>2025</v>
      </c>
      <c r="D7282">
        <v>8</v>
      </c>
      <c r="E7282" t="s">
        <v>47</v>
      </c>
      <c r="F7282" t="s">
        <v>14</v>
      </c>
      <c r="G7282" t="s">
        <v>48</v>
      </c>
      <c r="H7282" t="s">
        <v>49</v>
      </c>
      <c r="I7282">
        <v>13012.68</v>
      </c>
      <c r="J7282">
        <v>10954.33</v>
      </c>
      <c r="K7282" t="s">
        <v>17</v>
      </c>
      <c r="L7282" t="b">
        <v>0</v>
      </c>
      <c r="N7282" s="2" t="b">
        <f t="shared" si="649"/>
        <v>1</v>
      </c>
      <c r="O7282" t="str">
        <f t="shared" ref="O7282:O7284" si="655">IF(AND(E7271="HR",K7271="EXPENSE"),I7271&lt;J7271,"")</f>
        <v/>
      </c>
      <c r="Q7282" t="str">
        <f t="shared" si="654"/>
        <v/>
      </c>
    </row>
    <row r="7283" spans="1:17" hidden="1">
      <c r="A7283" t="s">
        <v>7388</v>
      </c>
      <c r="B7283" s="1">
        <v>45890</v>
      </c>
      <c r="C7283">
        <v>2025</v>
      </c>
      <c r="D7283">
        <v>8</v>
      </c>
      <c r="E7283" t="s">
        <v>47</v>
      </c>
      <c r="F7283" t="s">
        <v>28</v>
      </c>
      <c r="G7283" t="s">
        <v>91</v>
      </c>
      <c r="H7283" t="s">
        <v>128</v>
      </c>
      <c r="I7283">
        <v>14115.23</v>
      </c>
      <c r="J7283">
        <v>11608.8</v>
      </c>
      <c r="K7283" t="s">
        <v>17</v>
      </c>
      <c r="L7283" t="b">
        <v>0</v>
      </c>
      <c r="N7283" s="2" t="b">
        <f t="shared" si="649"/>
        <v>1</v>
      </c>
      <c r="O7283" t="str">
        <f t="shared" si="655"/>
        <v/>
      </c>
      <c r="Q7283" t="str">
        <f t="shared" si="654"/>
        <v/>
      </c>
    </row>
    <row r="7284" spans="1:17" hidden="1">
      <c r="A7284" t="s">
        <v>7389</v>
      </c>
      <c r="B7284" s="1">
        <v>45890</v>
      </c>
      <c r="C7284">
        <v>2025</v>
      </c>
      <c r="D7284">
        <v>8</v>
      </c>
      <c r="E7284" t="s">
        <v>47</v>
      </c>
      <c r="F7284" t="s">
        <v>28</v>
      </c>
      <c r="G7284" t="s">
        <v>51</v>
      </c>
      <c r="H7284" t="s">
        <v>72</v>
      </c>
      <c r="I7284">
        <v>12655.99</v>
      </c>
      <c r="J7284">
        <v>10681.43</v>
      </c>
      <c r="K7284" t="s">
        <v>17</v>
      </c>
      <c r="L7284" t="b">
        <v>0</v>
      </c>
      <c r="N7284" s="2" t="b">
        <f t="shared" si="649"/>
        <v>1</v>
      </c>
      <c r="O7284" t="str">
        <f t="shared" si="655"/>
        <v/>
      </c>
      <c r="Q7284" t="str">
        <f t="shared" si="654"/>
        <v/>
      </c>
    </row>
    <row r="7285" spans="1:17" hidden="1">
      <c r="A7285" t="s">
        <v>7390</v>
      </c>
      <c r="B7285" s="1">
        <v>45890</v>
      </c>
      <c r="C7285">
        <v>2025</v>
      </c>
      <c r="D7285">
        <v>8</v>
      </c>
      <c r="E7285" t="s">
        <v>19</v>
      </c>
      <c r="F7285" t="s">
        <v>14</v>
      </c>
      <c r="G7285" t="s">
        <v>132</v>
      </c>
      <c r="H7285" t="s">
        <v>133</v>
      </c>
      <c r="I7285">
        <v>11163.99</v>
      </c>
      <c r="J7285">
        <v>12215.3</v>
      </c>
      <c r="K7285" t="s">
        <v>17</v>
      </c>
      <c r="L7285" t="b">
        <v>0</v>
      </c>
      <c r="N7285" s="2" t="str">
        <f t="shared" si="649"/>
        <v/>
      </c>
      <c r="Q7285" t="str">
        <f t="shared" si="654"/>
        <v/>
      </c>
    </row>
    <row r="7286" spans="1:17" hidden="1">
      <c r="A7286" t="s">
        <v>7391</v>
      </c>
      <c r="B7286" s="1">
        <v>45890</v>
      </c>
      <c r="C7286">
        <v>2025</v>
      </c>
      <c r="D7286">
        <v>8</v>
      </c>
      <c r="E7286" t="s">
        <v>23</v>
      </c>
      <c r="F7286" t="s">
        <v>14</v>
      </c>
      <c r="G7286" t="s">
        <v>141</v>
      </c>
      <c r="H7286" t="s">
        <v>209</v>
      </c>
      <c r="I7286">
        <v>5517.03</v>
      </c>
      <c r="J7286">
        <v>5849.5</v>
      </c>
      <c r="K7286" t="s">
        <v>17</v>
      </c>
      <c r="L7286" t="b">
        <v>0</v>
      </c>
      <c r="N7286" s="2" t="str">
        <f t="shared" si="649"/>
        <v/>
      </c>
      <c r="Q7286" t="str">
        <f t="shared" si="654"/>
        <v/>
      </c>
    </row>
    <row r="7287" spans="1:17" hidden="1">
      <c r="A7287" t="s">
        <v>7392</v>
      </c>
      <c r="B7287" s="1">
        <v>45890</v>
      </c>
      <c r="C7287">
        <v>2025</v>
      </c>
      <c r="D7287">
        <v>8</v>
      </c>
      <c r="E7287" t="s">
        <v>23</v>
      </c>
      <c r="F7287" t="s">
        <v>28</v>
      </c>
      <c r="G7287" t="s">
        <v>59</v>
      </c>
      <c r="H7287" t="s">
        <v>60</v>
      </c>
      <c r="I7287">
        <v>5445.82</v>
      </c>
      <c r="J7287">
        <v>5483.71</v>
      </c>
      <c r="K7287" t="s">
        <v>17</v>
      </c>
      <c r="L7287" t="b">
        <v>0</v>
      </c>
      <c r="N7287" s="2" t="str">
        <f t="shared" si="649"/>
        <v/>
      </c>
      <c r="Q7287" t="str">
        <f t="shared" si="654"/>
        <v/>
      </c>
    </row>
    <row r="7288" spans="1:17" hidden="1">
      <c r="A7288" t="s">
        <v>7393</v>
      </c>
      <c r="B7288" s="1">
        <v>45890</v>
      </c>
      <c r="C7288">
        <v>2025</v>
      </c>
      <c r="D7288">
        <v>8</v>
      </c>
      <c r="E7288" t="s">
        <v>37</v>
      </c>
      <c r="F7288" t="s">
        <v>28</v>
      </c>
      <c r="G7288" t="s">
        <v>62</v>
      </c>
      <c r="H7288" t="s">
        <v>66</v>
      </c>
      <c r="I7288">
        <v>3239.16</v>
      </c>
      <c r="J7288">
        <v>2985.31</v>
      </c>
      <c r="K7288" t="s">
        <v>17</v>
      </c>
      <c r="L7288" t="b">
        <v>0</v>
      </c>
      <c r="N7288" s="2" t="str">
        <f t="shared" si="649"/>
        <v/>
      </c>
      <c r="Q7288" t="str">
        <f t="shared" si="654"/>
        <v/>
      </c>
    </row>
    <row r="7289" spans="1:17" hidden="1">
      <c r="A7289" t="s">
        <v>7394</v>
      </c>
      <c r="B7289" s="1">
        <v>45890</v>
      </c>
      <c r="C7289">
        <v>2025</v>
      </c>
      <c r="D7289">
        <v>8</v>
      </c>
      <c r="E7289" t="s">
        <v>37</v>
      </c>
      <c r="F7289" t="s">
        <v>24</v>
      </c>
      <c r="G7289" t="s">
        <v>38</v>
      </c>
      <c r="H7289" t="s">
        <v>227</v>
      </c>
      <c r="I7289">
        <v>2636.21</v>
      </c>
      <c r="J7289">
        <v>2698.38</v>
      </c>
      <c r="K7289" t="s">
        <v>17</v>
      </c>
      <c r="L7289" t="b">
        <v>0</v>
      </c>
      <c r="N7289" s="2" t="str">
        <f t="shared" si="649"/>
        <v/>
      </c>
      <c r="Q7289" t="str">
        <f t="shared" si="654"/>
        <v/>
      </c>
    </row>
    <row r="7290" spans="1:17" hidden="1">
      <c r="A7290" t="s">
        <v>7395</v>
      </c>
      <c r="B7290" s="1">
        <v>45891</v>
      </c>
      <c r="C7290">
        <v>2025</v>
      </c>
      <c r="D7290">
        <v>8</v>
      </c>
      <c r="E7290" t="s">
        <v>13</v>
      </c>
      <c r="F7290" t="s">
        <v>28</v>
      </c>
      <c r="G7290" t="s">
        <v>68</v>
      </c>
      <c r="H7290" t="s">
        <v>87</v>
      </c>
      <c r="I7290">
        <v>3918.89</v>
      </c>
      <c r="J7290">
        <v>3688.59</v>
      </c>
      <c r="K7290" t="s">
        <v>17</v>
      </c>
      <c r="L7290" t="b">
        <v>0</v>
      </c>
      <c r="N7290" s="2" t="str">
        <f t="shared" si="649"/>
        <v/>
      </c>
      <c r="Q7290" t="str">
        <f t="shared" si="654"/>
        <v/>
      </c>
    </row>
    <row r="7291" spans="1:17" hidden="1">
      <c r="A7291" t="s">
        <v>7396</v>
      </c>
      <c r="B7291" s="1">
        <v>45891</v>
      </c>
      <c r="C7291">
        <v>2025</v>
      </c>
      <c r="D7291">
        <v>8</v>
      </c>
      <c r="E7291" t="s">
        <v>13</v>
      </c>
      <c r="F7291" t="s">
        <v>28</v>
      </c>
      <c r="G7291" t="s">
        <v>102</v>
      </c>
      <c r="H7291" t="s">
        <v>103</v>
      </c>
      <c r="I7291">
        <v>1937.47</v>
      </c>
      <c r="J7291">
        <v>2035.54</v>
      </c>
      <c r="K7291" t="s">
        <v>17</v>
      </c>
      <c r="L7291" t="b">
        <v>0</v>
      </c>
      <c r="N7291" s="2" t="str">
        <f t="shared" si="649"/>
        <v/>
      </c>
      <c r="Q7291" t="str">
        <f t="shared" si="654"/>
        <v/>
      </c>
    </row>
    <row r="7292" spans="1:17" hidden="1">
      <c r="A7292" t="s">
        <v>7397</v>
      </c>
      <c r="B7292" s="1">
        <v>45891</v>
      </c>
      <c r="C7292">
        <v>2025</v>
      </c>
      <c r="D7292">
        <v>8</v>
      </c>
      <c r="E7292" t="s">
        <v>47</v>
      </c>
      <c r="F7292" t="s">
        <v>28</v>
      </c>
      <c r="G7292" t="s">
        <v>91</v>
      </c>
      <c r="H7292" t="s">
        <v>254</v>
      </c>
      <c r="I7292">
        <v>10374.67</v>
      </c>
      <c r="J7292">
        <v>9008.7999999999993</v>
      </c>
      <c r="K7292" t="s">
        <v>17</v>
      </c>
      <c r="L7292" t="b">
        <v>0</v>
      </c>
      <c r="N7292" s="2" t="b">
        <f t="shared" si="649"/>
        <v>1</v>
      </c>
      <c r="O7292" t="b">
        <f>IF(AND(E7281="HR",K7281="EXPENSE"),I7281&lt;J7281,"")</f>
        <v>0</v>
      </c>
      <c r="Q7292" t="str">
        <f t="shared" si="654"/>
        <v/>
      </c>
    </row>
    <row r="7293" spans="1:17" hidden="1">
      <c r="A7293" t="s">
        <v>7398</v>
      </c>
      <c r="B7293" s="1">
        <v>45891</v>
      </c>
      <c r="C7293">
        <v>2025</v>
      </c>
      <c r="D7293">
        <v>8</v>
      </c>
      <c r="E7293" t="s">
        <v>23</v>
      </c>
      <c r="F7293" t="s">
        <v>14</v>
      </c>
      <c r="G7293" t="s">
        <v>59</v>
      </c>
      <c r="H7293" t="s">
        <v>155</v>
      </c>
      <c r="I7293">
        <v>5203.12</v>
      </c>
      <c r="J7293">
        <v>4710.17</v>
      </c>
      <c r="K7293" t="s">
        <v>17</v>
      </c>
      <c r="L7293" t="b">
        <v>0</v>
      </c>
      <c r="N7293" s="2" t="str">
        <f t="shared" si="649"/>
        <v/>
      </c>
      <c r="Q7293" t="str">
        <f t="shared" si="654"/>
        <v/>
      </c>
    </row>
    <row r="7294" spans="1:17" hidden="1">
      <c r="A7294" t="s">
        <v>7399</v>
      </c>
      <c r="B7294" s="1">
        <v>45891</v>
      </c>
      <c r="C7294">
        <v>2025</v>
      </c>
      <c r="D7294">
        <v>8</v>
      </c>
      <c r="E7294" t="s">
        <v>23</v>
      </c>
      <c r="F7294" t="s">
        <v>14</v>
      </c>
      <c r="G7294" t="s">
        <v>59</v>
      </c>
      <c r="H7294" t="s">
        <v>60</v>
      </c>
      <c r="I7294">
        <v>7820.94</v>
      </c>
      <c r="J7294">
        <v>7940.3</v>
      </c>
      <c r="K7294" t="s">
        <v>17</v>
      </c>
      <c r="L7294" t="b">
        <v>0</v>
      </c>
      <c r="N7294" s="2" t="str">
        <f t="shared" si="649"/>
        <v/>
      </c>
      <c r="Q7294" t="str">
        <f t="shared" si="654"/>
        <v/>
      </c>
    </row>
    <row r="7295" spans="1:17" hidden="1">
      <c r="A7295" t="s">
        <v>7400</v>
      </c>
      <c r="B7295" s="1">
        <v>45891</v>
      </c>
      <c r="C7295">
        <v>2025</v>
      </c>
      <c r="D7295">
        <v>8</v>
      </c>
      <c r="E7295" t="s">
        <v>23</v>
      </c>
      <c r="F7295" t="s">
        <v>14</v>
      </c>
      <c r="G7295" t="s">
        <v>30</v>
      </c>
      <c r="H7295" t="s">
        <v>33</v>
      </c>
      <c r="I7295">
        <v>5200.88</v>
      </c>
      <c r="J7295">
        <v>5184.51</v>
      </c>
      <c r="K7295" t="s">
        <v>17</v>
      </c>
      <c r="L7295" t="b">
        <v>0</v>
      </c>
      <c r="N7295" s="2" t="str">
        <f t="shared" si="649"/>
        <v/>
      </c>
      <c r="Q7295" t="str">
        <f t="shared" si="654"/>
        <v/>
      </c>
    </row>
    <row r="7296" spans="1:17" hidden="1">
      <c r="A7296" t="s">
        <v>7401</v>
      </c>
      <c r="B7296" s="1">
        <v>45891</v>
      </c>
      <c r="C7296">
        <v>2025</v>
      </c>
      <c r="D7296">
        <v>8</v>
      </c>
      <c r="E7296" t="s">
        <v>23</v>
      </c>
      <c r="F7296" t="s">
        <v>14</v>
      </c>
      <c r="G7296" t="s">
        <v>59</v>
      </c>
      <c r="H7296" t="s">
        <v>155</v>
      </c>
      <c r="I7296">
        <v>3622.39</v>
      </c>
      <c r="J7296">
        <v>3682.76</v>
      </c>
      <c r="K7296" t="s">
        <v>17</v>
      </c>
      <c r="L7296" t="b">
        <v>0</v>
      </c>
      <c r="N7296" s="2" t="str">
        <f t="shared" si="649"/>
        <v/>
      </c>
      <c r="Q7296" t="str">
        <f t="shared" si="654"/>
        <v/>
      </c>
    </row>
    <row r="7297" spans="1:17" hidden="1">
      <c r="A7297" t="s">
        <v>7402</v>
      </c>
      <c r="B7297" s="1">
        <v>45892</v>
      </c>
      <c r="C7297">
        <v>2025</v>
      </c>
      <c r="D7297">
        <v>8</v>
      </c>
      <c r="E7297" t="s">
        <v>13</v>
      </c>
      <c r="F7297" t="s">
        <v>14</v>
      </c>
      <c r="G7297" t="s">
        <v>68</v>
      </c>
      <c r="H7297" t="s">
        <v>87</v>
      </c>
      <c r="I7297">
        <v>2239.67</v>
      </c>
      <c r="J7297">
        <v>2249.64</v>
      </c>
      <c r="K7297" t="s">
        <v>17</v>
      </c>
      <c r="L7297" t="b">
        <v>0</v>
      </c>
      <c r="N7297" s="2" t="str">
        <f t="shared" si="649"/>
        <v/>
      </c>
      <c r="Q7297" t="str">
        <f t="shared" si="654"/>
        <v/>
      </c>
    </row>
    <row r="7298" spans="1:17" hidden="1">
      <c r="A7298" t="s">
        <v>7403</v>
      </c>
      <c r="B7298" s="1">
        <v>45892</v>
      </c>
      <c r="C7298">
        <v>2025</v>
      </c>
      <c r="D7298">
        <v>8</v>
      </c>
      <c r="E7298" t="s">
        <v>47</v>
      </c>
      <c r="F7298" t="s">
        <v>14</v>
      </c>
      <c r="G7298" t="s">
        <v>51</v>
      </c>
      <c r="H7298" t="s">
        <v>52</v>
      </c>
      <c r="I7298">
        <v>14277.52</v>
      </c>
      <c r="J7298">
        <v>12209.16</v>
      </c>
      <c r="K7298" t="s">
        <v>17</v>
      </c>
      <c r="L7298" t="b">
        <v>0</v>
      </c>
      <c r="N7298" s="2" t="b">
        <f t="shared" si="649"/>
        <v>1</v>
      </c>
      <c r="O7298" t="str">
        <f t="shared" ref="O7298:O7299" si="656">IF(AND(E7287="HR",K7287="EXPENSE"),I7287&lt;J7287,"")</f>
        <v/>
      </c>
      <c r="Q7298" t="str">
        <f t="shared" si="654"/>
        <v/>
      </c>
    </row>
    <row r="7299" spans="1:17" hidden="1">
      <c r="A7299" t="s">
        <v>7404</v>
      </c>
      <c r="B7299" s="1">
        <v>45892</v>
      </c>
      <c r="C7299">
        <v>2025</v>
      </c>
      <c r="D7299">
        <v>8</v>
      </c>
      <c r="E7299" t="s">
        <v>47</v>
      </c>
      <c r="F7299" t="s">
        <v>28</v>
      </c>
      <c r="G7299" t="s">
        <v>77</v>
      </c>
      <c r="H7299" t="s">
        <v>78</v>
      </c>
      <c r="I7299">
        <v>10686.46</v>
      </c>
      <c r="J7299">
        <v>8889.0400000000009</v>
      </c>
      <c r="K7299" t="s">
        <v>17</v>
      </c>
      <c r="L7299" t="b">
        <v>0</v>
      </c>
      <c r="N7299" s="2" t="b">
        <f t="shared" ref="N7299:N7362" si="657">IF(AND(E7299="IT",K7299="EXPENSE"),I7299&gt;J7299,"")</f>
        <v>1</v>
      </c>
      <c r="O7299" t="str">
        <f t="shared" si="656"/>
        <v/>
      </c>
      <c r="Q7299" t="str">
        <f t="shared" si="654"/>
        <v/>
      </c>
    </row>
    <row r="7300" spans="1:17" hidden="1">
      <c r="A7300" t="s">
        <v>7405</v>
      </c>
      <c r="B7300" s="1">
        <v>45892</v>
      </c>
      <c r="C7300">
        <v>2025</v>
      </c>
      <c r="D7300">
        <v>8</v>
      </c>
      <c r="E7300" t="s">
        <v>23</v>
      </c>
      <c r="F7300" t="s">
        <v>14</v>
      </c>
      <c r="G7300" t="s">
        <v>25</v>
      </c>
      <c r="H7300" t="s">
        <v>26</v>
      </c>
      <c r="I7300">
        <v>6237.66</v>
      </c>
      <c r="J7300">
        <v>6594.9</v>
      </c>
      <c r="K7300" t="s">
        <v>17</v>
      </c>
      <c r="L7300" t="b">
        <v>0</v>
      </c>
      <c r="N7300" s="2" t="str">
        <f t="shared" si="657"/>
        <v/>
      </c>
      <c r="Q7300" t="str">
        <f t="shared" si="654"/>
        <v/>
      </c>
    </row>
    <row r="7301" spans="1:17" hidden="1">
      <c r="A7301" t="s">
        <v>7406</v>
      </c>
      <c r="B7301" s="1">
        <v>45892</v>
      </c>
      <c r="C7301">
        <v>2025</v>
      </c>
      <c r="D7301">
        <v>8</v>
      </c>
      <c r="E7301" t="s">
        <v>23</v>
      </c>
      <c r="F7301" t="s">
        <v>28</v>
      </c>
      <c r="G7301" t="s">
        <v>25</v>
      </c>
      <c r="H7301" t="s">
        <v>26</v>
      </c>
      <c r="I7301">
        <v>1883.81</v>
      </c>
      <c r="J7301">
        <v>1864.76</v>
      </c>
      <c r="K7301" t="s">
        <v>17</v>
      </c>
      <c r="L7301" t="b">
        <v>0</v>
      </c>
      <c r="N7301" s="2" t="str">
        <f t="shared" si="657"/>
        <v/>
      </c>
      <c r="Q7301" t="str">
        <f t="shared" si="654"/>
        <v/>
      </c>
    </row>
    <row r="7302" spans="1:17" hidden="1">
      <c r="A7302" t="s">
        <v>7407</v>
      </c>
      <c r="B7302" s="1">
        <v>45892</v>
      </c>
      <c r="C7302">
        <v>2025</v>
      </c>
      <c r="D7302">
        <v>8</v>
      </c>
      <c r="E7302" t="s">
        <v>23</v>
      </c>
      <c r="F7302" t="s">
        <v>24</v>
      </c>
      <c r="G7302" t="s">
        <v>25</v>
      </c>
      <c r="H7302" t="s">
        <v>95</v>
      </c>
      <c r="I7302">
        <v>6837.52</v>
      </c>
      <c r="J7302">
        <v>7128.67</v>
      </c>
      <c r="K7302" t="s">
        <v>17</v>
      </c>
      <c r="L7302" t="b">
        <v>0</v>
      </c>
      <c r="N7302" s="2" t="str">
        <f t="shared" si="657"/>
        <v/>
      </c>
      <c r="Q7302" t="str">
        <f t="shared" si="654"/>
        <v/>
      </c>
    </row>
    <row r="7303" spans="1:17" hidden="1">
      <c r="A7303" t="s">
        <v>7408</v>
      </c>
      <c r="B7303" s="1">
        <v>45892</v>
      </c>
      <c r="C7303">
        <v>2025</v>
      </c>
      <c r="D7303">
        <v>8</v>
      </c>
      <c r="E7303" t="s">
        <v>37</v>
      </c>
      <c r="F7303" t="s">
        <v>24</v>
      </c>
      <c r="G7303" t="s">
        <v>98</v>
      </c>
      <c r="H7303" t="s">
        <v>185</v>
      </c>
      <c r="I7303">
        <v>4404.95</v>
      </c>
      <c r="J7303">
        <v>4706.93</v>
      </c>
      <c r="K7303" t="s">
        <v>17</v>
      </c>
      <c r="L7303" t="b">
        <v>0</v>
      </c>
      <c r="N7303" s="2" t="str">
        <f t="shared" si="657"/>
        <v/>
      </c>
      <c r="Q7303" t="str">
        <f t="shared" si="654"/>
        <v/>
      </c>
    </row>
    <row r="7304" spans="1:17" hidden="1">
      <c r="A7304" t="s">
        <v>7409</v>
      </c>
      <c r="B7304" s="1">
        <v>45893</v>
      </c>
      <c r="C7304">
        <v>2025</v>
      </c>
      <c r="D7304">
        <v>8</v>
      </c>
      <c r="E7304" t="s">
        <v>47</v>
      </c>
      <c r="F7304" t="s">
        <v>14</v>
      </c>
      <c r="G7304" t="s">
        <v>51</v>
      </c>
      <c r="H7304" t="s">
        <v>52</v>
      </c>
      <c r="I7304">
        <v>13131.39</v>
      </c>
      <c r="J7304">
        <v>10770.17</v>
      </c>
      <c r="K7304" t="s">
        <v>17</v>
      </c>
      <c r="L7304" t="b">
        <v>0</v>
      </c>
      <c r="N7304" s="2" t="b">
        <f t="shared" si="657"/>
        <v>1</v>
      </c>
      <c r="O7304" t="str">
        <f>IF(AND(E7293="HR",K7293="EXPENSE"),I7293&lt;J7293,"")</f>
        <v/>
      </c>
      <c r="Q7304" t="str">
        <f t="shared" si="654"/>
        <v/>
      </c>
    </row>
    <row r="7305" spans="1:17" hidden="1">
      <c r="A7305" t="s">
        <v>7410</v>
      </c>
      <c r="B7305" s="1">
        <v>45893</v>
      </c>
      <c r="C7305">
        <v>2025</v>
      </c>
      <c r="D7305">
        <v>8</v>
      </c>
      <c r="E7305" t="s">
        <v>37</v>
      </c>
      <c r="F7305" t="s">
        <v>28</v>
      </c>
      <c r="G7305" t="s">
        <v>38</v>
      </c>
      <c r="H7305" t="s">
        <v>227</v>
      </c>
      <c r="I7305">
        <v>3903.35</v>
      </c>
      <c r="J7305">
        <v>3848.06</v>
      </c>
      <c r="K7305" t="s">
        <v>17</v>
      </c>
      <c r="L7305" t="b">
        <v>0</v>
      </c>
      <c r="N7305" s="2" t="str">
        <f t="shared" si="657"/>
        <v/>
      </c>
      <c r="Q7305" t="str">
        <f t="shared" si="654"/>
        <v/>
      </c>
    </row>
    <row r="7306" spans="1:17" hidden="1">
      <c r="A7306" t="s">
        <v>7411</v>
      </c>
      <c r="B7306" s="1">
        <v>45894</v>
      </c>
      <c r="C7306">
        <v>2025</v>
      </c>
      <c r="D7306">
        <v>8</v>
      </c>
      <c r="E7306" t="s">
        <v>13</v>
      </c>
      <c r="F7306" t="s">
        <v>14</v>
      </c>
      <c r="G7306" t="s">
        <v>68</v>
      </c>
      <c r="H7306" t="s">
        <v>213</v>
      </c>
      <c r="I7306">
        <v>3363.57</v>
      </c>
      <c r="J7306">
        <v>3487.13</v>
      </c>
      <c r="K7306" t="s">
        <v>17</v>
      </c>
      <c r="L7306" t="b">
        <v>0</v>
      </c>
      <c r="N7306" s="2" t="str">
        <f t="shared" si="657"/>
        <v/>
      </c>
      <c r="Q7306" t="str">
        <f t="shared" si="654"/>
        <v/>
      </c>
    </row>
    <row r="7307" spans="1:17" hidden="1">
      <c r="A7307" t="s">
        <v>7412</v>
      </c>
      <c r="B7307" s="1">
        <v>45894</v>
      </c>
      <c r="C7307">
        <v>2025</v>
      </c>
      <c r="D7307">
        <v>8</v>
      </c>
      <c r="E7307" t="s">
        <v>13</v>
      </c>
      <c r="F7307" t="s">
        <v>28</v>
      </c>
      <c r="G7307" t="s">
        <v>15</v>
      </c>
      <c r="H7307" t="s">
        <v>45</v>
      </c>
      <c r="I7307">
        <v>2639.22</v>
      </c>
      <c r="J7307">
        <v>2598.0300000000002</v>
      </c>
      <c r="K7307" t="s">
        <v>17</v>
      </c>
      <c r="L7307" t="b">
        <v>0</v>
      </c>
      <c r="N7307" s="2" t="str">
        <f t="shared" si="657"/>
        <v/>
      </c>
      <c r="Q7307" t="str">
        <f t="shared" si="654"/>
        <v/>
      </c>
    </row>
    <row r="7308" spans="1:17" hidden="1">
      <c r="A7308" t="s">
        <v>7413</v>
      </c>
      <c r="B7308" s="1">
        <v>45894</v>
      </c>
      <c r="C7308">
        <v>2025</v>
      </c>
      <c r="D7308">
        <v>8</v>
      </c>
      <c r="E7308" t="s">
        <v>19</v>
      </c>
      <c r="F7308" t="s">
        <v>24</v>
      </c>
      <c r="G7308" t="s">
        <v>80</v>
      </c>
      <c r="H7308" t="s">
        <v>217</v>
      </c>
      <c r="I7308">
        <v>4642.47</v>
      </c>
      <c r="J7308">
        <v>4923.68</v>
      </c>
      <c r="K7308" t="s">
        <v>17</v>
      </c>
      <c r="L7308" t="b">
        <v>0</v>
      </c>
      <c r="N7308" s="2" t="str">
        <f t="shared" si="657"/>
        <v/>
      </c>
      <c r="Q7308" t="str">
        <f t="shared" si="654"/>
        <v/>
      </c>
    </row>
    <row r="7309" spans="1:17" hidden="1">
      <c r="A7309" t="s">
        <v>7414</v>
      </c>
      <c r="B7309" s="1">
        <v>45894</v>
      </c>
      <c r="C7309">
        <v>2025</v>
      </c>
      <c r="D7309">
        <v>8</v>
      </c>
      <c r="E7309" t="s">
        <v>19</v>
      </c>
      <c r="F7309" t="s">
        <v>24</v>
      </c>
      <c r="G7309" t="s">
        <v>54</v>
      </c>
      <c r="H7309" t="s">
        <v>57</v>
      </c>
      <c r="I7309">
        <v>5743.91</v>
      </c>
      <c r="J7309">
        <v>5680.5</v>
      </c>
      <c r="K7309" t="s">
        <v>17</v>
      </c>
      <c r="L7309" t="b">
        <v>0</v>
      </c>
      <c r="N7309" s="2" t="str">
        <f t="shared" si="657"/>
        <v/>
      </c>
      <c r="Q7309" t="str">
        <f t="shared" si="654"/>
        <v/>
      </c>
    </row>
    <row r="7310" spans="1:17" hidden="1">
      <c r="A7310" t="s">
        <v>7415</v>
      </c>
      <c r="B7310" s="1">
        <v>45894</v>
      </c>
      <c r="C7310">
        <v>2025</v>
      </c>
      <c r="D7310">
        <v>8</v>
      </c>
      <c r="E7310" t="s">
        <v>23</v>
      </c>
      <c r="F7310" t="s">
        <v>28</v>
      </c>
      <c r="G7310" t="s">
        <v>30</v>
      </c>
      <c r="H7310" t="s">
        <v>33</v>
      </c>
      <c r="I7310">
        <v>6746.91</v>
      </c>
      <c r="J7310">
        <v>7288.88</v>
      </c>
      <c r="K7310" t="s">
        <v>17</v>
      </c>
      <c r="L7310" t="b">
        <v>0</v>
      </c>
      <c r="N7310" s="2" t="str">
        <f t="shared" si="657"/>
        <v/>
      </c>
      <c r="Q7310" t="str">
        <f t="shared" si="654"/>
        <v/>
      </c>
    </row>
    <row r="7311" spans="1:17" hidden="1">
      <c r="A7311" t="s">
        <v>7416</v>
      </c>
      <c r="B7311" s="1">
        <v>45894</v>
      </c>
      <c r="C7311">
        <v>2025</v>
      </c>
      <c r="D7311">
        <v>8</v>
      </c>
      <c r="E7311" t="s">
        <v>23</v>
      </c>
      <c r="F7311" t="s">
        <v>28</v>
      </c>
      <c r="G7311" t="s">
        <v>141</v>
      </c>
      <c r="H7311" t="s">
        <v>153</v>
      </c>
      <c r="I7311">
        <v>7509.2</v>
      </c>
      <c r="J7311">
        <v>7674.86</v>
      </c>
      <c r="K7311" t="s">
        <v>17</v>
      </c>
      <c r="L7311" t="b">
        <v>0</v>
      </c>
      <c r="N7311" s="2" t="str">
        <f t="shared" si="657"/>
        <v/>
      </c>
      <c r="Q7311" t="str">
        <f t="shared" si="654"/>
        <v/>
      </c>
    </row>
    <row r="7312" spans="1:17" hidden="1">
      <c r="A7312" t="s">
        <v>7417</v>
      </c>
      <c r="B7312" s="1">
        <v>45894</v>
      </c>
      <c r="C7312">
        <v>2025</v>
      </c>
      <c r="D7312">
        <v>8</v>
      </c>
      <c r="E7312" t="s">
        <v>23</v>
      </c>
      <c r="F7312" t="s">
        <v>24</v>
      </c>
      <c r="G7312" t="s">
        <v>141</v>
      </c>
      <c r="H7312" t="s">
        <v>142</v>
      </c>
      <c r="I7312">
        <v>4722.07</v>
      </c>
      <c r="J7312">
        <v>4788.71</v>
      </c>
      <c r="K7312" t="s">
        <v>17</v>
      </c>
      <c r="L7312" t="b">
        <v>0</v>
      </c>
      <c r="N7312" s="2" t="str">
        <f t="shared" si="657"/>
        <v/>
      </c>
      <c r="Q7312" t="str">
        <f t="shared" si="654"/>
        <v/>
      </c>
    </row>
    <row r="7313" spans="1:17" hidden="1">
      <c r="A7313" t="s">
        <v>7418</v>
      </c>
      <c r="B7313" s="1">
        <v>45895</v>
      </c>
      <c r="C7313">
        <v>2025</v>
      </c>
      <c r="D7313">
        <v>8</v>
      </c>
      <c r="E7313" t="s">
        <v>13</v>
      </c>
      <c r="F7313" t="s">
        <v>14</v>
      </c>
      <c r="G7313" t="s">
        <v>108</v>
      </c>
      <c r="H7313" t="s">
        <v>109</v>
      </c>
      <c r="I7313">
        <v>3719.93</v>
      </c>
      <c r="J7313">
        <v>3364.47</v>
      </c>
      <c r="K7313" t="s">
        <v>17</v>
      </c>
      <c r="L7313" t="b">
        <v>0</v>
      </c>
      <c r="N7313" s="2" t="str">
        <f t="shared" si="657"/>
        <v/>
      </c>
      <c r="Q7313" t="str">
        <f t="shared" si="654"/>
        <v/>
      </c>
    </row>
    <row r="7314" spans="1:17" hidden="1">
      <c r="A7314" t="s">
        <v>7419</v>
      </c>
      <c r="B7314" s="1">
        <v>45895</v>
      </c>
      <c r="C7314">
        <v>2025</v>
      </c>
      <c r="D7314">
        <v>8</v>
      </c>
      <c r="E7314" t="s">
        <v>47</v>
      </c>
      <c r="F7314" t="s">
        <v>28</v>
      </c>
      <c r="G7314" t="s">
        <v>91</v>
      </c>
      <c r="H7314" t="s">
        <v>254</v>
      </c>
      <c r="I7314">
        <v>15325.34</v>
      </c>
      <c r="J7314">
        <v>12574.56</v>
      </c>
      <c r="K7314" t="s">
        <v>17</v>
      </c>
      <c r="L7314" t="b">
        <v>0</v>
      </c>
      <c r="N7314" s="2" t="b">
        <f t="shared" si="657"/>
        <v>1</v>
      </c>
      <c r="O7314" t="str">
        <f t="shared" ref="O7314:O7315" si="658">IF(AND(E7303="HR",K7303="EXPENSE"),I7303&lt;J7303,"")</f>
        <v/>
      </c>
      <c r="Q7314" t="str">
        <f t="shared" si="654"/>
        <v/>
      </c>
    </row>
    <row r="7315" spans="1:17" hidden="1">
      <c r="A7315" t="s">
        <v>7420</v>
      </c>
      <c r="B7315" s="1">
        <v>45895</v>
      </c>
      <c r="C7315">
        <v>2025</v>
      </c>
      <c r="D7315">
        <v>8</v>
      </c>
      <c r="E7315" t="s">
        <v>47</v>
      </c>
      <c r="F7315" t="s">
        <v>28</v>
      </c>
      <c r="G7315" t="s">
        <v>51</v>
      </c>
      <c r="H7315" t="s">
        <v>189</v>
      </c>
      <c r="I7315">
        <v>9597.7900000000009</v>
      </c>
      <c r="J7315">
        <v>8292.91</v>
      </c>
      <c r="K7315" t="s">
        <v>17</v>
      </c>
      <c r="L7315" t="b">
        <v>0</v>
      </c>
      <c r="N7315" s="2" t="b">
        <f t="shared" si="657"/>
        <v>1</v>
      </c>
      <c r="O7315" t="str">
        <f t="shared" si="658"/>
        <v/>
      </c>
      <c r="Q7315" t="str">
        <f t="shared" si="654"/>
        <v/>
      </c>
    </row>
    <row r="7316" spans="1:17" hidden="1">
      <c r="A7316" t="s">
        <v>7421</v>
      </c>
      <c r="B7316" s="1">
        <v>45895</v>
      </c>
      <c r="C7316">
        <v>2025</v>
      </c>
      <c r="D7316">
        <v>8</v>
      </c>
      <c r="E7316" t="s">
        <v>19</v>
      </c>
      <c r="F7316" t="s">
        <v>14</v>
      </c>
      <c r="G7316" t="s">
        <v>132</v>
      </c>
      <c r="H7316" t="s">
        <v>171</v>
      </c>
      <c r="I7316">
        <v>6085.27</v>
      </c>
      <c r="J7316">
        <v>5978.08</v>
      </c>
      <c r="K7316" t="s">
        <v>17</v>
      </c>
      <c r="L7316" t="b">
        <v>0</v>
      </c>
      <c r="N7316" s="2" t="str">
        <f t="shared" si="657"/>
        <v/>
      </c>
      <c r="Q7316" t="str">
        <f t="shared" si="654"/>
        <v/>
      </c>
    </row>
    <row r="7317" spans="1:17" hidden="1">
      <c r="A7317" t="s">
        <v>7422</v>
      </c>
      <c r="B7317" s="1">
        <v>45895</v>
      </c>
      <c r="C7317">
        <v>2025</v>
      </c>
      <c r="D7317">
        <v>8</v>
      </c>
      <c r="E7317" t="s">
        <v>19</v>
      </c>
      <c r="F7317" t="s">
        <v>24</v>
      </c>
      <c r="G7317" t="s">
        <v>54</v>
      </c>
      <c r="H7317" t="s">
        <v>57</v>
      </c>
      <c r="I7317">
        <v>6838.03</v>
      </c>
      <c r="J7317">
        <v>6627.18</v>
      </c>
      <c r="K7317" t="s">
        <v>17</v>
      </c>
      <c r="L7317" t="b">
        <v>0</v>
      </c>
      <c r="N7317" s="2" t="str">
        <f t="shared" si="657"/>
        <v/>
      </c>
      <c r="Q7317" t="str">
        <f t="shared" si="654"/>
        <v/>
      </c>
    </row>
    <row r="7318" spans="1:17" hidden="1">
      <c r="A7318" t="s">
        <v>7423</v>
      </c>
      <c r="B7318" s="1">
        <v>45895</v>
      </c>
      <c r="C7318">
        <v>2025</v>
      </c>
      <c r="D7318">
        <v>8</v>
      </c>
      <c r="E7318" t="s">
        <v>37</v>
      </c>
      <c r="F7318" t="s">
        <v>14</v>
      </c>
      <c r="G7318" t="s">
        <v>98</v>
      </c>
      <c r="H7318" t="s">
        <v>185</v>
      </c>
      <c r="I7318">
        <v>3985.61</v>
      </c>
      <c r="J7318">
        <v>3912.92</v>
      </c>
      <c r="K7318" t="s">
        <v>17</v>
      </c>
      <c r="L7318" t="b">
        <v>0</v>
      </c>
      <c r="N7318" s="2" t="str">
        <f t="shared" si="657"/>
        <v/>
      </c>
      <c r="Q7318" t="str">
        <f t="shared" si="654"/>
        <v/>
      </c>
    </row>
    <row r="7319" spans="1:17" hidden="1">
      <c r="A7319" t="s">
        <v>7424</v>
      </c>
      <c r="B7319" s="1">
        <v>45895</v>
      </c>
      <c r="C7319">
        <v>2025</v>
      </c>
      <c r="D7319">
        <v>8</v>
      </c>
      <c r="E7319" t="s">
        <v>37</v>
      </c>
      <c r="F7319" t="s">
        <v>24</v>
      </c>
      <c r="G7319" t="s">
        <v>62</v>
      </c>
      <c r="H7319" t="s">
        <v>66</v>
      </c>
      <c r="I7319">
        <v>3338.01</v>
      </c>
      <c r="J7319">
        <v>3256.66</v>
      </c>
      <c r="K7319" t="s">
        <v>17</v>
      </c>
      <c r="L7319" t="b">
        <v>0</v>
      </c>
      <c r="N7319" s="2" t="str">
        <f t="shared" si="657"/>
        <v/>
      </c>
      <c r="Q7319" t="str">
        <f t="shared" si="654"/>
        <v/>
      </c>
    </row>
    <row r="7320" spans="1:17" hidden="1">
      <c r="A7320" t="s">
        <v>7425</v>
      </c>
      <c r="B7320" s="1">
        <v>45895</v>
      </c>
      <c r="C7320">
        <v>2025</v>
      </c>
      <c r="D7320">
        <v>8</v>
      </c>
      <c r="E7320" t="s">
        <v>37</v>
      </c>
      <c r="F7320" t="s">
        <v>24</v>
      </c>
      <c r="G7320" t="s">
        <v>83</v>
      </c>
      <c r="H7320" t="s">
        <v>84</v>
      </c>
      <c r="I7320">
        <v>115349.38</v>
      </c>
      <c r="J7320">
        <v>109581.91</v>
      </c>
      <c r="K7320" t="s">
        <v>85</v>
      </c>
      <c r="L7320" t="b">
        <v>0</v>
      </c>
      <c r="N7320" s="2" t="str">
        <f t="shared" si="657"/>
        <v/>
      </c>
      <c r="Q7320" t="str">
        <f t="shared" si="654"/>
        <v/>
      </c>
    </row>
    <row r="7321" spans="1:17" hidden="1">
      <c r="A7321" t="s">
        <v>7426</v>
      </c>
      <c r="B7321" s="1">
        <v>45896</v>
      </c>
      <c r="C7321">
        <v>2025</v>
      </c>
      <c r="D7321">
        <v>8</v>
      </c>
      <c r="E7321" t="s">
        <v>13</v>
      </c>
      <c r="F7321" t="s">
        <v>14</v>
      </c>
      <c r="G7321" t="s">
        <v>108</v>
      </c>
      <c r="H7321" t="s">
        <v>123</v>
      </c>
      <c r="I7321">
        <v>3724.11</v>
      </c>
      <c r="J7321">
        <v>3483.7</v>
      </c>
      <c r="K7321" t="s">
        <v>17</v>
      </c>
      <c r="L7321" t="b">
        <v>0</v>
      </c>
      <c r="N7321" s="2" t="str">
        <f t="shared" si="657"/>
        <v/>
      </c>
      <c r="Q7321" t="str">
        <f t="shared" si="654"/>
        <v/>
      </c>
    </row>
    <row r="7322" spans="1:17" hidden="1">
      <c r="A7322" t="s">
        <v>7427</v>
      </c>
      <c r="B7322" s="1">
        <v>45896</v>
      </c>
      <c r="C7322">
        <v>2025</v>
      </c>
      <c r="D7322">
        <v>8</v>
      </c>
      <c r="E7322" t="s">
        <v>47</v>
      </c>
      <c r="F7322" t="s">
        <v>14</v>
      </c>
      <c r="G7322" t="s">
        <v>77</v>
      </c>
      <c r="H7322" t="s">
        <v>147</v>
      </c>
      <c r="I7322">
        <v>14016.06</v>
      </c>
      <c r="J7322">
        <v>11846.85</v>
      </c>
      <c r="K7322" t="s">
        <v>17</v>
      </c>
      <c r="L7322" t="b">
        <v>0</v>
      </c>
      <c r="N7322" s="2" t="b">
        <f t="shared" si="657"/>
        <v>1</v>
      </c>
      <c r="O7322" t="str">
        <f t="shared" ref="O7322:O7323" si="659">IF(AND(E7311="HR",K7311="EXPENSE"),I7311&lt;J7311,"")</f>
        <v/>
      </c>
      <c r="Q7322" t="str">
        <f t="shared" si="654"/>
        <v/>
      </c>
    </row>
    <row r="7323" spans="1:17" hidden="1">
      <c r="A7323" t="s">
        <v>7428</v>
      </c>
      <c r="B7323" s="1">
        <v>45896</v>
      </c>
      <c r="C7323">
        <v>2025</v>
      </c>
      <c r="D7323">
        <v>8</v>
      </c>
      <c r="E7323" t="s">
        <v>47</v>
      </c>
      <c r="F7323" t="s">
        <v>24</v>
      </c>
      <c r="G7323" t="s">
        <v>48</v>
      </c>
      <c r="H7323" t="s">
        <v>49</v>
      </c>
      <c r="I7323">
        <v>15931.5</v>
      </c>
      <c r="J7323">
        <v>13300.85</v>
      </c>
      <c r="K7323" t="s">
        <v>17</v>
      </c>
      <c r="L7323" t="b">
        <v>0</v>
      </c>
      <c r="N7323" s="2" t="b">
        <f t="shared" si="657"/>
        <v>1</v>
      </c>
      <c r="O7323" t="str">
        <f t="shared" si="659"/>
        <v/>
      </c>
      <c r="Q7323" t="str">
        <f t="shared" si="654"/>
        <v/>
      </c>
    </row>
    <row r="7324" spans="1:17" hidden="1">
      <c r="A7324" t="s">
        <v>7429</v>
      </c>
      <c r="B7324" s="1">
        <v>45896</v>
      </c>
      <c r="C7324">
        <v>2025</v>
      </c>
      <c r="D7324">
        <v>8</v>
      </c>
      <c r="E7324" t="s">
        <v>19</v>
      </c>
      <c r="F7324" t="s">
        <v>28</v>
      </c>
      <c r="G7324" t="s">
        <v>54</v>
      </c>
      <c r="H7324" t="s">
        <v>57</v>
      </c>
      <c r="I7324">
        <v>5021.87</v>
      </c>
      <c r="J7324">
        <v>5023.37</v>
      </c>
      <c r="K7324" t="s">
        <v>17</v>
      </c>
      <c r="L7324" t="b">
        <v>0</v>
      </c>
      <c r="N7324" s="2" t="str">
        <f t="shared" si="657"/>
        <v/>
      </c>
      <c r="Q7324" t="str">
        <f t="shared" si="654"/>
        <v/>
      </c>
    </row>
    <row r="7325" spans="1:17" hidden="1">
      <c r="A7325" t="s">
        <v>7430</v>
      </c>
      <c r="B7325" s="1">
        <v>45896</v>
      </c>
      <c r="C7325">
        <v>2025</v>
      </c>
      <c r="D7325">
        <v>8</v>
      </c>
      <c r="E7325" t="s">
        <v>19</v>
      </c>
      <c r="F7325" t="s">
        <v>28</v>
      </c>
      <c r="G7325" t="s">
        <v>80</v>
      </c>
      <c r="H7325" t="s">
        <v>113</v>
      </c>
      <c r="I7325">
        <v>9591.7099999999991</v>
      </c>
      <c r="J7325">
        <v>9164.57</v>
      </c>
      <c r="K7325" t="s">
        <v>17</v>
      </c>
      <c r="L7325" t="b">
        <v>0</v>
      </c>
      <c r="N7325" s="2" t="str">
        <f t="shared" si="657"/>
        <v/>
      </c>
      <c r="Q7325" t="str">
        <f t="shared" si="654"/>
        <v/>
      </c>
    </row>
    <row r="7326" spans="1:17" hidden="1">
      <c r="A7326" t="s">
        <v>7431</v>
      </c>
      <c r="B7326" s="1">
        <v>45896</v>
      </c>
      <c r="C7326">
        <v>2025</v>
      </c>
      <c r="D7326">
        <v>8</v>
      </c>
      <c r="E7326" t="s">
        <v>37</v>
      </c>
      <c r="F7326" t="s">
        <v>28</v>
      </c>
      <c r="G7326" t="s">
        <v>98</v>
      </c>
      <c r="H7326" t="s">
        <v>185</v>
      </c>
      <c r="I7326">
        <v>4898.63</v>
      </c>
      <c r="J7326">
        <v>4506.01</v>
      </c>
      <c r="K7326" t="s">
        <v>17</v>
      </c>
      <c r="L7326" t="b">
        <v>0</v>
      </c>
      <c r="N7326" s="2" t="str">
        <f t="shared" si="657"/>
        <v/>
      </c>
      <c r="Q7326" t="str">
        <f t="shared" si="654"/>
        <v/>
      </c>
    </row>
    <row r="7327" spans="1:17" hidden="1">
      <c r="A7327" t="s">
        <v>7432</v>
      </c>
      <c r="B7327" s="1">
        <v>45896</v>
      </c>
      <c r="C7327">
        <v>2025</v>
      </c>
      <c r="D7327">
        <v>8</v>
      </c>
      <c r="E7327" t="s">
        <v>37</v>
      </c>
      <c r="F7327" t="s">
        <v>28</v>
      </c>
      <c r="G7327" t="s">
        <v>38</v>
      </c>
      <c r="H7327" t="s">
        <v>118</v>
      </c>
      <c r="I7327">
        <v>6070.93</v>
      </c>
      <c r="J7327">
        <v>5725.4</v>
      </c>
      <c r="K7327" t="s">
        <v>17</v>
      </c>
      <c r="L7327" t="b">
        <v>0</v>
      </c>
      <c r="N7327" s="2" t="str">
        <f t="shared" si="657"/>
        <v/>
      </c>
      <c r="Q7327" t="str">
        <f t="shared" si="654"/>
        <v/>
      </c>
    </row>
    <row r="7328" spans="1:17" hidden="1">
      <c r="A7328" t="s">
        <v>7433</v>
      </c>
      <c r="B7328" s="1">
        <v>45896</v>
      </c>
      <c r="C7328">
        <v>2025</v>
      </c>
      <c r="D7328">
        <v>8</v>
      </c>
      <c r="E7328" t="s">
        <v>37</v>
      </c>
      <c r="F7328" t="s">
        <v>28</v>
      </c>
      <c r="G7328" t="s">
        <v>38</v>
      </c>
      <c r="H7328" t="s">
        <v>118</v>
      </c>
      <c r="I7328">
        <v>5061.71</v>
      </c>
      <c r="J7328">
        <v>5139.79</v>
      </c>
      <c r="K7328" t="s">
        <v>17</v>
      </c>
      <c r="L7328" t="b">
        <v>0</v>
      </c>
      <c r="N7328" s="2" t="str">
        <f t="shared" si="657"/>
        <v/>
      </c>
      <c r="Q7328" t="str">
        <f t="shared" si="654"/>
        <v/>
      </c>
    </row>
    <row r="7329" spans="1:17" hidden="1">
      <c r="A7329" t="s">
        <v>7434</v>
      </c>
      <c r="B7329" s="1">
        <v>45896</v>
      </c>
      <c r="C7329">
        <v>2025</v>
      </c>
      <c r="D7329">
        <v>8</v>
      </c>
      <c r="E7329" t="s">
        <v>37</v>
      </c>
      <c r="F7329" t="s">
        <v>24</v>
      </c>
      <c r="G7329" t="s">
        <v>41</v>
      </c>
      <c r="H7329" t="s">
        <v>42</v>
      </c>
      <c r="I7329">
        <v>5014.47</v>
      </c>
      <c r="J7329">
        <v>4623.59</v>
      </c>
      <c r="K7329" t="s">
        <v>17</v>
      </c>
      <c r="L7329" t="b">
        <v>0</v>
      </c>
      <c r="N7329" s="2" t="str">
        <f t="shared" si="657"/>
        <v/>
      </c>
      <c r="Q7329" t="str">
        <f t="shared" si="654"/>
        <v/>
      </c>
    </row>
    <row r="7330" spans="1:17" hidden="1">
      <c r="A7330" t="s">
        <v>7435</v>
      </c>
      <c r="B7330" s="1">
        <v>45897</v>
      </c>
      <c r="C7330">
        <v>2025</v>
      </c>
      <c r="D7330">
        <v>8</v>
      </c>
      <c r="E7330" t="s">
        <v>13</v>
      </c>
      <c r="F7330" t="s">
        <v>28</v>
      </c>
      <c r="G7330" t="s">
        <v>15</v>
      </c>
      <c r="H7330" t="s">
        <v>16</v>
      </c>
      <c r="I7330">
        <v>2226.96</v>
      </c>
      <c r="J7330">
        <v>2238.36</v>
      </c>
      <c r="K7330" t="s">
        <v>17</v>
      </c>
      <c r="L7330" t="b">
        <v>0</v>
      </c>
      <c r="N7330" s="2" t="str">
        <f t="shared" si="657"/>
        <v/>
      </c>
      <c r="Q7330" t="str">
        <f t="shared" si="654"/>
        <v/>
      </c>
    </row>
    <row r="7331" spans="1:17" hidden="1">
      <c r="A7331" t="s">
        <v>7436</v>
      </c>
      <c r="B7331" s="1">
        <v>45897</v>
      </c>
      <c r="C7331">
        <v>2025</v>
      </c>
      <c r="D7331">
        <v>8</v>
      </c>
      <c r="E7331" t="s">
        <v>13</v>
      </c>
      <c r="F7331" t="s">
        <v>28</v>
      </c>
      <c r="G7331" t="s">
        <v>108</v>
      </c>
      <c r="H7331" t="s">
        <v>123</v>
      </c>
      <c r="I7331">
        <v>3383.53</v>
      </c>
      <c r="J7331">
        <v>3718.27</v>
      </c>
      <c r="K7331" t="s">
        <v>17</v>
      </c>
      <c r="L7331" t="b">
        <v>0</v>
      </c>
      <c r="N7331" s="2" t="str">
        <f t="shared" si="657"/>
        <v/>
      </c>
      <c r="Q7331" t="str">
        <f t="shared" si="654"/>
        <v/>
      </c>
    </row>
    <row r="7332" spans="1:17" hidden="1">
      <c r="A7332" t="s">
        <v>7437</v>
      </c>
      <c r="B7332" s="1">
        <v>45897</v>
      </c>
      <c r="C7332">
        <v>2025</v>
      </c>
      <c r="D7332">
        <v>8</v>
      </c>
      <c r="E7332" t="s">
        <v>47</v>
      </c>
      <c r="F7332" t="s">
        <v>14</v>
      </c>
      <c r="G7332" t="s">
        <v>51</v>
      </c>
      <c r="H7332" t="s">
        <v>52</v>
      </c>
      <c r="I7332">
        <v>7945.23</v>
      </c>
      <c r="J7332">
        <v>6860.92</v>
      </c>
      <c r="K7332" t="s">
        <v>17</v>
      </c>
      <c r="L7332" t="b">
        <v>0</v>
      </c>
      <c r="N7332" s="2" t="b">
        <f t="shared" si="657"/>
        <v>1</v>
      </c>
      <c r="O7332" t="b">
        <f t="shared" ref="O7332:O7333" si="660">IF(AND(E7321="HR",K7321="EXPENSE"),I7321&lt;J7321,"")</f>
        <v>0</v>
      </c>
      <c r="Q7332" t="str">
        <f t="shared" si="654"/>
        <v/>
      </c>
    </row>
    <row r="7333" spans="1:17" hidden="1">
      <c r="A7333" t="s">
        <v>7438</v>
      </c>
      <c r="B7333" s="1">
        <v>45897</v>
      </c>
      <c r="C7333">
        <v>2025</v>
      </c>
      <c r="D7333">
        <v>8</v>
      </c>
      <c r="E7333" t="s">
        <v>47</v>
      </c>
      <c r="F7333" t="s">
        <v>24</v>
      </c>
      <c r="G7333" t="s">
        <v>51</v>
      </c>
      <c r="H7333" t="s">
        <v>72</v>
      </c>
      <c r="I7333">
        <v>15176.25</v>
      </c>
      <c r="J7333">
        <v>12833.43</v>
      </c>
      <c r="K7333" t="s">
        <v>17</v>
      </c>
      <c r="L7333" t="b">
        <v>0</v>
      </c>
      <c r="N7333" s="2" t="b">
        <f t="shared" si="657"/>
        <v>1</v>
      </c>
      <c r="O7333" t="str">
        <f t="shared" si="660"/>
        <v/>
      </c>
      <c r="Q7333" t="str">
        <f t="shared" si="654"/>
        <v/>
      </c>
    </row>
    <row r="7334" spans="1:17" hidden="1">
      <c r="A7334" t="s">
        <v>7439</v>
      </c>
      <c r="B7334" s="1">
        <v>45897</v>
      </c>
      <c r="C7334">
        <v>2025</v>
      </c>
      <c r="D7334">
        <v>8</v>
      </c>
      <c r="E7334" t="s">
        <v>23</v>
      </c>
      <c r="F7334" t="s">
        <v>14</v>
      </c>
      <c r="G7334" t="s">
        <v>59</v>
      </c>
      <c r="H7334" t="s">
        <v>60</v>
      </c>
      <c r="I7334">
        <v>5359.12</v>
      </c>
      <c r="J7334">
        <v>4917.6899999999996</v>
      </c>
      <c r="K7334" t="s">
        <v>17</v>
      </c>
      <c r="L7334" t="b">
        <v>0</v>
      </c>
      <c r="N7334" s="2" t="str">
        <f t="shared" si="657"/>
        <v/>
      </c>
      <c r="Q7334" t="str">
        <f t="shared" si="654"/>
        <v/>
      </c>
    </row>
    <row r="7335" spans="1:17" hidden="1">
      <c r="A7335" t="s">
        <v>7440</v>
      </c>
      <c r="B7335" s="1">
        <v>45897</v>
      </c>
      <c r="C7335">
        <v>2025</v>
      </c>
      <c r="D7335">
        <v>8</v>
      </c>
      <c r="E7335" t="s">
        <v>23</v>
      </c>
      <c r="F7335" t="s">
        <v>28</v>
      </c>
      <c r="G7335" t="s">
        <v>59</v>
      </c>
      <c r="H7335" t="s">
        <v>155</v>
      </c>
      <c r="I7335">
        <v>8934.2199999999993</v>
      </c>
      <c r="J7335">
        <v>9367.66</v>
      </c>
      <c r="K7335" t="s">
        <v>17</v>
      </c>
      <c r="L7335" t="b">
        <v>0</v>
      </c>
      <c r="N7335" s="2" t="str">
        <f t="shared" si="657"/>
        <v/>
      </c>
      <c r="Q7335" t="str">
        <f t="shared" si="654"/>
        <v/>
      </c>
    </row>
    <row r="7336" spans="1:17" hidden="1">
      <c r="A7336" t="s">
        <v>7441</v>
      </c>
      <c r="B7336" s="1">
        <v>45897</v>
      </c>
      <c r="C7336">
        <v>2025</v>
      </c>
      <c r="D7336">
        <v>8</v>
      </c>
      <c r="E7336" t="s">
        <v>37</v>
      </c>
      <c r="F7336" t="s">
        <v>14</v>
      </c>
      <c r="G7336" t="s">
        <v>38</v>
      </c>
      <c r="H7336" t="s">
        <v>118</v>
      </c>
      <c r="I7336">
        <v>3564.55</v>
      </c>
      <c r="J7336">
        <v>3867.79</v>
      </c>
      <c r="K7336" t="s">
        <v>17</v>
      </c>
      <c r="L7336" t="b">
        <v>0</v>
      </c>
      <c r="N7336" s="2" t="str">
        <f t="shared" si="657"/>
        <v/>
      </c>
      <c r="Q7336" t="str">
        <f t="shared" si="654"/>
        <v/>
      </c>
    </row>
    <row r="7337" spans="1:17" hidden="1">
      <c r="A7337" t="s">
        <v>7442</v>
      </c>
      <c r="B7337" s="1">
        <v>45897</v>
      </c>
      <c r="C7337">
        <v>2025</v>
      </c>
      <c r="D7337">
        <v>8</v>
      </c>
      <c r="E7337" t="s">
        <v>37</v>
      </c>
      <c r="F7337" t="s">
        <v>28</v>
      </c>
      <c r="G7337" t="s">
        <v>98</v>
      </c>
      <c r="H7337" t="s">
        <v>185</v>
      </c>
      <c r="I7337">
        <v>5012.6400000000003</v>
      </c>
      <c r="J7337">
        <v>5305.87</v>
      </c>
      <c r="K7337" t="s">
        <v>17</v>
      </c>
      <c r="L7337" t="b">
        <v>0</v>
      </c>
      <c r="N7337" s="2" t="str">
        <f t="shared" si="657"/>
        <v/>
      </c>
      <c r="Q7337" t="str">
        <f t="shared" si="654"/>
        <v/>
      </c>
    </row>
    <row r="7338" spans="1:17" hidden="1">
      <c r="A7338" t="s">
        <v>7443</v>
      </c>
      <c r="B7338" s="1">
        <v>45897</v>
      </c>
      <c r="C7338">
        <v>2025</v>
      </c>
      <c r="D7338">
        <v>8</v>
      </c>
      <c r="E7338" t="s">
        <v>37</v>
      </c>
      <c r="F7338" t="s">
        <v>28</v>
      </c>
      <c r="G7338" t="s">
        <v>98</v>
      </c>
      <c r="H7338" t="s">
        <v>185</v>
      </c>
      <c r="I7338">
        <v>4234.33</v>
      </c>
      <c r="J7338">
        <v>3999.23</v>
      </c>
      <c r="K7338" t="s">
        <v>17</v>
      </c>
      <c r="L7338" t="b">
        <v>0</v>
      </c>
      <c r="N7338" s="2" t="str">
        <f t="shared" si="657"/>
        <v/>
      </c>
      <c r="Q7338" t="str">
        <f t="shared" si="654"/>
        <v/>
      </c>
    </row>
    <row r="7339" spans="1:17" hidden="1">
      <c r="A7339" t="s">
        <v>7444</v>
      </c>
      <c r="B7339" s="1">
        <v>45898</v>
      </c>
      <c r="C7339">
        <v>2025</v>
      </c>
      <c r="D7339">
        <v>8</v>
      </c>
      <c r="E7339" t="s">
        <v>13</v>
      </c>
      <c r="F7339" t="s">
        <v>14</v>
      </c>
      <c r="G7339" t="s">
        <v>102</v>
      </c>
      <c r="H7339" t="s">
        <v>145</v>
      </c>
      <c r="I7339">
        <v>2864.68</v>
      </c>
      <c r="J7339">
        <v>3000.62</v>
      </c>
      <c r="K7339" t="s">
        <v>17</v>
      </c>
      <c r="L7339" t="b">
        <v>0</v>
      </c>
      <c r="N7339" s="2" t="str">
        <f t="shared" si="657"/>
        <v/>
      </c>
      <c r="Q7339" t="str">
        <f t="shared" si="654"/>
        <v/>
      </c>
    </row>
    <row r="7340" spans="1:17" hidden="1">
      <c r="A7340" t="s">
        <v>7445</v>
      </c>
      <c r="B7340" s="1">
        <v>45898</v>
      </c>
      <c r="C7340">
        <v>2025</v>
      </c>
      <c r="D7340">
        <v>8</v>
      </c>
      <c r="E7340" t="s">
        <v>13</v>
      </c>
      <c r="F7340" t="s">
        <v>28</v>
      </c>
      <c r="G7340" t="s">
        <v>68</v>
      </c>
      <c r="H7340" t="s">
        <v>69</v>
      </c>
      <c r="I7340">
        <v>2073.66</v>
      </c>
      <c r="J7340">
        <v>2016.33</v>
      </c>
      <c r="K7340" t="s">
        <v>17</v>
      </c>
      <c r="L7340" t="b">
        <v>0</v>
      </c>
      <c r="N7340" s="2" t="str">
        <f t="shared" si="657"/>
        <v/>
      </c>
      <c r="Q7340" t="str">
        <f t="shared" si="654"/>
        <v/>
      </c>
    </row>
    <row r="7341" spans="1:17" hidden="1">
      <c r="A7341" t="s">
        <v>7446</v>
      </c>
      <c r="B7341" s="1">
        <v>45898</v>
      </c>
      <c r="C7341">
        <v>2025</v>
      </c>
      <c r="D7341">
        <v>8</v>
      </c>
      <c r="E7341" t="s">
        <v>47</v>
      </c>
      <c r="F7341" t="s">
        <v>14</v>
      </c>
      <c r="G7341" t="s">
        <v>51</v>
      </c>
      <c r="H7341" t="s">
        <v>72</v>
      </c>
      <c r="I7341">
        <v>10810.78</v>
      </c>
      <c r="J7341">
        <v>9028.4500000000007</v>
      </c>
      <c r="K7341" t="s">
        <v>17</v>
      </c>
      <c r="L7341" t="b">
        <v>0</v>
      </c>
      <c r="N7341" s="2" t="b">
        <f t="shared" si="657"/>
        <v>1</v>
      </c>
      <c r="O7341" t="b">
        <f t="shared" ref="O7341:O7342" si="661">IF(AND(E7330="HR",K7330="EXPENSE"),I7330&lt;J7330,"")</f>
        <v>1</v>
      </c>
      <c r="Q7341" t="str">
        <f t="shared" si="654"/>
        <v/>
      </c>
    </row>
    <row r="7342" spans="1:17" hidden="1">
      <c r="A7342" t="s">
        <v>7447</v>
      </c>
      <c r="B7342" s="1">
        <v>45898</v>
      </c>
      <c r="C7342">
        <v>2025</v>
      </c>
      <c r="D7342">
        <v>8</v>
      </c>
      <c r="E7342" t="s">
        <v>47</v>
      </c>
      <c r="F7342" t="s">
        <v>24</v>
      </c>
      <c r="G7342" t="s">
        <v>51</v>
      </c>
      <c r="H7342" t="s">
        <v>189</v>
      </c>
      <c r="I7342">
        <v>21721.43</v>
      </c>
      <c r="J7342">
        <v>18855.330000000002</v>
      </c>
      <c r="K7342" t="s">
        <v>17</v>
      </c>
      <c r="L7342" t="b">
        <v>0</v>
      </c>
      <c r="N7342" s="2" t="b">
        <f t="shared" si="657"/>
        <v>1</v>
      </c>
      <c r="O7342" t="b">
        <f t="shared" si="661"/>
        <v>1</v>
      </c>
      <c r="Q7342" t="str">
        <f t="shared" si="654"/>
        <v/>
      </c>
    </row>
    <row r="7343" spans="1:17" hidden="1">
      <c r="A7343" t="s">
        <v>7448</v>
      </c>
      <c r="B7343" s="1">
        <v>45898</v>
      </c>
      <c r="C7343">
        <v>2025</v>
      </c>
      <c r="D7343">
        <v>8</v>
      </c>
      <c r="E7343" t="s">
        <v>23</v>
      </c>
      <c r="F7343" t="s">
        <v>14</v>
      </c>
      <c r="G7343" t="s">
        <v>141</v>
      </c>
      <c r="H7343" t="s">
        <v>209</v>
      </c>
      <c r="I7343">
        <v>4782.05</v>
      </c>
      <c r="J7343">
        <v>5089.62</v>
      </c>
      <c r="K7343" t="s">
        <v>17</v>
      </c>
      <c r="L7343" t="b">
        <v>0</v>
      </c>
      <c r="N7343" s="2" t="str">
        <f t="shared" si="657"/>
        <v/>
      </c>
      <c r="Q7343" t="str">
        <f t="shared" si="654"/>
        <v/>
      </c>
    </row>
    <row r="7344" spans="1:17" hidden="1">
      <c r="A7344" t="s">
        <v>7449</v>
      </c>
      <c r="B7344" s="1">
        <v>45898</v>
      </c>
      <c r="C7344">
        <v>2025</v>
      </c>
      <c r="D7344">
        <v>8</v>
      </c>
      <c r="E7344" t="s">
        <v>23</v>
      </c>
      <c r="F7344" t="s">
        <v>14</v>
      </c>
      <c r="G7344" t="s">
        <v>141</v>
      </c>
      <c r="H7344" t="s">
        <v>142</v>
      </c>
      <c r="I7344">
        <v>5601.43</v>
      </c>
      <c r="J7344">
        <v>5402.98</v>
      </c>
      <c r="K7344" t="s">
        <v>17</v>
      </c>
      <c r="L7344" t="b">
        <v>0</v>
      </c>
      <c r="N7344" s="2" t="str">
        <f t="shared" si="657"/>
        <v/>
      </c>
      <c r="Q7344" t="str">
        <f t="shared" ref="Q7344:Q7407" si="662">IF(L7344=TRUE,OR(H7344="Apex Solutions Inc",H7344="Global Trade Partners",H7344="NovaTech Services"),"")</f>
        <v/>
      </c>
    </row>
    <row r="7345" spans="1:17" hidden="1">
      <c r="A7345" t="s">
        <v>7450</v>
      </c>
      <c r="B7345" s="1">
        <v>45898</v>
      </c>
      <c r="C7345">
        <v>2025</v>
      </c>
      <c r="D7345">
        <v>8</v>
      </c>
      <c r="E7345" t="s">
        <v>37</v>
      </c>
      <c r="F7345" t="s">
        <v>24</v>
      </c>
      <c r="G7345" t="s">
        <v>98</v>
      </c>
      <c r="H7345" t="s">
        <v>99</v>
      </c>
      <c r="I7345">
        <v>6620.97</v>
      </c>
      <c r="J7345">
        <v>6673.11</v>
      </c>
      <c r="K7345" t="s">
        <v>17</v>
      </c>
      <c r="L7345" t="b">
        <v>0</v>
      </c>
      <c r="N7345" s="2" t="str">
        <f t="shared" si="657"/>
        <v/>
      </c>
      <c r="Q7345" t="str">
        <f t="shared" si="662"/>
        <v/>
      </c>
    </row>
    <row r="7346" spans="1:17" hidden="1">
      <c r="A7346" t="s">
        <v>7451</v>
      </c>
      <c r="B7346" s="1">
        <v>45898</v>
      </c>
      <c r="C7346">
        <v>2025</v>
      </c>
      <c r="D7346">
        <v>8</v>
      </c>
      <c r="E7346" t="s">
        <v>37</v>
      </c>
      <c r="F7346" t="s">
        <v>24</v>
      </c>
      <c r="G7346" t="s">
        <v>98</v>
      </c>
      <c r="H7346" t="s">
        <v>99</v>
      </c>
      <c r="I7346">
        <v>5366.65</v>
      </c>
      <c r="J7346">
        <v>4965.16</v>
      </c>
      <c r="K7346" t="s">
        <v>17</v>
      </c>
      <c r="L7346" t="b">
        <v>0</v>
      </c>
      <c r="N7346" s="2" t="str">
        <f t="shared" si="657"/>
        <v/>
      </c>
      <c r="Q7346" t="str">
        <f t="shared" si="662"/>
        <v/>
      </c>
    </row>
    <row r="7347" spans="1:17" hidden="1">
      <c r="A7347" t="s">
        <v>7452</v>
      </c>
      <c r="B7347" s="1">
        <v>45899</v>
      </c>
      <c r="C7347">
        <v>2025</v>
      </c>
      <c r="D7347">
        <v>8</v>
      </c>
      <c r="E7347" t="s">
        <v>13</v>
      </c>
      <c r="F7347" t="s">
        <v>24</v>
      </c>
      <c r="G7347" t="s">
        <v>68</v>
      </c>
      <c r="H7347" t="s">
        <v>213</v>
      </c>
      <c r="I7347">
        <v>2710.34</v>
      </c>
      <c r="J7347">
        <v>2463.7600000000002</v>
      </c>
      <c r="K7347" t="s">
        <v>17</v>
      </c>
      <c r="L7347" t="b">
        <v>0</v>
      </c>
      <c r="N7347" s="2" t="str">
        <f t="shared" si="657"/>
        <v/>
      </c>
      <c r="Q7347" t="str">
        <f t="shared" si="662"/>
        <v/>
      </c>
    </row>
    <row r="7348" spans="1:17" hidden="1">
      <c r="A7348" t="s">
        <v>7453</v>
      </c>
      <c r="B7348" s="1">
        <v>45899</v>
      </c>
      <c r="C7348">
        <v>2025</v>
      </c>
      <c r="D7348">
        <v>8</v>
      </c>
      <c r="E7348" t="s">
        <v>13</v>
      </c>
      <c r="F7348" t="s">
        <v>24</v>
      </c>
      <c r="G7348" t="s">
        <v>102</v>
      </c>
      <c r="H7348" t="s">
        <v>145</v>
      </c>
      <c r="I7348">
        <v>4757.42</v>
      </c>
      <c r="J7348">
        <v>5113.32</v>
      </c>
      <c r="K7348" t="s">
        <v>17</v>
      </c>
      <c r="L7348" t="b">
        <v>0</v>
      </c>
      <c r="N7348" s="2" t="str">
        <f t="shared" si="657"/>
        <v/>
      </c>
      <c r="Q7348" t="str">
        <f t="shared" si="662"/>
        <v/>
      </c>
    </row>
    <row r="7349" spans="1:17" hidden="1">
      <c r="A7349" t="s">
        <v>7454</v>
      </c>
      <c r="B7349" s="1">
        <v>45899</v>
      </c>
      <c r="C7349">
        <v>2025</v>
      </c>
      <c r="D7349">
        <v>8</v>
      </c>
      <c r="E7349" t="s">
        <v>23</v>
      </c>
      <c r="F7349" t="s">
        <v>14</v>
      </c>
      <c r="G7349" t="s">
        <v>30</v>
      </c>
      <c r="H7349" t="s">
        <v>106</v>
      </c>
      <c r="I7349">
        <v>6334.82</v>
      </c>
      <c r="J7349">
        <v>6182.67</v>
      </c>
      <c r="K7349" t="s">
        <v>17</v>
      </c>
      <c r="L7349" t="b">
        <v>0</v>
      </c>
      <c r="N7349" s="2" t="str">
        <f t="shared" si="657"/>
        <v/>
      </c>
      <c r="Q7349" t="str">
        <f t="shared" si="662"/>
        <v/>
      </c>
    </row>
    <row r="7350" spans="1:17" hidden="1">
      <c r="A7350" t="s">
        <v>7455</v>
      </c>
      <c r="B7350" s="1">
        <v>45899</v>
      </c>
      <c r="C7350">
        <v>2025</v>
      </c>
      <c r="D7350">
        <v>8</v>
      </c>
      <c r="E7350" t="s">
        <v>23</v>
      </c>
      <c r="F7350" t="s">
        <v>28</v>
      </c>
      <c r="G7350" t="s">
        <v>59</v>
      </c>
      <c r="H7350" t="s">
        <v>155</v>
      </c>
      <c r="I7350">
        <v>7393.88</v>
      </c>
      <c r="J7350">
        <v>6841.59</v>
      </c>
      <c r="K7350" t="s">
        <v>17</v>
      </c>
      <c r="L7350" t="b">
        <v>0</v>
      </c>
      <c r="N7350" s="2" t="str">
        <f t="shared" si="657"/>
        <v/>
      </c>
      <c r="Q7350" t="str">
        <f t="shared" si="662"/>
        <v/>
      </c>
    </row>
    <row r="7351" spans="1:17" hidden="1">
      <c r="A7351" t="s">
        <v>7456</v>
      </c>
      <c r="B7351" s="1">
        <v>45899</v>
      </c>
      <c r="C7351">
        <v>2025</v>
      </c>
      <c r="D7351">
        <v>8</v>
      </c>
      <c r="E7351" t="s">
        <v>23</v>
      </c>
      <c r="F7351" t="s">
        <v>24</v>
      </c>
      <c r="G7351" t="s">
        <v>59</v>
      </c>
      <c r="H7351" t="s">
        <v>155</v>
      </c>
      <c r="I7351">
        <v>4807.67</v>
      </c>
      <c r="J7351">
        <v>5169.59</v>
      </c>
      <c r="K7351" t="s">
        <v>17</v>
      </c>
      <c r="L7351" t="b">
        <v>0</v>
      </c>
      <c r="N7351" s="2" t="str">
        <f t="shared" si="657"/>
        <v/>
      </c>
      <c r="Q7351" t="str">
        <f t="shared" si="662"/>
        <v/>
      </c>
    </row>
    <row r="7352" spans="1:17" hidden="1">
      <c r="A7352" t="s">
        <v>7457</v>
      </c>
      <c r="B7352" s="1">
        <v>45899</v>
      </c>
      <c r="C7352">
        <v>2025</v>
      </c>
      <c r="D7352">
        <v>8</v>
      </c>
      <c r="E7352" t="s">
        <v>37</v>
      </c>
      <c r="F7352" t="s">
        <v>14</v>
      </c>
      <c r="G7352" t="s">
        <v>62</v>
      </c>
      <c r="H7352" t="s">
        <v>121</v>
      </c>
      <c r="I7352">
        <v>4061.79</v>
      </c>
      <c r="J7352">
        <v>3987.18</v>
      </c>
      <c r="K7352" t="s">
        <v>17</v>
      </c>
      <c r="L7352" t="b">
        <v>0</v>
      </c>
      <c r="N7352" s="2" t="str">
        <f t="shared" si="657"/>
        <v/>
      </c>
      <c r="Q7352" t="str">
        <f t="shared" si="662"/>
        <v/>
      </c>
    </row>
    <row r="7353" spans="1:17" hidden="1">
      <c r="A7353" t="s">
        <v>7458</v>
      </c>
      <c r="B7353" s="1">
        <v>45899</v>
      </c>
      <c r="C7353">
        <v>2025</v>
      </c>
      <c r="D7353">
        <v>8</v>
      </c>
      <c r="E7353" t="s">
        <v>37</v>
      </c>
      <c r="F7353" t="s">
        <v>28</v>
      </c>
      <c r="G7353" t="s">
        <v>38</v>
      </c>
      <c r="H7353" t="s">
        <v>118</v>
      </c>
      <c r="I7353">
        <v>5326.37</v>
      </c>
      <c r="J7353">
        <v>4908.6400000000003</v>
      </c>
      <c r="K7353" t="s">
        <v>17</v>
      </c>
      <c r="L7353" t="b">
        <v>0</v>
      </c>
      <c r="N7353" s="2" t="str">
        <f t="shared" si="657"/>
        <v/>
      </c>
      <c r="Q7353" t="str">
        <f t="shared" si="662"/>
        <v/>
      </c>
    </row>
    <row r="7354" spans="1:17" hidden="1">
      <c r="A7354" t="s">
        <v>7459</v>
      </c>
      <c r="B7354" s="1">
        <v>45899</v>
      </c>
      <c r="C7354">
        <v>2025</v>
      </c>
      <c r="D7354">
        <v>8</v>
      </c>
      <c r="E7354" t="s">
        <v>37</v>
      </c>
      <c r="F7354" t="s">
        <v>28</v>
      </c>
      <c r="G7354" t="s">
        <v>41</v>
      </c>
      <c r="H7354" t="s">
        <v>42</v>
      </c>
      <c r="I7354">
        <v>5388.18</v>
      </c>
      <c r="J7354">
        <v>5022.9799999999996</v>
      </c>
      <c r="K7354" t="s">
        <v>17</v>
      </c>
      <c r="L7354" t="b">
        <v>0</v>
      </c>
      <c r="N7354" s="2" t="str">
        <f t="shared" si="657"/>
        <v/>
      </c>
      <c r="Q7354" t="str">
        <f t="shared" si="662"/>
        <v/>
      </c>
    </row>
    <row r="7355" spans="1:17" hidden="1">
      <c r="A7355" t="s">
        <v>7460</v>
      </c>
      <c r="B7355" s="1">
        <v>45900</v>
      </c>
      <c r="C7355">
        <v>2025</v>
      </c>
      <c r="D7355">
        <v>8</v>
      </c>
      <c r="E7355" t="s">
        <v>13</v>
      </c>
      <c r="F7355" t="s">
        <v>14</v>
      </c>
      <c r="G7355" t="s">
        <v>108</v>
      </c>
      <c r="H7355" t="s">
        <v>126</v>
      </c>
      <c r="I7355">
        <v>1886.3</v>
      </c>
      <c r="J7355">
        <v>1705.81</v>
      </c>
      <c r="K7355" t="s">
        <v>17</v>
      </c>
      <c r="L7355" t="b">
        <v>0</v>
      </c>
      <c r="N7355" s="2" t="str">
        <f t="shared" si="657"/>
        <v/>
      </c>
      <c r="Q7355" t="str">
        <f t="shared" si="662"/>
        <v/>
      </c>
    </row>
    <row r="7356" spans="1:17" hidden="1">
      <c r="A7356" t="s">
        <v>7461</v>
      </c>
      <c r="B7356" s="1">
        <v>45900</v>
      </c>
      <c r="C7356">
        <v>2025</v>
      </c>
      <c r="D7356">
        <v>8</v>
      </c>
      <c r="E7356" t="s">
        <v>19</v>
      </c>
      <c r="F7356" t="s">
        <v>14</v>
      </c>
      <c r="G7356" t="s">
        <v>20</v>
      </c>
      <c r="H7356" t="s">
        <v>136</v>
      </c>
      <c r="I7356">
        <v>5755.91</v>
      </c>
      <c r="J7356">
        <v>6218.31</v>
      </c>
      <c r="K7356" t="s">
        <v>17</v>
      </c>
      <c r="L7356" t="b">
        <v>0</v>
      </c>
      <c r="N7356" s="2" t="str">
        <f t="shared" si="657"/>
        <v/>
      </c>
      <c r="Q7356" t="str">
        <f t="shared" si="662"/>
        <v/>
      </c>
    </row>
    <row r="7357" spans="1:17" hidden="1">
      <c r="A7357" t="s">
        <v>7462</v>
      </c>
      <c r="B7357" s="1">
        <v>45900</v>
      </c>
      <c r="C7357">
        <v>2025</v>
      </c>
      <c r="D7357">
        <v>8</v>
      </c>
      <c r="E7357" t="s">
        <v>19</v>
      </c>
      <c r="F7357" t="s">
        <v>28</v>
      </c>
      <c r="G7357" t="s">
        <v>132</v>
      </c>
      <c r="H7357" t="s">
        <v>133</v>
      </c>
      <c r="I7357">
        <v>5732.32</v>
      </c>
      <c r="J7357">
        <v>5569.49</v>
      </c>
      <c r="K7357" t="s">
        <v>17</v>
      </c>
      <c r="L7357" t="b">
        <v>0</v>
      </c>
      <c r="N7357" s="2" t="str">
        <f t="shared" si="657"/>
        <v/>
      </c>
      <c r="Q7357" t="str">
        <f t="shared" si="662"/>
        <v/>
      </c>
    </row>
    <row r="7358" spans="1:17" hidden="1">
      <c r="A7358" t="s">
        <v>7463</v>
      </c>
      <c r="B7358" s="1">
        <v>45900</v>
      </c>
      <c r="C7358">
        <v>2025</v>
      </c>
      <c r="D7358">
        <v>8</v>
      </c>
      <c r="E7358" t="s">
        <v>23</v>
      </c>
      <c r="F7358" t="s">
        <v>28</v>
      </c>
      <c r="G7358" t="s">
        <v>141</v>
      </c>
      <c r="H7358" t="s">
        <v>142</v>
      </c>
      <c r="I7358">
        <v>9234.69</v>
      </c>
      <c r="J7358">
        <v>9618.2199999999993</v>
      </c>
      <c r="K7358" t="s">
        <v>17</v>
      </c>
      <c r="L7358" t="b">
        <v>0</v>
      </c>
      <c r="N7358" s="2" t="str">
        <f t="shared" si="657"/>
        <v/>
      </c>
      <c r="Q7358" t="str">
        <f t="shared" si="662"/>
        <v/>
      </c>
    </row>
    <row r="7359" spans="1:17" hidden="1">
      <c r="A7359" t="s">
        <v>7464</v>
      </c>
      <c r="B7359" s="1">
        <v>45900</v>
      </c>
      <c r="C7359">
        <v>2025</v>
      </c>
      <c r="D7359">
        <v>8</v>
      </c>
      <c r="E7359" t="s">
        <v>23</v>
      </c>
      <c r="F7359" t="s">
        <v>28</v>
      </c>
      <c r="G7359" t="s">
        <v>59</v>
      </c>
      <c r="H7359" t="s">
        <v>155</v>
      </c>
      <c r="I7359">
        <v>9600.58</v>
      </c>
      <c r="J7359">
        <v>10050.11</v>
      </c>
      <c r="K7359" t="s">
        <v>17</v>
      </c>
      <c r="L7359" t="b">
        <v>0</v>
      </c>
      <c r="N7359" s="2" t="str">
        <f t="shared" si="657"/>
        <v/>
      </c>
      <c r="Q7359" t="str">
        <f t="shared" si="662"/>
        <v/>
      </c>
    </row>
    <row r="7360" spans="1:17" hidden="1">
      <c r="A7360" t="s">
        <v>7465</v>
      </c>
      <c r="B7360" s="1">
        <v>45900</v>
      </c>
      <c r="C7360">
        <v>2025</v>
      </c>
      <c r="D7360">
        <v>8</v>
      </c>
      <c r="E7360" t="s">
        <v>23</v>
      </c>
      <c r="F7360" t="s">
        <v>24</v>
      </c>
      <c r="G7360" t="s">
        <v>30</v>
      </c>
      <c r="H7360" t="s">
        <v>31</v>
      </c>
      <c r="I7360">
        <v>5567.81</v>
      </c>
      <c r="J7360">
        <v>5425.11</v>
      </c>
      <c r="K7360" t="s">
        <v>17</v>
      </c>
      <c r="L7360" t="b">
        <v>0</v>
      </c>
      <c r="N7360" s="2" t="str">
        <f t="shared" si="657"/>
        <v/>
      </c>
      <c r="Q7360" t="str">
        <f t="shared" si="662"/>
        <v/>
      </c>
    </row>
    <row r="7361" spans="1:17" hidden="1">
      <c r="A7361" t="s">
        <v>7466</v>
      </c>
      <c r="B7361" s="1">
        <v>45900</v>
      </c>
      <c r="C7361">
        <v>2025</v>
      </c>
      <c r="D7361">
        <v>8</v>
      </c>
      <c r="E7361" t="s">
        <v>23</v>
      </c>
      <c r="F7361" t="s">
        <v>24</v>
      </c>
      <c r="G7361" t="s">
        <v>59</v>
      </c>
      <c r="H7361" t="s">
        <v>155</v>
      </c>
      <c r="I7361">
        <v>5769.19</v>
      </c>
      <c r="J7361">
        <v>5528.95</v>
      </c>
      <c r="K7361" t="s">
        <v>17</v>
      </c>
      <c r="L7361" t="b">
        <v>0</v>
      </c>
      <c r="N7361" s="2" t="str">
        <f t="shared" si="657"/>
        <v/>
      </c>
      <c r="Q7361" t="str">
        <f t="shared" si="662"/>
        <v/>
      </c>
    </row>
    <row r="7362" spans="1:17" hidden="1">
      <c r="A7362" t="s">
        <v>7467</v>
      </c>
      <c r="B7362" s="1">
        <v>45900</v>
      </c>
      <c r="C7362">
        <v>2025</v>
      </c>
      <c r="D7362">
        <v>8</v>
      </c>
      <c r="E7362" t="s">
        <v>23</v>
      </c>
      <c r="F7362" t="s">
        <v>24</v>
      </c>
      <c r="G7362" t="s">
        <v>59</v>
      </c>
      <c r="H7362" t="s">
        <v>155</v>
      </c>
      <c r="I7362">
        <v>4922.71</v>
      </c>
      <c r="J7362">
        <v>4846.4399999999996</v>
      </c>
      <c r="K7362" t="s">
        <v>17</v>
      </c>
      <c r="L7362" t="b">
        <v>0</v>
      </c>
      <c r="N7362" s="2" t="str">
        <f t="shared" si="657"/>
        <v/>
      </c>
      <c r="Q7362" t="str">
        <f t="shared" si="662"/>
        <v/>
      </c>
    </row>
    <row r="7363" spans="1:17" hidden="1">
      <c r="A7363" t="s">
        <v>7468</v>
      </c>
      <c r="B7363" s="1">
        <v>45900</v>
      </c>
      <c r="C7363">
        <v>2025</v>
      </c>
      <c r="D7363">
        <v>8</v>
      </c>
      <c r="E7363" t="s">
        <v>37</v>
      </c>
      <c r="F7363" t="s">
        <v>28</v>
      </c>
      <c r="G7363" t="s">
        <v>62</v>
      </c>
      <c r="H7363" t="s">
        <v>66</v>
      </c>
      <c r="I7363">
        <v>5681.83</v>
      </c>
      <c r="J7363">
        <v>5804.64</v>
      </c>
      <c r="K7363" t="s">
        <v>17</v>
      </c>
      <c r="L7363" t="b">
        <v>0</v>
      </c>
      <c r="N7363" s="2" t="str">
        <f t="shared" ref="N7363:N7426" si="663">IF(AND(E7363="IT",K7363="EXPENSE"),I7363&gt;J7363,"")</f>
        <v/>
      </c>
      <c r="Q7363" t="str">
        <f t="shared" si="662"/>
        <v/>
      </c>
    </row>
    <row r="7364" spans="1:17" hidden="1">
      <c r="A7364" t="s">
        <v>7469</v>
      </c>
      <c r="B7364" s="1">
        <v>45901</v>
      </c>
      <c r="C7364">
        <v>2025</v>
      </c>
      <c r="D7364">
        <v>9</v>
      </c>
      <c r="E7364" t="s">
        <v>13</v>
      </c>
      <c r="F7364" t="s">
        <v>14</v>
      </c>
      <c r="G7364" t="s">
        <v>102</v>
      </c>
      <c r="H7364" t="s">
        <v>145</v>
      </c>
      <c r="I7364">
        <v>2619.02</v>
      </c>
      <c r="J7364">
        <v>2780.53</v>
      </c>
      <c r="K7364" t="s">
        <v>17</v>
      </c>
      <c r="L7364" t="b">
        <v>0</v>
      </c>
      <c r="N7364" s="2" t="str">
        <f t="shared" si="663"/>
        <v/>
      </c>
      <c r="Q7364" t="str">
        <f t="shared" si="662"/>
        <v/>
      </c>
    </row>
    <row r="7365" spans="1:17" hidden="1">
      <c r="A7365" t="s">
        <v>7470</v>
      </c>
      <c r="B7365" s="1">
        <v>45901</v>
      </c>
      <c r="C7365">
        <v>2025</v>
      </c>
      <c r="D7365">
        <v>9</v>
      </c>
      <c r="E7365" t="s">
        <v>13</v>
      </c>
      <c r="F7365" t="s">
        <v>28</v>
      </c>
      <c r="G7365" t="s">
        <v>68</v>
      </c>
      <c r="H7365" t="s">
        <v>213</v>
      </c>
      <c r="I7365">
        <v>1159.8699999999999</v>
      </c>
      <c r="J7365">
        <v>1250</v>
      </c>
      <c r="K7365" t="s">
        <v>17</v>
      </c>
      <c r="L7365" t="b">
        <v>0</v>
      </c>
      <c r="N7365" s="2" t="str">
        <f t="shared" si="663"/>
        <v/>
      </c>
      <c r="Q7365" t="str">
        <f t="shared" si="662"/>
        <v/>
      </c>
    </row>
    <row r="7366" spans="1:17" hidden="1">
      <c r="A7366" t="s">
        <v>7471</v>
      </c>
      <c r="B7366" s="1">
        <v>45901</v>
      </c>
      <c r="C7366">
        <v>2025</v>
      </c>
      <c r="D7366">
        <v>9</v>
      </c>
      <c r="E7366" t="s">
        <v>47</v>
      </c>
      <c r="F7366" t="s">
        <v>14</v>
      </c>
      <c r="G7366" t="s">
        <v>91</v>
      </c>
      <c r="H7366" t="s">
        <v>128</v>
      </c>
      <c r="I7366">
        <v>9183.83</v>
      </c>
      <c r="J7366">
        <v>7870.09</v>
      </c>
      <c r="K7366" t="s">
        <v>17</v>
      </c>
      <c r="L7366" t="b">
        <v>0</v>
      </c>
      <c r="N7366" s="2" t="b">
        <f t="shared" si="663"/>
        <v>1</v>
      </c>
      <c r="O7366" t="b">
        <f t="shared" ref="O7366:O7368" si="664">IF(AND(E7355="HR",K7355="EXPENSE"),I7355&lt;J7355,"")</f>
        <v>0</v>
      </c>
      <c r="Q7366" t="str">
        <f t="shared" si="662"/>
        <v/>
      </c>
    </row>
    <row r="7367" spans="1:17" hidden="1">
      <c r="A7367" t="s">
        <v>7472</v>
      </c>
      <c r="B7367" s="1">
        <v>45901</v>
      </c>
      <c r="C7367">
        <v>2025</v>
      </c>
      <c r="D7367">
        <v>9</v>
      </c>
      <c r="E7367" t="s">
        <v>47</v>
      </c>
      <c r="F7367" t="s">
        <v>28</v>
      </c>
      <c r="G7367" t="s">
        <v>48</v>
      </c>
      <c r="H7367" t="s">
        <v>49</v>
      </c>
      <c r="I7367">
        <v>10964.2</v>
      </c>
      <c r="J7367">
        <v>9315.5499999999993</v>
      </c>
      <c r="K7367" t="s">
        <v>17</v>
      </c>
      <c r="L7367" t="b">
        <v>0</v>
      </c>
      <c r="N7367" s="2" t="b">
        <f t="shared" si="663"/>
        <v>1</v>
      </c>
      <c r="O7367" t="str">
        <f t="shared" si="664"/>
        <v/>
      </c>
      <c r="Q7367" t="str">
        <f t="shared" si="662"/>
        <v/>
      </c>
    </row>
    <row r="7368" spans="1:17" hidden="1">
      <c r="A7368" t="s">
        <v>7473</v>
      </c>
      <c r="B7368" s="1">
        <v>45901</v>
      </c>
      <c r="C7368">
        <v>2025</v>
      </c>
      <c r="D7368">
        <v>9</v>
      </c>
      <c r="E7368" t="s">
        <v>47</v>
      </c>
      <c r="F7368" t="s">
        <v>28</v>
      </c>
      <c r="G7368" t="s">
        <v>91</v>
      </c>
      <c r="H7368" t="s">
        <v>128</v>
      </c>
      <c r="I7368">
        <v>18708.560000000001</v>
      </c>
      <c r="J7368">
        <v>16258.74</v>
      </c>
      <c r="K7368" t="s">
        <v>17</v>
      </c>
      <c r="L7368" t="b">
        <v>0</v>
      </c>
      <c r="N7368" s="2" t="b">
        <f t="shared" si="663"/>
        <v>1</v>
      </c>
      <c r="O7368" t="str">
        <f t="shared" si="664"/>
        <v/>
      </c>
      <c r="Q7368" t="str">
        <f t="shared" si="662"/>
        <v/>
      </c>
    </row>
    <row r="7369" spans="1:17" hidden="1">
      <c r="A7369" t="s">
        <v>7474</v>
      </c>
      <c r="B7369" s="1">
        <v>45901</v>
      </c>
      <c r="C7369">
        <v>2025</v>
      </c>
      <c r="D7369">
        <v>9</v>
      </c>
      <c r="E7369" t="s">
        <v>19</v>
      </c>
      <c r="F7369" t="s">
        <v>24</v>
      </c>
      <c r="G7369" t="s">
        <v>20</v>
      </c>
      <c r="H7369" t="s">
        <v>136</v>
      </c>
      <c r="I7369">
        <v>6754.78</v>
      </c>
      <c r="J7369">
        <v>6230.88</v>
      </c>
      <c r="K7369" t="s">
        <v>17</v>
      </c>
      <c r="L7369" t="b">
        <v>0</v>
      </c>
      <c r="N7369" s="2" t="str">
        <f t="shared" si="663"/>
        <v/>
      </c>
      <c r="Q7369" t="str">
        <f t="shared" si="662"/>
        <v/>
      </c>
    </row>
    <row r="7370" spans="1:17" hidden="1">
      <c r="A7370" t="s">
        <v>7475</v>
      </c>
      <c r="B7370" s="1">
        <v>45901</v>
      </c>
      <c r="C7370">
        <v>2025</v>
      </c>
      <c r="D7370">
        <v>9</v>
      </c>
      <c r="E7370" t="s">
        <v>23</v>
      </c>
      <c r="F7370" t="s">
        <v>28</v>
      </c>
      <c r="G7370" t="s">
        <v>25</v>
      </c>
      <c r="H7370" t="s">
        <v>95</v>
      </c>
      <c r="I7370">
        <v>4281.8599999999997</v>
      </c>
      <c r="J7370">
        <v>4387.93</v>
      </c>
      <c r="K7370" t="s">
        <v>17</v>
      </c>
      <c r="L7370" t="b">
        <v>0</v>
      </c>
      <c r="N7370" s="2" t="str">
        <f t="shared" si="663"/>
        <v/>
      </c>
      <c r="Q7370" t="str">
        <f t="shared" si="662"/>
        <v/>
      </c>
    </row>
    <row r="7371" spans="1:17" hidden="1">
      <c r="A7371" t="s">
        <v>7476</v>
      </c>
      <c r="B7371" s="1">
        <v>45901</v>
      </c>
      <c r="C7371">
        <v>2025</v>
      </c>
      <c r="D7371">
        <v>9</v>
      </c>
      <c r="E7371" t="s">
        <v>37</v>
      </c>
      <c r="F7371" t="s">
        <v>24</v>
      </c>
      <c r="G7371" t="s">
        <v>41</v>
      </c>
      <c r="H7371" t="s">
        <v>42</v>
      </c>
      <c r="I7371">
        <v>5686.47</v>
      </c>
      <c r="J7371">
        <v>5649.84</v>
      </c>
      <c r="K7371" t="s">
        <v>17</v>
      </c>
      <c r="L7371" t="b">
        <v>0</v>
      </c>
      <c r="N7371" s="2" t="str">
        <f t="shared" si="663"/>
        <v/>
      </c>
      <c r="Q7371" t="str">
        <f t="shared" si="662"/>
        <v/>
      </c>
    </row>
    <row r="7372" spans="1:17" hidden="1">
      <c r="A7372" t="s">
        <v>7477</v>
      </c>
      <c r="B7372" s="1">
        <v>45902</v>
      </c>
      <c r="C7372">
        <v>2025</v>
      </c>
      <c r="D7372">
        <v>9</v>
      </c>
      <c r="E7372" t="s">
        <v>13</v>
      </c>
      <c r="F7372" t="s">
        <v>14</v>
      </c>
      <c r="G7372" t="s">
        <v>68</v>
      </c>
      <c r="H7372" t="s">
        <v>87</v>
      </c>
      <c r="I7372">
        <v>3302.74</v>
      </c>
      <c r="J7372">
        <v>3314.97</v>
      </c>
      <c r="K7372" t="s">
        <v>17</v>
      </c>
      <c r="L7372" t="b">
        <v>0</v>
      </c>
      <c r="N7372" s="2" t="str">
        <f t="shared" si="663"/>
        <v/>
      </c>
      <c r="Q7372" t="str">
        <f t="shared" si="662"/>
        <v/>
      </c>
    </row>
    <row r="7373" spans="1:17" hidden="1">
      <c r="A7373" t="s">
        <v>7478</v>
      </c>
      <c r="B7373" s="1">
        <v>45902</v>
      </c>
      <c r="C7373">
        <v>2025</v>
      </c>
      <c r="D7373">
        <v>9</v>
      </c>
      <c r="E7373" t="s">
        <v>47</v>
      </c>
      <c r="F7373" t="s">
        <v>14</v>
      </c>
      <c r="G7373" t="s">
        <v>77</v>
      </c>
      <c r="H7373" t="s">
        <v>78</v>
      </c>
      <c r="I7373">
        <v>11979.98</v>
      </c>
      <c r="J7373">
        <v>9948.19</v>
      </c>
      <c r="K7373" t="s">
        <v>17</v>
      </c>
      <c r="L7373" t="b">
        <v>0</v>
      </c>
      <c r="N7373" s="2" t="b">
        <f t="shared" si="663"/>
        <v>1</v>
      </c>
      <c r="O7373" t="str">
        <f t="shared" ref="O7373:O7376" si="665">IF(AND(E7362="HR",K7362="EXPENSE"),I7362&lt;J7362,"")</f>
        <v/>
      </c>
      <c r="Q7373" t="str">
        <f t="shared" si="662"/>
        <v/>
      </c>
    </row>
    <row r="7374" spans="1:17" hidden="1">
      <c r="A7374" t="s">
        <v>7479</v>
      </c>
      <c r="B7374" s="1">
        <v>45902</v>
      </c>
      <c r="C7374">
        <v>2025</v>
      </c>
      <c r="D7374">
        <v>9</v>
      </c>
      <c r="E7374" t="s">
        <v>47</v>
      </c>
      <c r="F7374" t="s">
        <v>28</v>
      </c>
      <c r="G7374" t="s">
        <v>51</v>
      </c>
      <c r="H7374" t="s">
        <v>72</v>
      </c>
      <c r="I7374">
        <v>10906.83</v>
      </c>
      <c r="J7374">
        <v>9347.84</v>
      </c>
      <c r="K7374" t="s">
        <v>17</v>
      </c>
      <c r="L7374" t="b">
        <v>0</v>
      </c>
      <c r="N7374" s="2" t="b">
        <f t="shared" si="663"/>
        <v>1</v>
      </c>
      <c r="O7374" t="str">
        <f t="shared" si="665"/>
        <v/>
      </c>
      <c r="Q7374" t="str">
        <f t="shared" si="662"/>
        <v/>
      </c>
    </row>
    <row r="7375" spans="1:17" hidden="1">
      <c r="A7375" t="s">
        <v>7480</v>
      </c>
      <c r="B7375" s="1">
        <v>45902</v>
      </c>
      <c r="C7375">
        <v>2025</v>
      </c>
      <c r="D7375">
        <v>9</v>
      </c>
      <c r="E7375" t="s">
        <v>47</v>
      </c>
      <c r="F7375" t="s">
        <v>28</v>
      </c>
      <c r="G7375" t="s">
        <v>48</v>
      </c>
      <c r="H7375" t="s">
        <v>111</v>
      </c>
      <c r="I7375">
        <v>15239.26</v>
      </c>
      <c r="J7375">
        <v>12695.69</v>
      </c>
      <c r="K7375" t="s">
        <v>17</v>
      </c>
      <c r="L7375" t="b">
        <v>0</v>
      </c>
      <c r="N7375" s="2" t="b">
        <f t="shared" si="663"/>
        <v>1</v>
      </c>
      <c r="O7375" t="b">
        <f t="shared" si="665"/>
        <v>1</v>
      </c>
      <c r="Q7375" t="str">
        <f t="shared" si="662"/>
        <v/>
      </c>
    </row>
    <row r="7376" spans="1:17" hidden="1">
      <c r="A7376" t="s">
        <v>7481</v>
      </c>
      <c r="B7376" s="1">
        <v>45902</v>
      </c>
      <c r="C7376">
        <v>2025</v>
      </c>
      <c r="D7376">
        <v>9</v>
      </c>
      <c r="E7376" t="s">
        <v>47</v>
      </c>
      <c r="F7376" t="s">
        <v>28</v>
      </c>
      <c r="G7376" t="s">
        <v>77</v>
      </c>
      <c r="H7376" t="s">
        <v>78</v>
      </c>
      <c r="I7376">
        <v>14737.58</v>
      </c>
      <c r="J7376">
        <v>12608.62</v>
      </c>
      <c r="K7376" t="s">
        <v>17</v>
      </c>
      <c r="L7376" t="b">
        <v>0</v>
      </c>
      <c r="N7376" s="2" t="b">
        <f t="shared" si="663"/>
        <v>1</v>
      </c>
      <c r="O7376" t="b">
        <f t="shared" si="665"/>
        <v>1</v>
      </c>
      <c r="Q7376" t="str">
        <f t="shared" si="662"/>
        <v/>
      </c>
    </row>
    <row r="7377" spans="1:17" hidden="1">
      <c r="A7377" t="s">
        <v>7482</v>
      </c>
      <c r="B7377" s="1">
        <v>45902</v>
      </c>
      <c r="C7377">
        <v>2025</v>
      </c>
      <c r="D7377">
        <v>9</v>
      </c>
      <c r="E7377" t="s">
        <v>19</v>
      </c>
      <c r="F7377" t="s">
        <v>28</v>
      </c>
      <c r="G7377" t="s">
        <v>54</v>
      </c>
      <c r="H7377" t="s">
        <v>163</v>
      </c>
      <c r="I7377">
        <v>8752.16</v>
      </c>
      <c r="J7377">
        <v>8504.67</v>
      </c>
      <c r="K7377" t="s">
        <v>17</v>
      </c>
      <c r="L7377" t="b">
        <v>0</v>
      </c>
      <c r="N7377" s="2" t="str">
        <f t="shared" si="663"/>
        <v/>
      </c>
      <c r="Q7377" t="str">
        <f t="shared" si="662"/>
        <v/>
      </c>
    </row>
    <row r="7378" spans="1:17" hidden="1">
      <c r="A7378" t="s">
        <v>7483</v>
      </c>
      <c r="B7378" s="1">
        <v>45902</v>
      </c>
      <c r="C7378">
        <v>2025</v>
      </c>
      <c r="D7378">
        <v>9</v>
      </c>
      <c r="E7378" t="s">
        <v>19</v>
      </c>
      <c r="F7378" t="s">
        <v>24</v>
      </c>
      <c r="G7378" t="s">
        <v>20</v>
      </c>
      <c r="H7378" t="s">
        <v>174</v>
      </c>
      <c r="I7378">
        <v>5400.47</v>
      </c>
      <c r="J7378">
        <v>5059.1000000000004</v>
      </c>
      <c r="K7378" t="s">
        <v>17</v>
      </c>
      <c r="L7378" t="b">
        <v>0</v>
      </c>
      <c r="N7378" s="2" t="str">
        <f t="shared" si="663"/>
        <v/>
      </c>
      <c r="Q7378" t="str">
        <f t="shared" si="662"/>
        <v/>
      </c>
    </row>
    <row r="7379" spans="1:17" hidden="1">
      <c r="A7379" t="s">
        <v>7484</v>
      </c>
      <c r="B7379" s="1">
        <v>45902</v>
      </c>
      <c r="C7379">
        <v>2025</v>
      </c>
      <c r="D7379">
        <v>9</v>
      </c>
      <c r="E7379" t="s">
        <v>19</v>
      </c>
      <c r="F7379" t="s">
        <v>24</v>
      </c>
      <c r="G7379" t="s">
        <v>54</v>
      </c>
      <c r="H7379" t="s">
        <v>55</v>
      </c>
      <c r="I7379">
        <v>4594.95</v>
      </c>
      <c r="J7379">
        <v>4408.53</v>
      </c>
      <c r="K7379" t="s">
        <v>17</v>
      </c>
      <c r="L7379" t="b">
        <v>0</v>
      </c>
      <c r="N7379" s="2" t="str">
        <f t="shared" si="663"/>
        <v/>
      </c>
      <c r="Q7379" t="str">
        <f t="shared" si="662"/>
        <v/>
      </c>
    </row>
    <row r="7380" spans="1:17" hidden="1">
      <c r="A7380" t="s">
        <v>7485</v>
      </c>
      <c r="B7380" s="1">
        <v>45903</v>
      </c>
      <c r="C7380">
        <v>2025</v>
      </c>
      <c r="D7380">
        <v>9</v>
      </c>
      <c r="E7380" t="s">
        <v>13</v>
      </c>
      <c r="F7380" t="s">
        <v>14</v>
      </c>
      <c r="G7380" t="s">
        <v>15</v>
      </c>
      <c r="H7380" t="s">
        <v>89</v>
      </c>
      <c r="I7380">
        <v>2632.61</v>
      </c>
      <c r="J7380">
        <v>2691.28</v>
      </c>
      <c r="K7380" t="s">
        <v>17</v>
      </c>
      <c r="L7380" t="b">
        <v>0</v>
      </c>
      <c r="N7380" s="2" t="str">
        <f t="shared" si="663"/>
        <v/>
      </c>
      <c r="Q7380" t="str">
        <f t="shared" si="662"/>
        <v/>
      </c>
    </row>
    <row r="7381" spans="1:17" hidden="1">
      <c r="A7381" t="s">
        <v>7486</v>
      </c>
      <c r="B7381" s="1">
        <v>45903</v>
      </c>
      <c r="C7381">
        <v>2025</v>
      </c>
      <c r="D7381">
        <v>9</v>
      </c>
      <c r="E7381" t="s">
        <v>13</v>
      </c>
      <c r="F7381" t="s">
        <v>28</v>
      </c>
      <c r="G7381" t="s">
        <v>68</v>
      </c>
      <c r="H7381" t="s">
        <v>87</v>
      </c>
      <c r="I7381">
        <v>3408.42</v>
      </c>
      <c r="J7381">
        <v>3097.67</v>
      </c>
      <c r="K7381" t="s">
        <v>17</v>
      </c>
      <c r="L7381" t="b">
        <v>0</v>
      </c>
      <c r="N7381" s="2" t="str">
        <f t="shared" si="663"/>
        <v/>
      </c>
      <c r="Q7381" t="str">
        <f t="shared" si="662"/>
        <v/>
      </c>
    </row>
    <row r="7382" spans="1:17" hidden="1">
      <c r="A7382" t="s">
        <v>7487</v>
      </c>
      <c r="B7382" s="1">
        <v>45903</v>
      </c>
      <c r="C7382">
        <v>2025</v>
      </c>
      <c r="D7382">
        <v>9</v>
      </c>
      <c r="E7382" t="s">
        <v>47</v>
      </c>
      <c r="F7382" t="s">
        <v>14</v>
      </c>
      <c r="G7382" t="s">
        <v>91</v>
      </c>
      <c r="H7382" t="s">
        <v>249</v>
      </c>
      <c r="I7382">
        <v>12692.1</v>
      </c>
      <c r="J7382">
        <v>10986.67</v>
      </c>
      <c r="K7382" t="s">
        <v>17</v>
      </c>
      <c r="L7382" t="b">
        <v>0</v>
      </c>
      <c r="N7382" s="2" t="b">
        <f t="shared" si="663"/>
        <v>1</v>
      </c>
      <c r="O7382" t="str">
        <f t="shared" ref="O7382:O7383" si="666">IF(AND(E7371="HR",K7371="EXPENSE"),I7371&lt;J7371,"")</f>
        <v/>
      </c>
      <c r="Q7382" t="str">
        <f t="shared" si="662"/>
        <v/>
      </c>
    </row>
    <row r="7383" spans="1:17" hidden="1">
      <c r="A7383" t="s">
        <v>7488</v>
      </c>
      <c r="B7383" s="1">
        <v>45903</v>
      </c>
      <c r="C7383">
        <v>2025</v>
      </c>
      <c r="D7383">
        <v>9</v>
      </c>
      <c r="E7383" t="s">
        <v>47</v>
      </c>
      <c r="F7383" t="s">
        <v>24</v>
      </c>
      <c r="G7383" t="s">
        <v>91</v>
      </c>
      <c r="H7383" t="s">
        <v>128</v>
      </c>
      <c r="I7383">
        <v>22697.38</v>
      </c>
      <c r="J7383">
        <v>19516.18</v>
      </c>
      <c r="K7383" t="s">
        <v>17</v>
      </c>
      <c r="L7383" t="b">
        <v>0</v>
      </c>
      <c r="N7383" s="2" t="b">
        <f t="shared" si="663"/>
        <v>1</v>
      </c>
      <c r="O7383" t="b">
        <f t="shared" si="666"/>
        <v>1</v>
      </c>
      <c r="Q7383" t="str">
        <f t="shared" si="662"/>
        <v/>
      </c>
    </row>
    <row r="7384" spans="1:17" hidden="1">
      <c r="A7384" t="s">
        <v>7489</v>
      </c>
      <c r="B7384" s="1">
        <v>45903</v>
      </c>
      <c r="C7384">
        <v>2025</v>
      </c>
      <c r="D7384">
        <v>9</v>
      </c>
      <c r="E7384" t="s">
        <v>19</v>
      </c>
      <c r="F7384" t="s">
        <v>14</v>
      </c>
      <c r="G7384" t="s">
        <v>80</v>
      </c>
      <c r="H7384" t="s">
        <v>81</v>
      </c>
      <c r="I7384">
        <v>8749.84</v>
      </c>
      <c r="J7384">
        <v>9355.69</v>
      </c>
      <c r="K7384" t="s">
        <v>17</v>
      </c>
      <c r="L7384" t="b">
        <v>0</v>
      </c>
      <c r="N7384" s="2" t="str">
        <f t="shared" si="663"/>
        <v/>
      </c>
      <c r="Q7384" t="str">
        <f t="shared" si="662"/>
        <v/>
      </c>
    </row>
    <row r="7385" spans="1:17" hidden="1">
      <c r="A7385" t="s">
        <v>7490</v>
      </c>
      <c r="B7385" s="1">
        <v>45903</v>
      </c>
      <c r="C7385">
        <v>2025</v>
      </c>
      <c r="D7385">
        <v>9</v>
      </c>
      <c r="E7385" t="s">
        <v>23</v>
      </c>
      <c r="F7385" t="s">
        <v>28</v>
      </c>
      <c r="G7385" t="s">
        <v>30</v>
      </c>
      <c r="H7385" t="s">
        <v>106</v>
      </c>
      <c r="I7385">
        <v>3571</v>
      </c>
      <c r="J7385">
        <v>3330.82</v>
      </c>
      <c r="K7385" t="s">
        <v>17</v>
      </c>
      <c r="L7385" t="b">
        <v>0</v>
      </c>
      <c r="N7385" s="2" t="str">
        <f t="shared" si="663"/>
        <v/>
      </c>
      <c r="Q7385" t="str">
        <f t="shared" si="662"/>
        <v/>
      </c>
    </row>
    <row r="7386" spans="1:17" hidden="1">
      <c r="A7386" t="s">
        <v>7491</v>
      </c>
      <c r="B7386" s="1">
        <v>45903</v>
      </c>
      <c r="C7386">
        <v>2025</v>
      </c>
      <c r="D7386">
        <v>9</v>
      </c>
      <c r="E7386" t="s">
        <v>37</v>
      </c>
      <c r="F7386" t="s">
        <v>28</v>
      </c>
      <c r="G7386" t="s">
        <v>41</v>
      </c>
      <c r="H7386" t="s">
        <v>42</v>
      </c>
      <c r="I7386">
        <v>3542.91</v>
      </c>
      <c r="J7386">
        <v>3274.66</v>
      </c>
      <c r="K7386" t="s">
        <v>17</v>
      </c>
      <c r="L7386" t="b">
        <v>0</v>
      </c>
      <c r="N7386" s="2" t="str">
        <f t="shared" si="663"/>
        <v/>
      </c>
      <c r="Q7386" t="str">
        <f t="shared" si="662"/>
        <v/>
      </c>
    </row>
    <row r="7387" spans="1:17" hidden="1">
      <c r="A7387" t="s">
        <v>7492</v>
      </c>
      <c r="B7387" s="1">
        <v>45903</v>
      </c>
      <c r="C7387">
        <v>2025</v>
      </c>
      <c r="D7387">
        <v>9</v>
      </c>
      <c r="E7387" t="s">
        <v>37</v>
      </c>
      <c r="F7387" t="s">
        <v>24</v>
      </c>
      <c r="G7387" t="s">
        <v>41</v>
      </c>
      <c r="H7387" t="s">
        <v>42</v>
      </c>
      <c r="I7387">
        <v>2431.31</v>
      </c>
      <c r="J7387">
        <v>2449.0700000000002</v>
      </c>
      <c r="K7387" t="s">
        <v>17</v>
      </c>
      <c r="L7387" t="b">
        <v>0</v>
      </c>
      <c r="N7387" s="2" t="str">
        <f t="shared" si="663"/>
        <v/>
      </c>
      <c r="Q7387" t="str">
        <f t="shared" si="662"/>
        <v/>
      </c>
    </row>
    <row r="7388" spans="1:17" hidden="1">
      <c r="A7388" t="s">
        <v>7493</v>
      </c>
      <c r="B7388" s="1">
        <v>45904</v>
      </c>
      <c r="C7388">
        <v>2025</v>
      </c>
      <c r="D7388">
        <v>9</v>
      </c>
      <c r="E7388" t="s">
        <v>13</v>
      </c>
      <c r="F7388" t="s">
        <v>28</v>
      </c>
      <c r="G7388" t="s">
        <v>102</v>
      </c>
      <c r="H7388" t="s">
        <v>103</v>
      </c>
      <c r="I7388">
        <v>3124.95</v>
      </c>
      <c r="J7388">
        <v>3266.56</v>
      </c>
      <c r="K7388" t="s">
        <v>17</v>
      </c>
      <c r="L7388" t="b">
        <v>0</v>
      </c>
      <c r="N7388" s="2" t="str">
        <f t="shared" si="663"/>
        <v/>
      </c>
      <c r="Q7388" t="str">
        <f t="shared" si="662"/>
        <v/>
      </c>
    </row>
    <row r="7389" spans="1:17" hidden="1">
      <c r="A7389" t="s">
        <v>7494</v>
      </c>
      <c r="B7389" s="1">
        <v>45904</v>
      </c>
      <c r="C7389">
        <v>2025</v>
      </c>
      <c r="D7389">
        <v>9</v>
      </c>
      <c r="E7389" t="s">
        <v>13</v>
      </c>
      <c r="F7389" t="s">
        <v>24</v>
      </c>
      <c r="G7389" t="s">
        <v>102</v>
      </c>
      <c r="H7389" t="s">
        <v>103</v>
      </c>
      <c r="I7389">
        <v>2412.35</v>
      </c>
      <c r="J7389">
        <v>2549.75</v>
      </c>
      <c r="K7389" t="s">
        <v>17</v>
      </c>
      <c r="L7389" t="b">
        <v>0</v>
      </c>
      <c r="N7389" s="2" t="str">
        <f t="shared" si="663"/>
        <v/>
      </c>
      <c r="Q7389" t="str">
        <f t="shared" si="662"/>
        <v/>
      </c>
    </row>
    <row r="7390" spans="1:17" hidden="1">
      <c r="A7390" t="s">
        <v>7495</v>
      </c>
      <c r="B7390" s="1">
        <v>45904</v>
      </c>
      <c r="C7390">
        <v>2025</v>
      </c>
      <c r="D7390">
        <v>9</v>
      </c>
      <c r="E7390" t="s">
        <v>47</v>
      </c>
      <c r="F7390" t="s">
        <v>28</v>
      </c>
      <c r="G7390" t="s">
        <v>51</v>
      </c>
      <c r="H7390" t="s">
        <v>52</v>
      </c>
      <c r="I7390">
        <v>12880.68</v>
      </c>
      <c r="J7390">
        <v>10559.99</v>
      </c>
      <c r="K7390" t="s">
        <v>17</v>
      </c>
      <c r="L7390" t="b">
        <v>0</v>
      </c>
      <c r="N7390" s="2" t="b">
        <f t="shared" si="663"/>
        <v>1</v>
      </c>
      <c r="O7390" t="str">
        <f>IF(AND(E7379="HR",K7379="EXPENSE"),I7379&lt;J7379,"")</f>
        <v/>
      </c>
      <c r="Q7390" t="str">
        <f t="shared" si="662"/>
        <v/>
      </c>
    </row>
    <row r="7391" spans="1:17" hidden="1">
      <c r="A7391" t="s">
        <v>7496</v>
      </c>
      <c r="B7391" s="1">
        <v>45904</v>
      </c>
      <c r="C7391">
        <v>2025</v>
      </c>
      <c r="D7391">
        <v>9</v>
      </c>
      <c r="E7391" t="s">
        <v>19</v>
      </c>
      <c r="F7391" t="s">
        <v>14</v>
      </c>
      <c r="G7391" t="s">
        <v>80</v>
      </c>
      <c r="H7391" t="s">
        <v>150</v>
      </c>
      <c r="I7391">
        <v>9077.48</v>
      </c>
      <c r="J7391">
        <v>8305.2000000000007</v>
      </c>
      <c r="K7391" t="s">
        <v>17</v>
      </c>
      <c r="L7391" t="b">
        <v>0</v>
      </c>
      <c r="N7391" s="2" t="str">
        <f t="shared" si="663"/>
        <v/>
      </c>
      <c r="Q7391" t="str">
        <f t="shared" si="662"/>
        <v/>
      </c>
    </row>
    <row r="7392" spans="1:17" hidden="1">
      <c r="A7392" t="s">
        <v>7497</v>
      </c>
      <c r="B7392" s="1">
        <v>45904</v>
      </c>
      <c r="C7392">
        <v>2025</v>
      </c>
      <c r="D7392">
        <v>9</v>
      </c>
      <c r="E7392" t="s">
        <v>19</v>
      </c>
      <c r="F7392" t="s">
        <v>14</v>
      </c>
      <c r="G7392" t="s">
        <v>132</v>
      </c>
      <c r="H7392" t="s">
        <v>171</v>
      </c>
      <c r="I7392">
        <v>11191.53</v>
      </c>
      <c r="J7392">
        <v>11718.36</v>
      </c>
      <c r="K7392" t="s">
        <v>17</v>
      </c>
      <c r="L7392" t="b">
        <v>0</v>
      </c>
      <c r="N7392" s="2" t="str">
        <f t="shared" si="663"/>
        <v/>
      </c>
      <c r="Q7392" t="str">
        <f t="shared" si="662"/>
        <v/>
      </c>
    </row>
    <row r="7393" spans="1:17" hidden="1">
      <c r="A7393" t="s">
        <v>7498</v>
      </c>
      <c r="B7393" s="1">
        <v>45904</v>
      </c>
      <c r="C7393">
        <v>2025</v>
      </c>
      <c r="D7393">
        <v>9</v>
      </c>
      <c r="E7393" t="s">
        <v>23</v>
      </c>
      <c r="F7393" t="s">
        <v>14</v>
      </c>
      <c r="G7393" t="s">
        <v>30</v>
      </c>
      <c r="H7393" t="s">
        <v>33</v>
      </c>
      <c r="I7393">
        <v>6354.01</v>
      </c>
      <c r="J7393">
        <v>6731.97</v>
      </c>
      <c r="K7393" t="s">
        <v>17</v>
      </c>
      <c r="L7393" t="b">
        <v>0</v>
      </c>
      <c r="N7393" s="2" t="str">
        <f t="shared" si="663"/>
        <v/>
      </c>
      <c r="Q7393" t="str">
        <f t="shared" si="662"/>
        <v/>
      </c>
    </row>
    <row r="7394" spans="1:17" hidden="1">
      <c r="A7394" t="s">
        <v>7499</v>
      </c>
      <c r="B7394" s="1">
        <v>45904</v>
      </c>
      <c r="C7394">
        <v>2025</v>
      </c>
      <c r="D7394">
        <v>9</v>
      </c>
      <c r="E7394" t="s">
        <v>23</v>
      </c>
      <c r="F7394" t="s">
        <v>14</v>
      </c>
      <c r="G7394" t="s">
        <v>30</v>
      </c>
      <c r="H7394" t="s">
        <v>33</v>
      </c>
      <c r="I7394">
        <v>5680.74</v>
      </c>
      <c r="J7394">
        <v>5990.73</v>
      </c>
      <c r="K7394" t="s">
        <v>17</v>
      </c>
      <c r="L7394" t="b">
        <v>0</v>
      </c>
      <c r="N7394" s="2" t="str">
        <f t="shared" si="663"/>
        <v/>
      </c>
      <c r="Q7394" t="str">
        <f t="shared" si="662"/>
        <v/>
      </c>
    </row>
    <row r="7395" spans="1:17" hidden="1">
      <c r="A7395" t="s">
        <v>7500</v>
      </c>
      <c r="B7395" s="1">
        <v>45904</v>
      </c>
      <c r="C7395">
        <v>2025</v>
      </c>
      <c r="D7395">
        <v>9</v>
      </c>
      <c r="E7395" t="s">
        <v>23</v>
      </c>
      <c r="F7395" t="s">
        <v>28</v>
      </c>
      <c r="G7395" t="s">
        <v>25</v>
      </c>
      <c r="H7395" t="s">
        <v>95</v>
      </c>
      <c r="I7395">
        <v>4841.1499999999996</v>
      </c>
      <c r="J7395">
        <v>5092.2299999999996</v>
      </c>
      <c r="K7395" t="s">
        <v>17</v>
      </c>
      <c r="L7395" t="b">
        <v>0</v>
      </c>
      <c r="N7395" s="2" t="str">
        <f t="shared" si="663"/>
        <v/>
      </c>
      <c r="Q7395" t="str">
        <f t="shared" si="662"/>
        <v/>
      </c>
    </row>
    <row r="7396" spans="1:17" hidden="1">
      <c r="A7396" t="s">
        <v>7501</v>
      </c>
      <c r="B7396" s="1">
        <v>45904</v>
      </c>
      <c r="C7396">
        <v>2025</v>
      </c>
      <c r="D7396">
        <v>9</v>
      </c>
      <c r="E7396" t="s">
        <v>37</v>
      </c>
      <c r="F7396" t="s">
        <v>28</v>
      </c>
      <c r="G7396" t="s">
        <v>98</v>
      </c>
      <c r="H7396" t="s">
        <v>185</v>
      </c>
      <c r="I7396">
        <v>3981.28</v>
      </c>
      <c r="J7396">
        <v>3633.85</v>
      </c>
      <c r="K7396" t="s">
        <v>17</v>
      </c>
      <c r="L7396" t="b">
        <v>0</v>
      </c>
      <c r="N7396" s="2" t="str">
        <f t="shared" si="663"/>
        <v/>
      </c>
      <c r="Q7396" t="str">
        <f t="shared" si="662"/>
        <v/>
      </c>
    </row>
    <row r="7397" spans="1:17" hidden="1">
      <c r="A7397" t="s">
        <v>7502</v>
      </c>
      <c r="B7397" s="1">
        <v>45905</v>
      </c>
      <c r="C7397">
        <v>2025</v>
      </c>
      <c r="D7397">
        <v>9</v>
      </c>
      <c r="E7397" t="s">
        <v>13</v>
      </c>
      <c r="F7397" t="s">
        <v>28</v>
      </c>
      <c r="G7397" t="s">
        <v>15</v>
      </c>
      <c r="H7397" t="s">
        <v>16</v>
      </c>
      <c r="I7397">
        <v>2595.8000000000002</v>
      </c>
      <c r="J7397">
        <v>2840.53</v>
      </c>
      <c r="K7397" t="s">
        <v>17</v>
      </c>
      <c r="L7397" t="b">
        <v>0</v>
      </c>
      <c r="N7397" s="2" t="str">
        <f t="shared" si="663"/>
        <v/>
      </c>
      <c r="Q7397" t="str">
        <f t="shared" si="662"/>
        <v/>
      </c>
    </row>
    <row r="7398" spans="1:17" hidden="1">
      <c r="A7398" t="s">
        <v>7503</v>
      </c>
      <c r="B7398" s="1">
        <v>45905</v>
      </c>
      <c r="C7398">
        <v>2025</v>
      </c>
      <c r="D7398">
        <v>9</v>
      </c>
      <c r="E7398" t="s">
        <v>13</v>
      </c>
      <c r="F7398" t="s">
        <v>28</v>
      </c>
      <c r="G7398" t="s">
        <v>102</v>
      </c>
      <c r="H7398" t="s">
        <v>278</v>
      </c>
      <c r="I7398">
        <v>1909.09</v>
      </c>
      <c r="J7398">
        <v>1920.49</v>
      </c>
      <c r="K7398" t="s">
        <v>17</v>
      </c>
      <c r="L7398" t="b">
        <v>0</v>
      </c>
      <c r="N7398" s="2" t="str">
        <f t="shared" si="663"/>
        <v/>
      </c>
      <c r="Q7398" t="str">
        <f t="shared" si="662"/>
        <v/>
      </c>
    </row>
    <row r="7399" spans="1:17" hidden="1">
      <c r="A7399" t="s">
        <v>7504</v>
      </c>
      <c r="B7399" s="1">
        <v>45905</v>
      </c>
      <c r="C7399">
        <v>2025</v>
      </c>
      <c r="D7399">
        <v>9</v>
      </c>
      <c r="E7399" t="s">
        <v>13</v>
      </c>
      <c r="F7399" t="s">
        <v>24</v>
      </c>
      <c r="G7399" t="s">
        <v>68</v>
      </c>
      <c r="H7399" t="s">
        <v>69</v>
      </c>
      <c r="I7399">
        <v>2181.34</v>
      </c>
      <c r="J7399">
        <v>2356.7800000000002</v>
      </c>
      <c r="K7399" t="s">
        <v>17</v>
      </c>
      <c r="L7399" t="b">
        <v>0</v>
      </c>
      <c r="N7399" s="2" t="str">
        <f t="shared" si="663"/>
        <v/>
      </c>
      <c r="Q7399" t="str">
        <f t="shared" si="662"/>
        <v/>
      </c>
    </row>
    <row r="7400" spans="1:17" hidden="1">
      <c r="A7400" t="s">
        <v>7505</v>
      </c>
      <c r="B7400" s="1">
        <v>45905</v>
      </c>
      <c r="C7400">
        <v>2025</v>
      </c>
      <c r="D7400">
        <v>9</v>
      </c>
      <c r="E7400" t="s">
        <v>47</v>
      </c>
      <c r="F7400" t="s">
        <v>14</v>
      </c>
      <c r="G7400" t="s">
        <v>91</v>
      </c>
      <c r="H7400" t="s">
        <v>92</v>
      </c>
      <c r="I7400">
        <v>16620.5</v>
      </c>
      <c r="J7400">
        <v>14344.61</v>
      </c>
      <c r="K7400" t="s">
        <v>17</v>
      </c>
      <c r="L7400" t="b">
        <v>0</v>
      </c>
      <c r="N7400" s="2" t="b">
        <f t="shared" si="663"/>
        <v>1</v>
      </c>
      <c r="O7400" t="b">
        <f t="shared" ref="O7400:O7402" si="667">IF(AND(E7389="HR",K7389="EXPENSE"),I7389&lt;J7389,"")</f>
        <v>1</v>
      </c>
      <c r="Q7400" t="str">
        <f t="shared" si="662"/>
        <v/>
      </c>
    </row>
    <row r="7401" spans="1:17" hidden="1">
      <c r="A7401" t="s">
        <v>7506</v>
      </c>
      <c r="B7401" s="1">
        <v>45905</v>
      </c>
      <c r="C7401">
        <v>2025</v>
      </c>
      <c r="D7401">
        <v>9</v>
      </c>
      <c r="E7401" t="s">
        <v>47</v>
      </c>
      <c r="F7401" t="s">
        <v>28</v>
      </c>
      <c r="G7401" t="s">
        <v>51</v>
      </c>
      <c r="H7401" t="s">
        <v>189</v>
      </c>
      <c r="I7401">
        <v>15254.8</v>
      </c>
      <c r="J7401">
        <v>12979.39</v>
      </c>
      <c r="K7401" t="s">
        <v>17</v>
      </c>
      <c r="L7401" t="b">
        <v>0</v>
      </c>
      <c r="N7401" s="2" t="b">
        <f t="shared" si="663"/>
        <v>1</v>
      </c>
      <c r="O7401" t="str">
        <f t="shared" si="667"/>
        <v/>
      </c>
      <c r="Q7401" t="str">
        <f t="shared" si="662"/>
        <v/>
      </c>
    </row>
    <row r="7402" spans="1:17" hidden="1">
      <c r="A7402" t="s">
        <v>7507</v>
      </c>
      <c r="B7402" s="1">
        <v>45905</v>
      </c>
      <c r="C7402">
        <v>2025</v>
      </c>
      <c r="D7402">
        <v>9</v>
      </c>
      <c r="E7402" t="s">
        <v>47</v>
      </c>
      <c r="F7402" t="s">
        <v>24</v>
      </c>
      <c r="G7402" t="s">
        <v>48</v>
      </c>
      <c r="H7402" t="s">
        <v>111</v>
      </c>
      <c r="I7402">
        <v>15964.42</v>
      </c>
      <c r="J7402">
        <v>13399.97</v>
      </c>
      <c r="K7402" t="s">
        <v>17</v>
      </c>
      <c r="L7402" t="b">
        <v>0</v>
      </c>
      <c r="N7402" s="2" t="b">
        <f t="shared" si="663"/>
        <v>1</v>
      </c>
      <c r="O7402" t="str">
        <f t="shared" si="667"/>
        <v/>
      </c>
      <c r="Q7402" t="str">
        <f t="shared" si="662"/>
        <v/>
      </c>
    </row>
    <row r="7403" spans="1:17" hidden="1">
      <c r="A7403" t="s">
        <v>7508</v>
      </c>
      <c r="B7403" s="1">
        <v>45905</v>
      </c>
      <c r="C7403">
        <v>2025</v>
      </c>
      <c r="D7403">
        <v>9</v>
      </c>
      <c r="E7403" t="s">
        <v>19</v>
      </c>
      <c r="F7403" t="s">
        <v>28</v>
      </c>
      <c r="G7403" t="s">
        <v>54</v>
      </c>
      <c r="H7403" t="s">
        <v>163</v>
      </c>
      <c r="I7403">
        <v>8190.24</v>
      </c>
      <c r="J7403">
        <v>7837.35</v>
      </c>
      <c r="K7403" t="s">
        <v>17</v>
      </c>
      <c r="L7403" t="b">
        <v>0</v>
      </c>
      <c r="N7403" s="2" t="str">
        <f t="shared" si="663"/>
        <v/>
      </c>
      <c r="Q7403" t="str">
        <f t="shared" si="662"/>
        <v/>
      </c>
    </row>
    <row r="7404" spans="1:17" hidden="1">
      <c r="A7404" t="s">
        <v>7509</v>
      </c>
      <c r="B7404" s="1">
        <v>45905</v>
      </c>
      <c r="C7404">
        <v>2025</v>
      </c>
      <c r="D7404">
        <v>9</v>
      </c>
      <c r="E7404" t="s">
        <v>19</v>
      </c>
      <c r="F7404" t="s">
        <v>24</v>
      </c>
      <c r="G7404" t="s">
        <v>132</v>
      </c>
      <c r="H7404" t="s">
        <v>171</v>
      </c>
      <c r="I7404">
        <v>8048.7</v>
      </c>
      <c r="J7404">
        <v>7912.84</v>
      </c>
      <c r="K7404" t="s">
        <v>17</v>
      </c>
      <c r="L7404" t="b">
        <v>0</v>
      </c>
      <c r="N7404" s="2" t="str">
        <f t="shared" si="663"/>
        <v/>
      </c>
      <c r="Q7404" t="str">
        <f t="shared" si="662"/>
        <v/>
      </c>
    </row>
    <row r="7405" spans="1:17" hidden="1">
      <c r="A7405" t="s">
        <v>7510</v>
      </c>
      <c r="B7405" s="1">
        <v>45905</v>
      </c>
      <c r="C7405">
        <v>2025</v>
      </c>
      <c r="D7405">
        <v>9</v>
      </c>
      <c r="E7405" t="s">
        <v>19</v>
      </c>
      <c r="F7405" t="s">
        <v>24</v>
      </c>
      <c r="G7405" t="s">
        <v>20</v>
      </c>
      <c r="H7405" t="s">
        <v>136</v>
      </c>
      <c r="I7405">
        <v>5912.14</v>
      </c>
      <c r="J7405">
        <v>5589.6</v>
      </c>
      <c r="K7405" t="s">
        <v>17</v>
      </c>
      <c r="L7405" t="b">
        <v>0</v>
      </c>
      <c r="N7405" s="2" t="str">
        <f t="shared" si="663"/>
        <v/>
      </c>
      <c r="Q7405" t="str">
        <f t="shared" si="662"/>
        <v/>
      </c>
    </row>
    <row r="7406" spans="1:17" hidden="1">
      <c r="A7406" t="s">
        <v>7511</v>
      </c>
      <c r="B7406" s="1">
        <v>45905</v>
      </c>
      <c r="C7406">
        <v>2025</v>
      </c>
      <c r="D7406">
        <v>9</v>
      </c>
      <c r="E7406" t="s">
        <v>23</v>
      </c>
      <c r="F7406" t="s">
        <v>28</v>
      </c>
      <c r="G7406" t="s">
        <v>141</v>
      </c>
      <c r="H7406" t="s">
        <v>153</v>
      </c>
      <c r="I7406">
        <v>6115.3</v>
      </c>
      <c r="J7406">
        <v>6176.44</v>
      </c>
      <c r="K7406" t="s">
        <v>17</v>
      </c>
      <c r="L7406" t="b">
        <v>0</v>
      </c>
      <c r="N7406" s="2" t="str">
        <f t="shared" si="663"/>
        <v/>
      </c>
      <c r="Q7406" t="str">
        <f t="shared" si="662"/>
        <v/>
      </c>
    </row>
    <row r="7407" spans="1:17" hidden="1">
      <c r="A7407" t="s">
        <v>7512</v>
      </c>
      <c r="B7407" s="1">
        <v>45905</v>
      </c>
      <c r="C7407">
        <v>2025</v>
      </c>
      <c r="D7407">
        <v>9</v>
      </c>
      <c r="E7407" t="s">
        <v>37</v>
      </c>
      <c r="F7407" t="s">
        <v>14</v>
      </c>
      <c r="G7407" t="s">
        <v>62</v>
      </c>
      <c r="H7407" t="s">
        <v>63</v>
      </c>
      <c r="I7407">
        <v>8486.27</v>
      </c>
      <c r="J7407">
        <v>9256.07</v>
      </c>
      <c r="K7407" t="s">
        <v>17</v>
      </c>
      <c r="L7407" t="b">
        <v>0</v>
      </c>
      <c r="N7407" s="2" t="str">
        <f t="shared" si="663"/>
        <v/>
      </c>
      <c r="Q7407" t="str">
        <f t="shared" si="662"/>
        <v/>
      </c>
    </row>
    <row r="7408" spans="1:17" hidden="1">
      <c r="A7408" t="s">
        <v>7513</v>
      </c>
      <c r="B7408" s="1">
        <v>45905</v>
      </c>
      <c r="C7408">
        <v>2025</v>
      </c>
      <c r="D7408">
        <v>9</v>
      </c>
      <c r="E7408" t="s">
        <v>37</v>
      </c>
      <c r="F7408" t="s">
        <v>24</v>
      </c>
      <c r="G7408" t="s">
        <v>98</v>
      </c>
      <c r="H7408" t="s">
        <v>99</v>
      </c>
      <c r="I7408">
        <v>4727.22</v>
      </c>
      <c r="J7408">
        <v>4611.53</v>
      </c>
      <c r="K7408" t="s">
        <v>17</v>
      </c>
      <c r="L7408" t="b">
        <v>0</v>
      </c>
      <c r="N7408" s="2" t="str">
        <f t="shared" si="663"/>
        <v/>
      </c>
      <c r="Q7408" t="str">
        <f t="shared" ref="Q7408:Q7471" si="668">IF(L7408=TRUE,OR(H7408="Apex Solutions Inc",H7408="Global Trade Partners",H7408="NovaTech Services"),"")</f>
        <v/>
      </c>
    </row>
    <row r="7409" spans="1:17" hidden="1">
      <c r="A7409" t="s">
        <v>7514</v>
      </c>
      <c r="B7409" s="1">
        <v>45905</v>
      </c>
      <c r="C7409">
        <v>2025</v>
      </c>
      <c r="D7409">
        <v>9</v>
      </c>
      <c r="E7409" t="s">
        <v>37</v>
      </c>
      <c r="F7409" t="s">
        <v>24</v>
      </c>
      <c r="G7409" t="s">
        <v>62</v>
      </c>
      <c r="H7409" t="s">
        <v>360</v>
      </c>
      <c r="I7409">
        <v>3740.52</v>
      </c>
      <c r="J7409">
        <v>3678.88</v>
      </c>
      <c r="K7409" t="s">
        <v>17</v>
      </c>
      <c r="L7409" t="b">
        <v>0</v>
      </c>
      <c r="N7409" s="2" t="str">
        <f t="shared" si="663"/>
        <v/>
      </c>
      <c r="Q7409" t="str">
        <f t="shared" si="668"/>
        <v/>
      </c>
    </row>
    <row r="7410" spans="1:17" hidden="1">
      <c r="A7410" t="s">
        <v>7515</v>
      </c>
      <c r="B7410" s="1">
        <v>45906</v>
      </c>
      <c r="C7410">
        <v>2025</v>
      </c>
      <c r="D7410">
        <v>9</v>
      </c>
      <c r="E7410" t="s">
        <v>13</v>
      </c>
      <c r="F7410" t="s">
        <v>14</v>
      </c>
      <c r="G7410" t="s">
        <v>68</v>
      </c>
      <c r="H7410" t="s">
        <v>213</v>
      </c>
      <c r="I7410">
        <v>4115.1499999999996</v>
      </c>
      <c r="J7410">
        <v>4517.2</v>
      </c>
      <c r="K7410" t="s">
        <v>17</v>
      </c>
      <c r="L7410" t="b">
        <v>0</v>
      </c>
      <c r="N7410" s="2" t="str">
        <f t="shared" si="663"/>
        <v/>
      </c>
      <c r="Q7410" t="str">
        <f t="shared" si="668"/>
        <v/>
      </c>
    </row>
    <row r="7411" spans="1:17" hidden="1">
      <c r="A7411" t="s">
        <v>7516</v>
      </c>
      <c r="B7411" s="1">
        <v>45906</v>
      </c>
      <c r="C7411">
        <v>2025</v>
      </c>
      <c r="D7411">
        <v>9</v>
      </c>
      <c r="E7411" t="s">
        <v>13</v>
      </c>
      <c r="F7411" t="s">
        <v>24</v>
      </c>
      <c r="G7411" t="s">
        <v>108</v>
      </c>
      <c r="H7411" t="s">
        <v>123</v>
      </c>
      <c r="I7411">
        <v>1514.02</v>
      </c>
      <c r="J7411">
        <v>1473.56</v>
      </c>
      <c r="K7411" t="s">
        <v>17</v>
      </c>
      <c r="L7411" t="b">
        <v>0</v>
      </c>
      <c r="N7411" s="2" t="str">
        <f t="shared" si="663"/>
        <v/>
      </c>
      <c r="Q7411" t="str">
        <f t="shared" si="668"/>
        <v/>
      </c>
    </row>
    <row r="7412" spans="1:17" hidden="1">
      <c r="A7412" t="s">
        <v>7517</v>
      </c>
      <c r="B7412" s="1">
        <v>45906</v>
      </c>
      <c r="C7412">
        <v>2025</v>
      </c>
      <c r="D7412">
        <v>9</v>
      </c>
      <c r="E7412" t="s">
        <v>47</v>
      </c>
      <c r="F7412" t="s">
        <v>14</v>
      </c>
      <c r="G7412" t="s">
        <v>48</v>
      </c>
      <c r="H7412" t="s">
        <v>189</v>
      </c>
      <c r="I7412">
        <v>16741.53</v>
      </c>
      <c r="J7412">
        <v>14207.3</v>
      </c>
      <c r="K7412" t="s">
        <v>17</v>
      </c>
      <c r="L7412" t="b">
        <v>0</v>
      </c>
      <c r="N7412" s="2" t="b">
        <f t="shared" si="663"/>
        <v>1</v>
      </c>
      <c r="O7412" t="str">
        <f t="shared" ref="O7412:O7414" si="669">IF(AND(E7401="HR",K7401="EXPENSE"),I7401&lt;J7401,"")</f>
        <v/>
      </c>
      <c r="Q7412" t="str">
        <f t="shared" si="668"/>
        <v/>
      </c>
    </row>
    <row r="7413" spans="1:17" hidden="1">
      <c r="A7413" t="s">
        <v>7518</v>
      </c>
      <c r="B7413" s="1">
        <v>45906</v>
      </c>
      <c r="C7413">
        <v>2025</v>
      </c>
      <c r="D7413">
        <v>9</v>
      </c>
      <c r="E7413" t="s">
        <v>47</v>
      </c>
      <c r="F7413" t="s">
        <v>24</v>
      </c>
      <c r="G7413" t="s">
        <v>51</v>
      </c>
      <c r="H7413" t="s">
        <v>189</v>
      </c>
      <c r="I7413">
        <v>14253.25</v>
      </c>
      <c r="J7413">
        <v>12250.19</v>
      </c>
      <c r="K7413" t="s">
        <v>17</v>
      </c>
      <c r="L7413" t="b">
        <v>0</v>
      </c>
      <c r="N7413" s="2" t="b">
        <f t="shared" si="663"/>
        <v>1</v>
      </c>
      <c r="O7413" t="str">
        <f t="shared" si="669"/>
        <v/>
      </c>
      <c r="Q7413" t="str">
        <f t="shared" si="668"/>
        <v/>
      </c>
    </row>
    <row r="7414" spans="1:17" hidden="1">
      <c r="A7414" t="s">
        <v>7519</v>
      </c>
      <c r="B7414" s="1">
        <v>45906</v>
      </c>
      <c r="C7414">
        <v>2025</v>
      </c>
      <c r="D7414">
        <v>9</v>
      </c>
      <c r="E7414" t="s">
        <v>47</v>
      </c>
      <c r="F7414" t="s">
        <v>24</v>
      </c>
      <c r="G7414" t="s">
        <v>77</v>
      </c>
      <c r="H7414" t="s">
        <v>130</v>
      </c>
      <c r="I7414">
        <v>12108.59</v>
      </c>
      <c r="J7414">
        <v>10066.48</v>
      </c>
      <c r="K7414" t="s">
        <v>17</v>
      </c>
      <c r="L7414" t="b">
        <v>0</v>
      </c>
      <c r="N7414" s="2" t="b">
        <f t="shared" si="663"/>
        <v>1</v>
      </c>
      <c r="O7414" t="str">
        <f t="shared" si="669"/>
        <v/>
      </c>
      <c r="Q7414" t="str">
        <f t="shared" si="668"/>
        <v/>
      </c>
    </row>
    <row r="7415" spans="1:17" hidden="1">
      <c r="A7415" t="s">
        <v>7520</v>
      </c>
      <c r="B7415" s="1">
        <v>45906</v>
      </c>
      <c r="C7415">
        <v>2025</v>
      </c>
      <c r="D7415">
        <v>9</v>
      </c>
      <c r="E7415" t="s">
        <v>19</v>
      </c>
      <c r="F7415" t="s">
        <v>28</v>
      </c>
      <c r="G7415" t="s">
        <v>80</v>
      </c>
      <c r="H7415" t="s">
        <v>113</v>
      </c>
      <c r="I7415">
        <v>10083.719999999999</v>
      </c>
      <c r="J7415">
        <v>9193.35</v>
      </c>
      <c r="K7415" t="s">
        <v>17</v>
      </c>
      <c r="L7415" t="b">
        <v>0</v>
      </c>
      <c r="N7415" s="2" t="str">
        <f t="shared" si="663"/>
        <v/>
      </c>
      <c r="Q7415" t="str">
        <f t="shared" si="668"/>
        <v/>
      </c>
    </row>
    <row r="7416" spans="1:17" hidden="1">
      <c r="A7416" t="s">
        <v>7521</v>
      </c>
      <c r="B7416" s="1">
        <v>45906</v>
      </c>
      <c r="C7416">
        <v>2025</v>
      </c>
      <c r="D7416">
        <v>9</v>
      </c>
      <c r="E7416" t="s">
        <v>23</v>
      </c>
      <c r="F7416" t="s">
        <v>14</v>
      </c>
      <c r="G7416" t="s">
        <v>59</v>
      </c>
      <c r="H7416" t="s">
        <v>60</v>
      </c>
      <c r="I7416">
        <v>6033.37</v>
      </c>
      <c r="J7416">
        <v>6579.78</v>
      </c>
      <c r="K7416" t="s">
        <v>17</v>
      </c>
      <c r="L7416" t="b">
        <v>0</v>
      </c>
      <c r="N7416" s="2" t="str">
        <f t="shared" si="663"/>
        <v/>
      </c>
      <c r="Q7416" t="str">
        <f t="shared" si="668"/>
        <v/>
      </c>
    </row>
    <row r="7417" spans="1:17" hidden="1">
      <c r="A7417" t="s">
        <v>7522</v>
      </c>
      <c r="B7417" s="1">
        <v>45906</v>
      </c>
      <c r="C7417">
        <v>2025</v>
      </c>
      <c r="D7417">
        <v>9</v>
      </c>
      <c r="E7417" t="s">
        <v>23</v>
      </c>
      <c r="F7417" t="s">
        <v>28</v>
      </c>
      <c r="G7417" t="s">
        <v>25</v>
      </c>
      <c r="H7417" t="s">
        <v>26</v>
      </c>
      <c r="I7417">
        <v>5151.6400000000003</v>
      </c>
      <c r="J7417">
        <v>5531.4</v>
      </c>
      <c r="K7417" t="s">
        <v>17</v>
      </c>
      <c r="L7417" t="b">
        <v>0</v>
      </c>
      <c r="N7417" s="2" t="str">
        <f t="shared" si="663"/>
        <v/>
      </c>
      <c r="Q7417" t="str">
        <f t="shared" si="668"/>
        <v/>
      </c>
    </row>
    <row r="7418" spans="1:17" hidden="1">
      <c r="A7418" t="s">
        <v>7523</v>
      </c>
      <c r="B7418" s="1">
        <v>45906</v>
      </c>
      <c r="C7418">
        <v>2025</v>
      </c>
      <c r="D7418">
        <v>9</v>
      </c>
      <c r="E7418" t="s">
        <v>23</v>
      </c>
      <c r="F7418" t="s">
        <v>28</v>
      </c>
      <c r="G7418" t="s">
        <v>25</v>
      </c>
      <c r="H7418" t="s">
        <v>26</v>
      </c>
      <c r="I7418">
        <v>5803.3</v>
      </c>
      <c r="J7418">
        <v>5497.64</v>
      </c>
      <c r="K7418" t="s">
        <v>17</v>
      </c>
      <c r="L7418" t="b">
        <v>0</v>
      </c>
      <c r="N7418" s="2" t="str">
        <f t="shared" si="663"/>
        <v/>
      </c>
      <c r="Q7418" t="str">
        <f t="shared" si="668"/>
        <v/>
      </c>
    </row>
    <row r="7419" spans="1:17" hidden="1">
      <c r="A7419" t="s">
        <v>7524</v>
      </c>
      <c r="B7419" s="1">
        <v>45906</v>
      </c>
      <c r="C7419">
        <v>2025</v>
      </c>
      <c r="D7419">
        <v>9</v>
      </c>
      <c r="E7419" t="s">
        <v>23</v>
      </c>
      <c r="F7419" t="s">
        <v>24</v>
      </c>
      <c r="G7419" t="s">
        <v>141</v>
      </c>
      <c r="H7419" t="s">
        <v>209</v>
      </c>
      <c r="I7419">
        <v>5485.54</v>
      </c>
      <c r="J7419">
        <v>5391.72</v>
      </c>
      <c r="K7419" t="s">
        <v>17</v>
      </c>
      <c r="L7419" t="b">
        <v>0</v>
      </c>
      <c r="N7419" s="2" t="str">
        <f t="shared" si="663"/>
        <v/>
      </c>
      <c r="Q7419" t="str">
        <f t="shared" si="668"/>
        <v/>
      </c>
    </row>
    <row r="7420" spans="1:17" hidden="1">
      <c r="A7420" t="s">
        <v>7525</v>
      </c>
      <c r="B7420" s="1">
        <v>45906</v>
      </c>
      <c r="C7420">
        <v>2025</v>
      </c>
      <c r="D7420">
        <v>9</v>
      </c>
      <c r="E7420" t="s">
        <v>37</v>
      </c>
      <c r="F7420" t="s">
        <v>28</v>
      </c>
      <c r="G7420" t="s">
        <v>41</v>
      </c>
      <c r="H7420" t="s">
        <v>42</v>
      </c>
      <c r="I7420">
        <v>3839.31</v>
      </c>
      <c r="J7420">
        <v>3611.81</v>
      </c>
      <c r="K7420" t="s">
        <v>17</v>
      </c>
      <c r="L7420" t="b">
        <v>0</v>
      </c>
      <c r="N7420" s="2" t="str">
        <f t="shared" si="663"/>
        <v/>
      </c>
      <c r="Q7420" t="str">
        <f t="shared" si="668"/>
        <v/>
      </c>
    </row>
    <row r="7421" spans="1:17" hidden="1">
      <c r="A7421" t="s">
        <v>7526</v>
      </c>
      <c r="B7421" s="1">
        <v>45907</v>
      </c>
      <c r="C7421">
        <v>2025</v>
      </c>
      <c r="D7421">
        <v>9</v>
      </c>
      <c r="E7421" t="s">
        <v>13</v>
      </c>
      <c r="F7421" t="s">
        <v>24</v>
      </c>
      <c r="G7421" t="s">
        <v>68</v>
      </c>
      <c r="H7421" t="s">
        <v>213</v>
      </c>
      <c r="I7421">
        <v>2781.29</v>
      </c>
      <c r="J7421">
        <v>2562.44</v>
      </c>
      <c r="K7421" t="s">
        <v>17</v>
      </c>
      <c r="L7421" t="b">
        <v>0</v>
      </c>
      <c r="N7421" s="2" t="str">
        <f t="shared" si="663"/>
        <v/>
      </c>
      <c r="Q7421" t="str">
        <f t="shared" si="668"/>
        <v/>
      </c>
    </row>
    <row r="7422" spans="1:17" hidden="1">
      <c r="A7422" t="s">
        <v>7527</v>
      </c>
      <c r="B7422" s="1">
        <v>45907</v>
      </c>
      <c r="C7422">
        <v>2025</v>
      </c>
      <c r="D7422">
        <v>9</v>
      </c>
      <c r="E7422" t="s">
        <v>47</v>
      </c>
      <c r="F7422" t="s">
        <v>14</v>
      </c>
      <c r="G7422" t="s">
        <v>51</v>
      </c>
      <c r="H7422" t="s">
        <v>72</v>
      </c>
      <c r="I7422">
        <v>8719.44</v>
      </c>
      <c r="J7422">
        <v>7461.27</v>
      </c>
      <c r="K7422" t="s">
        <v>17</v>
      </c>
      <c r="L7422" t="b">
        <v>0</v>
      </c>
      <c r="N7422" s="2" t="b">
        <f t="shared" si="663"/>
        <v>1</v>
      </c>
      <c r="O7422" t="b">
        <f>IF(AND(E7411="HR",K7411="EXPENSE"),I7411&lt;J7411,"")</f>
        <v>0</v>
      </c>
      <c r="Q7422" t="str">
        <f t="shared" si="668"/>
        <v/>
      </c>
    </row>
    <row r="7423" spans="1:17" hidden="1">
      <c r="A7423" t="s">
        <v>7528</v>
      </c>
      <c r="B7423" s="1">
        <v>45907</v>
      </c>
      <c r="C7423">
        <v>2025</v>
      </c>
      <c r="D7423">
        <v>9</v>
      </c>
      <c r="E7423" t="s">
        <v>19</v>
      </c>
      <c r="F7423" t="s">
        <v>14</v>
      </c>
      <c r="G7423" t="s">
        <v>54</v>
      </c>
      <c r="H7423" t="s">
        <v>55</v>
      </c>
      <c r="I7423">
        <v>6621.62</v>
      </c>
      <c r="J7423">
        <v>6704.17</v>
      </c>
      <c r="K7423" t="s">
        <v>17</v>
      </c>
      <c r="L7423" t="b">
        <v>0</v>
      </c>
      <c r="N7423" s="2" t="str">
        <f t="shared" si="663"/>
        <v/>
      </c>
      <c r="Q7423" t="str">
        <f t="shared" si="668"/>
        <v/>
      </c>
    </row>
    <row r="7424" spans="1:17" hidden="1">
      <c r="A7424" t="s">
        <v>7529</v>
      </c>
      <c r="B7424" s="1">
        <v>45907</v>
      </c>
      <c r="C7424">
        <v>2025</v>
      </c>
      <c r="D7424">
        <v>9</v>
      </c>
      <c r="E7424" t="s">
        <v>19</v>
      </c>
      <c r="F7424" t="s">
        <v>24</v>
      </c>
      <c r="G7424" t="s">
        <v>20</v>
      </c>
      <c r="H7424" t="s">
        <v>136</v>
      </c>
      <c r="I7424">
        <v>4940.5200000000004</v>
      </c>
      <c r="J7424">
        <v>5112.6499999999996</v>
      </c>
      <c r="K7424" t="s">
        <v>17</v>
      </c>
      <c r="L7424" t="b">
        <v>0</v>
      </c>
      <c r="N7424" s="2" t="str">
        <f t="shared" si="663"/>
        <v/>
      </c>
      <c r="Q7424" t="str">
        <f t="shared" si="668"/>
        <v/>
      </c>
    </row>
    <row r="7425" spans="1:17" hidden="1">
      <c r="A7425" t="s">
        <v>7530</v>
      </c>
      <c r="B7425" s="1">
        <v>45907</v>
      </c>
      <c r="C7425">
        <v>2025</v>
      </c>
      <c r="D7425">
        <v>9</v>
      </c>
      <c r="E7425" t="s">
        <v>23</v>
      </c>
      <c r="F7425" t="s">
        <v>14</v>
      </c>
      <c r="G7425" t="s">
        <v>30</v>
      </c>
      <c r="H7425" t="s">
        <v>33</v>
      </c>
      <c r="I7425">
        <v>4017.5</v>
      </c>
      <c r="J7425">
        <v>4416.43</v>
      </c>
      <c r="K7425" t="s">
        <v>17</v>
      </c>
      <c r="L7425" t="b">
        <v>0</v>
      </c>
      <c r="N7425" s="2" t="str">
        <f t="shared" si="663"/>
        <v/>
      </c>
      <c r="Q7425" t="str">
        <f t="shared" si="668"/>
        <v/>
      </c>
    </row>
    <row r="7426" spans="1:17" hidden="1">
      <c r="A7426" t="s">
        <v>7531</v>
      </c>
      <c r="B7426" s="1">
        <v>45907</v>
      </c>
      <c r="C7426">
        <v>2025</v>
      </c>
      <c r="D7426">
        <v>9</v>
      </c>
      <c r="E7426" t="s">
        <v>37</v>
      </c>
      <c r="F7426" t="s">
        <v>14</v>
      </c>
      <c r="G7426" t="s">
        <v>38</v>
      </c>
      <c r="H7426" t="s">
        <v>118</v>
      </c>
      <c r="I7426">
        <v>5394.7</v>
      </c>
      <c r="J7426">
        <v>5582.32</v>
      </c>
      <c r="K7426" t="s">
        <v>17</v>
      </c>
      <c r="L7426" t="b">
        <v>0</v>
      </c>
      <c r="N7426" s="2" t="str">
        <f t="shared" si="663"/>
        <v/>
      </c>
      <c r="Q7426" t="str">
        <f t="shared" si="668"/>
        <v/>
      </c>
    </row>
    <row r="7427" spans="1:17" hidden="1">
      <c r="A7427" t="s">
        <v>7532</v>
      </c>
      <c r="B7427" s="1">
        <v>45908</v>
      </c>
      <c r="C7427">
        <v>2025</v>
      </c>
      <c r="D7427">
        <v>9</v>
      </c>
      <c r="E7427" t="s">
        <v>13</v>
      </c>
      <c r="F7427" t="s">
        <v>14</v>
      </c>
      <c r="G7427" t="s">
        <v>102</v>
      </c>
      <c r="H7427" t="s">
        <v>145</v>
      </c>
      <c r="I7427">
        <v>2910.1</v>
      </c>
      <c r="J7427">
        <v>2835.33</v>
      </c>
      <c r="K7427" t="s">
        <v>17</v>
      </c>
      <c r="L7427" t="b">
        <v>0</v>
      </c>
      <c r="N7427" s="2" t="str">
        <f t="shared" ref="N7427:N7490" si="670">IF(AND(E7427="IT",K7427="EXPENSE"),I7427&gt;J7427,"")</f>
        <v/>
      </c>
      <c r="Q7427" t="str">
        <f t="shared" si="668"/>
        <v/>
      </c>
    </row>
    <row r="7428" spans="1:17" hidden="1">
      <c r="A7428" t="s">
        <v>7533</v>
      </c>
      <c r="B7428" s="1">
        <v>45908</v>
      </c>
      <c r="C7428">
        <v>2025</v>
      </c>
      <c r="D7428">
        <v>9</v>
      </c>
      <c r="E7428" t="s">
        <v>13</v>
      </c>
      <c r="F7428" t="s">
        <v>14</v>
      </c>
      <c r="G7428" t="s">
        <v>68</v>
      </c>
      <c r="H7428" t="s">
        <v>87</v>
      </c>
      <c r="I7428">
        <v>4608.54</v>
      </c>
      <c r="J7428">
        <v>4721.62</v>
      </c>
      <c r="K7428" t="s">
        <v>17</v>
      </c>
      <c r="L7428" t="b">
        <v>0</v>
      </c>
      <c r="N7428" s="2" t="str">
        <f t="shared" si="670"/>
        <v/>
      </c>
      <c r="Q7428" t="str">
        <f t="shared" si="668"/>
        <v/>
      </c>
    </row>
    <row r="7429" spans="1:17" hidden="1">
      <c r="A7429" t="s">
        <v>7534</v>
      </c>
      <c r="B7429" s="1">
        <v>45908</v>
      </c>
      <c r="C7429">
        <v>2025</v>
      </c>
      <c r="D7429">
        <v>9</v>
      </c>
      <c r="E7429" t="s">
        <v>13</v>
      </c>
      <c r="F7429" t="s">
        <v>24</v>
      </c>
      <c r="G7429" t="s">
        <v>68</v>
      </c>
      <c r="H7429" t="s">
        <v>69</v>
      </c>
      <c r="I7429">
        <v>1433.44</v>
      </c>
      <c r="J7429">
        <v>1313.71</v>
      </c>
      <c r="K7429" t="s">
        <v>17</v>
      </c>
      <c r="L7429" t="b">
        <v>0</v>
      </c>
      <c r="N7429" s="2" t="str">
        <f t="shared" si="670"/>
        <v/>
      </c>
      <c r="Q7429" t="str">
        <f t="shared" si="668"/>
        <v/>
      </c>
    </row>
    <row r="7430" spans="1:17" hidden="1">
      <c r="A7430" t="s">
        <v>7535</v>
      </c>
      <c r="B7430" s="1">
        <v>45908</v>
      </c>
      <c r="C7430">
        <v>2025</v>
      </c>
      <c r="D7430">
        <v>9</v>
      </c>
      <c r="E7430" t="s">
        <v>47</v>
      </c>
      <c r="F7430" t="s">
        <v>28</v>
      </c>
      <c r="G7430" t="s">
        <v>77</v>
      </c>
      <c r="H7430" t="s">
        <v>130</v>
      </c>
      <c r="I7430">
        <v>8933.66</v>
      </c>
      <c r="J7430">
        <v>7515.92</v>
      </c>
      <c r="K7430" t="s">
        <v>17</v>
      </c>
      <c r="L7430" t="b">
        <v>0</v>
      </c>
      <c r="N7430" s="2" t="b">
        <f t="shared" si="670"/>
        <v>1</v>
      </c>
      <c r="O7430" t="str">
        <f t="shared" ref="O7430:O7431" si="671">IF(AND(E7419="HR",K7419="EXPENSE"),I7419&lt;J7419,"")</f>
        <v/>
      </c>
      <c r="Q7430" t="str">
        <f t="shared" si="668"/>
        <v/>
      </c>
    </row>
    <row r="7431" spans="1:17" hidden="1">
      <c r="A7431" t="s">
        <v>7536</v>
      </c>
      <c r="B7431" s="1">
        <v>45908</v>
      </c>
      <c r="C7431">
        <v>2025</v>
      </c>
      <c r="D7431">
        <v>9</v>
      </c>
      <c r="E7431" t="s">
        <v>47</v>
      </c>
      <c r="F7431" t="s">
        <v>24</v>
      </c>
      <c r="G7431" t="s">
        <v>77</v>
      </c>
      <c r="H7431" t="s">
        <v>147</v>
      </c>
      <c r="I7431">
        <v>26134.36</v>
      </c>
      <c r="J7431">
        <v>22710.69</v>
      </c>
      <c r="K7431" t="s">
        <v>17</v>
      </c>
      <c r="L7431" t="b">
        <v>0</v>
      </c>
      <c r="N7431" s="2" t="b">
        <f t="shared" si="670"/>
        <v>1</v>
      </c>
      <c r="O7431" t="str">
        <f t="shared" si="671"/>
        <v/>
      </c>
      <c r="Q7431" t="str">
        <f t="shared" si="668"/>
        <v/>
      </c>
    </row>
    <row r="7432" spans="1:17" hidden="1">
      <c r="A7432" t="s">
        <v>7537</v>
      </c>
      <c r="B7432" s="1">
        <v>45908</v>
      </c>
      <c r="C7432">
        <v>2025</v>
      </c>
      <c r="D7432">
        <v>9</v>
      </c>
      <c r="E7432" t="s">
        <v>19</v>
      </c>
      <c r="F7432" t="s">
        <v>14</v>
      </c>
      <c r="G7432" t="s">
        <v>132</v>
      </c>
      <c r="H7432" t="s">
        <v>138</v>
      </c>
      <c r="I7432">
        <v>7885.1</v>
      </c>
      <c r="J7432">
        <v>7813.87</v>
      </c>
      <c r="K7432" t="s">
        <v>17</v>
      </c>
      <c r="L7432" t="b">
        <v>0</v>
      </c>
      <c r="N7432" s="2" t="str">
        <f t="shared" si="670"/>
        <v/>
      </c>
      <c r="Q7432" t="str">
        <f t="shared" si="668"/>
        <v/>
      </c>
    </row>
    <row r="7433" spans="1:17" hidden="1">
      <c r="A7433" t="s">
        <v>7538</v>
      </c>
      <c r="B7433" s="1">
        <v>45908</v>
      </c>
      <c r="C7433">
        <v>2025</v>
      </c>
      <c r="D7433">
        <v>9</v>
      </c>
      <c r="E7433" t="s">
        <v>23</v>
      </c>
      <c r="F7433" t="s">
        <v>24</v>
      </c>
      <c r="G7433" t="s">
        <v>141</v>
      </c>
      <c r="H7433" t="s">
        <v>142</v>
      </c>
      <c r="I7433">
        <v>4578.68</v>
      </c>
      <c r="J7433">
        <v>4606.8900000000003</v>
      </c>
      <c r="K7433" t="s">
        <v>17</v>
      </c>
      <c r="L7433" t="b">
        <v>0</v>
      </c>
      <c r="N7433" s="2" t="str">
        <f t="shared" si="670"/>
        <v/>
      </c>
      <c r="Q7433" t="str">
        <f t="shared" si="668"/>
        <v/>
      </c>
    </row>
    <row r="7434" spans="1:17" hidden="1">
      <c r="A7434" t="s">
        <v>7539</v>
      </c>
      <c r="B7434" s="1">
        <v>45908</v>
      </c>
      <c r="C7434">
        <v>2025</v>
      </c>
      <c r="D7434">
        <v>9</v>
      </c>
      <c r="E7434" t="s">
        <v>37</v>
      </c>
      <c r="F7434" t="s">
        <v>28</v>
      </c>
      <c r="G7434" t="s">
        <v>62</v>
      </c>
      <c r="H7434" t="s">
        <v>121</v>
      </c>
      <c r="I7434">
        <v>5622.16</v>
      </c>
      <c r="J7434">
        <v>5133.97</v>
      </c>
      <c r="K7434" t="s">
        <v>17</v>
      </c>
      <c r="L7434" t="b">
        <v>0</v>
      </c>
      <c r="N7434" s="2" t="str">
        <f t="shared" si="670"/>
        <v/>
      </c>
      <c r="Q7434" t="str">
        <f t="shared" si="668"/>
        <v/>
      </c>
    </row>
    <row r="7435" spans="1:17" hidden="1">
      <c r="A7435" t="s">
        <v>7540</v>
      </c>
      <c r="B7435" s="1">
        <v>45908</v>
      </c>
      <c r="C7435">
        <v>2025</v>
      </c>
      <c r="D7435">
        <v>9</v>
      </c>
      <c r="E7435" t="s">
        <v>37</v>
      </c>
      <c r="F7435" t="s">
        <v>28</v>
      </c>
      <c r="G7435" t="s">
        <v>62</v>
      </c>
      <c r="H7435" t="s">
        <v>360</v>
      </c>
      <c r="I7435">
        <v>4520.76</v>
      </c>
      <c r="J7435">
        <v>4365.88</v>
      </c>
      <c r="K7435" t="s">
        <v>17</v>
      </c>
      <c r="L7435" t="b">
        <v>0</v>
      </c>
      <c r="N7435" s="2" t="str">
        <f t="shared" si="670"/>
        <v/>
      </c>
      <c r="Q7435" t="str">
        <f t="shared" si="668"/>
        <v/>
      </c>
    </row>
    <row r="7436" spans="1:17" hidden="1">
      <c r="A7436" t="s">
        <v>7541</v>
      </c>
      <c r="B7436" s="1">
        <v>45909</v>
      </c>
      <c r="C7436">
        <v>2025</v>
      </c>
      <c r="D7436">
        <v>9</v>
      </c>
      <c r="E7436" t="s">
        <v>13</v>
      </c>
      <c r="F7436" t="s">
        <v>14</v>
      </c>
      <c r="G7436" t="s">
        <v>15</v>
      </c>
      <c r="H7436" t="s">
        <v>89</v>
      </c>
      <c r="I7436">
        <v>3326</v>
      </c>
      <c r="J7436">
        <v>3005.13</v>
      </c>
      <c r="K7436" t="s">
        <v>17</v>
      </c>
      <c r="L7436" t="b">
        <v>0</v>
      </c>
      <c r="N7436" s="2" t="str">
        <f t="shared" si="670"/>
        <v/>
      </c>
      <c r="Q7436" t="str">
        <f t="shared" si="668"/>
        <v/>
      </c>
    </row>
    <row r="7437" spans="1:17" hidden="1">
      <c r="A7437" t="s">
        <v>7542</v>
      </c>
      <c r="B7437" s="1">
        <v>45909</v>
      </c>
      <c r="C7437">
        <v>2025</v>
      </c>
      <c r="D7437">
        <v>9</v>
      </c>
      <c r="E7437" t="s">
        <v>13</v>
      </c>
      <c r="F7437" t="s">
        <v>14</v>
      </c>
      <c r="G7437" t="s">
        <v>68</v>
      </c>
      <c r="H7437" t="s">
        <v>87</v>
      </c>
      <c r="I7437">
        <v>3208.03</v>
      </c>
      <c r="J7437">
        <v>3017.45</v>
      </c>
      <c r="K7437" t="s">
        <v>17</v>
      </c>
      <c r="L7437" t="b">
        <v>0</v>
      </c>
      <c r="N7437" s="2" t="str">
        <f t="shared" si="670"/>
        <v/>
      </c>
      <c r="Q7437" t="str">
        <f t="shared" si="668"/>
        <v/>
      </c>
    </row>
    <row r="7438" spans="1:17" hidden="1">
      <c r="A7438" t="s">
        <v>7543</v>
      </c>
      <c r="B7438" s="1">
        <v>45909</v>
      </c>
      <c r="C7438">
        <v>2025</v>
      </c>
      <c r="D7438">
        <v>9</v>
      </c>
      <c r="E7438" t="s">
        <v>47</v>
      </c>
      <c r="F7438" t="s">
        <v>14</v>
      </c>
      <c r="G7438" t="s">
        <v>77</v>
      </c>
      <c r="H7438" t="s">
        <v>130</v>
      </c>
      <c r="I7438">
        <v>16495.36</v>
      </c>
      <c r="J7438">
        <v>13853.76</v>
      </c>
      <c r="K7438" t="s">
        <v>17</v>
      </c>
      <c r="L7438" t="b">
        <v>0</v>
      </c>
      <c r="N7438" s="2" t="b">
        <f t="shared" si="670"/>
        <v>1</v>
      </c>
      <c r="O7438" t="b">
        <f t="shared" ref="O7438:O7440" si="672">IF(AND(E7427="HR",K7427="EXPENSE"),I7427&lt;J7427,"")</f>
        <v>0</v>
      </c>
      <c r="Q7438" t="str">
        <f t="shared" si="668"/>
        <v/>
      </c>
    </row>
    <row r="7439" spans="1:17" hidden="1">
      <c r="A7439" t="s">
        <v>7544</v>
      </c>
      <c r="B7439" s="1">
        <v>45909</v>
      </c>
      <c r="C7439">
        <v>2025</v>
      </c>
      <c r="D7439">
        <v>9</v>
      </c>
      <c r="E7439" t="s">
        <v>47</v>
      </c>
      <c r="F7439" t="s">
        <v>28</v>
      </c>
      <c r="G7439" t="s">
        <v>77</v>
      </c>
      <c r="H7439" t="s">
        <v>78</v>
      </c>
      <c r="I7439">
        <v>11805.83</v>
      </c>
      <c r="J7439">
        <v>10155.42</v>
      </c>
      <c r="K7439" t="s">
        <v>17</v>
      </c>
      <c r="L7439" t="b">
        <v>0</v>
      </c>
      <c r="N7439" s="2" t="b">
        <f t="shared" si="670"/>
        <v>1</v>
      </c>
      <c r="O7439" t="b">
        <f t="shared" si="672"/>
        <v>1</v>
      </c>
      <c r="Q7439" t="str">
        <f t="shared" si="668"/>
        <v/>
      </c>
    </row>
    <row r="7440" spans="1:17" hidden="1">
      <c r="A7440" t="s">
        <v>7545</v>
      </c>
      <c r="B7440" s="1">
        <v>45909</v>
      </c>
      <c r="C7440">
        <v>2025</v>
      </c>
      <c r="D7440">
        <v>9</v>
      </c>
      <c r="E7440" t="s">
        <v>47</v>
      </c>
      <c r="F7440" t="s">
        <v>28</v>
      </c>
      <c r="G7440" t="s">
        <v>77</v>
      </c>
      <c r="H7440" t="s">
        <v>78</v>
      </c>
      <c r="I7440">
        <v>18003.87</v>
      </c>
      <c r="J7440">
        <v>15046.01</v>
      </c>
      <c r="K7440" t="s">
        <v>17</v>
      </c>
      <c r="L7440" t="b">
        <v>0</v>
      </c>
      <c r="N7440" s="2" t="b">
        <f t="shared" si="670"/>
        <v>1</v>
      </c>
      <c r="O7440" t="b">
        <f t="shared" si="672"/>
        <v>0</v>
      </c>
      <c r="Q7440" t="str">
        <f t="shared" si="668"/>
        <v/>
      </c>
    </row>
    <row r="7441" spans="1:17" hidden="1">
      <c r="A7441" t="s">
        <v>7546</v>
      </c>
      <c r="B7441" s="1">
        <v>45909</v>
      </c>
      <c r="C7441">
        <v>2025</v>
      </c>
      <c r="D7441">
        <v>9</v>
      </c>
      <c r="E7441" t="s">
        <v>19</v>
      </c>
      <c r="F7441" t="s">
        <v>24</v>
      </c>
      <c r="G7441" t="s">
        <v>20</v>
      </c>
      <c r="H7441" t="s">
        <v>174</v>
      </c>
      <c r="I7441">
        <v>6359.65</v>
      </c>
      <c r="J7441">
        <v>6241.33</v>
      </c>
      <c r="K7441" t="s">
        <v>17</v>
      </c>
      <c r="L7441" t="b">
        <v>0</v>
      </c>
      <c r="N7441" s="2" t="str">
        <f t="shared" si="670"/>
        <v/>
      </c>
      <c r="Q7441" t="str">
        <f t="shared" si="668"/>
        <v/>
      </c>
    </row>
    <row r="7442" spans="1:17" hidden="1">
      <c r="A7442" t="s">
        <v>7547</v>
      </c>
      <c r="B7442" s="1">
        <v>45909</v>
      </c>
      <c r="C7442">
        <v>2025</v>
      </c>
      <c r="D7442">
        <v>9</v>
      </c>
      <c r="E7442" t="s">
        <v>19</v>
      </c>
      <c r="F7442" t="s">
        <v>24</v>
      </c>
      <c r="G7442" t="s">
        <v>54</v>
      </c>
      <c r="H7442" t="s">
        <v>57</v>
      </c>
      <c r="I7442">
        <v>7732.97</v>
      </c>
      <c r="J7442">
        <v>7870.35</v>
      </c>
      <c r="K7442" t="s">
        <v>17</v>
      </c>
      <c r="L7442" t="b">
        <v>0</v>
      </c>
      <c r="N7442" s="2" t="str">
        <f t="shared" si="670"/>
        <v/>
      </c>
      <c r="Q7442" t="str">
        <f t="shared" si="668"/>
        <v/>
      </c>
    </row>
    <row r="7443" spans="1:17" hidden="1">
      <c r="A7443" t="s">
        <v>7548</v>
      </c>
      <c r="B7443" s="1">
        <v>45909</v>
      </c>
      <c r="C7443">
        <v>2025</v>
      </c>
      <c r="D7443">
        <v>9</v>
      </c>
      <c r="E7443" t="s">
        <v>19</v>
      </c>
      <c r="F7443" t="s">
        <v>24</v>
      </c>
      <c r="G7443" t="s">
        <v>20</v>
      </c>
      <c r="H7443" t="s">
        <v>174</v>
      </c>
      <c r="I7443">
        <v>6746.12</v>
      </c>
      <c r="J7443">
        <v>6722.32</v>
      </c>
      <c r="K7443" t="s">
        <v>17</v>
      </c>
      <c r="L7443" t="b">
        <v>0</v>
      </c>
      <c r="N7443" s="2" t="str">
        <f t="shared" si="670"/>
        <v/>
      </c>
      <c r="Q7443" t="str">
        <f t="shared" si="668"/>
        <v/>
      </c>
    </row>
    <row r="7444" spans="1:17" hidden="1">
      <c r="A7444" t="s">
        <v>7549</v>
      </c>
      <c r="B7444" s="1">
        <v>45909</v>
      </c>
      <c r="C7444">
        <v>2025</v>
      </c>
      <c r="D7444">
        <v>9</v>
      </c>
      <c r="E7444" t="s">
        <v>23</v>
      </c>
      <c r="F7444" t="s">
        <v>14</v>
      </c>
      <c r="G7444" t="s">
        <v>30</v>
      </c>
      <c r="H7444" t="s">
        <v>31</v>
      </c>
      <c r="I7444">
        <v>4242.22</v>
      </c>
      <c r="J7444">
        <v>4443.82</v>
      </c>
      <c r="K7444" t="s">
        <v>17</v>
      </c>
      <c r="L7444" t="b">
        <v>0</v>
      </c>
      <c r="N7444" s="2" t="str">
        <f t="shared" si="670"/>
        <v/>
      </c>
      <c r="Q7444" t="str">
        <f t="shared" si="668"/>
        <v/>
      </c>
    </row>
    <row r="7445" spans="1:17" hidden="1">
      <c r="A7445" t="s">
        <v>7550</v>
      </c>
      <c r="B7445" s="1">
        <v>45909</v>
      </c>
      <c r="C7445">
        <v>2025</v>
      </c>
      <c r="D7445">
        <v>9</v>
      </c>
      <c r="E7445" t="s">
        <v>37</v>
      </c>
      <c r="F7445" t="s">
        <v>24</v>
      </c>
      <c r="G7445" t="s">
        <v>38</v>
      </c>
      <c r="H7445" t="s">
        <v>39</v>
      </c>
      <c r="I7445">
        <v>3056.06</v>
      </c>
      <c r="J7445">
        <v>3027.55</v>
      </c>
      <c r="K7445" t="s">
        <v>17</v>
      </c>
      <c r="L7445" t="b">
        <v>0</v>
      </c>
      <c r="N7445" s="2" t="str">
        <f t="shared" si="670"/>
        <v/>
      </c>
      <c r="Q7445" t="str">
        <f t="shared" si="668"/>
        <v/>
      </c>
    </row>
    <row r="7446" spans="1:17" hidden="1">
      <c r="A7446" t="s">
        <v>7551</v>
      </c>
      <c r="B7446" s="1">
        <v>45909</v>
      </c>
      <c r="C7446">
        <v>2025</v>
      </c>
      <c r="D7446">
        <v>9</v>
      </c>
      <c r="E7446" t="s">
        <v>37</v>
      </c>
      <c r="F7446" t="s">
        <v>28</v>
      </c>
      <c r="G7446" t="s">
        <v>83</v>
      </c>
      <c r="H7446" t="s">
        <v>84</v>
      </c>
      <c r="I7446">
        <v>163685.1</v>
      </c>
      <c r="J7446">
        <v>155500.84</v>
      </c>
      <c r="K7446" t="s">
        <v>85</v>
      </c>
      <c r="L7446" t="b">
        <v>0</v>
      </c>
      <c r="N7446" s="2" t="str">
        <f t="shared" si="670"/>
        <v/>
      </c>
      <c r="Q7446" t="str">
        <f t="shared" si="668"/>
        <v/>
      </c>
    </row>
    <row r="7447" spans="1:17" hidden="1">
      <c r="A7447" t="s">
        <v>7552</v>
      </c>
      <c r="B7447" s="1">
        <v>45910</v>
      </c>
      <c r="C7447">
        <v>2025</v>
      </c>
      <c r="D7447">
        <v>9</v>
      </c>
      <c r="E7447" t="s">
        <v>13</v>
      </c>
      <c r="F7447" t="s">
        <v>14</v>
      </c>
      <c r="G7447" t="s">
        <v>15</v>
      </c>
      <c r="H7447" t="s">
        <v>45</v>
      </c>
      <c r="I7447">
        <v>3285.85</v>
      </c>
      <c r="J7447">
        <v>3164.39</v>
      </c>
      <c r="K7447" t="s">
        <v>17</v>
      </c>
      <c r="L7447" t="b">
        <v>0</v>
      </c>
      <c r="N7447" s="2" t="str">
        <f t="shared" si="670"/>
        <v/>
      </c>
      <c r="Q7447" t="str">
        <f t="shared" si="668"/>
        <v/>
      </c>
    </row>
    <row r="7448" spans="1:17" hidden="1">
      <c r="A7448" t="s">
        <v>7553</v>
      </c>
      <c r="B7448" s="1">
        <v>45910</v>
      </c>
      <c r="C7448">
        <v>2025</v>
      </c>
      <c r="D7448">
        <v>9</v>
      </c>
      <c r="E7448" t="s">
        <v>13</v>
      </c>
      <c r="F7448" t="s">
        <v>28</v>
      </c>
      <c r="G7448" t="s">
        <v>102</v>
      </c>
      <c r="H7448" t="s">
        <v>145</v>
      </c>
      <c r="I7448">
        <v>3121.34</v>
      </c>
      <c r="J7448">
        <v>3430.08</v>
      </c>
      <c r="K7448" t="s">
        <v>17</v>
      </c>
      <c r="L7448" t="b">
        <v>0</v>
      </c>
      <c r="N7448" s="2" t="str">
        <f t="shared" si="670"/>
        <v/>
      </c>
      <c r="Q7448" t="str">
        <f t="shared" si="668"/>
        <v/>
      </c>
    </row>
    <row r="7449" spans="1:17" hidden="1">
      <c r="A7449" t="s">
        <v>7554</v>
      </c>
      <c r="B7449" s="1">
        <v>45910</v>
      </c>
      <c r="C7449">
        <v>2025</v>
      </c>
      <c r="D7449">
        <v>9</v>
      </c>
      <c r="E7449" t="s">
        <v>23</v>
      </c>
      <c r="F7449" t="s">
        <v>28</v>
      </c>
      <c r="G7449" t="s">
        <v>25</v>
      </c>
      <c r="H7449" t="s">
        <v>35</v>
      </c>
      <c r="I7449">
        <v>4493.63</v>
      </c>
      <c r="J7449">
        <v>4844.1000000000004</v>
      </c>
      <c r="K7449" t="s">
        <v>17</v>
      </c>
      <c r="L7449" t="b">
        <v>0</v>
      </c>
      <c r="N7449" s="2" t="str">
        <f t="shared" si="670"/>
        <v/>
      </c>
      <c r="Q7449" t="str">
        <f t="shared" si="668"/>
        <v/>
      </c>
    </row>
    <row r="7450" spans="1:17" hidden="1">
      <c r="A7450" t="s">
        <v>7555</v>
      </c>
      <c r="B7450" s="1">
        <v>45910</v>
      </c>
      <c r="C7450">
        <v>2025</v>
      </c>
      <c r="D7450">
        <v>9</v>
      </c>
      <c r="E7450" t="s">
        <v>23</v>
      </c>
      <c r="F7450" t="s">
        <v>24</v>
      </c>
      <c r="G7450" t="s">
        <v>141</v>
      </c>
      <c r="H7450" t="s">
        <v>209</v>
      </c>
      <c r="I7450">
        <v>7143.01</v>
      </c>
      <c r="J7450">
        <v>6896.8</v>
      </c>
      <c r="K7450" t="s">
        <v>17</v>
      </c>
      <c r="L7450" t="b">
        <v>0</v>
      </c>
      <c r="N7450" s="2" t="str">
        <f t="shared" si="670"/>
        <v/>
      </c>
      <c r="Q7450" t="str">
        <f t="shared" si="668"/>
        <v/>
      </c>
    </row>
    <row r="7451" spans="1:17" hidden="1">
      <c r="A7451" t="s">
        <v>7556</v>
      </c>
      <c r="B7451" s="1">
        <v>45910</v>
      </c>
      <c r="C7451">
        <v>2025</v>
      </c>
      <c r="D7451">
        <v>9</v>
      </c>
      <c r="E7451" t="s">
        <v>37</v>
      </c>
      <c r="F7451" t="s">
        <v>28</v>
      </c>
      <c r="G7451" t="s">
        <v>62</v>
      </c>
      <c r="H7451" t="s">
        <v>360</v>
      </c>
      <c r="I7451">
        <v>4419.3999999999996</v>
      </c>
      <c r="J7451">
        <v>4380.7299999999996</v>
      </c>
      <c r="K7451" t="s">
        <v>17</v>
      </c>
      <c r="L7451" t="b">
        <v>0</v>
      </c>
      <c r="N7451" s="2" t="str">
        <f t="shared" si="670"/>
        <v/>
      </c>
      <c r="Q7451" t="str">
        <f t="shared" si="668"/>
        <v/>
      </c>
    </row>
    <row r="7452" spans="1:17" hidden="1">
      <c r="A7452" t="s">
        <v>7557</v>
      </c>
      <c r="B7452" s="1">
        <v>45910</v>
      </c>
      <c r="C7452">
        <v>2025</v>
      </c>
      <c r="D7452">
        <v>9</v>
      </c>
      <c r="E7452" t="s">
        <v>37</v>
      </c>
      <c r="F7452" t="s">
        <v>28</v>
      </c>
      <c r="G7452" t="s">
        <v>38</v>
      </c>
      <c r="H7452" t="s">
        <v>118</v>
      </c>
      <c r="I7452">
        <v>2473.4299999999998</v>
      </c>
      <c r="J7452">
        <v>2470.25</v>
      </c>
      <c r="K7452" t="s">
        <v>17</v>
      </c>
      <c r="L7452" t="b">
        <v>0</v>
      </c>
      <c r="N7452" s="2" t="str">
        <f t="shared" si="670"/>
        <v/>
      </c>
      <c r="Q7452" t="str">
        <f t="shared" si="668"/>
        <v/>
      </c>
    </row>
    <row r="7453" spans="1:17" hidden="1">
      <c r="A7453" t="s">
        <v>7558</v>
      </c>
      <c r="B7453" s="1">
        <v>45911</v>
      </c>
      <c r="C7453">
        <v>2025</v>
      </c>
      <c r="D7453">
        <v>9</v>
      </c>
      <c r="E7453" t="s">
        <v>13</v>
      </c>
      <c r="F7453" t="s">
        <v>14</v>
      </c>
      <c r="G7453" t="s">
        <v>15</v>
      </c>
      <c r="H7453" t="s">
        <v>45</v>
      </c>
      <c r="I7453">
        <v>3623.75</v>
      </c>
      <c r="J7453">
        <v>3334.08</v>
      </c>
      <c r="K7453" t="s">
        <v>17</v>
      </c>
      <c r="L7453" t="b">
        <v>0</v>
      </c>
      <c r="N7453" s="2" t="str">
        <f t="shared" si="670"/>
        <v/>
      </c>
      <c r="Q7453" t="str">
        <f t="shared" si="668"/>
        <v/>
      </c>
    </row>
    <row r="7454" spans="1:17" hidden="1">
      <c r="A7454" t="s">
        <v>7559</v>
      </c>
      <c r="B7454" s="1">
        <v>45911</v>
      </c>
      <c r="C7454">
        <v>2025</v>
      </c>
      <c r="D7454">
        <v>9</v>
      </c>
      <c r="E7454" t="s">
        <v>13</v>
      </c>
      <c r="F7454" t="s">
        <v>14</v>
      </c>
      <c r="G7454" t="s">
        <v>68</v>
      </c>
      <c r="H7454" t="s">
        <v>213</v>
      </c>
      <c r="I7454">
        <v>3834.54</v>
      </c>
      <c r="J7454">
        <v>3464.98</v>
      </c>
      <c r="K7454" t="s">
        <v>17</v>
      </c>
      <c r="L7454" t="b">
        <v>0</v>
      </c>
      <c r="N7454" s="2" t="str">
        <f t="shared" si="670"/>
        <v/>
      </c>
      <c r="Q7454" t="str">
        <f t="shared" si="668"/>
        <v/>
      </c>
    </row>
    <row r="7455" spans="1:17" hidden="1">
      <c r="A7455" t="s">
        <v>7560</v>
      </c>
      <c r="B7455" s="1">
        <v>45911</v>
      </c>
      <c r="C7455">
        <v>2025</v>
      </c>
      <c r="D7455">
        <v>9</v>
      </c>
      <c r="E7455" t="s">
        <v>13</v>
      </c>
      <c r="F7455" t="s">
        <v>28</v>
      </c>
      <c r="G7455" t="s">
        <v>108</v>
      </c>
      <c r="H7455" t="s">
        <v>126</v>
      </c>
      <c r="I7455">
        <v>3555.13</v>
      </c>
      <c r="J7455">
        <v>3313.72</v>
      </c>
      <c r="K7455" t="s">
        <v>17</v>
      </c>
      <c r="L7455" t="b">
        <v>0</v>
      </c>
      <c r="N7455" s="2" t="str">
        <f t="shared" si="670"/>
        <v/>
      </c>
      <c r="Q7455" t="str">
        <f t="shared" si="668"/>
        <v/>
      </c>
    </row>
    <row r="7456" spans="1:17" hidden="1">
      <c r="A7456" t="s">
        <v>7561</v>
      </c>
      <c r="B7456" s="1">
        <v>45911</v>
      </c>
      <c r="C7456">
        <v>2025</v>
      </c>
      <c r="D7456">
        <v>9</v>
      </c>
      <c r="E7456" t="s">
        <v>13</v>
      </c>
      <c r="F7456" t="s">
        <v>28</v>
      </c>
      <c r="G7456" t="s">
        <v>108</v>
      </c>
      <c r="H7456" t="s">
        <v>109</v>
      </c>
      <c r="I7456">
        <v>3246.13</v>
      </c>
      <c r="J7456">
        <v>3290.65</v>
      </c>
      <c r="K7456" t="s">
        <v>17</v>
      </c>
      <c r="L7456" t="b">
        <v>0</v>
      </c>
      <c r="N7456" s="2" t="str">
        <f t="shared" si="670"/>
        <v/>
      </c>
      <c r="Q7456" t="str">
        <f t="shared" si="668"/>
        <v/>
      </c>
    </row>
    <row r="7457" spans="1:17" hidden="1">
      <c r="A7457" t="s">
        <v>7562</v>
      </c>
      <c r="B7457" s="1">
        <v>45911</v>
      </c>
      <c r="C7457">
        <v>2025</v>
      </c>
      <c r="D7457">
        <v>9</v>
      </c>
      <c r="E7457" t="s">
        <v>47</v>
      </c>
      <c r="F7457" t="s">
        <v>14</v>
      </c>
      <c r="G7457" t="s">
        <v>51</v>
      </c>
      <c r="H7457" t="s">
        <v>52</v>
      </c>
      <c r="I7457">
        <v>12886.72</v>
      </c>
      <c r="J7457">
        <v>10939.98</v>
      </c>
      <c r="K7457" t="s">
        <v>17</v>
      </c>
      <c r="L7457" t="b">
        <v>0</v>
      </c>
      <c r="N7457" s="2" t="b">
        <f t="shared" si="670"/>
        <v>1</v>
      </c>
      <c r="O7457" t="str">
        <f t="shared" ref="O7457:O7458" si="673">IF(AND(E7446="HR",K7446="EXPENSE"),I7446&lt;J7446,"")</f>
        <v/>
      </c>
      <c r="Q7457" t="str">
        <f t="shared" si="668"/>
        <v/>
      </c>
    </row>
    <row r="7458" spans="1:17" hidden="1">
      <c r="A7458" t="s">
        <v>7563</v>
      </c>
      <c r="B7458" s="1">
        <v>45911</v>
      </c>
      <c r="C7458">
        <v>2025</v>
      </c>
      <c r="D7458">
        <v>9</v>
      </c>
      <c r="E7458" t="s">
        <v>47</v>
      </c>
      <c r="F7458" t="s">
        <v>28</v>
      </c>
      <c r="G7458" t="s">
        <v>51</v>
      </c>
      <c r="H7458" t="s">
        <v>52</v>
      </c>
      <c r="I7458">
        <v>20256.62</v>
      </c>
      <c r="J7458">
        <v>17160.150000000001</v>
      </c>
      <c r="K7458" t="s">
        <v>17</v>
      </c>
      <c r="L7458" t="b">
        <v>0</v>
      </c>
      <c r="N7458" s="2" t="b">
        <f t="shared" si="670"/>
        <v>1</v>
      </c>
      <c r="O7458" t="b">
        <f t="shared" si="673"/>
        <v>0</v>
      </c>
      <c r="Q7458" t="str">
        <f t="shared" si="668"/>
        <v/>
      </c>
    </row>
    <row r="7459" spans="1:17" hidden="1">
      <c r="A7459" t="s">
        <v>7564</v>
      </c>
      <c r="B7459" s="1">
        <v>45911</v>
      </c>
      <c r="C7459">
        <v>2025</v>
      </c>
      <c r="D7459">
        <v>9</v>
      </c>
      <c r="E7459" t="s">
        <v>23</v>
      </c>
      <c r="F7459" t="s">
        <v>14</v>
      </c>
      <c r="G7459" t="s">
        <v>30</v>
      </c>
      <c r="H7459" t="s">
        <v>106</v>
      </c>
      <c r="I7459">
        <v>1739.04</v>
      </c>
      <c r="J7459">
        <v>1775.17</v>
      </c>
      <c r="K7459" t="s">
        <v>17</v>
      </c>
      <c r="L7459" t="b">
        <v>0</v>
      </c>
      <c r="N7459" s="2" t="str">
        <f t="shared" si="670"/>
        <v/>
      </c>
      <c r="Q7459" t="str">
        <f t="shared" si="668"/>
        <v/>
      </c>
    </row>
    <row r="7460" spans="1:17" hidden="1">
      <c r="A7460" t="s">
        <v>7565</v>
      </c>
      <c r="B7460" s="1">
        <v>45911</v>
      </c>
      <c r="C7460">
        <v>2025</v>
      </c>
      <c r="D7460">
        <v>9</v>
      </c>
      <c r="E7460" t="s">
        <v>23</v>
      </c>
      <c r="F7460" t="s">
        <v>28</v>
      </c>
      <c r="G7460" t="s">
        <v>25</v>
      </c>
      <c r="H7460" t="s">
        <v>26</v>
      </c>
      <c r="I7460">
        <v>4975.8</v>
      </c>
      <c r="J7460">
        <v>4750.1000000000004</v>
      </c>
      <c r="K7460" t="s">
        <v>17</v>
      </c>
      <c r="L7460" t="b">
        <v>0</v>
      </c>
      <c r="N7460" s="2" t="str">
        <f t="shared" si="670"/>
        <v/>
      </c>
      <c r="Q7460" t="str">
        <f t="shared" si="668"/>
        <v/>
      </c>
    </row>
    <row r="7461" spans="1:17" hidden="1">
      <c r="A7461" t="s">
        <v>7566</v>
      </c>
      <c r="B7461" s="1">
        <v>45911</v>
      </c>
      <c r="C7461">
        <v>2025</v>
      </c>
      <c r="D7461">
        <v>9</v>
      </c>
      <c r="E7461" t="s">
        <v>37</v>
      </c>
      <c r="F7461" t="s">
        <v>24</v>
      </c>
      <c r="G7461" t="s">
        <v>83</v>
      </c>
      <c r="H7461" t="s">
        <v>84</v>
      </c>
      <c r="I7461">
        <v>119841.59</v>
      </c>
      <c r="J7461">
        <v>113849.52</v>
      </c>
      <c r="K7461" t="s">
        <v>85</v>
      </c>
      <c r="L7461" t="b">
        <v>0</v>
      </c>
      <c r="N7461" s="2" t="str">
        <f t="shared" si="670"/>
        <v/>
      </c>
      <c r="Q7461" t="str">
        <f t="shared" si="668"/>
        <v/>
      </c>
    </row>
    <row r="7462" spans="1:17" hidden="1">
      <c r="A7462" t="s">
        <v>7567</v>
      </c>
      <c r="B7462" s="1">
        <v>45912</v>
      </c>
      <c r="C7462">
        <v>2025</v>
      </c>
      <c r="D7462">
        <v>9</v>
      </c>
      <c r="E7462" t="s">
        <v>13</v>
      </c>
      <c r="F7462" t="s">
        <v>28</v>
      </c>
      <c r="G7462" t="s">
        <v>68</v>
      </c>
      <c r="H7462" t="s">
        <v>69</v>
      </c>
      <c r="I7462">
        <v>3482.26</v>
      </c>
      <c r="J7462">
        <v>3781.97</v>
      </c>
      <c r="K7462" t="s">
        <v>17</v>
      </c>
      <c r="L7462" t="b">
        <v>0</v>
      </c>
      <c r="N7462" s="2" t="str">
        <f t="shared" si="670"/>
        <v/>
      </c>
      <c r="Q7462" t="str">
        <f t="shared" si="668"/>
        <v/>
      </c>
    </row>
    <row r="7463" spans="1:17" hidden="1">
      <c r="A7463" t="s">
        <v>7568</v>
      </c>
      <c r="B7463" s="1">
        <v>45912</v>
      </c>
      <c r="C7463">
        <v>2025</v>
      </c>
      <c r="D7463">
        <v>9</v>
      </c>
      <c r="E7463" t="s">
        <v>13</v>
      </c>
      <c r="F7463" t="s">
        <v>28</v>
      </c>
      <c r="G7463" t="s">
        <v>15</v>
      </c>
      <c r="H7463" t="s">
        <v>16</v>
      </c>
      <c r="I7463">
        <v>3856.27</v>
      </c>
      <c r="J7463">
        <v>3776.5</v>
      </c>
      <c r="K7463" t="s">
        <v>17</v>
      </c>
      <c r="L7463" t="b">
        <v>0</v>
      </c>
      <c r="N7463" s="2" t="str">
        <f t="shared" si="670"/>
        <v/>
      </c>
      <c r="Q7463" t="str">
        <f t="shared" si="668"/>
        <v/>
      </c>
    </row>
    <row r="7464" spans="1:17" hidden="1">
      <c r="A7464" t="s">
        <v>7569</v>
      </c>
      <c r="B7464" s="1">
        <v>45912</v>
      </c>
      <c r="C7464">
        <v>2025</v>
      </c>
      <c r="D7464">
        <v>9</v>
      </c>
      <c r="E7464" t="s">
        <v>13</v>
      </c>
      <c r="F7464" t="s">
        <v>24</v>
      </c>
      <c r="G7464" t="s">
        <v>108</v>
      </c>
      <c r="H7464" t="s">
        <v>126</v>
      </c>
      <c r="I7464">
        <v>2491.62</v>
      </c>
      <c r="J7464">
        <v>2419.2600000000002</v>
      </c>
      <c r="K7464" t="s">
        <v>17</v>
      </c>
      <c r="L7464" t="b">
        <v>0</v>
      </c>
      <c r="N7464" s="2" t="str">
        <f t="shared" si="670"/>
        <v/>
      </c>
      <c r="Q7464" t="str">
        <f t="shared" si="668"/>
        <v/>
      </c>
    </row>
    <row r="7465" spans="1:17" hidden="1">
      <c r="A7465" t="s">
        <v>7570</v>
      </c>
      <c r="B7465" s="1">
        <v>45912</v>
      </c>
      <c r="C7465">
        <v>2025</v>
      </c>
      <c r="D7465">
        <v>9</v>
      </c>
      <c r="E7465" t="s">
        <v>47</v>
      </c>
      <c r="F7465" t="s">
        <v>24</v>
      </c>
      <c r="G7465" t="s">
        <v>51</v>
      </c>
      <c r="H7465" t="s">
        <v>52</v>
      </c>
      <c r="I7465">
        <v>14077.87</v>
      </c>
      <c r="J7465">
        <v>12153.85</v>
      </c>
      <c r="K7465" t="s">
        <v>17</v>
      </c>
      <c r="L7465" t="b">
        <v>0</v>
      </c>
      <c r="N7465" s="2" t="b">
        <f t="shared" si="670"/>
        <v>1</v>
      </c>
      <c r="O7465" t="b">
        <f>IF(AND(E7454="HR",K7454="EXPENSE"),I7454&lt;J7454,"")</f>
        <v>0</v>
      </c>
      <c r="Q7465" t="str">
        <f t="shared" si="668"/>
        <v/>
      </c>
    </row>
    <row r="7466" spans="1:17" hidden="1">
      <c r="A7466" t="s">
        <v>7571</v>
      </c>
      <c r="B7466" s="1">
        <v>45912</v>
      </c>
      <c r="C7466">
        <v>2025</v>
      </c>
      <c r="D7466">
        <v>9</v>
      </c>
      <c r="E7466" t="s">
        <v>19</v>
      </c>
      <c r="F7466" t="s">
        <v>14</v>
      </c>
      <c r="G7466" t="s">
        <v>20</v>
      </c>
      <c r="H7466" t="s">
        <v>174</v>
      </c>
      <c r="I7466">
        <v>5550.42</v>
      </c>
      <c r="J7466">
        <v>5793.43</v>
      </c>
      <c r="K7466" t="s">
        <v>17</v>
      </c>
      <c r="L7466" t="b">
        <v>0</v>
      </c>
      <c r="N7466" s="2" t="str">
        <f t="shared" si="670"/>
        <v/>
      </c>
      <c r="Q7466" t="str">
        <f t="shared" si="668"/>
        <v/>
      </c>
    </row>
    <row r="7467" spans="1:17" hidden="1">
      <c r="A7467" t="s">
        <v>7572</v>
      </c>
      <c r="B7467" s="1">
        <v>45912</v>
      </c>
      <c r="C7467">
        <v>2025</v>
      </c>
      <c r="D7467">
        <v>9</v>
      </c>
      <c r="E7467" t="s">
        <v>19</v>
      </c>
      <c r="F7467" t="s">
        <v>14</v>
      </c>
      <c r="G7467" t="s">
        <v>20</v>
      </c>
      <c r="H7467" t="s">
        <v>136</v>
      </c>
      <c r="I7467">
        <v>7337.57</v>
      </c>
      <c r="J7467">
        <v>8068.25</v>
      </c>
      <c r="K7467" t="s">
        <v>17</v>
      </c>
      <c r="L7467" t="b">
        <v>0</v>
      </c>
      <c r="N7467" s="2" t="str">
        <f t="shared" si="670"/>
        <v/>
      </c>
      <c r="Q7467" t="str">
        <f t="shared" si="668"/>
        <v/>
      </c>
    </row>
    <row r="7468" spans="1:17" hidden="1">
      <c r="A7468" t="s">
        <v>7573</v>
      </c>
      <c r="B7468" s="1">
        <v>45912</v>
      </c>
      <c r="C7468">
        <v>2025</v>
      </c>
      <c r="D7468">
        <v>9</v>
      </c>
      <c r="E7468" t="s">
        <v>23</v>
      </c>
      <c r="F7468" t="s">
        <v>24</v>
      </c>
      <c r="G7468" t="s">
        <v>30</v>
      </c>
      <c r="H7468" t="s">
        <v>33</v>
      </c>
      <c r="I7468">
        <v>5687.56</v>
      </c>
      <c r="J7468">
        <v>5873.3</v>
      </c>
      <c r="K7468" t="s">
        <v>17</v>
      </c>
      <c r="L7468" t="b">
        <v>0</v>
      </c>
      <c r="N7468" s="2" t="str">
        <f t="shared" si="670"/>
        <v/>
      </c>
      <c r="Q7468" t="str">
        <f t="shared" si="668"/>
        <v/>
      </c>
    </row>
    <row r="7469" spans="1:17" hidden="1">
      <c r="A7469" t="s">
        <v>7574</v>
      </c>
      <c r="B7469" s="1">
        <v>45912</v>
      </c>
      <c r="C7469">
        <v>2025</v>
      </c>
      <c r="D7469">
        <v>9</v>
      </c>
      <c r="E7469" t="s">
        <v>23</v>
      </c>
      <c r="F7469" t="s">
        <v>24</v>
      </c>
      <c r="G7469" t="s">
        <v>141</v>
      </c>
      <c r="H7469" t="s">
        <v>153</v>
      </c>
      <c r="I7469">
        <v>4788.0200000000004</v>
      </c>
      <c r="J7469">
        <v>4770.87</v>
      </c>
      <c r="K7469" t="s">
        <v>17</v>
      </c>
      <c r="L7469" t="b">
        <v>0</v>
      </c>
      <c r="N7469" s="2" t="str">
        <f t="shared" si="670"/>
        <v/>
      </c>
      <c r="Q7469" t="str">
        <f t="shared" si="668"/>
        <v/>
      </c>
    </row>
    <row r="7470" spans="1:17" hidden="1">
      <c r="A7470" t="s">
        <v>7575</v>
      </c>
      <c r="B7470" s="1">
        <v>45912</v>
      </c>
      <c r="C7470">
        <v>2025</v>
      </c>
      <c r="D7470">
        <v>9</v>
      </c>
      <c r="E7470" t="s">
        <v>37</v>
      </c>
      <c r="F7470" t="s">
        <v>14</v>
      </c>
      <c r="G7470" t="s">
        <v>62</v>
      </c>
      <c r="H7470" t="s">
        <v>63</v>
      </c>
      <c r="I7470">
        <v>5544.58</v>
      </c>
      <c r="J7470">
        <v>5512.08</v>
      </c>
      <c r="K7470" t="s">
        <v>17</v>
      </c>
      <c r="L7470" t="b">
        <v>0</v>
      </c>
      <c r="N7470" s="2" t="str">
        <f t="shared" si="670"/>
        <v/>
      </c>
      <c r="Q7470" t="str">
        <f t="shared" si="668"/>
        <v/>
      </c>
    </row>
    <row r="7471" spans="1:17" hidden="1">
      <c r="A7471" t="s">
        <v>7576</v>
      </c>
      <c r="B7471" s="1">
        <v>45912</v>
      </c>
      <c r="C7471">
        <v>2025</v>
      </c>
      <c r="D7471">
        <v>9</v>
      </c>
      <c r="E7471" t="s">
        <v>37</v>
      </c>
      <c r="F7471" t="s">
        <v>14</v>
      </c>
      <c r="G7471" t="s">
        <v>62</v>
      </c>
      <c r="H7471" t="s">
        <v>66</v>
      </c>
      <c r="I7471">
        <v>7215.59</v>
      </c>
      <c r="J7471">
        <v>6786.88</v>
      </c>
      <c r="K7471" t="s">
        <v>17</v>
      </c>
      <c r="L7471" t="b">
        <v>0</v>
      </c>
      <c r="N7471" s="2" t="str">
        <f t="shared" si="670"/>
        <v/>
      </c>
      <c r="Q7471" t="str">
        <f t="shared" si="668"/>
        <v/>
      </c>
    </row>
    <row r="7472" spans="1:17" hidden="1">
      <c r="A7472" t="s">
        <v>7577</v>
      </c>
      <c r="B7472" s="1">
        <v>45912</v>
      </c>
      <c r="C7472">
        <v>2025</v>
      </c>
      <c r="D7472">
        <v>9</v>
      </c>
      <c r="E7472" t="s">
        <v>37</v>
      </c>
      <c r="F7472" t="s">
        <v>28</v>
      </c>
      <c r="G7472" t="s">
        <v>41</v>
      </c>
      <c r="H7472" t="s">
        <v>42</v>
      </c>
      <c r="I7472">
        <v>4264.33</v>
      </c>
      <c r="J7472">
        <v>4180.5600000000004</v>
      </c>
      <c r="K7472" t="s">
        <v>17</v>
      </c>
      <c r="L7472" t="b">
        <v>0</v>
      </c>
      <c r="N7472" s="2" t="str">
        <f t="shared" si="670"/>
        <v/>
      </c>
      <c r="Q7472" t="str">
        <f t="shared" ref="Q7472:Q7535" si="674">IF(L7472=TRUE,OR(H7472="Apex Solutions Inc",H7472="Global Trade Partners",H7472="NovaTech Services"),"")</f>
        <v/>
      </c>
    </row>
    <row r="7473" spans="1:17" hidden="1">
      <c r="A7473" t="s">
        <v>7578</v>
      </c>
      <c r="B7473" s="1">
        <v>45913</v>
      </c>
      <c r="C7473">
        <v>2025</v>
      </c>
      <c r="D7473">
        <v>9</v>
      </c>
      <c r="E7473" t="s">
        <v>13</v>
      </c>
      <c r="F7473" t="s">
        <v>28</v>
      </c>
      <c r="G7473" t="s">
        <v>102</v>
      </c>
      <c r="H7473" t="s">
        <v>145</v>
      </c>
      <c r="I7473">
        <v>2655.05</v>
      </c>
      <c r="J7473">
        <v>2660.57</v>
      </c>
      <c r="K7473" t="s">
        <v>17</v>
      </c>
      <c r="L7473" t="b">
        <v>0</v>
      </c>
      <c r="N7473" s="2" t="str">
        <f t="shared" si="670"/>
        <v/>
      </c>
      <c r="Q7473" t="str">
        <f t="shared" si="674"/>
        <v/>
      </c>
    </row>
    <row r="7474" spans="1:17" hidden="1">
      <c r="A7474" t="s">
        <v>7579</v>
      </c>
      <c r="B7474" s="1">
        <v>45913</v>
      </c>
      <c r="C7474">
        <v>2025</v>
      </c>
      <c r="D7474">
        <v>9</v>
      </c>
      <c r="E7474" t="s">
        <v>47</v>
      </c>
      <c r="F7474" t="s">
        <v>14</v>
      </c>
      <c r="G7474" t="s">
        <v>48</v>
      </c>
      <c r="H7474" t="s">
        <v>111</v>
      </c>
      <c r="I7474">
        <v>7384.31</v>
      </c>
      <c r="J7474">
        <v>6410.54</v>
      </c>
      <c r="K7474" t="s">
        <v>17</v>
      </c>
      <c r="L7474" t="b">
        <v>0</v>
      </c>
      <c r="N7474" s="2" t="b">
        <f t="shared" si="670"/>
        <v>1</v>
      </c>
      <c r="O7474" t="b">
        <f t="shared" ref="O7474:O7476" si="675">IF(AND(E7463="HR",K7463="EXPENSE"),I7463&lt;J7463,"")</f>
        <v>0</v>
      </c>
      <c r="Q7474" t="str">
        <f t="shared" si="674"/>
        <v/>
      </c>
    </row>
    <row r="7475" spans="1:17" hidden="1">
      <c r="A7475" t="s">
        <v>7580</v>
      </c>
      <c r="B7475" s="1">
        <v>45913</v>
      </c>
      <c r="C7475">
        <v>2025</v>
      </c>
      <c r="D7475">
        <v>9</v>
      </c>
      <c r="E7475" t="s">
        <v>47</v>
      </c>
      <c r="F7475" t="s">
        <v>14</v>
      </c>
      <c r="G7475" t="s">
        <v>77</v>
      </c>
      <c r="H7475" t="s">
        <v>147</v>
      </c>
      <c r="I7475">
        <v>10832.68</v>
      </c>
      <c r="J7475">
        <v>9394.08</v>
      </c>
      <c r="K7475" t="s">
        <v>17</v>
      </c>
      <c r="L7475" t="b">
        <v>0</v>
      </c>
      <c r="N7475" s="2" t="b">
        <f t="shared" si="670"/>
        <v>1</v>
      </c>
      <c r="O7475" t="b">
        <f t="shared" si="675"/>
        <v>0</v>
      </c>
      <c r="Q7475" t="str">
        <f t="shared" si="674"/>
        <v/>
      </c>
    </row>
    <row r="7476" spans="1:17" hidden="1">
      <c r="A7476" t="s">
        <v>7581</v>
      </c>
      <c r="B7476" s="1">
        <v>45913</v>
      </c>
      <c r="C7476">
        <v>2025</v>
      </c>
      <c r="D7476">
        <v>9</v>
      </c>
      <c r="E7476" t="s">
        <v>47</v>
      </c>
      <c r="F7476" t="s">
        <v>28</v>
      </c>
      <c r="G7476" t="s">
        <v>48</v>
      </c>
      <c r="H7476" t="s">
        <v>49</v>
      </c>
      <c r="I7476">
        <v>16826.5</v>
      </c>
      <c r="J7476">
        <v>14000.07</v>
      </c>
      <c r="K7476" t="s">
        <v>17</v>
      </c>
      <c r="L7476" t="b">
        <v>0</v>
      </c>
      <c r="N7476" s="2" t="b">
        <f t="shared" si="670"/>
        <v>1</v>
      </c>
      <c r="O7476" t="str">
        <f t="shared" si="675"/>
        <v/>
      </c>
      <c r="Q7476" t="str">
        <f t="shared" si="674"/>
        <v/>
      </c>
    </row>
    <row r="7477" spans="1:17" hidden="1">
      <c r="A7477" t="s">
        <v>7582</v>
      </c>
      <c r="B7477" s="1">
        <v>45913</v>
      </c>
      <c r="C7477">
        <v>2025</v>
      </c>
      <c r="D7477">
        <v>9</v>
      </c>
      <c r="E7477" t="s">
        <v>37</v>
      </c>
      <c r="F7477" t="s">
        <v>14</v>
      </c>
      <c r="G7477" t="s">
        <v>41</v>
      </c>
      <c r="H7477" t="s">
        <v>42</v>
      </c>
      <c r="I7477">
        <v>6285.92</v>
      </c>
      <c r="J7477">
        <v>5680.68</v>
      </c>
      <c r="K7477" t="s">
        <v>17</v>
      </c>
      <c r="L7477" t="b">
        <v>0</v>
      </c>
      <c r="N7477" s="2" t="str">
        <f t="shared" si="670"/>
        <v/>
      </c>
      <c r="Q7477" t="str">
        <f t="shared" si="674"/>
        <v/>
      </c>
    </row>
    <row r="7478" spans="1:17" hidden="1">
      <c r="A7478" t="s">
        <v>7583</v>
      </c>
      <c r="B7478" s="1">
        <v>45913</v>
      </c>
      <c r="C7478">
        <v>2025</v>
      </c>
      <c r="D7478">
        <v>9</v>
      </c>
      <c r="E7478" t="s">
        <v>37</v>
      </c>
      <c r="F7478" t="s">
        <v>28</v>
      </c>
      <c r="G7478" t="s">
        <v>62</v>
      </c>
      <c r="H7478" t="s">
        <v>121</v>
      </c>
      <c r="I7478">
        <v>6559.53</v>
      </c>
      <c r="J7478">
        <v>6715.84</v>
      </c>
      <c r="K7478" t="s">
        <v>17</v>
      </c>
      <c r="L7478" t="b">
        <v>0</v>
      </c>
      <c r="N7478" s="2" t="str">
        <f t="shared" si="670"/>
        <v/>
      </c>
      <c r="Q7478" t="str">
        <f t="shared" si="674"/>
        <v/>
      </c>
    </row>
    <row r="7479" spans="1:17" hidden="1">
      <c r="A7479" t="s">
        <v>7584</v>
      </c>
      <c r="B7479" s="1">
        <v>45914</v>
      </c>
      <c r="C7479">
        <v>2025</v>
      </c>
      <c r="D7479">
        <v>9</v>
      </c>
      <c r="E7479" t="s">
        <v>13</v>
      </c>
      <c r="F7479" t="s">
        <v>28</v>
      </c>
      <c r="G7479" t="s">
        <v>102</v>
      </c>
      <c r="H7479" t="s">
        <v>103</v>
      </c>
      <c r="I7479">
        <v>2767.09</v>
      </c>
      <c r="J7479">
        <v>2865.89</v>
      </c>
      <c r="K7479" t="s">
        <v>17</v>
      </c>
      <c r="L7479" t="b">
        <v>0</v>
      </c>
      <c r="N7479" s="2" t="str">
        <f t="shared" si="670"/>
        <v/>
      </c>
      <c r="Q7479" t="str">
        <f t="shared" si="674"/>
        <v/>
      </c>
    </row>
    <row r="7480" spans="1:17" hidden="1">
      <c r="A7480" t="s">
        <v>7585</v>
      </c>
      <c r="B7480" s="1">
        <v>45914</v>
      </c>
      <c r="C7480">
        <v>2025</v>
      </c>
      <c r="D7480">
        <v>9</v>
      </c>
      <c r="E7480" t="s">
        <v>19</v>
      </c>
      <c r="F7480" t="s">
        <v>14</v>
      </c>
      <c r="G7480" t="s">
        <v>54</v>
      </c>
      <c r="H7480" t="s">
        <v>163</v>
      </c>
      <c r="I7480">
        <v>8781.6</v>
      </c>
      <c r="J7480">
        <v>8176.98</v>
      </c>
      <c r="K7480" t="s">
        <v>17</v>
      </c>
      <c r="L7480" t="b">
        <v>0</v>
      </c>
      <c r="N7480" s="2" t="str">
        <f t="shared" si="670"/>
        <v/>
      </c>
      <c r="Q7480" t="str">
        <f t="shared" si="674"/>
        <v/>
      </c>
    </row>
    <row r="7481" spans="1:17" hidden="1">
      <c r="A7481" t="s">
        <v>7586</v>
      </c>
      <c r="B7481" s="1">
        <v>45914</v>
      </c>
      <c r="C7481">
        <v>2025</v>
      </c>
      <c r="D7481">
        <v>9</v>
      </c>
      <c r="E7481" t="s">
        <v>19</v>
      </c>
      <c r="F7481" t="s">
        <v>24</v>
      </c>
      <c r="G7481" t="s">
        <v>54</v>
      </c>
      <c r="H7481" t="s">
        <v>55</v>
      </c>
      <c r="I7481">
        <v>7010.63</v>
      </c>
      <c r="J7481">
        <v>7053.76</v>
      </c>
      <c r="K7481" t="s">
        <v>17</v>
      </c>
      <c r="L7481" t="b">
        <v>0</v>
      </c>
      <c r="N7481" s="2" t="str">
        <f t="shared" si="670"/>
        <v/>
      </c>
      <c r="Q7481" t="str">
        <f t="shared" si="674"/>
        <v/>
      </c>
    </row>
    <row r="7482" spans="1:17" hidden="1">
      <c r="A7482" t="s">
        <v>7587</v>
      </c>
      <c r="B7482" s="1">
        <v>45914</v>
      </c>
      <c r="C7482">
        <v>2025</v>
      </c>
      <c r="D7482">
        <v>9</v>
      </c>
      <c r="E7482" t="s">
        <v>23</v>
      </c>
      <c r="F7482" t="s">
        <v>14</v>
      </c>
      <c r="G7482" t="s">
        <v>59</v>
      </c>
      <c r="H7482" t="s">
        <v>155</v>
      </c>
      <c r="I7482">
        <v>4997.79</v>
      </c>
      <c r="J7482">
        <v>4767.04</v>
      </c>
      <c r="K7482" t="s">
        <v>17</v>
      </c>
      <c r="L7482" t="b">
        <v>0</v>
      </c>
      <c r="N7482" s="2" t="str">
        <f t="shared" si="670"/>
        <v/>
      </c>
      <c r="Q7482" t="str">
        <f t="shared" si="674"/>
        <v/>
      </c>
    </row>
    <row r="7483" spans="1:17" hidden="1">
      <c r="A7483" t="s">
        <v>7588</v>
      </c>
      <c r="B7483" s="1">
        <v>45914</v>
      </c>
      <c r="C7483">
        <v>2025</v>
      </c>
      <c r="D7483">
        <v>9</v>
      </c>
      <c r="E7483" t="s">
        <v>23</v>
      </c>
      <c r="F7483" t="s">
        <v>14</v>
      </c>
      <c r="G7483" t="s">
        <v>141</v>
      </c>
      <c r="H7483" t="s">
        <v>153</v>
      </c>
      <c r="I7483">
        <v>7459.6</v>
      </c>
      <c r="J7483">
        <v>8135.15</v>
      </c>
      <c r="K7483" t="s">
        <v>17</v>
      </c>
      <c r="L7483" t="b">
        <v>0</v>
      </c>
      <c r="N7483" s="2" t="str">
        <f t="shared" si="670"/>
        <v/>
      </c>
      <c r="Q7483" t="str">
        <f t="shared" si="674"/>
        <v/>
      </c>
    </row>
    <row r="7484" spans="1:17" hidden="1">
      <c r="A7484" t="s">
        <v>7589</v>
      </c>
      <c r="B7484" s="1">
        <v>45914</v>
      </c>
      <c r="C7484">
        <v>2025</v>
      </c>
      <c r="D7484">
        <v>9</v>
      </c>
      <c r="E7484" t="s">
        <v>23</v>
      </c>
      <c r="F7484" t="s">
        <v>28</v>
      </c>
      <c r="G7484" t="s">
        <v>141</v>
      </c>
      <c r="H7484" t="s">
        <v>209</v>
      </c>
      <c r="I7484">
        <v>4356.84</v>
      </c>
      <c r="J7484">
        <v>4306.37</v>
      </c>
      <c r="K7484" t="s">
        <v>17</v>
      </c>
      <c r="L7484" t="b">
        <v>0</v>
      </c>
      <c r="N7484" s="2" t="str">
        <f t="shared" si="670"/>
        <v/>
      </c>
      <c r="Q7484" t="str">
        <f t="shared" si="674"/>
        <v/>
      </c>
    </row>
    <row r="7485" spans="1:17" hidden="1">
      <c r="A7485" t="s">
        <v>7590</v>
      </c>
      <c r="B7485" s="1">
        <v>45914</v>
      </c>
      <c r="C7485">
        <v>2025</v>
      </c>
      <c r="D7485">
        <v>9</v>
      </c>
      <c r="E7485" t="s">
        <v>37</v>
      </c>
      <c r="F7485" t="s">
        <v>14</v>
      </c>
      <c r="G7485" t="s">
        <v>98</v>
      </c>
      <c r="H7485" t="s">
        <v>185</v>
      </c>
      <c r="I7485">
        <v>7645.81</v>
      </c>
      <c r="J7485">
        <v>7072.2</v>
      </c>
      <c r="K7485" t="s">
        <v>17</v>
      </c>
      <c r="L7485" t="b">
        <v>0</v>
      </c>
      <c r="N7485" s="2" t="str">
        <f t="shared" si="670"/>
        <v/>
      </c>
      <c r="Q7485" t="str">
        <f t="shared" si="674"/>
        <v/>
      </c>
    </row>
    <row r="7486" spans="1:17" hidden="1">
      <c r="A7486" t="s">
        <v>7591</v>
      </c>
      <c r="B7486" s="1">
        <v>45914</v>
      </c>
      <c r="C7486">
        <v>2025</v>
      </c>
      <c r="D7486">
        <v>9</v>
      </c>
      <c r="E7486" t="s">
        <v>37</v>
      </c>
      <c r="F7486" t="s">
        <v>14</v>
      </c>
      <c r="G7486" t="s">
        <v>38</v>
      </c>
      <c r="H7486" t="s">
        <v>39</v>
      </c>
      <c r="I7486">
        <v>6169.51</v>
      </c>
      <c r="J7486">
        <v>6623.47</v>
      </c>
      <c r="K7486" t="s">
        <v>17</v>
      </c>
      <c r="L7486" t="b">
        <v>0</v>
      </c>
      <c r="N7486" s="2" t="str">
        <f t="shared" si="670"/>
        <v/>
      </c>
      <c r="Q7486" t="str">
        <f t="shared" si="674"/>
        <v/>
      </c>
    </row>
    <row r="7487" spans="1:17" hidden="1">
      <c r="A7487" t="s">
        <v>7592</v>
      </c>
      <c r="B7487" s="1">
        <v>45914</v>
      </c>
      <c r="C7487">
        <v>2025</v>
      </c>
      <c r="D7487">
        <v>9</v>
      </c>
      <c r="E7487" t="s">
        <v>37</v>
      </c>
      <c r="F7487" t="s">
        <v>14</v>
      </c>
      <c r="G7487" t="s">
        <v>98</v>
      </c>
      <c r="H7487" t="s">
        <v>185</v>
      </c>
      <c r="I7487">
        <v>6759.88</v>
      </c>
      <c r="J7487">
        <v>7332.08</v>
      </c>
      <c r="K7487" t="s">
        <v>17</v>
      </c>
      <c r="L7487" t="b">
        <v>0</v>
      </c>
      <c r="N7487" s="2" t="str">
        <f t="shared" si="670"/>
        <v/>
      </c>
      <c r="Q7487" t="str">
        <f t="shared" si="674"/>
        <v/>
      </c>
    </row>
    <row r="7488" spans="1:17" hidden="1">
      <c r="A7488" t="s">
        <v>7593</v>
      </c>
      <c r="B7488" s="1">
        <v>45914</v>
      </c>
      <c r="C7488">
        <v>2025</v>
      </c>
      <c r="D7488">
        <v>9</v>
      </c>
      <c r="E7488" t="s">
        <v>37</v>
      </c>
      <c r="F7488" t="s">
        <v>28</v>
      </c>
      <c r="G7488" t="s">
        <v>98</v>
      </c>
      <c r="H7488" t="s">
        <v>185</v>
      </c>
      <c r="I7488">
        <v>5584.67</v>
      </c>
      <c r="J7488">
        <v>5696.99</v>
      </c>
      <c r="K7488" t="s">
        <v>17</v>
      </c>
      <c r="L7488" t="b">
        <v>0</v>
      </c>
      <c r="N7488" s="2" t="str">
        <f t="shared" si="670"/>
        <v/>
      </c>
      <c r="Q7488" t="str">
        <f t="shared" si="674"/>
        <v/>
      </c>
    </row>
    <row r="7489" spans="1:17" hidden="1">
      <c r="A7489" t="s">
        <v>7594</v>
      </c>
      <c r="B7489" s="1">
        <v>45914</v>
      </c>
      <c r="C7489">
        <v>2025</v>
      </c>
      <c r="D7489">
        <v>9</v>
      </c>
      <c r="E7489" t="s">
        <v>37</v>
      </c>
      <c r="F7489" t="s">
        <v>24</v>
      </c>
      <c r="G7489" t="s">
        <v>62</v>
      </c>
      <c r="H7489" t="s">
        <v>360</v>
      </c>
      <c r="I7489">
        <v>4754.82</v>
      </c>
      <c r="J7489">
        <v>4694.5600000000004</v>
      </c>
      <c r="K7489" t="s">
        <v>17</v>
      </c>
      <c r="L7489" t="b">
        <v>0</v>
      </c>
      <c r="N7489" s="2" t="str">
        <f t="shared" si="670"/>
        <v/>
      </c>
      <c r="Q7489" t="str">
        <f t="shared" si="674"/>
        <v/>
      </c>
    </row>
    <row r="7490" spans="1:17" hidden="1">
      <c r="A7490" t="s">
        <v>7595</v>
      </c>
      <c r="B7490" s="1">
        <v>45915</v>
      </c>
      <c r="C7490">
        <v>2025</v>
      </c>
      <c r="D7490">
        <v>9</v>
      </c>
      <c r="E7490" t="s">
        <v>13</v>
      </c>
      <c r="F7490" t="s">
        <v>28</v>
      </c>
      <c r="G7490" t="s">
        <v>15</v>
      </c>
      <c r="H7490" t="s">
        <v>89</v>
      </c>
      <c r="I7490">
        <v>3544.61</v>
      </c>
      <c r="J7490">
        <v>3629.92</v>
      </c>
      <c r="K7490" t="s">
        <v>17</v>
      </c>
      <c r="L7490" t="b">
        <v>0</v>
      </c>
      <c r="N7490" s="2" t="str">
        <f t="shared" si="670"/>
        <v/>
      </c>
      <c r="Q7490" t="str">
        <f t="shared" si="674"/>
        <v/>
      </c>
    </row>
    <row r="7491" spans="1:17" hidden="1">
      <c r="A7491" t="s">
        <v>7596</v>
      </c>
      <c r="B7491" s="1">
        <v>45915</v>
      </c>
      <c r="C7491">
        <v>2025</v>
      </c>
      <c r="D7491">
        <v>9</v>
      </c>
      <c r="E7491" t="s">
        <v>47</v>
      </c>
      <c r="F7491" t="s">
        <v>24</v>
      </c>
      <c r="G7491" t="s">
        <v>91</v>
      </c>
      <c r="H7491" t="s">
        <v>254</v>
      </c>
      <c r="I7491">
        <v>20822.28</v>
      </c>
      <c r="J7491">
        <v>17341.71</v>
      </c>
      <c r="K7491" t="s">
        <v>17</v>
      </c>
      <c r="L7491" t="b">
        <v>0</v>
      </c>
      <c r="N7491" s="2" t="b">
        <f t="shared" ref="N7491:N7554" si="676">IF(AND(E7491="IT",K7491="EXPENSE"),I7491&gt;J7491,"")</f>
        <v>1</v>
      </c>
      <c r="O7491" t="str">
        <f>IF(AND(E7480="HR",K7480="EXPENSE"),I7480&lt;J7480,"")</f>
        <v/>
      </c>
      <c r="Q7491" t="str">
        <f t="shared" si="674"/>
        <v/>
      </c>
    </row>
    <row r="7492" spans="1:17" hidden="1">
      <c r="A7492" t="s">
        <v>7597</v>
      </c>
      <c r="B7492" s="1">
        <v>45915</v>
      </c>
      <c r="C7492">
        <v>2025</v>
      </c>
      <c r="D7492">
        <v>9</v>
      </c>
      <c r="E7492" t="s">
        <v>23</v>
      </c>
      <c r="F7492" t="s">
        <v>14</v>
      </c>
      <c r="G7492" t="s">
        <v>30</v>
      </c>
      <c r="H7492" t="s">
        <v>31</v>
      </c>
      <c r="I7492">
        <v>5703.07</v>
      </c>
      <c r="J7492">
        <v>5682.63</v>
      </c>
      <c r="K7492" t="s">
        <v>17</v>
      </c>
      <c r="L7492" t="b">
        <v>0</v>
      </c>
      <c r="N7492" s="2" t="str">
        <f t="shared" si="676"/>
        <v/>
      </c>
      <c r="Q7492" t="str">
        <f t="shared" si="674"/>
        <v/>
      </c>
    </row>
    <row r="7493" spans="1:17" hidden="1">
      <c r="A7493" t="s">
        <v>7598</v>
      </c>
      <c r="B7493" s="1">
        <v>45915</v>
      </c>
      <c r="C7493">
        <v>2025</v>
      </c>
      <c r="D7493">
        <v>9</v>
      </c>
      <c r="E7493" t="s">
        <v>37</v>
      </c>
      <c r="F7493" t="s">
        <v>14</v>
      </c>
      <c r="G7493" t="s">
        <v>98</v>
      </c>
      <c r="H7493" t="s">
        <v>99</v>
      </c>
      <c r="I7493">
        <v>8200.77</v>
      </c>
      <c r="J7493">
        <v>8083.09</v>
      </c>
      <c r="K7493" t="s">
        <v>17</v>
      </c>
      <c r="L7493" t="b">
        <v>0</v>
      </c>
      <c r="N7493" s="2" t="str">
        <f t="shared" si="676"/>
        <v/>
      </c>
      <c r="Q7493" t="str">
        <f t="shared" si="674"/>
        <v/>
      </c>
    </row>
    <row r="7494" spans="1:17" hidden="1">
      <c r="A7494" t="s">
        <v>7599</v>
      </c>
      <c r="B7494" s="1">
        <v>45915</v>
      </c>
      <c r="C7494">
        <v>2025</v>
      </c>
      <c r="D7494">
        <v>9</v>
      </c>
      <c r="E7494" t="s">
        <v>37</v>
      </c>
      <c r="F7494" t="s">
        <v>24</v>
      </c>
      <c r="G7494" t="s">
        <v>41</v>
      </c>
      <c r="H7494" t="s">
        <v>42</v>
      </c>
      <c r="I7494">
        <v>4281.3900000000003</v>
      </c>
      <c r="J7494">
        <v>4281.12</v>
      </c>
      <c r="K7494" t="s">
        <v>17</v>
      </c>
      <c r="L7494" t="b">
        <v>0</v>
      </c>
      <c r="N7494" s="2" t="str">
        <f t="shared" si="676"/>
        <v/>
      </c>
      <c r="Q7494" t="str">
        <f t="shared" si="674"/>
        <v/>
      </c>
    </row>
    <row r="7495" spans="1:17" hidden="1">
      <c r="A7495" t="s">
        <v>7600</v>
      </c>
      <c r="B7495" s="1">
        <v>45916</v>
      </c>
      <c r="C7495">
        <v>2025</v>
      </c>
      <c r="D7495">
        <v>9</v>
      </c>
      <c r="E7495" t="s">
        <v>47</v>
      </c>
      <c r="F7495" t="s">
        <v>14</v>
      </c>
      <c r="G7495" t="s">
        <v>48</v>
      </c>
      <c r="H7495" t="s">
        <v>189</v>
      </c>
      <c r="I7495">
        <v>15147.16</v>
      </c>
      <c r="J7495">
        <v>12996.88</v>
      </c>
      <c r="K7495" t="s">
        <v>17</v>
      </c>
      <c r="L7495" t="b">
        <v>0</v>
      </c>
      <c r="N7495" s="2" t="b">
        <f t="shared" si="676"/>
        <v>1</v>
      </c>
      <c r="O7495" t="str">
        <f t="shared" ref="O7495:O7496" si="677">IF(AND(E7484="HR",K7484="EXPENSE"),I7484&lt;J7484,"")</f>
        <v/>
      </c>
      <c r="Q7495" t="str">
        <f t="shared" si="674"/>
        <v/>
      </c>
    </row>
    <row r="7496" spans="1:17" hidden="1">
      <c r="A7496" t="s">
        <v>7601</v>
      </c>
      <c r="B7496" s="1">
        <v>45916</v>
      </c>
      <c r="C7496">
        <v>2025</v>
      </c>
      <c r="D7496">
        <v>9</v>
      </c>
      <c r="E7496" t="s">
        <v>47</v>
      </c>
      <c r="F7496" t="s">
        <v>14</v>
      </c>
      <c r="G7496" t="s">
        <v>48</v>
      </c>
      <c r="H7496" t="s">
        <v>75</v>
      </c>
      <c r="I7496">
        <v>12812.62</v>
      </c>
      <c r="J7496">
        <v>10640.78</v>
      </c>
      <c r="K7496" t="s">
        <v>17</v>
      </c>
      <c r="L7496" t="b">
        <v>0</v>
      </c>
      <c r="N7496" s="2" t="b">
        <f t="shared" si="676"/>
        <v>1</v>
      </c>
      <c r="O7496" t="str">
        <f t="shared" si="677"/>
        <v/>
      </c>
      <c r="Q7496" t="str">
        <f t="shared" si="674"/>
        <v/>
      </c>
    </row>
    <row r="7497" spans="1:17" hidden="1">
      <c r="A7497" t="s">
        <v>7602</v>
      </c>
      <c r="B7497" s="1">
        <v>45916</v>
      </c>
      <c r="C7497">
        <v>2025</v>
      </c>
      <c r="D7497">
        <v>9</v>
      </c>
      <c r="E7497" t="s">
        <v>19</v>
      </c>
      <c r="F7497" t="s">
        <v>28</v>
      </c>
      <c r="G7497" t="s">
        <v>132</v>
      </c>
      <c r="H7497" t="s">
        <v>138</v>
      </c>
      <c r="I7497">
        <v>7424.4</v>
      </c>
      <c r="J7497">
        <v>7705.66</v>
      </c>
      <c r="K7497" t="s">
        <v>17</v>
      </c>
      <c r="L7497" t="b">
        <v>0</v>
      </c>
      <c r="N7497" s="2" t="str">
        <f t="shared" si="676"/>
        <v/>
      </c>
      <c r="Q7497" t="str">
        <f t="shared" si="674"/>
        <v/>
      </c>
    </row>
    <row r="7498" spans="1:17" hidden="1">
      <c r="A7498" t="s">
        <v>7603</v>
      </c>
      <c r="B7498" s="1">
        <v>45916</v>
      </c>
      <c r="C7498">
        <v>2025</v>
      </c>
      <c r="D7498">
        <v>9</v>
      </c>
      <c r="E7498" t="s">
        <v>37</v>
      </c>
      <c r="F7498" t="s">
        <v>14</v>
      </c>
      <c r="G7498" t="s">
        <v>98</v>
      </c>
      <c r="H7498" t="s">
        <v>99</v>
      </c>
      <c r="I7498">
        <v>6915.76</v>
      </c>
      <c r="J7498">
        <v>7171.19</v>
      </c>
      <c r="K7498" t="s">
        <v>17</v>
      </c>
      <c r="L7498" t="b">
        <v>0</v>
      </c>
      <c r="N7498" s="2" t="str">
        <f t="shared" si="676"/>
        <v/>
      </c>
      <c r="Q7498" t="str">
        <f t="shared" si="674"/>
        <v/>
      </c>
    </row>
    <row r="7499" spans="1:17" hidden="1">
      <c r="A7499" t="s">
        <v>7604</v>
      </c>
      <c r="B7499" s="1">
        <v>45917</v>
      </c>
      <c r="C7499">
        <v>2025</v>
      </c>
      <c r="D7499">
        <v>9</v>
      </c>
      <c r="E7499" t="s">
        <v>13</v>
      </c>
      <c r="F7499" t="s">
        <v>14</v>
      </c>
      <c r="G7499" t="s">
        <v>68</v>
      </c>
      <c r="H7499" t="s">
        <v>87</v>
      </c>
      <c r="I7499">
        <v>3022.81</v>
      </c>
      <c r="J7499">
        <v>3029.42</v>
      </c>
      <c r="K7499" t="s">
        <v>17</v>
      </c>
      <c r="L7499" t="b">
        <v>0</v>
      </c>
      <c r="N7499" s="2" t="str">
        <f t="shared" si="676"/>
        <v/>
      </c>
      <c r="Q7499" t="str">
        <f t="shared" si="674"/>
        <v/>
      </c>
    </row>
    <row r="7500" spans="1:17" hidden="1">
      <c r="A7500" t="s">
        <v>7605</v>
      </c>
      <c r="B7500" s="1">
        <v>45917</v>
      </c>
      <c r="C7500">
        <v>2025</v>
      </c>
      <c r="D7500">
        <v>9</v>
      </c>
      <c r="E7500" t="s">
        <v>13</v>
      </c>
      <c r="F7500" t="s">
        <v>24</v>
      </c>
      <c r="G7500" t="s">
        <v>108</v>
      </c>
      <c r="H7500" t="s">
        <v>123</v>
      </c>
      <c r="I7500">
        <v>2998.57</v>
      </c>
      <c r="J7500">
        <v>3203.95</v>
      </c>
      <c r="K7500" t="s">
        <v>17</v>
      </c>
      <c r="L7500" t="b">
        <v>0</v>
      </c>
      <c r="N7500" s="2" t="str">
        <f t="shared" si="676"/>
        <v/>
      </c>
      <c r="Q7500" t="str">
        <f t="shared" si="674"/>
        <v/>
      </c>
    </row>
    <row r="7501" spans="1:17" hidden="1">
      <c r="A7501" t="s">
        <v>7606</v>
      </c>
      <c r="B7501" s="1">
        <v>45917</v>
      </c>
      <c r="C7501">
        <v>2025</v>
      </c>
      <c r="D7501">
        <v>9</v>
      </c>
      <c r="E7501" t="s">
        <v>19</v>
      </c>
      <c r="F7501" t="s">
        <v>28</v>
      </c>
      <c r="G7501" t="s">
        <v>80</v>
      </c>
      <c r="H7501" t="s">
        <v>150</v>
      </c>
      <c r="I7501">
        <v>7828.34</v>
      </c>
      <c r="J7501">
        <v>8213.18</v>
      </c>
      <c r="K7501" t="s">
        <v>17</v>
      </c>
      <c r="L7501" t="b">
        <v>0</v>
      </c>
      <c r="N7501" s="2" t="str">
        <f t="shared" si="676"/>
        <v/>
      </c>
      <c r="Q7501" t="str">
        <f t="shared" si="674"/>
        <v/>
      </c>
    </row>
    <row r="7502" spans="1:17" hidden="1">
      <c r="A7502" t="s">
        <v>7607</v>
      </c>
      <c r="B7502" s="1">
        <v>45917</v>
      </c>
      <c r="C7502">
        <v>2025</v>
      </c>
      <c r="D7502">
        <v>9</v>
      </c>
      <c r="E7502" t="s">
        <v>23</v>
      </c>
      <c r="F7502" t="s">
        <v>14</v>
      </c>
      <c r="G7502" t="s">
        <v>25</v>
      </c>
      <c r="H7502" t="s">
        <v>35</v>
      </c>
      <c r="I7502">
        <v>5785.62</v>
      </c>
      <c r="J7502">
        <v>6159.32</v>
      </c>
      <c r="K7502" t="s">
        <v>17</v>
      </c>
      <c r="L7502" t="b">
        <v>0</v>
      </c>
      <c r="N7502" s="2" t="str">
        <f t="shared" si="676"/>
        <v/>
      </c>
      <c r="Q7502" t="str">
        <f t="shared" si="674"/>
        <v/>
      </c>
    </row>
    <row r="7503" spans="1:17" hidden="1">
      <c r="A7503" t="s">
        <v>7608</v>
      </c>
      <c r="B7503" s="1">
        <v>45917</v>
      </c>
      <c r="C7503">
        <v>2025</v>
      </c>
      <c r="D7503">
        <v>9</v>
      </c>
      <c r="E7503" t="s">
        <v>37</v>
      </c>
      <c r="F7503" t="s">
        <v>28</v>
      </c>
      <c r="G7503" t="s">
        <v>41</v>
      </c>
      <c r="H7503" t="s">
        <v>42</v>
      </c>
      <c r="I7503">
        <v>4023.89</v>
      </c>
      <c r="J7503">
        <v>3892.48</v>
      </c>
      <c r="K7503" t="s">
        <v>17</v>
      </c>
      <c r="L7503" t="b">
        <v>0</v>
      </c>
      <c r="N7503" s="2" t="str">
        <f t="shared" si="676"/>
        <v/>
      </c>
      <c r="Q7503" t="str">
        <f t="shared" si="674"/>
        <v/>
      </c>
    </row>
    <row r="7504" spans="1:17" hidden="1">
      <c r="A7504" t="s">
        <v>7609</v>
      </c>
      <c r="B7504" s="1">
        <v>45918</v>
      </c>
      <c r="C7504">
        <v>2025</v>
      </c>
      <c r="D7504">
        <v>9</v>
      </c>
      <c r="E7504" t="s">
        <v>13</v>
      </c>
      <c r="F7504" t="s">
        <v>24</v>
      </c>
      <c r="G7504" t="s">
        <v>68</v>
      </c>
      <c r="H7504" t="s">
        <v>87</v>
      </c>
      <c r="I7504">
        <v>3586.54</v>
      </c>
      <c r="J7504">
        <v>3764.19</v>
      </c>
      <c r="K7504" t="s">
        <v>17</v>
      </c>
      <c r="L7504" t="b">
        <v>0</v>
      </c>
      <c r="N7504" s="2" t="str">
        <f t="shared" si="676"/>
        <v/>
      </c>
      <c r="Q7504" t="str">
        <f t="shared" si="674"/>
        <v/>
      </c>
    </row>
    <row r="7505" spans="1:17" hidden="1">
      <c r="A7505" t="s">
        <v>7610</v>
      </c>
      <c r="B7505" s="1">
        <v>45918</v>
      </c>
      <c r="C7505">
        <v>2025</v>
      </c>
      <c r="D7505">
        <v>9</v>
      </c>
      <c r="E7505" t="s">
        <v>13</v>
      </c>
      <c r="F7505" t="s">
        <v>24</v>
      </c>
      <c r="G7505" t="s">
        <v>108</v>
      </c>
      <c r="H7505" t="s">
        <v>126</v>
      </c>
      <c r="I7505">
        <v>2309.87</v>
      </c>
      <c r="J7505">
        <v>2246.5</v>
      </c>
      <c r="K7505" t="s">
        <v>17</v>
      </c>
      <c r="L7505" t="b">
        <v>0</v>
      </c>
      <c r="N7505" s="2" t="str">
        <f t="shared" si="676"/>
        <v/>
      </c>
      <c r="Q7505" t="str">
        <f t="shared" si="674"/>
        <v/>
      </c>
    </row>
    <row r="7506" spans="1:17" hidden="1">
      <c r="A7506" t="s">
        <v>7611</v>
      </c>
      <c r="B7506" s="1">
        <v>45918</v>
      </c>
      <c r="C7506">
        <v>2025</v>
      </c>
      <c r="D7506">
        <v>9</v>
      </c>
      <c r="E7506" t="s">
        <v>19</v>
      </c>
      <c r="F7506" t="s">
        <v>14</v>
      </c>
      <c r="G7506" t="s">
        <v>132</v>
      </c>
      <c r="H7506" t="s">
        <v>171</v>
      </c>
      <c r="I7506">
        <v>3980.04</v>
      </c>
      <c r="J7506">
        <v>3925.11</v>
      </c>
      <c r="K7506" t="s">
        <v>17</v>
      </c>
      <c r="L7506" t="b">
        <v>0</v>
      </c>
      <c r="N7506" s="2" t="str">
        <f t="shared" si="676"/>
        <v/>
      </c>
      <c r="Q7506" t="str">
        <f t="shared" si="674"/>
        <v/>
      </c>
    </row>
    <row r="7507" spans="1:17" hidden="1">
      <c r="A7507" t="s">
        <v>7612</v>
      </c>
      <c r="B7507" s="1">
        <v>45918</v>
      </c>
      <c r="C7507">
        <v>2025</v>
      </c>
      <c r="D7507">
        <v>9</v>
      </c>
      <c r="E7507" t="s">
        <v>19</v>
      </c>
      <c r="F7507" t="s">
        <v>28</v>
      </c>
      <c r="G7507" t="s">
        <v>54</v>
      </c>
      <c r="H7507" t="s">
        <v>57</v>
      </c>
      <c r="I7507">
        <v>11554.26</v>
      </c>
      <c r="J7507">
        <v>12705.65</v>
      </c>
      <c r="K7507" t="s">
        <v>17</v>
      </c>
      <c r="L7507" t="b">
        <v>0</v>
      </c>
      <c r="N7507" s="2" t="str">
        <f t="shared" si="676"/>
        <v/>
      </c>
      <c r="Q7507" t="str">
        <f t="shared" si="674"/>
        <v/>
      </c>
    </row>
    <row r="7508" spans="1:17" hidden="1">
      <c r="A7508" t="s">
        <v>7613</v>
      </c>
      <c r="B7508" s="1">
        <v>45918</v>
      </c>
      <c r="C7508">
        <v>2025</v>
      </c>
      <c r="D7508">
        <v>9</v>
      </c>
      <c r="E7508" t="s">
        <v>19</v>
      </c>
      <c r="F7508" t="s">
        <v>28</v>
      </c>
      <c r="G7508" t="s">
        <v>20</v>
      </c>
      <c r="H7508" t="s">
        <v>174</v>
      </c>
      <c r="I7508">
        <v>9569.25</v>
      </c>
      <c r="J7508">
        <v>9757.2900000000009</v>
      </c>
      <c r="K7508" t="s">
        <v>17</v>
      </c>
      <c r="L7508" t="b">
        <v>0</v>
      </c>
      <c r="N7508" s="2" t="str">
        <f t="shared" si="676"/>
        <v/>
      </c>
      <c r="Q7508" t="str">
        <f t="shared" si="674"/>
        <v/>
      </c>
    </row>
    <row r="7509" spans="1:17" hidden="1">
      <c r="A7509" t="s">
        <v>7614</v>
      </c>
      <c r="B7509" s="1">
        <v>45919</v>
      </c>
      <c r="C7509">
        <v>2025</v>
      </c>
      <c r="D7509">
        <v>9</v>
      </c>
      <c r="E7509" t="s">
        <v>13</v>
      </c>
      <c r="F7509" t="s">
        <v>14</v>
      </c>
      <c r="G7509" t="s">
        <v>102</v>
      </c>
      <c r="H7509" t="s">
        <v>278</v>
      </c>
      <c r="I7509">
        <v>3881.18</v>
      </c>
      <c r="J7509">
        <v>3956.57</v>
      </c>
      <c r="K7509" t="s">
        <v>17</v>
      </c>
      <c r="L7509" t="b">
        <v>0</v>
      </c>
      <c r="N7509" s="2" t="str">
        <f t="shared" si="676"/>
        <v/>
      </c>
      <c r="Q7509" t="str">
        <f t="shared" si="674"/>
        <v/>
      </c>
    </row>
    <row r="7510" spans="1:17" hidden="1">
      <c r="A7510" t="s">
        <v>7615</v>
      </c>
      <c r="B7510" s="1">
        <v>45919</v>
      </c>
      <c r="C7510">
        <v>2025</v>
      </c>
      <c r="D7510">
        <v>9</v>
      </c>
      <c r="E7510" t="s">
        <v>13</v>
      </c>
      <c r="F7510" t="s">
        <v>28</v>
      </c>
      <c r="G7510" t="s">
        <v>102</v>
      </c>
      <c r="H7510" t="s">
        <v>145</v>
      </c>
      <c r="I7510">
        <v>2452.71</v>
      </c>
      <c r="J7510">
        <v>2448.5300000000002</v>
      </c>
      <c r="K7510" t="s">
        <v>17</v>
      </c>
      <c r="L7510" t="b">
        <v>0</v>
      </c>
      <c r="N7510" s="2" t="str">
        <f t="shared" si="676"/>
        <v/>
      </c>
      <c r="Q7510" t="str">
        <f t="shared" si="674"/>
        <v/>
      </c>
    </row>
    <row r="7511" spans="1:17" hidden="1">
      <c r="A7511" t="s">
        <v>7616</v>
      </c>
      <c r="B7511" s="1">
        <v>45919</v>
      </c>
      <c r="C7511">
        <v>2025</v>
      </c>
      <c r="D7511">
        <v>9</v>
      </c>
      <c r="E7511" t="s">
        <v>13</v>
      </c>
      <c r="F7511" t="s">
        <v>28</v>
      </c>
      <c r="G7511" t="s">
        <v>68</v>
      </c>
      <c r="H7511" t="s">
        <v>213</v>
      </c>
      <c r="I7511">
        <v>2536.4</v>
      </c>
      <c r="J7511">
        <v>2686.57</v>
      </c>
      <c r="K7511" t="s">
        <v>17</v>
      </c>
      <c r="L7511" t="b">
        <v>0</v>
      </c>
      <c r="N7511" s="2" t="str">
        <f t="shared" si="676"/>
        <v/>
      </c>
      <c r="Q7511" t="str">
        <f t="shared" si="674"/>
        <v/>
      </c>
    </row>
    <row r="7512" spans="1:17" hidden="1">
      <c r="A7512" t="s">
        <v>7617</v>
      </c>
      <c r="B7512" s="1">
        <v>45919</v>
      </c>
      <c r="C7512">
        <v>2025</v>
      </c>
      <c r="D7512">
        <v>9</v>
      </c>
      <c r="E7512" t="s">
        <v>13</v>
      </c>
      <c r="F7512" t="s">
        <v>24</v>
      </c>
      <c r="G7512" t="s">
        <v>68</v>
      </c>
      <c r="H7512" t="s">
        <v>87</v>
      </c>
      <c r="I7512">
        <v>2307.0700000000002</v>
      </c>
      <c r="J7512">
        <v>2156.0100000000002</v>
      </c>
      <c r="K7512" t="s">
        <v>17</v>
      </c>
      <c r="L7512" t="b">
        <v>0</v>
      </c>
      <c r="N7512" s="2" t="str">
        <f t="shared" si="676"/>
        <v/>
      </c>
      <c r="Q7512" t="str">
        <f t="shared" si="674"/>
        <v/>
      </c>
    </row>
    <row r="7513" spans="1:17" hidden="1">
      <c r="A7513" t="s">
        <v>7618</v>
      </c>
      <c r="B7513" s="1">
        <v>45919</v>
      </c>
      <c r="C7513">
        <v>2025</v>
      </c>
      <c r="D7513">
        <v>9</v>
      </c>
      <c r="E7513" t="s">
        <v>13</v>
      </c>
      <c r="F7513" t="s">
        <v>24</v>
      </c>
      <c r="G7513" t="s">
        <v>108</v>
      </c>
      <c r="H7513" t="s">
        <v>123</v>
      </c>
      <c r="I7513">
        <v>3360.78</v>
      </c>
      <c r="J7513">
        <v>3066.52</v>
      </c>
      <c r="K7513" t="s">
        <v>17</v>
      </c>
      <c r="L7513" t="b">
        <v>0</v>
      </c>
      <c r="N7513" s="2" t="str">
        <f t="shared" si="676"/>
        <v/>
      </c>
      <c r="Q7513" t="str">
        <f t="shared" si="674"/>
        <v/>
      </c>
    </row>
    <row r="7514" spans="1:17" hidden="1">
      <c r="A7514" t="s">
        <v>7619</v>
      </c>
      <c r="B7514" s="1">
        <v>45919</v>
      </c>
      <c r="C7514">
        <v>2025</v>
      </c>
      <c r="D7514">
        <v>9</v>
      </c>
      <c r="E7514" t="s">
        <v>47</v>
      </c>
      <c r="F7514" t="s">
        <v>14</v>
      </c>
      <c r="G7514" t="s">
        <v>91</v>
      </c>
      <c r="H7514" t="s">
        <v>92</v>
      </c>
      <c r="I7514">
        <v>19539.72</v>
      </c>
      <c r="J7514">
        <v>16594.650000000001</v>
      </c>
      <c r="K7514" t="s">
        <v>17</v>
      </c>
      <c r="L7514" t="b">
        <v>0</v>
      </c>
      <c r="N7514" s="2" t="b">
        <f t="shared" si="676"/>
        <v>1</v>
      </c>
      <c r="O7514" t="str">
        <f t="shared" ref="O7514:O7515" si="678">IF(AND(E7503="HR",K7503="EXPENSE"),I7503&lt;J7503,"")</f>
        <v/>
      </c>
      <c r="Q7514" t="str">
        <f t="shared" si="674"/>
        <v/>
      </c>
    </row>
    <row r="7515" spans="1:17" hidden="1">
      <c r="A7515" t="s">
        <v>7620</v>
      </c>
      <c r="B7515" s="1">
        <v>45919</v>
      </c>
      <c r="C7515">
        <v>2025</v>
      </c>
      <c r="D7515">
        <v>9</v>
      </c>
      <c r="E7515" t="s">
        <v>47</v>
      </c>
      <c r="F7515" t="s">
        <v>28</v>
      </c>
      <c r="G7515" t="s">
        <v>51</v>
      </c>
      <c r="H7515" t="s">
        <v>72</v>
      </c>
      <c r="I7515">
        <v>12128.71</v>
      </c>
      <c r="J7515">
        <v>10393.41</v>
      </c>
      <c r="K7515" t="s">
        <v>17</v>
      </c>
      <c r="L7515" t="b">
        <v>0</v>
      </c>
      <c r="N7515" s="2" t="b">
        <f t="shared" si="676"/>
        <v>1</v>
      </c>
      <c r="O7515" t="b">
        <f t="shared" si="678"/>
        <v>1</v>
      </c>
      <c r="Q7515" t="str">
        <f t="shared" si="674"/>
        <v/>
      </c>
    </row>
    <row r="7516" spans="1:17" hidden="1">
      <c r="A7516" t="s">
        <v>7621</v>
      </c>
      <c r="B7516" s="1">
        <v>45919</v>
      </c>
      <c r="C7516">
        <v>2025</v>
      </c>
      <c r="D7516">
        <v>9</v>
      </c>
      <c r="E7516" t="s">
        <v>19</v>
      </c>
      <c r="F7516" t="s">
        <v>14</v>
      </c>
      <c r="G7516" t="s">
        <v>54</v>
      </c>
      <c r="H7516" t="s">
        <v>163</v>
      </c>
      <c r="I7516">
        <v>6605.43</v>
      </c>
      <c r="J7516">
        <v>6592.34</v>
      </c>
      <c r="K7516" t="s">
        <v>17</v>
      </c>
      <c r="L7516" t="b">
        <v>0</v>
      </c>
      <c r="N7516" s="2" t="str">
        <f t="shared" si="676"/>
        <v/>
      </c>
      <c r="Q7516" t="str">
        <f t="shared" si="674"/>
        <v/>
      </c>
    </row>
    <row r="7517" spans="1:17" hidden="1">
      <c r="A7517" t="s">
        <v>7622</v>
      </c>
      <c r="B7517" s="1">
        <v>45919</v>
      </c>
      <c r="C7517">
        <v>2025</v>
      </c>
      <c r="D7517">
        <v>9</v>
      </c>
      <c r="E7517" t="s">
        <v>37</v>
      </c>
      <c r="F7517" t="s">
        <v>28</v>
      </c>
      <c r="G7517" t="s">
        <v>62</v>
      </c>
      <c r="H7517" t="s">
        <v>121</v>
      </c>
      <c r="I7517">
        <v>4401.75</v>
      </c>
      <c r="J7517">
        <v>4054.66</v>
      </c>
      <c r="K7517" t="s">
        <v>17</v>
      </c>
      <c r="L7517" t="b">
        <v>0</v>
      </c>
      <c r="N7517" s="2" t="str">
        <f t="shared" si="676"/>
        <v/>
      </c>
      <c r="Q7517" t="str">
        <f t="shared" si="674"/>
        <v/>
      </c>
    </row>
    <row r="7518" spans="1:17" hidden="1">
      <c r="A7518" t="s">
        <v>7623</v>
      </c>
      <c r="B7518" s="1">
        <v>45919</v>
      </c>
      <c r="C7518">
        <v>2025</v>
      </c>
      <c r="D7518">
        <v>9</v>
      </c>
      <c r="E7518" t="s">
        <v>37</v>
      </c>
      <c r="F7518" t="s">
        <v>24</v>
      </c>
      <c r="G7518" t="s">
        <v>98</v>
      </c>
      <c r="H7518" t="s">
        <v>185</v>
      </c>
      <c r="I7518">
        <v>5201.95</v>
      </c>
      <c r="J7518">
        <v>5200.41</v>
      </c>
      <c r="K7518" t="s">
        <v>17</v>
      </c>
      <c r="L7518" t="b">
        <v>0</v>
      </c>
      <c r="N7518" s="2" t="str">
        <f t="shared" si="676"/>
        <v/>
      </c>
      <c r="Q7518" t="str">
        <f t="shared" si="674"/>
        <v/>
      </c>
    </row>
    <row r="7519" spans="1:17" hidden="1">
      <c r="A7519" t="s">
        <v>7624</v>
      </c>
      <c r="B7519" s="1">
        <v>45920</v>
      </c>
      <c r="C7519">
        <v>2025</v>
      </c>
      <c r="D7519">
        <v>9</v>
      </c>
      <c r="E7519" t="s">
        <v>13</v>
      </c>
      <c r="F7519" t="s">
        <v>14</v>
      </c>
      <c r="G7519" t="s">
        <v>108</v>
      </c>
      <c r="H7519" t="s">
        <v>109</v>
      </c>
      <c r="I7519">
        <v>2022.06</v>
      </c>
      <c r="J7519">
        <v>2214.21</v>
      </c>
      <c r="K7519" t="s">
        <v>17</v>
      </c>
      <c r="L7519" t="b">
        <v>0</v>
      </c>
      <c r="N7519" s="2" t="str">
        <f t="shared" si="676"/>
        <v/>
      </c>
      <c r="Q7519" t="str">
        <f t="shared" si="674"/>
        <v/>
      </c>
    </row>
    <row r="7520" spans="1:17" hidden="1">
      <c r="A7520" t="s">
        <v>7625</v>
      </c>
      <c r="B7520" s="1">
        <v>45920</v>
      </c>
      <c r="C7520">
        <v>2025</v>
      </c>
      <c r="D7520">
        <v>9</v>
      </c>
      <c r="E7520" t="s">
        <v>13</v>
      </c>
      <c r="F7520" t="s">
        <v>28</v>
      </c>
      <c r="G7520" t="s">
        <v>102</v>
      </c>
      <c r="H7520" t="s">
        <v>278</v>
      </c>
      <c r="I7520">
        <v>4460.34</v>
      </c>
      <c r="J7520">
        <v>4304.04</v>
      </c>
      <c r="K7520" t="s">
        <v>17</v>
      </c>
      <c r="L7520" t="b">
        <v>0</v>
      </c>
      <c r="N7520" s="2" t="str">
        <f t="shared" si="676"/>
        <v/>
      </c>
      <c r="Q7520" t="str">
        <f t="shared" si="674"/>
        <v/>
      </c>
    </row>
    <row r="7521" spans="1:17" hidden="1">
      <c r="A7521" t="s">
        <v>7626</v>
      </c>
      <c r="B7521" s="1">
        <v>45920</v>
      </c>
      <c r="C7521">
        <v>2025</v>
      </c>
      <c r="D7521">
        <v>9</v>
      </c>
      <c r="E7521" t="s">
        <v>19</v>
      </c>
      <c r="F7521" t="s">
        <v>24</v>
      </c>
      <c r="G7521" t="s">
        <v>132</v>
      </c>
      <c r="H7521" t="s">
        <v>171</v>
      </c>
      <c r="I7521">
        <v>5892.09</v>
      </c>
      <c r="J7521">
        <v>5872.61</v>
      </c>
      <c r="K7521" t="s">
        <v>17</v>
      </c>
      <c r="L7521" t="b">
        <v>0</v>
      </c>
      <c r="N7521" s="2" t="str">
        <f t="shared" si="676"/>
        <v/>
      </c>
      <c r="Q7521" t="str">
        <f t="shared" si="674"/>
        <v/>
      </c>
    </row>
    <row r="7522" spans="1:17" hidden="1">
      <c r="A7522" t="s">
        <v>7627</v>
      </c>
      <c r="B7522" s="1">
        <v>45920</v>
      </c>
      <c r="C7522">
        <v>2025</v>
      </c>
      <c r="D7522">
        <v>9</v>
      </c>
      <c r="E7522" t="s">
        <v>23</v>
      </c>
      <c r="F7522" t="s">
        <v>28</v>
      </c>
      <c r="G7522" t="s">
        <v>141</v>
      </c>
      <c r="H7522" t="s">
        <v>142</v>
      </c>
      <c r="I7522">
        <v>5437.89</v>
      </c>
      <c r="J7522">
        <v>4991.45</v>
      </c>
      <c r="K7522" t="s">
        <v>17</v>
      </c>
      <c r="L7522" t="b">
        <v>0</v>
      </c>
      <c r="N7522" s="2" t="str">
        <f t="shared" si="676"/>
        <v/>
      </c>
      <c r="Q7522" t="str">
        <f t="shared" si="674"/>
        <v/>
      </c>
    </row>
    <row r="7523" spans="1:17" hidden="1">
      <c r="A7523" t="s">
        <v>7628</v>
      </c>
      <c r="B7523" s="1">
        <v>45920</v>
      </c>
      <c r="C7523">
        <v>2025</v>
      </c>
      <c r="D7523">
        <v>9</v>
      </c>
      <c r="E7523" t="s">
        <v>23</v>
      </c>
      <c r="F7523" t="s">
        <v>24</v>
      </c>
      <c r="G7523" t="s">
        <v>141</v>
      </c>
      <c r="H7523" t="s">
        <v>153</v>
      </c>
      <c r="I7523">
        <v>6665.31</v>
      </c>
      <c r="J7523">
        <v>6320.99</v>
      </c>
      <c r="K7523" t="s">
        <v>17</v>
      </c>
      <c r="L7523" t="b">
        <v>0</v>
      </c>
      <c r="N7523" s="2" t="str">
        <f t="shared" si="676"/>
        <v/>
      </c>
      <c r="Q7523" t="str">
        <f t="shared" si="674"/>
        <v/>
      </c>
    </row>
    <row r="7524" spans="1:17" hidden="1">
      <c r="A7524" t="s">
        <v>7629</v>
      </c>
      <c r="B7524" s="1">
        <v>45920</v>
      </c>
      <c r="C7524">
        <v>2025</v>
      </c>
      <c r="D7524">
        <v>9</v>
      </c>
      <c r="E7524" t="s">
        <v>37</v>
      </c>
      <c r="F7524" t="s">
        <v>28</v>
      </c>
      <c r="G7524" t="s">
        <v>38</v>
      </c>
      <c r="H7524" t="s">
        <v>39</v>
      </c>
      <c r="I7524">
        <v>4298.0200000000004</v>
      </c>
      <c r="J7524">
        <v>4485.76</v>
      </c>
      <c r="K7524" t="s">
        <v>17</v>
      </c>
      <c r="L7524" t="b">
        <v>0</v>
      </c>
      <c r="N7524" s="2" t="str">
        <f t="shared" si="676"/>
        <v/>
      </c>
      <c r="Q7524" t="str">
        <f t="shared" si="674"/>
        <v/>
      </c>
    </row>
    <row r="7525" spans="1:17" hidden="1">
      <c r="A7525" t="s">
        <v>7630</v>
      </c>
      <c r="B7525" s="1">
        <v>45920</v>
      </c>
      <c r="C7525">
        <v>2025</v>
      </c>
      <c r="D7525">
        <v>9</v>
      </c>
      <c r="E7525" t="s">
        <v>37</v>
      </c>
      <c r="F7525" t="s">
        <v>24</v>
      </c>
      <c r="G7525" t="s">
        <v>38</v>
      </c>
      <c r="H7525" t="s">
        <v>227</v>
      </c>
      <c r="I7525">
        <v>1239.96</v>
      </c>
      <c r="J7525">
        <v>1213.3900000000001</v>
      </c>
      <c r="K7525" t="s">
        <v>17</v>
      </c>
      <c r="L7525" t="b">
        <v>0</v>
      </c>
      <c r="N7525" s="2" t="str">
        <f t="shared" si="676"/>
        <v/>
      </c>
      <c r="Q7525" t="str">
        <f t="shared" si="674"/>
        <v/>
      </c>
    </row>
    <row r="7526" spans="1:17" hidden="1">
      <c r="A7526" t="s">
        <v>7631</v>
      </c>
      <c r="B7526" s="1">
        <v>45920</v>
      </c>
      <c r="C7526">
        <v>2025</v>
      </c>
      <c r="D7526">
        <v>9</v>
      </c>
      <c r="E7526" t="s">
        <v>37</v>
      </c>
      <c r="F7526" t="s">
        <v>24</v>
      </c>
      <c r="G7526" t="s">
        <v>62</v>
      </c>
      <c r="H7526" t="s">
        <v>360</v>
      </c>
      <c r="I7526">
        <v>4530.4399999999996</v>
      </c>
      <c r="J7526">
        <v>4968.53</v>
      </c>
      <c r="K7526" t="s">
        <v>17</v>
      </c>
      <c r="L7526" t="b">
        <v>0</v>
      </c>
      <c r="N7526" s="2" t="str">
        <f t="shared" si="676"/>
        <v/>
      </c>
      <c r="Q7526" t="str">
        <f t="shared" si="674"/>
        <v/>
      </c>
    </row>
    <row r="7527" spans="1:17" hidden="1">
      <c r="A7527" t="s">
        <v>7632</v>
      </c>
      <c r="B7527" s="1">
        <v>45921</v>
      </c>
      <c r="C7527">
        <v>2025</v>
      </c>
      <c r="D7527">
        <v>9</v>
      </c>
      <c r="E7527" t="s">
        <v>19</v>
      </c>
      <c r="F7527" t="s">
        <v>24</v>
      </c>
      <c r="G7527" t="s">
        <v>80</v>
      </c>
      <c r="H7527" t="s">
        <v>217</v>
      </c>
      <c r="I7527">
        <v>5829.55</v>
      </c>
      <c r="J7527">
        <v>5719.4</v>
      </c>
      <c r="K7527" t="s">
        <v>17</v>
      </c>
      <c r="L7527" t="b">
        <v>0</v>
      </c>
      <c r="N7527" s="2" t="str">
        <f t="shared" si="676"/>
        <v/>
      </c>
      <c r="Q7527" t="str">
        <f t="shared" si="674"/>
        <v/>
      </c>
    </row>
    <row r="7528" spans="1:17" hidden="1">
      <c r="A7528" t="s">
        <v>7633</v>
      </c>
      <c r="B7528" s="1">
        <v>45921</v>
      </c>
      <c r="C7528">
        <v>2025</v>
      </c>
      <c r="D7528">
        <v>9</v>
      </c>
      <c r="E7528" t="s">
        <v>19</v>
      </c>
      <c r="F7528" t="s">
        <v>24</v>
      </c>
      <c r="G7528" t="s">
        <v>20</v>
      </c>
      <c r="H7528" t="s">
        <v>136</v>
      </c>
      <c r="I7528">
        <v>6510.18</v>
      </c>
      <c r="J7528">
        <v>6944.46</v>
      </c>
      <c r="K7528" t="s">
        <v>17</v>
      </c>
      <c r="L7528" t="b">
        <v>0</v>
      </c>
      <c r="N7528" s="2" t="str">
        <f t="shared" si="676"/>
        <v/>
      </c>
      <c r="Q7528" t="str">
        <f t="shared" si="674"/>
        <v/>
      </c>
    </row>
    <row r="7529" spans="1:17" hidden="1">
      <c r="A7529" t="s">
        <v>7634</v>
      </c>
      <c r="B7529" s="1">
        <v>45921</v>
      </c>
      <c r="C7529">
        <v>2025</v>
      </c>
      <c r="D7529">
        <v>9</v>
      </c>
      <c r="E7529" t="s">
        <v>23</v>
      </c>
      <c r="F7529" t="s">
        <v>14</v>
      </c>
      <c r="G7529" t="s">
        <v>30</v>
      </c>
      <c r="H7529" t="s">
        <v>33</v>
      </c>
      <c r="I7529">
        <v>6414.57</v>
      </c>
      <c r="J7529">
        <v>6814.97</v>
      </c>
      <c r="K7529" t="s">
        <v>17</v>
      </c>
      <c r="L7529" t="b">
        <v>0</v>
      </c>
      <c r="N7529" s="2" t="str">
        <f t="shared" si="676"/>
        <v/>
      </c>
      <c r="Q7529" t="str">
        <f t="shared" si="674"/>
        <v/>
      </c>
    </row>
    <row r="7530" spans="1:17" hidden="1">
      <c r="A7530" t="s">
        <v>7635</v>
      </c>
      <c r="B7530" s="1">
        <v>45921</v>
      </c>
      <c r="C7530">
        <v>2025</v>
      </c>
      <c r="D7530">
        <v>9</v>
      </c>
      <c r="E7530" t="s">
        <v>23</v>
      </c>
      <c r="F7530" t="s">
        <v>14</v>
      </c>
      <c r="G7530" t="s">
        <v>59</v>
      </c>
      <c r="H7530" t="s">
        <v>155</v>
      </c>
      <c r="I7530">
        <v>5014.3599999999997</v>
      </c>
      <c r="J7530">
        <v>5016.49</v>
      </c>
      <c r="K7530" t="s">
        <v>17</v>
      </c>
      <c r="L7530" t="b">
        <v>0</v>
      </c>
      <c r="N7530" s="2" t="str">
        <f t="shared" si="676"/>
        <v/>
      </c>
      <c r="Q7530" t="str">
        <f t="shared" si="674"/>
        <v/>
      </c>
    </row>
    <row r="7531" spans="1:17" hidden="1">
      <c r="A7531" t="s">
        <v>7636</v>
      </c>
      <c r="B7531" s="1">
        <v>45921</v>
      </c>
      <c r="C7531">
        <v>2025</v>
      </c>
      <c r="D7531">
        <v>9</v>
      </c>
      <c r="E7531" t="s">
        <v>23</v>
      </c>
      <c r="F7531" t="s">
        <v>24</v>
      </c>
      <c r="G7531" t="s">
        <v>25</v>
      </c>
      <c r="H7531" t="s">
        <v>35</v>
      </c>
      <c r="I7531">
        <v>5680.53</v>
      </c>
      <c r="J7531">
        <v>5308.18</v>
      </c>
      <c r="K7531" t="s">
        <v>17</v>
      </c>
      <c r="L7531" t="b">
        <v>0</v>
      </c>
      <c r="N7531" s="2" t="str">
        <f t="shared" si="676"/>
        <v/>
      </c>
      <c r="Q7531" t="str">
        <f t="shared" si="674"/>
        <v/>
      </c>
    </row>
    <row r="7532" spans="1:17" hidden="1">
      <c r="A7532" t="s">
        <v>7637</v>
      </c>
      <c r="B7532" s="1">
        <v>45921</v>
      </c>
      <c r="C7532">
        <v>2025</v>
      </c>
      <c r="D7532">
        <v>9</v>
      </c>
      <c r="E7532" t="s">
        <v>37</v>
      </c>
      <c r="F7532" t="s">
        <v>14</v>
      </c>
      <c r="G7532" t="s">
        <v>62</v>
      </c>
      <c r="H7532" t="s">
        <v>66</v>
      </c>
      <c r="I7532">
        <v>5081.28</v>
      </c>
      <c r="J7532">
        <v>5199.6400000000003</v>
      </c>
      <c r="K7532" t="s">
        <v>17</v>
      </c>
      <c r="L7532" t="b">
        <v>0</v>
      </c>
      <c r="N7532" s="2" t="str">
        <f t="shared" si="676"/>
        <v/>
      </c>
      <c r="Q7532" t="str">
        <f t="shared" si="674"/>
        <v/>
      </c>
    </row>
    <row r="7533" spans="1:17" hidden="1">
      <c r="A7533" t="s">
        <v>7638</v>
      </c>
      <c r="B7533" s="1">
        <v>45921</v>
      </c>
      <c r="C7533">
        <v>2025</v>
      </c>
      <c r="D7533">
        <v>9</v>
      </c>
      <c r="E7533" t="s">
        <v>37</v>
      </c>
      <c r="F7533" t="s">
        <v>24</v>
      </c>
      <c r="G7533" t="s">
        <v>98</v>
      </c>
      <c r="H7533" t="s">
        <v>99</v>
      </c>
      <c r="I7533">
        <v>5139.05</v>
      </c>
      <c r="J7533">
        <v>5354</v>
      </c>
      <c r="K7533" t="s">
        <v>17</v>
      </c>
      <c r="L7533" t="b">
        <v>0</v>
      </c>
      <c r="N7533" s="2" t="str">
        <f t="shared" si="676"/>
        <v/>
      </c>
      <c r="Q7533" t="str">
        <f t="shared" si="674"/>
        <v/>
      </c>
    </row>
    <row r="7534" spans="1:17" hidden="1">
      <c r="A7534" t="s">
        <v>7639</v>
      </c>
      <c r="B7534" s="1">
        <v>45922</v>
      </c>
      <c r="C7534">
        <v>2025</v>
      </c>
      <c r="D7534">
        <v>9</v>
      </c>
      <c r="E7534" t="s">
        <v>13</v>
      </c>
      <c r="F7534" t="s">
        <v>24</v>
      </c>
      <c r="G7534" t="s">
        <v>68</v>
      </c>
      <c r="H7534" t="s">
        <v>69</v>
      </c>
      <c r="I7534">
        <v>3022.44</v>
      </c>
      <c r="J7534">
        <v>2824.69</v>
      </c>
      <c r="K7534" t="s">
        <v>17</v>
      </c>
      <c r="L7534" t="b">
        <v>0</v>
      </c>
      <c r="N7534" s="2" t="str">
        <f t="shared" si="676"/>
        <v/>
      </c>
      <c r="Q7534" t="str">
        <f t="shared" si="674"/>
        <v/>
      </c>
    </row>
    <row r="7535" spans="1:17" hidden="1">
      <c r="A7535" t="s">
        <v>7640</v>
      </c>
      <c r="B7535" s="1">
        <v>45922</v>
      </c>
      <c r="C7535">
        <v>2025</v>
      </c>
      <c r="D7535">
        <v>9</v>
      </c>
      <c r="E7535" t="s">
        <v>13</v>
      </c>
      <c r="F7535" t="s">
        <v>24</v>
      </c>
      <c r="G7535" t="s">
        <v>102</v>
      </c>
      <c r="H7535" t="s">
        <v>103</v>
      </c>
      <c r="I7535">
        <v>2873.6</v>
      </c>
      <c r="J7535">
        <v>2992.31</v>
      </c>
      <c r="K7535" t="s">
        <v>17</v>
      </c>
      <c r="L7535" t="b">
        <v>0</v>
      </c>
      <c r="N7535" s="2" t="str">
        <f t="shared" si="676"/>
        <v/>
      </c>
      <c r="Q7535" t="str">
        <f t="shared" si="674"/>
        <v/>
      </c>
    </row>
    <row r="7536" spans="1:17" hidden="1">
      <c r="A7536" t="s">
        <v>7641</v>
      </c>
      <c r="B7536" s="1">
        <v>45922</v>
      </c>
      <c r="C7536">
        <v>2025</v>
      </c>
      <c r="D7536">
        <v>9</v>
      </c>
      <c r="E7536" t="s">
        <v>47</v>
      </c>
      <c r="F7536" t="s">
        <v>24</v>
      </c>
      <c r="G7536" t="s">
        <v>51</v>
      </c>
      <c r="H7536" t="s">
        <v>52</v>
      </c>
      <c r="I7536">
        <v>17552.419999999998</v>
      </c>
      <c r="J7536">
        <v>14816.08</v>
      </c>
      <c r="K7536" t="s">
        <v>17</v>
      </c>
      <c r="L7536" t="b">
        <v>0</v>
      </c>
      <c r="N7536" s="2" t="b">
        <f t="shared" si="676"/>
        <v>1</v>
      </c>
      <c r="O7536" t="str">
        <f>IF(AND(E7525="HR",K7525="EXPENSE"),I7525&lt;J7525,"")</f>
        <v/>
      </c>
      <c r="Q7536" t="str">
        <f t="shared" ref="Q7536:Q7599" si="679">IF(L7536=TRUE,OR(H7536="Apex Solutions Inc",H7536="Global Trade Partners",H7536="NovaTech Services"),"")</f>
        <v/>
      </c>
    </row>
    <row r="7537" spans="1:17" hidden="1">
      <c r="A7537" t="s">
        <v>7642</v>
      </c>
      <c r="B7537" s="1">
        <v>45922</v>
      </c>
      <c r="C7537">
        <v>2025</v>
      </c>
      <c r="D7537">
        <v>9</v>
      </c>
      <c r="E7537" t="s">
        <v>19</v>
      </c>
      <c r="F7537" t="s">
        <v>14</v>
      </c>
      <c r="G7537" t="s">
        <v>80</v>
      </c>
      <c r="H7537" t="s">
        <v>81</v>
      </c>
      <c r="I7537">
        <v>8116.17</v>
      </c>
      <c r="J7537">
        <v>7444.94</v>
      </c>
      <c r="K7537" t="s">
        <v>17</v>
      </c>
      <c r="L7537" t="b">
        <v>0</v>
      </c>
      <c r="N7537" s="2" t="str">
        <f t="shared" si="676"/>
        <v/>
      </c>
      <c r="Q7537" t="str">
        <f t="shared" si="679"/>
        <v/>
      </c>
    </row>
    <row r="7538" spans="1:17" hidden="1">
      <c r="A7538" t="s">
        <v>7643</v>
      </c>
      <c r="B7538" s="1">
        <v>45922</v>
      </c>
      <c r="C7538">
        <v>2025</v>
      </c>
      <c r="D7538">
        <v>9</v>
      </c>
      <c r="E7538" t="s">
        <v>19</v>
      </c>
      <c r="F7538" t="s">
        <v>28</v>
      </c>
      <c r="G7538" t="s">
        <v>132</v>
      </c>
      <c r="H7538" t="s">
        <v>138</v>
      </c>
      <c r="I7538">
        <v>9452.67</v>
      </c>
      <c r="J7538">
        <v>10016.799999999999</v>
      </c>
      <c r="K7538" t="s">
        <v>17</v>
      </c>
      <c r="L7538" t="b">
        <v>0</v>
      </c>
      <c r="N7538" s="2" t="str">
        <f t="shared" si="676"/>
        <v/>
      </c>
      <c r="Q7538" t="str">
        <f t="shared" si="679"/>
        <v/>
      </c>
    </row>
    <row r="7539" spans="1:17" hidden="1">
      <c r="A7539" t="s">
        <v>7644</v>
      </c>
      <c r="B7539" s="1">
        <v>45922</v>
      </c>
      <c r="C7539">
        <v>2025</v>
      </c>
      <c r="D7539">
        <v>9</v>
      </c>
      <c r="E7539" t="s">
        <v>19</v>
      </c>
      <c r="F7539" t="s">
        <v>24</v>
      </c>
      <c r="G7539" t="s">
        <v>20</v>
      </c>
      <c r="H7539" t="s">
        <v>174</v>
      </c>
      <c r="I7539">
        <v>8428.0400000000009</v>
      </c>
      <c r="J7539">
        <v>7754.09</v>
      </c>
      <c r="K7539" t="s">
        <v>17</v>
      </c>
      <c r="L7539" t="b">
        <v>0</v>
      </c>
      <c r="N7539" s="2" t="str">
        <f t="shared" si="676"/>
        <v/>
      </c>
      <c r="Q7539" t="str">
        <f t="shared" si="679"/>
        <v/>
      </c>
    </row>
    <row r="7540" spans="1:17" hidden="1">
      <c r="A7540" t="s">
        <v>7645</v>
      </c>
      <c r="B7540" s="1">
        <v>45922</v>
      </c>
      <c r="C7540">
        <v>2025</v>
      </c>
      <c r="D7540">
        <v>9</v>
      </c>
      <c r="E7540" t="s">
        <v>23</v>
      </c>
      <c r="F7540" t="s">
        <v>28</v>
      </c>
      <c r="G7540" t="s">
        <v>59</v>
      </c>
      <c r="H7540" t="s">
        <v>60</v>
      </c>
      <c r="I7540">
        <v>5324.04</v>
      </c>
      <c r="J7540">
        <v>4813.1099999999997</v>
      </c>
      <c r="K7540" t="s">
        <v>17</v>
      </c>
      <c r="L7540" t="b">
        <v>0</v>
      </c>
      <c r="N7540" s="2" t="str">
        <f t="shared" si="676"/>
        <v/>
      </c>
      <c r="Q7540" t="str">
        <f t="shared" si="679"/>
        <v/>
      </c>
    </row>
    <row r="7541" spans="1:17" hidden="1">
      <c r="A7541" t="s">
        <v>7646</v>
      </c>
      <c r="B7541" s="1">
        <v>45922</v>
      </c>
      <c r="C7541">
        <v>2025</v>
      </c>
      <c r="D7541">
        <v>9</v>
      </c>
      <c r="E7541" t="s">
        <v>37</v>
      </c>
      <c r="F7541" t="s">
        <v>24</v>
      </c>
      <c r="G7541" t="s">
        <v>41</v>
      </c>
      <c r="H7541" t="s">
        <v>42</v>
      </c>
      <c r="I7541">
        <v>5425.57</v>
      </c>
      <c r="J7541">
        <v>5020.2700000000004</v>
      </c>
      <c r="K7541" t="s">
        <v>17</v>
      </c>
      <c r="L7541" t="b">
        <v>0</v>
      </c>
      <c r="N7541" s="2" t="str">
        <f t="shared" si="676"/>
        <v/>
      </c>
      <c r="Q7541" t="str">
        <f t="shared" si="679"/>
        <v/>
      </c>
    </row>
    <row r="7542" spans="1:17" hidden="1">
      <c r="A7542" t="s">
        <v>7647</v>
      </c>
      <c r="B7542" s="1">
        <v>45922</v>
      </c>
      <c r="C7542">
        <v>2025</v>
      </c>
      <c r="D7542">
        <v>9</v>
      </c>
      <c r="E7542" t="s">
        <v>37</v>
      </c>
      <c r="F7542" t="s">
        <v>24</v>
      </c>
      <c r="G7542" t="s">
        <v>98</v>
      </c>
      <c r="H7542" t="s">
        <v>99</v>
      </c>
      <c r="I7542">
        <v>4778.32</v>
      </c>
      <c r="J7542">
        <v>5159.3100000000004</v>
      </c>
      <c r="K7542" t="s">
        <v>17</v>
      </c>
      <c r="L7542" t="b">
        <v>0</v>
      </c>
      <c r="N7542" s="2" t="str">
        <f t="shared" si="676"/>
        <v/>
      </c>
      <c r="Q7542" t="str">
        <f t="shared" si="679"/>
        <v/>
      </c>
    </row>
    <row r="7543" spans="1:17" hidden="1">
      <c r="A7543" t="s">
        <v>7648</v>
      </c>
      <c r="B7543" s="1">
        <v>45922</v>
      </c>
      <c r="C7543">
        <v>2025</v>
      </c>
      <c r="D7543">
        <v>9</v>
      </c>
      <c r="E7543" t="s">
        <v>37</v>
      </c>
      <c r="F7543" t="s">
        <v>24</v>
      </c>
      <c r="G7543" t="s">
        <v>38</v>
      </c>
      <c r="H7543" t="s">
        <v>118</v>
      </c>
      <c r="I7543">
        <v>4497.88</v>
      </c>
      <c r="J7543">
        <v>4914.88</v>
      </c>
      <c r="K7543" t="s">
        <v>17</v>
      </c>
      <c r="L7543" t="b">
        <v>0</v>
      </c>
      <c r="N7543" s="2" t="str">
        <f t="shared" si="676"/>
        <v/>
      </c>
      <c r="Q7543" t="str">
        <f t="shared" si="679"/>
        <v/>
      </c>
    </row>
    <row r="7544" spans="1:17" hidden="1">
      <c r="A7544" t="s">
        <v>7649</v>
      </c>
      <c r="B7544" s="1">
        <v>45922</v>
      </c>
      <c r="C7544">
        <v>2025</v>
      </c>
      <c r="D7544">
        <v>9</v>
      </c>
      <c r="E7544" t="s">
        <v>37</v>
      </c>
      <c r="F7544" t="s">
        <v>24</v>
      </c>
      <c r="G7544" t="s">
        <v>98</v>
      </c>
      <c r="H7544" t="s">
        <v>185</v>
      </c>
      <c r="I7544">
        <v>4710.58</v>
      </c>
      <c r="J7544">
        <v>4388.53</v>
      </c>
      <c r="K7544" t="s">
        <v>17</v>
      </c>
      <c r="L7544" t="b">
        <v>0</v>
      </c>
      <c r="N7544" s="2" t="str">
        <f t="shared" si="676"/>
        <v/>
      </c>
      <c r="Q7544" t="str">
        <f t="shared" si="679"/>
        <v/>
      </c>
    </row>
    <row r="7545" spans="1:17" hidden="1">
      <c r="A7545" t="s">
        <v>7650</v>
      </c>
      <c r="B7545" s="1">
        <v>45923</v>
      </c>
      <c r="C7545">
        <v>2025</v>
      </c>
      <c r="D7545">
        <v>9</v>
      </c>
      <c r="E7545" t="s">
        <v>47</v>
      </c>
      <c r="F7545" t="s">
        <v>14</v>
      </c>
      <c r="G7545" t="s">
        <v>91</v>
      </c>
      <c r="H7545" t="s">
        <v>128</v>
      </c>
      <c r="I7545">
        <v>13148.07</v>
      </c>
      <c r="J7545">
        <v>11081.16</v>
      </c>
      <c r="K7545" t="s">
        <v>17</v>
      </c>
      <c r="L7545" t="b">
        <v>0</v>
      </c>
      <c r="N7545" s="2" t="b">
        <f t="shared" si="676"/>
        <v>1</v>
      </c>
      <c r="O7545" t="b">
        <f>IF(AND(E7534="HR",K7534="EXPENSE"),I7534&lt;J7534,"")</f>
        <v>0</v>
      </c>
      <c r="Q7545" t="str">
        <f t="shared" si="679"/>
        <v/>
      </c>
    </row>
    <row r="7546" spans="1:17" hidden="1">
      <c r="A7546" t="s">
        <v>7651</v>
      </c>
      <c r="B7546" s="1">
        <v>45923</v>
      </c>
      <c r="C7546">
        <v>2025</v>
      </c>
      <c r="D7546">
        <v>9</v>
      </c>
      <c r="E7546" t="s">
        <v>23</v>
      </c>
      <c r="F7546" t="s">
        <v>28</v>
      </c>
      <c r="G7546" t="s">
        <v>25</v>
      </c>
      <c r="H7546" t="s">
        <v>35</v>
      </c>
      <c r="I7546">
        <v>5888.67</v>
      </c>
      <c r="J7546">
        <v>5914.68</v>
      </c>
      <c r="K7546" t="s">
        <v>17</v>
      </c>
      <c r="L7546" t="b">
        <v>0</v>
      </c>
      <c r="N7546" s="2" t="str">
        <f t="shared" si="676"/>
        <v/>
      </c>
      <c r="Q7546" t="str">
        <f t="shared" si="679"/>
        <v/>
      </c>
    </row>
    <row r="7547" spans="1:17" hidden="1">
      <c r="A7547" t="s">
        <v>7652</v>
      </c>
      <c r="B7547" s="1">
        <v>45923</v>
      </c>
      <c r="C7547">
        <v>2025</v>
      </c>
      <c r="D7547">
        <v>9</v>
      </c>
      <c r="E7547" t="s">
        <v>23</v>
      </c>
      <c r="F7547" t="s">
        <v>28</v>
      </c>
      <c r="G7547" t="s">
        <v>141</v>
      </c>
      <c r="H7547" t="s">
        <v>153</v>
      </c>
      <c r="I7547">
        <v>6119.45</v>
      </c>
      <c r="J7547">
        <v>5907.94</v>
      </c>
      <c r="K7547" t="s">
        <v>17</v>
      </c>
      <c r="L7547" t="b">
        <v>0</v>
      </c>
      <c r="N7547" s="2" t="str">
        <f t="shared" si="676"/>
        <v/>
      </c>
      <c r="Q7547" t="str">
        <f t="shared" si="679"/>
        <v/>
      </c>
    </row>
    <row r="7548" spans="1:17" hidden="1">
      <c r="A7548" t="s">
        <v>7653</v>
      </c>
      <c r="B7548" s="1">
        <v>45923</v>
      </c>
      <c r="C7548">
        <v>2025</v>
      </c>
      <c r="D7548">
        <v>9</v>
      </c>
      <c r="E7548" t="s">
        <v>23</v>
      </c>
      <c r="F7548" t="s">
        <v>28</v>
      </c>
      <c r="G7548" t="s">
        <v>59</v>
      </c>
      <c r="H7548" t="s">
        <v>60</v>
      </c>
      <c r="I7548">
        <v>5830.46</v>
      </c>
      <c r="J7548">
        <v>6270.12</v>
      </c>
      <c r="K7548" t="s">
        <v>17</v>
      </c>
      <c r="L7548" t="b">
        <v>0</v>
      </c>
      <c r="N7548" s="2" t="str">
        <f t="shared" si="676"/>
        <v/>
      </c>
      <c r="Q7548" t="str">
        <f t="shared" si="679"/>
        <v/>
      </c>
    </row>
    <row r="7549" spans="1:17" hidden="1">
      <c r="A7549" t="s">
        <v>7654</v>
      </c>
      <c r="B7549" s="1">
        <v>45923</v>
      </c>
      <c r="C7549">
        <v>2025</v>
      </c>
      <c r="D7549">
        <v>9</v>
      </c>
      <c r="E7549" t="s">
        <v>23</v>
      </c>
      <c r="F7549" t="s">
        <v>24</v>
      </c>
      <c r="G7549" t="s">
        <v>141</v>
      </c>
      <c r="H7549" t="s">
        <v>153</v>
      </c>
      <c r="I7549">
        <v>4690.3500000000004</v>
      </c>
      <c r="J7549">
        <v>5065.18</v>
      </c>
      <c r="K7549" t="s">
        <v>17</v>
      </c>
      <c r="L7549" t="b">
        <v>0</v>
      </c>
      <c r="N7549" s="2" t="str">
        <f t="shared" si="676"/>
        <v/>
      </c>
      <c r="Q7549" t="str">
        <f t="shared" si="679"/>
        <v/>
      </c>
    </row>
    <row r="7550" spans="1:17" hidden="1">
      <c r="A7550" t="s">
        <v>7655</v>
      </c>
      <c r="B7550" s="1">
        <v>45923</v>
      </c>
      <c r="C7550">
        <v>2025</v>
      </c>
      <c r="D7550">
        <v>9</v>
      </c>
      <c r="E7550" t="s">
        <v>23</v>
      </c>
      <c r="F7550" t="s">
        <v>24</v>
      </c>
      <c r="G7550" t="s">
        <v>30</v>
      </c>
      <c r="H7550" t="s">
        <v>33</v>
      </c>
      <c r="I7550">
        <v>4430.6000000000004</v>
      </c>
      <c r="J7550">
        <v>4644.87</v>
      </c>
      <c r="K7550" t="s">
        <v>17</v>
      </c>
      <c r="L7550" t="b">
        <v>0</v>
      </c>
      <c r="N7550" s="2" t="str">
        <f t="shared" si="676"/>
        <v/>
      </c>
      <c r="Q7550" t="str">
        <f t="shared" si="679"/>
        <v/>
      </c>
    </row>
    <row r="7551" spans="1:17" hidden="1">
      <c r="A7551" t="s">
        <v>7656</v>
      </c>
      <c r="B7551" s="1">
        <v>45923</v>
      </c>
      <c r="C7551">
        <v>2025</v>
      </c>
      <c r="D7551">
        <v>9</v>
      </c>
      <c r="E7551" t="s">
        <v>23</v>
      </c>
      <c r="F7551" t="s">
        <v>24</v>
      </c>
      <c r="G7551" t="s">
        <v>59</v>
      </c>
      <c r="H7551" t="s">
        <v>60</v>
      </c>
      <c r="I7551">
        <v>4651.1099999999997</v>
      </c>
      <c r="J7551">
        <v>4812</v>
      </c>
      <c r="K7551" t="s">
        <v>17</v>
      </c>
      <c r="L7551" t="b">
        <v>0</v>
      </c>
      <c r="N7551" s="2" t="str">
        <f t="shared" si="676"/>
        <v/>
      </c>
      <c r="Q7551" t="str">
        <f t="shared" si="679"/>
        <v/>
      </c>
    </row>
    <row r="7552" spans="1:17" hidden="1">
      <c r="A7552" t="s">
        <v>7657</v>
      </c>
      <c r="B7552" s="1">
        <v>45923</v>
      </c>
      <c r="C7552">
        <v>2025</v>
      </c>
      <c r="D7552">
        <v>9</v>
      </c>
      <c r="E7552" t="s">
        <v>37</v>
      </c>
      <c r="F7552" t="s">
        <v>14</v>
      </c>
      <c r="G7552" t="s">
        <v>38</v>
      </c>
      <c r="H7552" t="s">
        <v>39</v>
      </c>
      <c r="I7552">
        <v>7360.22</v>
      </c>
      <c r="J7552">
        <v>7904.08</v>
      </c>
      <c r="K7552" t="s">
        <v>17</v>
      </c>
      <c r="L7552" t="b">
        <v>0</v>
      </c>
      <c r="N7552" s="2" t="str">
        <f t="shared" si="676"/>
        <v/>
      </c>
      <c r="Q7552" t="str">
        <f t="shared" si="679"/>
        <v/>
      </c>
    </row>
    <row r="7553" spans="1:17" hidden="1">
      <c r="A7553" t="s">
        <v>7658</v>
      </c>
      <c r="B7553" s="1">
        <v>45924</v>
      </c>
      <c r="C7553">
        <v>2025</v>
      </c>
      <c r="D7553">
        <v>9</v>
      </c>
      <c r="E7553" t="s">
        <v>13</v>
      </c>
      <c r="F7553" t="s">
        <v>14</v>
      </c>
      <c r="G7553" t="s">
        <v>15</v>
      </c>
      <c r="H7553" t="s">
        <v>89</v>
      </c>
      <c r="I7553">
        <v>2692.98</v>
      </c>
      <c r="J7553">
        <v>2922.92</v>
      </c>
      <c r="K7553" t="s">
        <v>17</v>
      </c>
      <c r="L7553" t="b">
        <v>0</v>
      </c>
      <c r="N7553" s="2" t="str">
        <f t="shared" si="676"/>
        <v/>
      </c>
      <c r="Q7553" t="str">
        <f t="shared" si="679"/>
        <v/>
      </c>
    </row>
    <row r="7554" spans="1:17" hidden="1">
      <c r="A7554" t="s">
        <v>7659</v>
      </c>
      <c r="B7554" s="1">
        <v>45924</v>
      </c>
      <c r="C7554">
        <v>2025</v>
      </c>
      <c r="D7554">
        <v>9</v>
      </c>
      <c r="E7554" t="s">
        <v>19</v>
      </c>
      <c r="F7554" t="s">
        <v>28</v>
      </c>
      <c r="G7554" t="s">
        <v>132</v>
      </c>
      <c r="H7554" t="s">
        <v>171</v>
      </c>
      <c r="I7554">
        <v>9769.11</v>
      </c>
      <c r="J7554">
        <v>9191.7199999999993</v>
      </c>
      <c r="K7554" t="s">
        <v>17</v>
      </c>
      <c r="L7554" t="b">
        <v>0</v>
      </c>
      <c r="N7554" s="2" t="str">
        <f t="shared" si="676"/>
        <v/>
      </c>
      <c r="Q7554" t="str">
        <f t="shared" si="679"/>
        <v/>
      </c>
    </row>
    <row r="7555" spans="1:17" hidden="1">
      <c r="A7555" t="s">
        <v>7660</v>
      </c>
      <c r="B7555" s="1">
        <v>45924</v>
      </c>
      <c r="C7555">
        <v>2025</v>
      </c>
      <c r="D7555">
        <v>9</v>
      </c>
      <c r="E7555" t="s">
        <v>23</v>
      </c>
      <c r="F7555" t="s">
        <v>24</v>
      </c>
      <c r="G7555" t="s">
        <v>141</v>
      </c>
      <c r="H7555" t="s">
        <v>153</v>
      </c>
      <c r="I7555">
        <v>3567.15</v>
      </c>
      <c r="J7555">
        <v>3731.23</v>
      </c>
      <c r="K7555" t="s">
        <v>17</v>
      </c>
      <c r="L7555" t="b">
        <v>0</v>
      </c>
      <c r="N7555" s="2" t="str">
        <f t="shared" ref="N7555:N7618" si="680">IF(AND(E7555="IT",K7555="EXPENSE"),I7555&gt;J7555,"")</f>
        <v/>
      </c>
      <c r="Q7555" t="str">
        <f t="shared" si="679"/>
        <v/>
      </c>
    </row>
    <row r="7556" spans="1:17" hidden="1">
      <c r="A7556" t="s">
        <v>7661</v>
      </c>
      <c r="B7556" s="1">
        <v>45925</v>
      </c>
      <c r="C7556">
        <v>2025</v>
      </c>
      <c r="D7556">
        <v>9</v>
      </c>
      <c r="E7556" t="s">
        <v>13</v>
      </c>
      <c r="F7556" t="s">
        <v>14</v>
      </c>
      <c r="G7556" t="s">
        <v>68</v>
      </c>
      <c r="H7556" t="s">
        <v>213</v>
      </c>
      <c r="I7556">
        <v>2926.1</v>
      </c>
      <c r="J7556">
        <v>2675.48</v>
      </c>
      <c r="K7556" t="s">
        <v>17</v>
      </c>
      <c r="L7556" t="b">
        <v>0</v>
      </c>
      <c r="N7556" s="2" t="str">
        <f t="shared" si="680"/>
        <v/>
      </c>
      <c r="Q7556" t="str">
        <f t="shared" si="679"/>
        <v/>
      </c>
    </row>
    <row r="7557" spans="1:17" hidden="1">
      <c r="A7557" t="s">
        <v>7662</v>
      </c>
      <c r="B7557" s="1">
        <v>45925</v>
      </c>
      <c r="C7557">
        <v>2025</v>
      </c>
      <c r="D7557">
        <v>9</v>
      </c>
      <c r="E7557" t="s">
        <v>13</v>
      </c>
      <c r="F7557" t="s">
        <v>28</v>
      </c>
      <c r="G7557" t="s">
        <v>68</v>
      </c>
      <c r="H7557" t="s">
        <v>87</v>
      </c>
      <c r="I7557">
        <v>2775.11</v>
      </c>
      <c r="J7557">
        <v>2673.27</v>
      </c>
      <c r="K7557" t="s">
        <v>17</v>
      </c>
      <c r="L7557" t="b">
        <v>0</v>
      </c>
      <c r="N7557" s="2" t="str">
        <f t="shared" si="680"/>
        <v/>
      </c>
      <c r="Q7557" t="str">
        <f t="shared" si="679"/>
        <v/>
      </c>
    </row>
    <row r="7558" spans="1:17" hidden="1">
      <c r="A7558" t="s">
        <v>7663</v>
      </c>
      <c r="B7558" s="1">
        <v>45925</v>
      </c>
      <c r="C7558">
        <v>2025</v>
      </c>
      <c r="D7558">
        <v>9</v>
      </c>
      <c r="E7558" t="s">
        <v>13</v>
      </c>
      <c r="F7558" t="s">
        <v>28</v>
      </c>
      <c r="G7558" t="s">
        <v>68</v>
      </c>
      <c r="H7558" t="s">
        <v>69</v>
      </c>
      <c r="I7558">
        <v>3239.31</v>
      </c>
      <c r="J7558">
        <v>2961.37</v>
      </c>
      <c r="K7558" t="s">
        <v>17</v>
      </c>
      <c r="L7558" t="b">
        <v>0</v>
      </c>
      <c r="N7558" s="2" t="str">
        <f t="shared" si="680"/>
        <v/>
      </c>
      <c r="Q7558" t="str">
        <f t="shared" si="679"/>
        <v/>
      </c>
    </row>
    <row r="7559" spans="1:17" hidden="1">
      <c r="A7559" t="s">
        <v>7664</v>
      </c>
      <c r="B7559" s="1">
        <v>45925</v>
      </c>
      <c r="C7559">
        <v>2025</v>
      </c>
      <c r="D7559">
        <v>9</v>
      </c>
      <c r="E7559" t="s">
        <v>13</v>
      </c>
      <c r="F7559" t="s">
        <v>24</v>
      </c>
      <c r="G7559" t="s">
        <v>108</v>
      </c>
      <c r="H7559" t="s">
        <v>123</v>
      </c>
      <c r="I7559">
        <v>3187.47</v>
      </c>
      <c r="J7559">
        <v>3269.47</v>
      </c>
      <c r="K7559" t="s">
        <v>17</v>
      </c>
      <c r="L7559" t="b">
        <v>0</v>
      </c>
      <c r="N7559" s="2" t="str">
        <f t="shared" si="680"/>
        <v/>
      </c>
      <c r="Q7559" t="str">
        <f t="shared" si="679"/>
        <v/>
      </c>
    </row>
    <row r="7560" spans="1:17" hidden="1">
      <c r="A7560" t="s">
        <v>7665</v>
      </c>
      <c r="B7560" s="1">
        <v>45925</v>
      </c>
      <c r="C7560">
        <v>2025</v>
      </c>
      <c r="D7560">
        <v>9</v>
      </c>
      <c r="E7560" t="s">
        <v>47</v>
      </c>
      <c r="F7560" t="s">
        <v>14</v>
      </c>
      <c r="G7560" t="s">
        <v>77</v>
      </c>
      <c r="H7560" t="s">
        <v>130</v>
      </c>
      <c r="I7560">
        <v>13610.72</v>
      </c>
      <c r="J7560">
        <v>11411.07</v>
      </c>
      <c r="K7560" t="s">
        <v>17</v>
      </c>
      <c r="L7560" t="b">
        <v>0</v>
      </c>
      <c r="N7560" s="2" t="b">
        <f t="shared" si="680"/>
        <v>1</v>
      </c>
      <c r="O7560" t="str">
        <f t="shared" ref="O7560:O7561" si="681">IF(AND(E7549="HR",K7549="EXPENSE"),I7549&lt;J7549,"")</f>
        <v/>
      </c>
      <c r="Q7560" t="str">
        <f t="shared" si="679"/>
        <v/>
      </c>
    </row>
    <row r="7561" spans="1:17" hidden="1">
      <c r="A7561" t="s">
        <v>7666</v>
      </c>
      <c r="B7561" s="1">
        <v>45925</v>
      </c>
      <c r="C7561">
        <v>2025</v>
      </c>
      <c r="D7561">
        <v>9</v>
      </c>
      <c r="E7561" t="s">
        <v>47</v>
      </c>
      <c r="F7561" t="s">
        <v>24</v>
      </c>
      <c r="G7561" t="s">
        <v>77</v>
      </c>
      <c r="H7561" t="s">
        <v>130</v>
      </c>
      <c r="I7561">
        <v>16196.23</v>
      </c>
      <c r="J7561">
        <v>13467.84</v>
      </c>
      <c r="K7561" t="s">
        <v>17</v>
      </c>
      <c r="L7561" t="b">
        <v>0</v>
      </c>
      <c r="N7561" s="2" t="b">
        <f t="shared" si="680"/>
        <v>1</v>
      </c>
      <c r="O7561" t="str">
        <f t="shared" si="681"/>
        <v/>
      </c>
      <c r="Q7561" t="str">
        <f t="shared" si="679"/>
        <v/>
      </c>
    </row>
    <row r="7562" spans="1:17">
      <c r="A7562" t="s">
        <v>7667</v>
      </c>
      <c r="B7562" s="1">
        <v>45925</v>
      </c>
      <c r="C7562">
        <v>2025</v>
      </c>
      <c r="D7562">
        <v>9</v>
      </c>
      <c r="E7562" t="s">
        <v>19</v>
      </c>
      <c r="F7562" t="s">
        <v>14</v>
      </c>
      <c r="G7562" t="s">
        <v>80</v>
      </c>
      <c r="H7562" t="s">
        <v>651</v>
      </c>
      <c r="I7562">
        <v>43868.09</v>
      </c>
      <c r="J7562">
        <v>11515.96</v>
      </c>
      <c r="K7562" t="s">
        <v>17</v>
      </c>
      <c r="L7562" t="b">
        <v>1</v>
      </c>
      <c r="N7562" s="2" t="str">
        <f t="shared" si="680"/>
        <v/>
      </c>
      <c r="Q7562" t="b">
        <f t="shared" si="679"/>
        <v>1</v>
      </c>
    </row>
    <row r="7563" spans="1:17" hidden="1">
      <c r="A7563" t="s">
        <v>7668</v>
      </c>
      <c r="B7563" s="1">
        <v>45925</v>
      </c>
      <c r="C7563">
        <v>2025</v>
      </c>
      <c r="D7563">
        <v>9</v>
      </c>
      <c r="E7563" t="s">
        <v>19</v>
      </c>
      <c r="F7563" t="s">
        <v>28</v>
      </c>
      <c r="G7563" t="s">
        <v>20</v>
      </c>
      <c r="H7563" t="s">
        <v>136</v>
      </c>
      <c r="I7563">
        <v>10950.69</v>
      </c>
      <c r="J7563">
        <v>11628.41</v>
      </c>
      <c r="K7563" t="s">
        <v>17</v>
      </c>
      <c r="L7563" t="b">
        <v>0</v>
      </c>
      <c r="N7563" s="2" t="str">
        <f t="shared" si="680"/>
        <v/>
      </c>
      <c r="Q7563" t="str">
        <f t="shared" si="679"/>
        <v/>
      </c>
    </row>
    <row r="7564" spans="1:17" hidden="1">
      <c r="A7564" t="s">
        <v>7669</v>
      </c>
      <c r="B7564" s="1">
        <v>45925</v>
      </c>
      <c r="C7564">
        <v>2025</v>
      </c>
      <c r="D7564">
        <v>9</v>
      </c>
      <c r="E7564" t="s">
        <v>23</v>
      </c>
      <c r="F7564" t="s">
        <v>28</v>
      </c>
      <c r="G7564" t="s">
        <v>25</v>
      </c>
      <c r="H7564" t="s">
        <v>95</v>
      </c>
      <c r="I7564">
        <v>4592.53</v>
      </c>
      <c r="J7564">
        <v>4445.18</v>
      </c>
      <c r="K7564" t="s">
        <v>17</v>
      </c>
      <c r="L7564" t="b">
        <v>0</v>
      </c>
      <c r="N7564" s="2" t="str">
        <f t="shared" si="680"/>
        <v/>
      </c>
      <c r="Q7564" t="str">
        <f t="shared" si="679"/>
        <v/>
      </c>
    </row>
    <row r="7565" spans="1:17" hidden="1">
      <c r="A7565" t="s">
        <v>7670</v>
      </c>
      <c r="B7565" s="1">
        <v>45925</v>
      </c>
      <c r="C7565">
        <v>2025</v>
      </c>
      <c r="D7565">
        <v>9</v>
      </c>
      <c r="E7565" t="s">
        <v>37</v>
      </c>
      <c r="F7565" t="s">
        <v>28</v>
      </c>
      <c r="G7565" t="s">
        <v>41</v>
      </c>
      <c r="H7565" t="s">
        <v>42</v>
      </c>
      <c r="I7565">
        <v>4812.24</v>
      </c>
      <c r="J7565">
        <v>4777.8500000000004</v>
      </c>
      <c r="K7565" t="s">
        <v>17</v>
      </c>
      <c r="L7565" t="b">
        <v>0</v>
      </c>
      <c r="N7565" s="2" t="str">
        <f t="shared" si="680"/>
        <v/>
      </c>
      <c r="Q7565" t="str">
        <f t="shared" si="679"/>
        <v/>
      </c>
    </row>
    <row r="7566" spans="1:17" hidden="1">
      <c r="A7566" t="s">
        <v>7671</v>
      </c>
      <c r="B7566" s="1">
        <v>45925</v>
      </c>
      <c r="C7566">
        <v>2025</v>
      </c>
      <c r="D7566">
        <v>9</v>
      </c>
      <c r="E7566" t="s">
        <v>37</v>
      </c>
      <c r="F7566" t="s">
        <v>24</v>
      </c>
      <c r="G7566" t="s">
        <v>38</v>
      </c>
      <c r="H7566" t="s">
        <v>227</v>
      </c>
      <c r="I7566">
        <v>3243.37</v>
      </c>
      <c r="J7566">
        <v>2953.46</v>
      </c>
      <c r="K7566" t="s">
        <v>17</v>
      </c>
      <c r="L7566" t="b">
        <v>0</v>
      </c>
      <c r="N7566" s="2" t="str">
        <f t="shared" si="680"/>
        <v/>
      </c>
      <c r="Q7566" t="str">
        <f t="shared" si="679"/>
        <v/>
      </c>
    </row>
    <row r="7567" spans="1:17" hidden="1">
      <c r="A7567" t="s">
        <v>7672</v>
      </c>
      <c r="B7567" s="1">
        <v>45926</v>
      </c>
      <c r="C7567">
        <v>2025</v>
      </c>
      <c r="D7567">
        <v>9</v>
      </c>
      <c r="E7567" t="s">
        <v>13</v>
      </c>
      <c r="F7567" t="s">
        <v>14</v>
      </c>
      <c r="G7567" t="s">
        <v>15</v>
      </c>
      <c r="H7567" t="s">
        <v>89</v>
      </c>
      <c r="I7567">
        <v>2567.2800000000002</v>
      </c>
      <c r="J7567">
        <v>2607.56</v>
      </c>
      <c r="K7567" t="s">
        <v>17</v>
      </c>
      <c r="L7567" t="b">
        <v>0</v>
      </c>
      <c r="N7567" s="2" t="str">
        <f t="shared" si="680"/>
        <v/>
      </c>
      <c r="Q7567" t="str">
        <f t="shared" si="679"/>
        <v/>
      </c>
    </row>
    <row r="7568" spans="1:17" hidden="1">
      <c r="A7568" t="s">
        <v>7673</v>
      </c>
      <c r="B7568" s="1">
        <v>45926</v>
      </c>
      <c r="C7568">
        <v>2025</v>
      </c>
      <c r="D7568">
        <v>9</v>
      </c>
      <c r="E7568" t="s">
        <v>13</v>
      </c>
      <c r="F7568" t="s">
        <v>24</v>
      </c>
      <c r="G7568" t="s">
        <v>15</v>
      </c>
      <c r="H7568" t="s">
        <v>89</v>
      </c>
      <c r="I7568">
        <v>4801.3999999999996</v>
      </c>
      <c r="J7568">
        <v>5138.28</v>
      </c>
      <c r="K7568" t="s">
        <v>17</v>
      </c>
      <c r="L7568" t="b">
        <v>0</v>
      </c>
      <c r="N7568" s="2" t="str">
        <f t="shared" si="680"/>
        <v/>
      </c>
      <c r="Q7568" t="str">
        <f t="shared" si="679"/>
        <v/>
      </c>
    </row>
    <row r="7569" spans="1:17" hidden="1">
      <c r="A7569" t="s">
        <v>7674</v>
      </c>
      <c r="B7569" s="1">
        <v>45926</v>
      </c>
      <c r="C7569">
        <v>2025</v>
      </c>
      <c r="D7569">
        <v>9</v>
      </c>
      <c r="E7569" t="s">
        <v>47</v>
      </c>
      <c r="F7569" t="s">
        <v>28</v>
      </c>
      <c r="G7569" t="s">
        <v>51</v>
      </c>
      <c r="H7569" t="s">
        <v>189</v>
      </c>
      <c r="I7569">
        <v>18062.650000000001</v>
      </c>
      <c r="J7569">
        <v>14878.39</v>
      </c>
      <c r="K7569" t="s">
        <v>17</v>
      </c>
      <c r="L7569" t="b">
        <v>0</v>
      </c>
      <c r="N7569" s="2" t="b">
        <f t="shared" si="680"/>
        <v>1</v>
      </c>
      <c r="O7569" t="b">
        <f>IF(AND(E7558="HR",K7558="EXPENSE"),I7558&lt;J7558,"")</f>
        <v>0</v>
      </c>
      <c r="Q7569" t="str">
        <f t="shared" si="679"/>
        <v/>
      </c>
    </row>
    <row r="7570" spans="1:17" hidden="1">
      <c r="A7570" t="s">
        <v>7675</v>
      </c>
      <c r="B7570" s="1">
        <v>45926</v>
      </c>
      <c r="C7570">
        <v>2025</v>
      </c>
      <c r="D7570">
        <v>9</v>
      </c>
      <c r="E7570" t="s">
        <v>19</v>
      </c>
      <c r="F7570" t="s">
        <v>28</v>
      </c>
      <c r="G7570" t="s">
        <v>80</v>
      </c>
      <c r="H7570" t="s">
        <v>150</v>
      </c>
      <c r="I7570">
        <v>7588.96</v>
      </c>
      <c r="J7570">
        <v>7092.27</v>
      </c>
      <c r="K7570" t="s">
        <v>17</v>
      </c>
      <c r="L7570" t="b">
        <v>0</v>
      </c>
      <c r="N7570" s="2" t="str">
        <f t="shared" si="680"/>
        <v/>
      </c>
      <c r="Q7570" t="str">
        <f t="shared" si="679"/>
        <v/>
      </c>
    </row>
    <row r="7571" spans="1:17" hidden="1">
      <c r="A7571" t="s">
        <v>7676</v>
      </c>
      <c r="B7571" s="1">
        <v>45926</v>
      </c>
      <c r="C7571">
        <v>2025</v>
      </c>
      <c r="D7571">
        <v>9</v>
      </c>
      <c r="E7571" t="s">
        <v>23</v>
      </c>
      <c r="F7571" t="s">
        <v>28</v>
      </c>
      <c r="G7571" t="s">
        <v>30</v>
      </c>
      <c r="H7571" t="s">
        <v>106</v>
      </c>
      <c r="I7571">
        <v>4519.4799999999996</v>
      </c>
      <c r="J7571">
        <v>4781.3999999999996</v>
      </c>
      <c r="K7571" t="s">
        <v>17</v>
      </c>
      <c r="L7571" t="b">
        <v>0</v>
      </c>
      <c r="N7571" s="2" t="str">
        <f t="shared" si="680"/>
        <v/>
      </c>
      <c r="Q7571" t="str">
        <f t="shared" si="679"/>
        <v/>
      </c>
    </row>
    <row r="7572" spans="1:17" hidden="1">
      <c r="A7572" t="s">
        <v>7677</v>
      </c>
      <c r="B7572" s="1">
        <v>45926</v>
      </c>
      <c r="C7572">
        <v>2025</v>
      </c>
      <c r="D7572">
        <v>9</v>
      </c>
      <c r="E7572" t="s">
        <v>37</v>
      </c>
      <c r="F7572" t="s">
        <v>28</v>
      </c>
      <c r="G7572" t="s">
        <v>98</v>
      </c>
      <c r="H7572" t="s">
        <v>185</v>
      </c>
      <c r="I7572">
        <v>5909.95</v>
      </c>
      <c r="J7572">
        <v>5620.6</v>
      </c>
      <c r="K7572" t="s">
        <v>17</v>
      </c>
      <c r="L7572" t="b">
        <v>0</v>
      </c>
      <c r="N7572" s="2" t="str">
        <f t="shared" si="680"/>
        <v/>
      </c>
      <c r="Q7572" t="str">
        <f t="shared" si="679"/>
        <v/>
      </c>
    </row>
    <row r="7573" spans="1:17" hidden="1">
      <c r="A7573" t="s">
        <v>7678</v>
      </c>
      <c r="B7573" s="1">
        <v>45927</v>
      </c>
      <c r="C7573">
        <v>2025</v>
      </c>
      <c r="D7573">
        <v>9</v>
      </c>
      <c r="E7573" t="s">
        <v>13</v>
      </c>
      <c r="F7573" t="s">
        <v>24</v>
      </c>
      <c r="G7573" t="s">
        <v>15</v>
      </c>
      <c r="H7573" t="s">
        <v>16</v>
      </c>
      <c r="I7573">
        <v>2491.48</v>
      </c>
      <c r="J7573">
        <v>2613.4</v>
      </c>
      <c r="K7573" t="s">
        <v>17</v>
      </c>
      <c r="L7573" t="b">
        <v>0</v>
      </c>
      <c r="N7573" s="2" t="str">
        <f t="shared" si="680"/>
        <v/>
      </c>
      <c r="Q7573" t="str">
        <f t="shared" si="679"/>
        <v/>
      </c>
    </row>
    <row r="7574" spans="1:17" hidden="1">
      <c r="A7574" t="s">
        <v>7679</v>
      </c>
      <c r="B7574" s="1">
        <v>45927</v>
      </c>
      <c r="C7574">
        <v>2025</v>
      </c>
      <c r="D7574">
        <v>9</v>
      </c>
      <c r="E7574" t="s">
        <v>23</v>
      </c>
      <c r="F7574" t="s">
        <v>14</v>
      </c>
      <c r="G7574" t="s">
        <v>141</v>
      </c>
      <c r="H7574" t="s">
        <v>142</v>
      </c>
      <c r="I7574">
        <v>5853.31</v>
      </c>
      <c r="J7574">
        <v>6380.31</v>
      </c>
      <c r="K7574" t="s">
        <v>17</v>
      </c>
      <c r="L7574" t="b">
        <v>0</v>
      </c>
      <c r="N7574" s="2" t="str">
        <f t="shared" si="680"/>
        <v/>
      </c>
      <c r="Q7574" t="str">
        <f t="shared" si="679"/>
        <v/>
      </c>
    </row>
    <row r="7575" spans="1:17" hidden="1">
      <c r="A7575" t="s">
        <v>7680</v>
      </c>
      <c r="B7575" s="1">
        <v>45927</v>
      </c>
      <c r="C7575">
        <v>2025</v>
      </c>
      <c r="D7575">
        <v>9</v>
      </c>
      <c r="E7575" t="s">
        <v>23</v>
      </c>
      <c r="F7575" t="s">
        <v>28</v>
      </c>
      <c r="G7575" t="s">
        <v>59</v>
      </c>
      <c r="H7575" t="s">
        <v>155</v>
      </c>
      <c r="I7575">
        <v>5435.33</v>
      </c>
      <c r="J7575">
        <v>5873.4</v>
      </c>
      <c r="K7575" t="s">
        <v>17</v>
      </c>
      <c r="L7575" t="b">
        <v>0</v>
      </c>
      <c r="N7575" s="2" t="str">
        <f t="shared" si="680"/>
        <v/>
      </c>
      <c r="Q7575" t="str">
        <f t="shared" si="679"/>
        <v/>
      </c>
    </row>
    <row r="7576" spans="1:17" hidden="1">
      <c r="A7576" t="s">
        <v>7681</v>
      </c>
      <c r="B7576" s="1">
        <v>45927</v>
      </c>
      <c r="C7576">
        <v>2025</v>
      </c>
      <c r="D7576">
        <v>9</v>
      </c>
      <c r="E7576" t="s">
        <v>37</v>
      </c>
      <c r="F7576" t="s">
        <v>28</v>
      </c>
      <c r="G7576" t="s">
        <v>38</v>
      </c>
      <c r="H7576" t="s">
        <v>118</v>
      </c>
      <c r="I7576">
        <v>4350.45</v>
      </c>
      <c r="J7576">
        <v>4256.25</v>
      </c>
      <c r="K7576" t="s">
        <v>17</v>
      </c>
      <c r="L7576" t="b">
        <v>0</v>
      </c>
      <c r="N7576" s="2" t="str">
        <f t="shared" si="680"/>
        <v/>
      </c>
      <c r="Q7576" t="str">
        <f t="shared" si="679"/>
        <v/>
      </c>
    </row>
    <row r="7577" spans="1:17" hidden="1">
      <c r="A7577" t="s">
        <v>7682</v>
      </c>
      <c r="B7577" s="1">
        <v>45927</v>
      </c>
      <c r="C7577">
        <v>2025</v>
      </c>
      <c r="D7577">
        <v>9</v>
      </c>
      <c r="E7577" t="s">
        <v>37</v>
      </c>
      <c r="F7577" t="s">
        <v>14</v>
      </c>
      <c r="G7577" t="s">
        <v>83</v>
      </c>
      <c r="H7577" t="s">
        <v>84</v>
      </c>
      <c r="I7577">
        <v>280947.55</v>
      </c>
      <c r="J7577">
        <v>266900.17</v>
      </c>
      <c r="K7577" t="s">
        <v>85</v>
      </c>
      <c r="L7577" t="b">
        <v>0</v>
      </c>
      <c r="N7577" s="2" t="str">
        <f t="shared" si="680"/>
        <v/>
      </c>
      <c r="Q7577" t="str">
        <f t="shared" si="679"/>
        <v/>
      </c>
    </row>
    <row r="7578" spans="1:17" hidden="1">
      <c r="A7578" t="s">
        <v>7683</v>
      </c>
      <c r="B7578" s="1">
        <v>45928</v>
      </c>
      <c r="C7578">
        <v>2025</v>
      </c>
      <c r="D7578">
        <v>9</v>
      </c>
      <c r="E7578" t="s">
        <v>47</v>
      </c>
      <c r="F7578" t="s">
        <v>24</v>
      </c>
      <c r="G7578" t="s">
        <v>77</v>
      </c>
      <c r="H7578" t="s">
        <v>130</v>
      </c>
      <c r="I7578">
        <v>14022.06</v>
      </c>
      <c r="J7578">
        <v>11783.05</v>
      </c>
      <c r="K7578" t="s">
        <v>17</v>
      </c>
      <c r="L7578" t="b">
        <v>0</v>
      </c>
      <c r="N7578" s="2" t="b">
        <f t="shared" si="680"/>
        <v>1</v>
      </c>
      <c r="O7578" t="b">
        <f>IF(AND(E7567="HR",K7567="EXPENSE"),I7567&lt;J7567,"")</f>
        <v>1</v>
      </c>
      <c r="Q7578" t="str">
        <f t="shared" si="679"/>
        <v/>
      </c>
    </row>
    <row r="7579" spans="1:17" hidden="1">
      <c r="A7579" t="s">
        <v>7684</v>
      </c>
      <c r="B7579" s="1">
        <v>45928</v>
      </c>
      <c r="C7579">
        <v>2025</v>
      </c>
      <c r="D7579">
        <v>9</v>
      </c>
      <c r="E7579" t="s">
        <v>19</v>
      </c>
      <c r="F7579" t="s">
        <v>24</v>
      </c>
      <c r="G7579" t="s">
        <v>20</v>
      </c>
      <c r="H7579" t="s">
        <v>174</v>
      </c>
      <c r="I7579">
        <v>4638.76</v>
      </c>
      <c r="J7579">
        <v>4671.12</v>
      </c>
      <c r="K7579" t="s">
        <v>17</v>
      </c>
      <c r="L7579" t="b">
        <v>0</v>
      </c>
      <c r="N7579" s="2" t="str">
        <f t="shared" si="680"/>
        <v/>
      </c>
      <c r="Q7579" t="str">
        <f t="shared" si="679"/>
        <v/>
      </c>
    </row>
    <row r="7580" spans="1:17" hidden="1">
      <c r="A7580" t="s">
        <v>7685</v>
      </c>
      <c r="B7580" s="1">
        <v>45928</v>
      </c>
      <c r="C7580">
        <v>2025</v>
      </c>
      <c r="D7580">
        <v>9</v>
      </c>
      <c r="E7580" t="s">
        <v>23</v>
      </c>
      <c r="F7580" t="s">
        <v>28</v>
      </c>
      <c r="G7580" t="s">
        <v>141</v>
      </c>
      <c r="H7580" t="s">
        <v>142</v>
      </c>
      <c r="I7580">
        <v>3454.88</v>
      </c>
      <c r="J7580">
        <v>3672.64</v>
      </c>
      <c r="K7580" t="s">
        <v>17</v>
      </c>
      <c r="L7580" t="b">
        <v>0</v>
      </c>
      <c r="N7580" s="2" t="str">
        <f t="shared" si="680"/>
        <v/>
      </c>
      <c r="Q7580" t="str">
        <f t="shared" si="679"/>
        <v/>
      </c>
    </row>
    <row r="7581" spans="1:17" hidden="1">
      <c r="A7581" t="s">
        <v>7686</v>
      </c>
      <c r="B7581" s="1">
        <v>45928</v>
      </c>
      <c r="C7581">
        <v>2025</v>
      </c>
      <c r="D7581">
        <v>9</v>
      </c>
      <c r="E7581" t="s">
        <v>37</v>
      </c>
      <c r="F7581" t="s">
        <v>28</v>
      </c>
      <c r="G7581" t="s">
        <v>41</v>
      </c>
      <c r="H7581" t="s">
        <v>42</v>
      </c>
      <c r="I7581">
        <v>3393.28</v>
      </c>
      <c r="J7581">
        <v>3332.34</v>
      </c>
      <c r="K7581" t="s">
        <v>17</v>
      </c>
      <c r="L7581" t="b">
        <v>0</v>
      </c>
      <c r="N7581" s="2" t="str">
        <f t="shared" si="680"/>
        <v/>
      </c>
      <c r="Q7581" t="str">
        <f t="shared" si="679"/>
        <v/>
      </c>
    </row>
    <row r="7582" spans="1:17" hidden="1">
      <c r="A7582" t="s">
        <v>7687</v>
      </c>
      <c r="B7582" s="1">
        <v>45928</v>
      </c>
      <c r="C7582">
        <v>2025</v>
      </c>
      <c r="D7582">
        <v>9</v>
      </c>
      <c r="E7582" t="s">
        <v>37</v>
      </c>
      <c r="F7582" t="s">
        <v>24</v>
      </c>
      <c r="G7582" t="s">
        <v>98</v>
      </c>
      <c r="H7582" t="s">
        <v>185</v>
      </c>
      <c r="I7582">
        <v>6534.75</v>
      </c>
      <c r="J7582">
        <v>6810.79</v>
      </c>
      <c r="K7582" t="s">
        <v>17</v>
      </c>
      <c r="L7582" t="b">
        <v>0</v>
      </c>
      <c r="N7582" s="2" t="str">
        <f t="shared" si="680"/>
        <v/>
      </c>
      <c r="Q7582" t="str">
        <f t="shared" si="679"/>
        <v/>
      </c>
    </row>
    <row r="7583" spans="1:17" hidden="1">
      <c r="A7583" t="s">
        <v>7688</v>
      </c>
      <c r="B7583" s="1">
        <v>45929</v>
      </c>
      <c r="C7583">
        <v>2025</v>
      </c>
      <c r="D7583">
        <v>9</v>
      </c>
      <c r="E7583" t="s">
        <v>47</v>
      </c>
      <c r="F7583" t="s">
        <v>24</v>
      </c>
      <c r="G7583" t="s">
        <v>51</v>
      </c>
      <c r="H7583" t="s">
        <v>189</v>
      </c>
      <c r="I7583">
        <v>22553.66</v>
      </c>
      <c r="J7583">
        <v>19529.5</v>
      </c>
      <c r="K7583" t="s">
        <v>17</v>
      </c>
      <c r="L7583" t="b">
        <v>0</v>
      </c>
      <c r="N7583" s="2" t="b">
        <f t="shared" si="680"/>
        <v>1</v>
      </c>
      <c r="O7583" t="str">
        <f>IF(AND(E7572="HR",K7572="EXPENSE"),I7572&lt;J7572,"")</f>
        <v/>
      </c>
      <c r="Q7583" t="str">
        <f t="shared" si="679"/>
        <v/>
      </c>
    </row>
    <row r="7584" spans="1:17">
      <c r="A7584" t="s">
        <v>7689</v>
      </c>
      <c r="B7584" s="1">
        <v>45929</v>
      </c>
      <c r="C7584">
        <v>2025</v>
      </c>
      <c r="D7584">
        <v>9</v>
      </c>
      <c r="E7584" t="s">
        <v>19</v>
      </c>
      <c r="F7584" t="s">
        <v>28</v>
      </c>
      <c r="G7584" t="s">
        <v>132</v>
      </c>
      <c r="H7584" t="s">
        <v>651</v>
      </c>
      <c r="I7584">
        <v>16814.23</v>
      </c>
      <c r="J7584">
        <v>5140.62</v>
      </c>
      <c r="K7584" t="s">
        <v>17</v>
      </c>
      <c r="L7584" t="b">
        <v>1</v>
      </c>
      <c r="N7584" s="2" t="str">
        <f t="shared" si="680"/>
        <v/>
      </c>
      <c r="Q7584" t="b">
        <f t="shared" si="679"/>
        <v>1</v>
      </c>
    </row>
    <row r="7585" spans="1:17" hidden="1">
      <c r="A7585" t="s">
        <v>7690</v>
      </c>
      <c r="B7585" s="1">
        <v>45929</v>
      </c>
      <c r="C7585">
        <v>2025</v>
      </c>
      <c r="D7585">
        <v>9</v>
      </c>
      <c r="E7585" t="s">
        <v>23</v>
      </c>
      <c r="F7585" t="s">
        <v>14</v>
      </c>
      <c r="G7585" t="s">
        <v>30</v>
      </c>
      <c r="H7585" t="s">
        <v>31</v>
      </c>
      <c r="I7585">
        <v>5387.1</v>
      </c>
      <c r="J7585">
        <v>5317.97</v>
      </c>
      <c r="K7585" t="s">
        <v>17</v>
      </c>
      <c r="L7585" t="b">
        <v>0</v>
      </c>
      <c r="N7585" s="2" t="str">
        <f t="shared" si="680"/>
        <v/>
      </c>
      <c r="Q7585" t="str">
        <f t="shared" si="679"/>
        <v/>
      </c>
    </row>
    <row r="7586" spans="1:17" hidden="1">
      <c r="A7586" t="s">
        <v>7691</v>
      </c>
      <c r="B7586" s="1">
        <v>45929</v>
      </c>
      <c r="C7586">
        <v>2025</v>
      </c>
      <c r="D7586">
        <v>9</v>
      </c>
      <c r="E7586" t="s">
        <v>23</v>
      </c>
      <c r="F7586" t="s">
        <v>14</v>
      </c>
      <c r="G7586" t="s">
        <v>141</v>
      </c>
      <c r="H7586" t="s">
        <v>209</v>
      </c>
      <c r="I7586">
        <v>2961.14</v>
      </c>
      <c r="J7586">
        <v>2761.6</v>
      </c>
      <c r="K7586" t="s">
        <v>17</v>
      </c>
      <c r="L7586" t="b">
        <v>0</v>
      </c>
      <c r="N7586" s="2" t="str">
        <f t="shared" si="680"/>
        <v/>
      </c>
      <c r="Q7586" t="str">
        <f t="shared" si="679"/>
        <v/>
      </c>
    </row>
    <row r="7587" spans="1:17" hidden="1">
      <c r="A7587" t="s">
        <v>7692</v>
      </c>
      <c r="B7587" s="1">
        <v>45929</v>
      </c>
      <c r="C7587">
        <v>2025</v>
      </c>
      <c r="D7587">
        <v>9</v>
      </c>
      <c r="E7587" t="s">
        <v>37</v>
      </c>
      <c r="F7587" t="s">
        <v>14</v>
      </c>
      <c r="G7587" t="s">
        <v>98</v>
      </c>
      <c r="H7587" t="s">
        <v>185</v>
      </c>
      <c r="I7587">
        <v>8167.47</v>
      </c>
      <c r="J7587">
        <v>8128.99</v>
      </c>
      <c r="K7587" t="s">
        <v>17</v>
      </c>
      <c r="L7587" t="b">
        <v>0</v>
      </c>
      <c r="N7587" s="2" t="str">
        <f t="shared" si="680"/>
        <v/>
      </c>
      <c r="Q7587" t="str">
        <f t="shared" si="679"/>
        <v/>
      </c>
    </row>
    <row r="7588" spans="1:17" hidden="1">
      <c r="A7588" t="s">
        <v>7693</v>
      </c>
      <c r="B7588" s="1">
        <v>45930</v>
      </c>
      <c r="C7588">
        <v>2025</v>
      </c>
      <c r="D7588">
        <v>9</v>
      </c>
      <c r="E7588" t="s">
        <v>13</v>
      </c>
      <c r="F7588" t="s">
        <v>24</v>
      </c>
      <c r="G7588" t="s">
        <v>102</v>
      </c>
      <c r="H7588" t="s">
        <v>103</v>
      </c>
      <c r="I7588">
        <v>2498.54</v>
      </c>
      <c r="J7588">
        <v>2631.09</v>
      </c>
      <c r="K7588" t="s">
        <v>17</v>
      </c>
      <c r="L7588" t="b">
        <v>0</v>
      </c>
      <c r="N7588" s="2" t="str">
        <f t="shared" si="680"/>
        <v/>
      </c>
      <c r="Q7588" t="str">
        <f t="shared" si="679"/>
        <v/>
      </c>
    </row>
    <row r="7589" spans="1:17" hidden="1">
      <c r="A7589" t="s">
        <v>7694</v>
      </c>
      <c r="B7589" s="1">
        <v>45930</v>
      </c>
      <c r="C7589">
        <v>2025</v>
      </c>
      <c r="D7589">
        <v>9</v>
      </c>
      <c r="E7589" t="s">
        <v>13</v>
      </c>
      <c r="F7589" t="s">
        <v>24</v>
      </c>
      <c r="G7589" t="s">
        <v>102</v>
      </c>
      <c r="H7589" t="s">
        <v>103</v>
      </c>
      <c r="I7589">
        <v>4111.99</v>
      </c>
      <c r="J7589">
        <v>4188.76</v>
      </c>
      <c r="K7589" t="s">
        <v>17</v>
      </c>
      <c r="L7589" t="b">
        <v>0</v>
      </c>
      <c r="N7589" s="2" t="str">
        <f t="shared" si="680"/>
        <v/>
      </c>
      <c r="Q7589" t="str">
        <f t="shared" si="679"/>
        <v/>
      </c>
    </row>
    <row r="7590" spans="1:17" hidden="1">
      <c r="A7590" t="s">
        <v>7695</v>
      </c>
      <c r="B7590" s="1">
        <v>45930</v>
      </c>
      <c r="C7590">
        <v>2025</v>
      </c>
      <c r="D7590">
        <v>9</v>
      </c>
      <c r="E7590" t="s">
        <v>47</v>
      </c>
      <c r="F7590" t="s">
        <v>28</v>
      </c>
      <c r="G7590" t="s">
        <v>51</v>
      </c>
      <c r="H7590" t="s">
        <v>72</v>
      </c>
      <c r="I7590">
        <v>17338.810000000001</v>
      </c>
      <c r="J7590">
        <v>14883.08</v>
      </c>
      <c r="K7590" t="s">
        <v>17</v>
      </c>
      <c r="L7590" t="b">
        <v>0</v>
      </c>
      <c r="N7590" s="2" t="b">
        <f t="shared" si="680"/>
        <v>1</v>
      </c>
      <c r="O7590" t="str">
        <f t="shared" ref="O7590:O7591" si="682">IF(AND(E7579="HR",K7579="EXPENSE"),I7579&lt;J7579,"")</f>
        <v/>
      </c>
      <c r="Q7590" t="str">
        <f t="shared" si="679"/>
        <v/>
      </c>
    </row>
    <row r="7591" spans="1:17" hidden="1">
      <c r="A7591" t="s">
        <v>7696</v>
      </c>
      <c r="B7591" s="1">
        <v>45930</v>
      </c>
      <c r="C7591">
        <v>2025</v>
      </c>
      <c r="D7591">
        <v>9</v>
      </c>
      <c r="E7591" t="s">
        <v>47</v>
      </c>
      <c r="F7591" t="s">
        <v>24</v>
      </c>
      <c r="G7591" t="s">
        <v>91</v>
      </c>
      <c r="H7591" t="s">
        <v>92</v>
      </c>
      <c r="I7591">
        <v>20952.72</v>
      </c>
      <c r="J7591">
        <v>17668.77</v>
      </c>
      <c r="K7591" t="s">
        <v>17</v>
      </c>
      <c r="L7591" t="b">
        <v>0</v>
      </c>
      <c r="N7591" s="2" t="b">
        <f t="shared" si="680"/>
        <v>1</v>
      </c>
      <c r="O7591" t="str">
        <f t="shared" si="682"/>
        <v/>
      </c>
      <c r="Q7591" t="str">
        <f t="shared" si="679"/>
        <v/>
      </c>
    </row>
    <row r="7592" spans="1:17" hidden="1">
      <c r="A7592" t="s">
        <v>7697</v>
      </c>
      <c r="B7592" s="1">
        <v>45930</v>
      </c>
      <c r="C7592">
        <v>2025</v>
      </c>
      <c r="D7592">
        <v>9</v>
      </c>
      <c r="E7592" t="s">
        <v>23</v>
      </c>
      <c r="F7592" t="s">
        <v>14</v>
      </c>
      <c r="G7592" t="s">
        <v>141</v>
      </c>
      <c r="H7592" t="s">
        <v>153</v>
      </c>
      <c r="I7592">
        <v>4021.92</v>
      </c>
      <c r="J7592">
        <v>3908.17</v>
      </c>
      <c r="K7592" t="s">
        <v>17</v>
      </c>
      <c r="L7592" t="b">
        <v>0</v>
      </c>
      <c r="N7592" s="2" t="str">
        <f t="shared" si="680"/>
        <v/>
      </c>
      <c r="Q7592" t="str">
        <f t="shared" si="679"/>
        <v/>
      </c>
    </row>
    <row r="7593" spans="1:17" hidden="1">
      <c r="A7593" t="s">
        <v>7698</v>
      </c>
      <c r="B7593" s="1">
        <v>45930</v>
      </c>
      <c r="C7593">
        <v>2025</v>
      </c>
      <c r="D7593">
        <v>9</v>
      </c>
      <c r="E7593" t="s">
        <v>23</v>
      </c>
      <c r="F7593" t="s">
        <v>24</v>
      </c>
      <c r="G7593" t="s">
        <v>30</v>
      </c>
      <c r="H7593" t="s">
        <v>33</v>
      </c>
      <c r="I7593">
        <v>6510.39</v>
      </c>
      <c r="J7593">
        <v>5920.31</v>
      </c>
      <c r="K7593" t="s">
        <v>17</v>
      </c>
      <c r="L7593" t="b">
        <v>0</v>
      </c>
      <c r="N7593" s="2" t="str">
        <f t="shared" si="680"/>
        <v/>
      </c>
      <c r="Q7593" t="str">
        <f t="shared" si="679"/>
        <v/>
      </c>
    </row>
    <row r="7594" spans="1:17" hidden="1">
      <c r="A7594" t="s">
        <v>7699</v>
      </c>
      <c r="B7594" s="1">
        <v>45930</v>
      </c>
      <c r="C7594">
        <v>2025</v>
      </c>
      <c r="D7594">
        <v>9</v>
      </c>
      <c r="E7594" t="s">
        <v>23</v>
      </c>
      <c r="F7594" t="s">
        <v>24</v>
      </c>
      <c r="G7594" t="s">
        <v>59</v>
      </c>
      <c r="H7594" t="s">
        <v>155</v>
      </c>
      <c r="I7594">
        <v>7113.91</v>
      </c>
      <c r="J7594">
        <v>6730.25</v>
      </c>
      <c r="K7594" t="s">
        <v>17</v>
      </c>
      <c r="L7594" t="b">
        <v>0</v>
      </c>
      <c r="N7594" s="2" t="str">
        <f t="shared" si="680"/>
        <v/>
      </c>
      <c r="Q7594" t="str">
        <f t="shared" si="679"/>
        <v/>
      </c>
    </row>
    <row r="7595" spans="1:17" hidden="1">
      <c r="A7595" t="s">
        <v>7700</v>
      </c>
      <c r="B7595" s="1">
        <v>45931</v>
      </c>
      <c r="C7595">
        <v>2025</v>
      </c>
      <c r="D7595">
        <v>10</v>
      </c>
      <c r="E7595" t="s">
        <v>47</v>
      </c>
      <c r="F7595" t="s">
        <v>14</v>
      </c>
      <c r="G7595" t="s">
        <v>48</v>
      </c>
      <c r="H7595" t="s">
        <v>49</v>
      </c>
      <c r="I7595">
        <v>17994.13</v>
      </c>
      <c r="J7595">
        <v>14969.09</v>
      </c>
      <c r="K7595" t="s">
        <v>17</v>
      </c>
      <c r="L7595" t="b">
        <v>0</v>
      </c>
      <c r="N7595" s="2" t="b">
        <f t="shared" si="680"/>
        <v>1</v>
      </c>
      <c r="O7595" t="str">
        <f t="shared" ref="O7595:O7596" si="683">IF(AND(E7584="HR",K7584="EXPENSE"),I7584&lt;J7584,"")</f>
        <v/>
      </c>
      <c r="Q7595" t="str">
        <f t="shared" si="679"/>
        <v/>
      </c>
    </row>
    <row r="7596" spans="1:17" hidden="1">
      <c r="A7596" t="s">
        <v>7701</v>
      </c>
      <c r="B7596" s="1">
        <v>45931</v>
      </c>
      <c r="C7596">
        <v>2025</v>
      </c>
      <c r="D7596">
        <v>10</v>
      </c>
      <c r="E7596" t="s">
        <v>47</v>
      </c>
      <c r="F7596" t="s">
        <v>24</v>
      </c>
      <c r="G7596" t="s">
        <v>91</v>
      </c>
      <c r="H7596" t="s">
        <v>128</v>
      </c>
      <c r="I7596">
        <v>8026.88</v>
      </c>
      <c r="J7596">
        <v>6607.92</v>
      </c>
      <c r="K7596" t="s">
        <v>17</v>
      </c>
      <c r="L7596" t="b">
        <v>0</v>
      </c>
      <c r="N7596" s="2" t="b">
        <f t="shared" si="680"/>
        <v>1</v>
      </c>
      <c r="O7596" t="str">
        <f t="shared" si="683"/>
        <v/>
      </c>
      <c r="Q7596" t="str">
        <f t="shared" si="679"/>
        <v/>
      </c>
    </row>
    <row r="7597" spans="1:17" hidden="1">
      <c r="A7597" t="s">
        <v>7702</v>
      </c>
      <c r="B7597" s="1">
        <v>45931</v>
      </c>
      <c r="C7597">
        <v>2025</v>
      </c>
      <c r="D7597">
        <v>10</v>
      </c>
      <c r="E7597" t="s">
        <v>19</v>
      </c>
      <c r="F7597" t="s">
        <v>14</v>
      </c>
      <c r="G7597" t="s">
        <v>54</v>
      </c>
      <c r="H7597" t="s">
        <v>55</v>
      </c>
      <c r="I7597">
        <v>6711.7</v>
      </c>
      <c r="J7597">
        <v>6237.15</v>
      </c>
      <c r="K7597" t="s">
        <v>17</v>
      </c>
      <c r="L7597" t="b">
        <v>0</v>
      </c>
      <c r="N7597" s="2" t="str">
        <f t="shared" si="680"/>
        <v/>
      </c>
      <c r="Q7597" t="str">
        <f t="shared" si="679"/>
        <v/>
      </c>
    </row>
    <row r="7598" spans="1:17" hidden="1">
      <c r="A7598" t="s">
        <v>7703</v>
      </c>
      <c r="B7598" s="1">
        <v>45931</v>
      </c>
      <c r="C7598">
        <v>2025</v>
      </c>
      <c r="D7598">
        <v>10</v>
      </c>
      <c r="E7598" t="s">
        <v>19</v>
      </c>
      <c r="F7598" t="s">
        <v>14</v>
      </c>
      <c r="G7598" t="s">
        <v>20</v>
      </c>
      <c r="H7598" t="s">
        <v>136</v>
      </c>
      <c r="I7598">
        <v>9279.02</v>
      </c>
      <c r="J7598">
        <v>9596.35</v>
      </c>
      <c r="K7598" t="s">
        <v>17</v>
      </c>
      <c r="L7598" t="b">
        <v>0</v>
      </c>
      <c r="N7598" s="2" t="str">
        <f t="shared" si="680"/>
        <v/>
      </c>
      <c r="Q7598" t="str">
        <f t="shared" si="679"/>
        <v/>
      </c>
    </row>
    <row r="7599" spans="1:17" hidden="1">
      <c r="A7599" t="s">
        <v>7704</v>
      </c>
      <c r="B7599" s="1">
        <v>45931</v>
      </c>
      <c r="C7599">
        <v>2025</v>
      </c>
      <c r="D7599">
        <v>10</v>
      </c>
      <c r="E7599" t="s">
        <v>23</v>
      </c>
      <c r="F7599" t="s">
        <v>14</v>
      </c>
      <c r="G7599" t="s">
        <v>25</v>
      </c>
      <c r="H7599" t="s">
        <v>95</v>
      </c>
      <c r="I7599">
        <v>8242.01</v>
      </c>
      <c r="J7599">
        <v>8424.01</v>
      </c>
      <c r="K7599" t="s">
        <v>17</v>
      </c>
      <c r="L7599" t="b">
        <v>0</v>
      </c>
      <c r="N7599" s="2" t="str">
        <f t="shared" si="680"/>
        <v/>
      </c>
      <c r="Q7599" t="str">
        <f t="shared" si="679"/>
        <v/>
      </c>
    </row>
    <row r="7600" spans="1:17" hidden="1">
      <c r="A7600" t="s">
        <v>7705</v>
      </c>
      <c r="B7600" s="1">
        <v>45931</v>
      </c>
      <c r="C7600">
        <v>2025</v>
      </c>
      <c r="D7600">
        <v>10</v>
      </c>
      <c r="E7600" t="s">
        <v>37</v>
      </c>
      <c r="F7600" t="s">
        <v>14</v>
      </c>
      <c r="G7600" t="s">
        <v>38</v>
      </c>
      <c r="H7600" t="s">
        <v>39</v>
      </c>
      <c r="I7600">
        <v>5717.94</v>
      </c>
      <c r="J7600">
        <v>5518.9</v>
      </c>
      <c r="K7600" t="s">
        <v>17</v>
      </c>
      <c r="L7600" t="b">
        <v>0</v>
      </c>
      <c r="N7600" s="2" t="str">
        <f t="shared" si="680"/>
        <v/>
      </c>
      <c r="Q7600" t="str">
        <f t="shared" ref="Q7600:Q7663" si="684">IF(L7600=TRUE,OR(H7600="Apex Solutions Inc",H7600="Global Trade Partners",H7600="NovaTech Services"),"")</f>
        <v/>
      </c>
    </row>
    <row r="7601" spans="1:17" hidden="1">
      <c r="A7601" t="s">
        <v>7706</v>
      </c>
      <c r="B7601" s="1">
        <v>45932</v>
      </c>
      <c r="C7601">
        <v>2025</v>
      </c>
      <c r="D7601">
        <v>10</v>
      </c>
      <c r="E7601" t="s">
        <v>13</v>
      </c>
      <c r="F7601" t="s">
        <v>14</v>
      </c>
      <c r="G7601" t="s">
        <v>15</v>
      </c>
      <c r="H7601" t="s">
        <v>45</v>
      </c>
      <c r="I7601">
        <v>3952.82</v>
      </c>
      <c r="J7601">
        <v>3894.69</v>
      </c>
      <c r="K7601" t="s">
        <v>17</v>
      </c>
      <c r="L7601" t="b">
        <v>0</v>
      </c>
      <c r="N7601" s="2" t="str">
        <f t="shared" si="680"/>
        <v/>
      </c>
      <c r="Q7601" t="str">
        <f t="shared" si="684"/>
        <v/>
      </c>
    </row>
    <row r="7602" spans="1:17" hidden="1">
      <c r="A7602" t="s">
        <v>7707</v>
      </c>
      <c r="B7602" s="1">
        <v>45932</v>
      </c>
      <c r="C7602">
        <v>2025</v>
      </c>
      <c r="D7602">
        <v>10</v>
      </c>
      <c r="E7602" t="s">
        <v>13</v>
      </c>
      <c r="F7602" t="s">
        <v>24</v>
      </c>
      <c r="G7602" t="s">
        <v>68</v>
      </c>
      <c r="H7602" t="s">
        <v>69</v>
      </c>
      <c r="I7602">
        <v>4641.8999999999996</v>
      </c>
      <c r="J7602">
        <v>4638.91</v>
      </c>
      <c r="K7602" t="s">
        <v>17</v>
      </c>
      <c r="L7602" t="b">
        <v>0</v>
      </c>
      <c r="N7602" s="2" t="str">
        <f t="shared" si="680"/>
        <v/>
      </c>
      <c r="Q7602" t="str">
        <f t="shared" si="684"/>
        <v/>
      </c>
    </row>
    <row r="7603" spans="1:17" hidden="1">
      <c r="A7603" t="s">
        <v>7708</v>
      </c>
      <c r="B7603" s="1">
        <v>45932</v>
      </c>
      <c r="C7603">
        <v>2025</v>
      </c>
      <c r="D7603">
        <v>10</v>
      </c>
      <c r="E7603" t="s">
        <v>47</v>
      </c>
      <c r="F7603" t="s">
        <v>28</v>
      </c>
      <c r="G7603" t="s">
        <v>91</v>
      </c>
      <c r="H7603" t="s">
        <v>254</v>
      </c>
      <c r="I7603">
        <v>14326.43</v>
      </c>
      <c r="J7603">
        <v>12090.3</v>
      </c>
      <c r="K7603" t="s">
        <v>17</v>
      </c>
      <c r="L7603" t="b">
        <v>0</v>
      </c>
      <c r="N7603" s="2" t="b">
        <f t="shared" si="680"/>
        <v>1</v>
      </c>
      <c r="O7603" t="str">
        <f t="shared" ref="O7603:O7605" si="685">IF(AND(E7592="HR",K7592="EXPENSE"),I7592&lt;J7592,"")</f>
        <v/>
      </c>
      <c r="Q7603" t="str">
        <f t="shared" si="684"/>
        <v/>
      </c>
    </row>
    <row r="7604" spans="1:17" hidden="1">
      <c r="A7604" t="s">
        <v>7709</v>
      </c>
      <c r="B7604" s="1">
        <v>45932</v>
      </c>
      <c r="C7604">
        <v>2025</v>
      </c>
      <c r="D7604">
        <v>10</v>
      </c>
      <c r="E7604" t="s">
        <v>47</v>
      </c>
      <c r="F7604" t="s">
        <v>24</v>
      </c>
      <c r="G7604" t="s">
        <v>48</v>
      </c>
      <c r="H7604" t="s">
        <v>111</v>
      </c>
      <c r="I7604">
        <v>14741.91</v>
      </c>
      <c r="J7604">
        <v>12600.7</v>
      </c>
      <c r="K7604" t="s">
        <v>17</v>
      </c>
      <c r="L7604" t="b">
        <v>0</v>
      </c>
      <c r="N7604" s="2" t="b">
        <f t="shared" si="680"/>
        <v>1</v>
      </c>
      <c r="O7604" t="str">
        <f t="shared" si="685"/>
        <v/>
      </c>
      <c r="Q7604" t="str">
        <f t="shared" si="684"/>
        <v/>
      </c>
    </row>
    <row r="7605" spans="1:17" hidden="1">
      <c r="A7605" t="s">
        <v>7710</v>
      </c>
      <c r="B7605" s="1">
        <v>45932</v>
      </c>
      <c r="C7605">
        <v>2025</v>
      </c>
      <c r="D7605">
        <v>10</v>
      </c>
      <c r="E7605" t="s">
        <v>47</v>
      </c>
      <c r="F7605" t="s">
        <v>24</v>
      </c>
      <c r="G7605" t="s">
        <v>91</v>
      </c>
      <c r="H7605" t="s">
        <v>254</v>
      </c>
      <c r="I7605">
        <v>11025.14</v>
      </c>
      <c r="J7605">
        <v>9327.99</v>
      </c>
      <c r="K7605" t="s">
        <v>17</v>
      </c>
      <c r="L7605" t="b">
        <v>0</v>
      </c>
      <c r="N7605" s="2" t="b">
        <f t="shared" si="680"/>
        <v>1</v>
      </c>
      <c r="O7605" t="str">
        <f t="shared" si="685"/>
        <v/>
      </c>
      <c r="Q7605" t="str">
        <f t="shared" si="684"/>
        <v/>
      </c>
    </row>
    <row r="7606" spans="1:17">
      <c r="A7606" t="s">
        <v>7711</v>
      </c>
      <c r="B7606" s="1">
        <v>45932</v>
      </c>
      <c r="C7606">
        <v>2025</v>
      </c>
      <c r="D7606">
        <v>10</v>
      </c>
      <c r="E7606" t="s">
        <v>19</v>
      </c>
      <c r="F7606" t="s">
        <v>28</v>
      </c>
      <c r="G7606" t="s">
        <v>80</v>
      </c>
      <c r="H7606" t="s">
        <v>207</v>
      </c>
      <c r="I7606">
        <v>24121.97</v>
      </c>
      <c r="J7606">
        <v>6509.89</v>
      </c>
      <c r="K7606" t="s">
        <v>17</v>
      </c>
      <c r="L7606" t="b">
        <v>1</v>
      </c>
      <c r="N7606" s="2" t="str">
        <f t="shared" si="680"/>
        <v/>
      </c>
      <c r="Q7606" t="b">
        <f t="shared" si="684"/>
        <v>1</v>
      </c>
    </row>
    <row r="7607" spans="1:17" hidden="1">
      <c r="A7607" t="s">
        <v>7712</v>
      </c>
      <c r="B7607" s="1">
        <v>45932</v>
      </c>
      <c r="C7607">
        <v>2025</v>
      </c>
      <c r="D7607">
        <v>10</v>
      </c>
      <c r="E7607" t="s">
        <v>19</v>
      </c>
      <c r="F7607" t="s">
        <v>24</v>
      </c>
      <c r="G7607" t="s">
        <v>54</v>
      </c>
      <c r="H7607" t="s">
        <v>55</v>
      </c>
      <c r="I7607">
        <v>7916.65</v>
      </c>
      <c r="J7607">
        <v>8099.51</v>
      </c>
      <c r="K7607" t="s">
        <v>17</v>
      </c>
      <c r="L7607" t="b">
        <v>0</v>
      </c>
      <c r="N7607" s="2" t="str">
        <f t="shared" si="680"/>
        <v/>
      </c>
      <c r="Q7607" t="str">
        <f t="shared" si="684"/>
        <v/>
      </c>
    </row>
    <row r="7608" spans="1:17" hidden="1">
      <c r="A7608" t="s">
        <v>7713</v>
      </c>
      <c r="B7608" s="1">
        <v>45932</v>
      </c>
      <c r="C7608">
        <v>2025</v>
      </c>
      <c r="D7608">
        <v>10</v>
      </c>
      <c r="E7608" t="s">
        <v>19</v>
      </c>
      <c r="F7608" t="s">
        <v>24</v>
      </c>
      <c r="G7608" t="s">
        <v>54</v>
      </c>
      <c r="H7608" t="s">
        <v>163</v>
      </c>
      <c r="I7608">
        <v>8126.12</v>
      </c>
      <c r="J7608">
        <v>7846.71</v>
      </c>
      <c r="K7608" t="s">
        <v>17</v>
      </c>
      <c r="L7608" t="b">
        <v>0</v>
      </c>
      <c r="N7608" s="2" t="str">
        <f t="shared" si="680"/>
        <v/>
      </c>
      <c r="Q7608" t="str">
        <f t="shared" si="684"/>
        <v/>
      </c>
    </row>
    <row r="7609" spans="1:17" hidden="1">
      <c r="A7609" t="s">
        <v>7714</v>
      </c>
      <c r="B7609" s="1">
        <v>45932</v>
      </c>
      <c r="C7609">
        <v>2025</v>
      </c>
      <c r="D7609">
        <v>10</v>
      </c>
      <c r="E7609" t="s">
        <v>23</v>
      </c>
      <c r="F7609" t="s">
        <v>28</v>
      </c>
      <c r="G7609" t="s">
        <v>59</v>
      </c>
      <c r="H7609" t="s">
        <v>155</v>
      </c>
      <c r="I7609">
        <v>3920.97</v>
      </c>
      <c r="J7609">
        <v>4222.9399999999996</v>
      </c>
      <c r="K7609" t="s">
        <v>17</v>
      </c>
      <c r="L7609" t="b">
        <v>0</v>
      </c>
      <c r="N7609" s="2" t="str">
        <f t="shared" si="680"/>
        <v/>
      </c>
      <c r="Q7609" t="str">
        <f t="shared" si="684"/>
        <v/>
      </c>
    </row>
    <row r="7610" spans="1:17" hidden="1">
      <c r="A7610" t="s">
        <v>7715</v>
      </c>
      <c r="B7610" s="1">
        <v>45932</v>
      </c>
      <c r="C7610">
        <v>2025</v>
      </c>
      <c r="D7610">
        <v>10</v>
      </c>
      <c r="E7610" t="s">
        <v>23</v>
      </c>
      <c r="F7610" t="s">
        <v>28</v>
      </c>
      <c r="G7610" t="s">
        <v>59</v>
      </c>
      <c r="H7610" t="s">
        <v>155</v>
      </c>
      <c r="I7610">
        <v>4558.6400000000003</v>
      </c>
      <c r="J7610">
        <v>4983.26</v>
      </c>
      <c r="K7610" t="s">
        <v>17</v>
      </c>
      <c r="L7610" t="b">
        <v>0</v>
      </c>
      <c r="N7610" s="2" t="str">
        <f t="shared" si="680"/>
        <v/>
      </c>
      <c r="Q7610" t="str">
        <f t="shared" si="684"/>
        <v/>
      </c>
    </row>
    <row r="7611" spans="1:17" hidden="1">
      <c r="A7611" t="s">
        <v>7716</v>
      </c>
      <c r="B7611" s="1">
        <v>45932</v>
      </c>
      <c r="C7611">
        <v>2025</v>
      </c>
      <c r="D7611">
        <v>10</v>
      </c>
      <c r="E7611" t="s">
        <v>23</v>
      </c>
      <c r="F7611" t="s">
        <v>28</v>
      </c>
      <c r="G7611" t="s">
        <v>141</v>
      </c>
      <c r="H7611" t="s">
        <v>142</v>
      </c>
      <c r="I7611">
        <v>3742.08</v>
      </c>
      <c r="J7611">
        <v>3477.26</v>
      </c>
      <c r="K7611" t="s">
        <v>17</v>
      </c>
      <c r="L7611" t="b">
        <v>0</v>
      </c>
      <c r="N7611" s="2" t="str">
        <f t="shared" si="680"/>
        <v/>
      </c>
      <c r="Q7611" t="str">
        <f t="shared" si="684"/>
        <v/>
      </c>
    </row>
    <row r="7612" spans="1:17" hidden="1">
      <c r="A7612" t="s">
        <v>7717</v>
      </c>
      <c r="B7612" s="1">
        <v>45932</v>
      </c>
      <c r="C7612">
        <v>2025</v>
      </c>
      <c r="D7612">
        <v>10</v>
      </c>
      <c r="E7612" t="s">
        <v>23</v>
      </c>
      <c r="F7612" t="s">
        <v>24</v>
      </c>
      <c r="G7612" t="s">
        <v>141</v>
      </c>
      <c r="H7612" t="s">
        <v>142</v>
      </c>
      <c r="I7612">
        <v>7434.41</v>
      </c>
      <c r="J7612">
        <v>7269.98</v>
      </c>
      <c r="K7612" t="s">
        <v>17</v>
      </c>
      <c r="L7612" t="b">
        <v>0</v>
      </c>
      <c r="N7612" s="2" t="str">
        <f t="shared" si="680"/>
        <v/>
      </c>
      <c r="Q7612" t="str">
        <f t="shared" si="684"/>
        <v/>
      </c>
    </row>
    <row r="7613" spans="1:17" hidden="1">
      <c r="A7613" t="s">
        <v>7718</v>
      </c>
      <c r="B7613" s="1">
        <v>45932</v>
      </c>
      <c r="C7613">
        <v>2025</v>
      </c>
      <c r="D7613">
        <v>10</v>
      </c>
      <c r="E7613" t="s">
        <v>37</v>
      </c>
      <c r="F7613" t="s">
        <v>14</v>
      </c>
      <c r="G7613" t="s">
        <v>41</v>
      </c>
      <c r="H7613" t="s">
        <v>42</v>
      </c>
      <c r="I7613">
        <v>6818.51</v>
      </c>
      <c r="J7613">
        <v>6247.34</v>
      </c>
      <c r="K7613" t="s">
        <v>17</v>
      </c>
      <c r="L7613" t="b">
        <v>0</v>
      </c>
      <c r="N7613" s="2" t="str">
        <f t="shared" si="680"/>
        <v/>
      </c>
      <c r="Q7613" t="str">
        <f t="shared" si="684"/>
        <v/>
      </c>
    </row>
    <row r="7614" spans="1:17" hidden="1">
      <c r="A7614" t="s">
        <v>7719</v>
      </c>
      <c r="B7614" s="1">
        <v>45933</v>
      </c>
      <c r="C7614">
        <v>2025</v>
      </c>
      <c r="D7614">
        <v>10</v>
      </c>
      <c r="E7614" t="s">
        <v>47</v>
      </c>
      <c r="F7614" t="s">
        <v>14</v>
      </c>
      <c r="G7614" t="s">
        <v>51</v>
      </c>
      <c r="H7614" t="s">
        <v>72</v>
      </c>
      <c r="I7614">
        <v>9461.83</v>
      </c>
      <c r="J7614">
        <v>8024.62</v>
      </c>
      <c r="K7614" t="s">
        <v>17</v>
      </c>
      <c r="L7614" t="b">
        <v>0</v>
      </c>
      <c r="N7614" s="2" t="b">
        <f t="shared" si="680"/>
        <v>1</v>
      </c>
      <c r="O7614" t="str">
        <f t="shared" ref="O7614:O7616" si="686">IF(AND(E7603="HR",K7603="EXPENSE"),I7603&lt;J7603,"")</f>
        <v/>
      </c>
      <c r="Q7614" t="str">
        <f t="shared" si="684"/>
        <v/>
      </c>
    </row>
    <row r="7615" spans="1:17" hidden="1">
      <c r="A7615" t="s">
        <v>7720</v>
      </c>
      <c r="B7615" s="1">
        <v>45933</v>
      </c>
      <c r="C7615">
        <v>2025</v>
      </c>
      <c r="D7615">
        <v>10</v>
      </c>
      <c r="E7615" t="s">
        <v>47</v>
      </c>
      <c r="F7615" t="s">
        <v>28</v>
      </c>
      <c r="G7615" t="s">
        <v>77</v>
      </c>
      <c r="H7615" t="s">
        <v>147</v>
      </c>
      <c r="I7615">
        <v>17781.150000000001</v>
      </c>
      <c r="J7615">
        <v>14834.05</v>
      </c>
      <c r="K7615" t="s">
        <v>17</v>
      </c>
      <c r="L7615" t="b">
        <v>0</v>
      </c>
      <c r="N7615" s="2" t="b">
        <f t="shared" si="680"/>
        <v>1</v>
      </c>
      <c r="O7615" t="str">
        <f t="shared" si="686"/>
        <v/>
      </c>
      <c r="Q7615" t="str">
        <f t="shared" si="684"/>
        <v/>
      </c>
    </row>
    <row r="7616" spans="1:17" hidden="1">
      <c r="A7616" t="s">
        <v>7721</v>
      </c>
      <c r="B7616" s="1">
        <v>45933</v>
      </c>
      <c r="C7616">
        <v>2025</v>
      </c>
      <c r="D7616">
        <v>10</v>
      </c>
      <c r="E7616" t="s">
        <v>47</v>
      </c>
      <c r="F7616" t="s">
        <v>24</v>
      </c>
      <c r="G7616" t="s">
        <v>48</v>
      </c>
      <c r="H7616" t="s">
        <v>191</v>
      </c>
      <c r="I7616">
        <v>8502.19</v>
      </c>
      <c r="J7616">
        <v>7253.77</v>
      </c>
      <c r="K7616" t="s">
        <v>17</v>
      </c>
      <c r="L7616" t="b">
        <v>0</v>
      </c>
      <c r="N7616" s="2" t="b">
        <f t="shared" si="680"/>
        <v>1</v>
      </c>
      <c r="O7616" t="str">
        <f t="shared" si="686"/>
        <v/>
      </c>
      <c r="Q7616" t="str">
        <f t="shared" si="684"/>
        <v/>
      </c>
    </row>
    <row r="7617" spans="1:17" hidden="1">
      <c r="A7617" t="s">
        <v>7722</v>
      </c>
      <c r="B7617" s="1">
        <v>45933</v>
      </c>
      <c r="C7617">
        <v>2025</v>
      </c>
      <c r="D7617">
        <v>10</v>
      </c>
      <c r="E7617" t="s">
        <v>19</v>
      </c>
      <c r="F7617" t="s">
        <v>28</v>
      </c>
      <c r="G7617" t="s">
        <v>80</v>
      </c>
      <c r="H7617" t="s">
        <v>150</v>
      </c>
      <c r="I7617">
        <v>5037.67</v>
      </c>
      <c r="J7617">
        <v>5357.35</v>
      </c>
      <c r="K7617" t="s">
        <v>17</v>
      </c>
      <c r="L7617" t="b">
        <v>0</v>
      </c>
      <c r="N7617" s="2" t="str">
        <f t="shared" si="680"/>
        <v/>
      </c>
      <c r="Q7617" t="str">
        <f t="shared" si="684"/>
        <v/>
      </c>
    </row>
    <row r="7618" spans="1:17" hidden="1">
      <c r="A7618" t="s">
        <v>7723</v>
      </c>
      <c r="B7618" s="1">
        <v>45933</v>
      </c>
      <c r="C7618">
        <v>2025</v>
      </c>
      <c r="D7618">
        <v>10</v>
      </c>
      <c r="E7618" t="s">
        <v>19</v>
      </c>
      <c r="F7618" t="s">
        <v>28</v>
      </c>
      <c r="G7618" t="s">
        <v>80</v>
      </c>
      <c r="H7618" t="s">
        <v>150</v>
      </c>
      <c r="I7618">
        <v>8185.09</v>
      </c>
      <c r="J7618">
        <v>7481.23</v>
      </c>
      <c r="K7618" t="s">
        <v>17</v>
      </c>
      <c r="L7618" t="b">
        <v>0</v>
      </c>
      <c r="N7618" s="2" t="str">
        <f t="shared" si="680"/>
        <v/>
      </c>
      <c r="Q7618" t="str">
        <f t="shared" si="684"/>
        <v/>
      </c>
    </row>
    <row r="7619" spans="1:17" hidden="1">
      <c r="A7619" t="s">
        <v>7724</v>
      </c>
      <c r="B7619" s="1">
        <v>45933</v>
      </c>
      <c r="C7619">
        <v>2025</v>
      </c>
      <c r="D7619">
        <v>10</v>
      </c>
      <c r="E7619" t="s">
        <v>37</v>
      </c>
      <c r="F7619" t="s">
        <v>14</v>
      </c>
      <c r="G7619" t="s">
        <v>41</v>
      </c>
      <c r="H7619" t="s">
        <v>42</v>
      </c>
      <c r="I7619">
        <v>6463.36</v>
      </c>
      <c r="J7619">
        <v>6293.69</v>
      </c>
      <c r="K7619" t="s">
        <v>17</v>
      </c>
      <c r="L7619" t="b">
        <v>0</v>
      </c>
      <c r="N7619" s="2" t="str">
        <f t="shared" ref="N7619:N7682" si="687">IF(AND(E7619="IT",K7619="EXPENSE"),I7619&gt;J7619,"")</f>
        <v/>
      </c>
      <c r="Q7619" t="str">
        <f t="shared" si="684"/>
        <v/>
      </c>
    </row>
    <row r="7620" spans="1:17" hidden="1">
      <c r="A7620" t="s">
        <v>7725</v>
      </c>
      <c r="B7620" s="1">
        <v>45934</v>
      </c>
      <c r="C7620">
        <v>2025</v>
      </c>
      <c r="D7620">
        <v>10</v>
      </c>
      <c r="E7620" t="s">
        <v>47</v>
      </c>
      <c r="F7620" t="s">
        <v>24</v>
      </c>
      <c r="G7620" t="s">
        <v>77</v>
      </c>
      <c r="H7620" t="s">
        <v>130</v>
      </c>
      <c r="I7620">
        <v>14921.21</v>
      </c>
      <c r="J7620">
        <v>12925.31</v>
      </c>
      <c r="K7620" t="s">
        <v>17</v>
      </c>
      <c r="L7620" t="b">
        <v>0</v>
      </c>
      <c r="N7620" s="2" t="b">
        <f t="shared" si="687"/>
        <v>1</v>
      </c>
      <c r="O7620" t="str">
        <f>IF(AND(E7609="HR",K7609="EXPENSE"),I7609&lt;J7609,"")</f>
        <v/>
      </c>
      <c r="Q7620" t="str">
        <f t="shared" si="684"/>
        <v/>
      </c>
    </row>
    <row r="7621" spans="1:17" hidden="1">
      <c r="A7621" t="s">
        <v>7726</v>
      </c>
      <c r="B7621" s="1">
        <v>45934</v>
      </c>
      <c r="C7621">
        <v>2025</v>
      </c>
      <c r="D7621">
        <v>10</v>
      </c>
      <c r="E7621" t="s">
        <v>19</v>
      </c>
      <c r="F7621" t="s">
        <v>28</v>
      </c>
      <c r="G7621" t="s">
        <v>132</v>
      </c>
      <c r="H7621" t="s">
        <v>138</v>
      </c>
      <c r="I7621">
        <v>3608.62</v>
      </c>
      <c r="J7621">
        <v>3627.2</v>
      </c>
      <c r="K7621" t="s">
        <v>17</v>
      </c>
      <c r="L7621" t="b">
        <v>0</v>
      </c>
      <c r="N7621" s="2" t="str">
        <f t="shared" si="687"/>
        <v/>
      </c>
      <c r="Q7621" t="str">
        <f t="shared" si="684"/>
        <v/>
      </c>
    </row>
    <row r="7622" spans="1:17" hidden="1">
      <c r="A7622" t="s">
        <v>7727</v>
      </c>
      <c r="B7622" s="1">
        <v>45934</v>
      </c>
      <c r="C7622">
        <v>2025</v>
      </c>
      <c r="D7622">
        <v>10</v>
      </c>
      <c r="E7622" t="s">
        <v>23</v>
      </c>
      <c r="F7622" t="s">
        <v>14</v>
      </c>
      <c r="G7622" t="s">
        <v>30</v>
      </c>
      <c r="H7622" t="s">
        <v>106</v>
      </c>
      <c r="I7622">
        <v>8214.7900000000009</v>
      </c>
      <c r="J7622">
        <v>8056.87</v>
      </c>
      <c r="K7622" t="s">
        <v>17</v>
      </c>
      <c r="L7622" t="b">
        <v>0</v>
      </c>
      <c r="N7622" s="2" t="str">
        <f t="shared" si="687"/>
        <v/>
      </c>
      <c r="Q7622" t="str">
        <f t="shared" si="684"/>
        <v/>
      </c>
    </row>
    <row r="7623" spans="1:17" hidden="1">
      <c r="A7623" t="s">
        <v>7728</v>
      </c>
      <c r="B7623" s="1">
        <v>45934</v>
      </c>
      <c r="C7623">
        <v>2025</v>
      </c>
      <c r="D7623">
        <v>10</v>
      </c>
      <c r="E7623" t="s">
        <v>23</v>
      </c>
      <c r="F7623" t="s">
        <v>24</v>
      </c>
      <c r="G7623" t="s">
        <v>59</v>
      </c>
      <c r="H7623" t="s">
        <v>60</v>
      </c>
      <c r="I7623">
        <v>1899.02</v>
      </c>
      <c r="J7623">
        <v>2044.91</v>
      </c>
      <c r="K7623" t="s">
        <v>17</v>
      </c>
      <c r="L7623" t="b">
        <v>0</v>
      </c>
      <c r="N7623" s="2" t="str">
        <f t="shared" si="687"/>
        <v/>
      </c>
      <c r="Q7623" t="str">
        <f t="shared" si="684"/>
        <v/>
      </c>
    </row>
    <row r="7624" spans="1:17" hidden="1">
      <c r="A7624" t="s">
        <v>7729</v>
      </c>
      <c r="B7624" s="1">
        <v>45934</v>
      </c>
      <c r="C7624">
        <v>2025</v>
      </c>
      <c r="D7624">
        <v>10</v>
      </c>
      <c r="E7624" t="s">
        <v>37</v>
      </c>
      <c r="F7624" t="s">
        <v>24</v>
      </c>
      <c r="G7624" t="s">
        <v>98</v>
      </c>
      <c r="H7624" t="s">
        <v>99</v>
      </c>
      <c r="I7624">
        <v>3589.39</v>
      </c>
      <c r="J7624">
        <v>3545.39</v>
      </c>
      <c r="K7624" t="s">
        <v>17</v>
      </c>
      <c r="L7624" t="b">
        <v>0</v>
      </c>
      <c r="N7624" s="2" t="str">
        <f t="shared" si="687"/>
        <v/>
      </c>
      <c r="Q7624" t="str">
        <f t="shared" si="684"/>
        <v/>
      </c>
    </row>
    <row r="7625" spans="1:17" hidden="1">
      <c r="A7625" t="s">
        <v>7730</v>
      </c>
      <c r="B7625" s="1">
        <v>45934</v>
      </c>
      <c r="C7625">
        <v>2025</v>
      </c>
      <c r="D7625">
        <v>10</v>
      </c>
      <c r="E7625" t="s">
        <v>37</v>
      </c>
      <c r="F7625" t="s">
        <v>24</v>
      </c>
      <c r="G7625" t="s">
        <v>98</v>
      </c>
      <c r="H7625" t="s">
        <v>185</v>
      </c>
      <c r="I7625">
        <v>6662.18</v>
      </c>
      <c r="J7625">
        <v>6771.03</v>
      </c>
      <c r="K7625" t="s">
        <v>17</v>
      </c>
      <c r="L7625" t="b">
        <v>0</v>
      </c>
      <c r="N7625" s="2" t="str">
        <f t="shared" si="687"/>
        <v/>
      </c>
      <c r="Q7625" t="str">
        <f t="shared" si="684"/>
        <v/>
      </c>
    </row>
    <row r="7626" spans="1:17" hidden="1">
      <c r="A7626" t="s">
        <v>7731</v>
      </c>
      <c r="B7626" s="1">
        <v>45934</v>
      </c>
      <c r="C7626">
        <v>2025</v>
      </c>
      <c r="D7626">
        <v>10</v>
      </c>
      <c r="E7626" t="s">
        <v>37</v>
      </c>
      <c r="F7626" t="s">
        <v>24</v>
      </c>
      <c r="G7626" t="s">
        <v>62</v>
      </c>
      <c r="H7626" t="s">
        <v>63</v>
      </c>
      <c r="I7626">
        <v>5770.29</v>
      </c>
      <c r="J7626">
        <v>5846.38</v>
      </c>
      <c r="K7626" t="s">
        <v>17</v>
      </c>
      <c r="L7626" t="b">
        <v>0</v>
      </c>
      <c r="N7626" s="2" t="str">
        <f t="shared" si="687"/>
        <v/>
      </c>
      <c r="Q7626" t="str">
        <f t="shared" si="684"/>
        <v/>
      </c>
    </row>
    <row r="7627" spans="1:17" hidden="1">
      <c r="A7627" t="s">
        <v>7732</v>
      </c>
      <c r="B7627" s="1">
        <v>45935</v>
      </c>
      <c r="C7627">
        <v>2025</v>
      </c>
      <c r="D7627">
        <v>10</v>
      </c>
      <c r="E7627" t="s">
        <v>13</v>
      </c>
      <c r="F7627" t="s">
        <v>14</v>
      </c>
      <c r="G7627" t="s">
        <v>68</v>
      </c>
      <c r="H7627" t="s">
        <v>69</v>
      </c>
      <c r="I7627">
        <v>3170.32</v>
      </c>
      <c r="J7627">
        <v>3312.07</v>
      </c>
      <c r="K7627" t="s">
        <v>17</v>
      </c>
      <c r="L7627" t="b">
        <v>0</v>
      </c>
      <c r="N7627" s="2" t="str">
        <f t="shared" si="687"/>
        <v/>
      </c>
      <c r="Q7627" t="str">
        <f t="shared" si="684"/>
        <v/>
      </c>
    </row>
    <row r="7628" spans="1:17" hidden="1">
      <c r="A7628" t="s">
        <v>7733</v>
      </c>
      <c r="B7628" s="1">
        <v>45935</v>
      </c>
      <c r="C7628">
        <v>2025</v>
      </c>
      <c r="D7628">
        <v>10</v>
      </c>
      <c r="E7628" t="s">
        <v>13</v>
      </c>
      <c r="F7628" t="s">
        <v>24</v>
      </c>
      <c r="G7628" t="s">
        <v>68</v>
      </c>
      <c r="H7628" t="s">
        <v>69</v>
      </c>
      <c r="I7628">
        <v>2612.66</v>
      </c>
      <c r="J7628">
        <v>2416.66</v>
      </c>
      <c r="K7628" t="s">
        <v>17</v>
      </c>
      <c r="L7628" t="b">
        <v>0</v>
      </c>
      <c r="N7628" s="2" t="str">
        <f t="shared" si="687"/>
        <v/>
      </c>
      <c r="Q7628" t="str">
        <f t="shared" si="684"/>
        <v/>
      </c>
    </row>
    <row r="7629" spans="1:17" hidden="1">
      <c r="A7629" t="s">
        <v>7734</v>
      </c>
      <c r="B7629" s="1">
        <v>45935</v>
      </c>
      <c r="C7629">
        <v>2025</v>
      </c>
      <c r="D7629">
        <v>10</v>
      </c>
      <c r="E7629" t="s">
        <v>47</v>
      </c>
      <c r="F7629" t="s">
        <v>14</v>
      </c>
      <c r="G7629" t="s">
        <v>77</v>
      </c>
      <c r="H7629" t="s">
        <v>147</v>
      </c>
      <c r="I7629">
        <v>23137.69</v>
      </c>
      <c r="J7629">
        <v>19842.89</v>
      </c>
      <c r="K7629" t="s">
        <v>17</v>
      </c>
      <c r="L7629" t="b">
        <v>0</v>
      </c>
      <c r="N7629" s="2" t="b">
        <f t="shared" si="687"/>
        <v>1</v>
      </c>
      <c r="O7629" t="str">
        <f t="shared" ref="O7629:O7631" si="688">IF(AND(E7618="HR",K7618="EXPENSE"),I7618&lt;J7618,"")</f>
        <v/>
      </c>
      <c r="Q7629" t="str">
        <f t="shared" si="684"/>
        <v/>
      </c>
    </row>
    <row r="7630" spans="1:17" hidden="1">
      <c r="A7630" t="s">
        <v>7735</v>
      </c>
      <c r="B7630" s="1">
        <v>45935</v>
      </c>
      <c r="C7630">
        <v>2025</v>
      </c>
      <c r="D7630">
        <v>10</v>
      </c>
      <c r="E7630" t="s">
        <v>47</v>
      </c>
      <c r="F7630" t="s">
        <v>28</v>
      </c>
      <c r="G7630" t="s">
        <v>91</v>
      </c>
      <c r="H7630" t="s">
        <v>128</v>
      </c>
      <c r="I7630">
        <v>7330.46</v>
      </c>
      <c r="J7630">
        <v>6184.97</v>
      </c>
      <c r="K7630" t="s">
        <v>17</v>
      </c>
      <c r="L7630" t="b">
        <v>0</v>
      </c>
      <c r="N7630" s="2" t="b">
        <f t="shared" si="687"/>
        <v>1</v>
      </c>
      <c r="O7630" t="str">
        <f t="shared" si="688"/>
        <v/>
      </c>
      <c r="Q7630" t="str">
        <f t="shared" si="684"/>
        <v/>
      </c>
    </row>
    <row r="7631" spans="1:17" hidden="1">
      <c r="A7631" t="s">
        <v>7736</v>
      </c>
      <c r="B7631" s="1">
        <v>45935</v>
      </c>
      <c r="C7631">
        <v>2025</v>
      </c>
      <c r="D7631">
        <v>10</v>
      </c>
      <c r="E7631" t="s">
        <v>47</v>
      </c>
      <c r="F7631" t="s">
        <v>28</v>
      </c>
      <c r="G7631" t="s">
        <v>91</v>
      </c>
      <c r="H7631" t="s">
        <v>92</v>
      </c>
      <c r="I7631">
        <v>11901.74</v>
      </c>
      <c r="J7631">
        <v>10158.65</v>
      </c>
      <c r="K7631" t="s">
        <v>17</v>
      </c>
      <c r="L7631" t="b">
        <v>0</v>
      </c>
      <c r="N7631" s="2" t="b">
        <f t="shared" si="687"/>
        <v>1</v>
      </c>
      <c r="O7631" t="str">
        <f t="shared" si="688"/>
        <v/>
      </c>
      <c r="Q7631" t="str">
        <f t="shared" si="684"/>
        <v/>
      </c>
    </row>
    <row r="7632" spans="1:17" hidden="1">
      <c r="A7632" t="s">
        <v>7737</v>
      </c>
      <c r="B7632" s="1">
        <v>45935</v>
      </c>
      <c r="C7632">
        <v>2025</v>
      </c>
      <c r="D7632">
        <v>10</v>
      </c>
      <c r="E7632" t="s">
        <v>19</v>
      </c>
      <c r="F7632" t="s">
        <v>28</v>
      </c>
      <c r="G7632" t="s">
        <v>80</v>
      </c>
      <c r="H7632" t="s">
        <v>81</v>
      </c>
      <c r="I7632">
        <v>6148.54</v>
      </c>
      <c r="J7632">
        <v>5591.91</v>
      </c>
      <c r="K7632" t="s">
        <v>17</v>
      </c>
      <c r="L7632" t="b">
        <v>0</v>
      </c>
      <c r="N7632" s="2" t="str">
        <f t="shared" si="687"/>
        <v/>
      </c>
      <c r="Q7632" t="str">
        <f t="shared" si="684"/>
        <v/>
      </c>
    </row>
    <row r="7633" spans="1:17" hidden="1">
      <c r="A7633" t="s">
        <v>7738</v>
      </c>
      <c r="B7633" s="1">
        <v>45935</v>
      </c>
      <c r="C7633">
        <v>2025</v>
      </c>
      <c r="D7633">
        <v>10</v>
      </c>
      <c r="E7633" t="s">
        <v>23</v>
      </c>
      <c r="F7633" t="s">
        <v>14</v>
      </c>
      <c r="G7633" t="s">
        <v>141</v>
      </c>
      <c r="H7633" t="s">
        <v>209</v>
      </c>
      <c r="I7633">
        <v>4851.78</v>
      </c>
      <c r="J7633">
        <v>4410.1400000000003</v>
      </c>
      <c r="K7633" t="s">
        <v>17</v>
      </c>
      <c r="L7633" t="b">
        <v>0</v>
      </c>
      <c r="N7633" s="2" t="str">
        <f t="shared" si="687"/>
        <v/>
      </c>
      <c r="Q7633" t="str">
        <f t="shared" si="684"/>
        <v/>
      </c>
    </row>
    <row r="7634" spans="1:17" hidden="1">
      <c r="A7634" t="s">
        <v>7739</v>
      </c>
      <c r="B7634" s="1">
        <v>45935</v>
      </c>
      <c r="C7634">
        <v>2025</v>
      </c>
      <c r="D7634">
        <v>10</v>
      </c>
      <c r="E7634" t="s">
        <v>23</v>
      </c>
      <c r="F7634" t="s">
        <v>24</v>
      </c>
      <c r="G7634" t="s">
        <v>30</v>
      </c>
      <c r="H7634" t="s">
        <v>106</v>
      </c>
      <c r="I7634">
        <v>4918.49</v>
      </c>
      <c r="J7634">
        <v>5382.1</v>
      </c>
      <c r="K7634" t="s">
        <v>17</v>
      </c>
      <c r="L7634" t="b">
        <v>0</v>
      </c>
      <c r="N7634" s="2" t="str">
        <f t="shared" si="687"/>
        <v/>
      </c>
      <c r="Q7634" t="str">
        <f t="shared" si="684"/>
        <v/>
      </c>
    </row>
    <row r="7635" spans="1:17" hidden="1">
      <c r="A7635" t="s">
        <v>7740</v>
      </c>
      <c r="B7635" s="1">
        <v>45935</v>
      </c>
      <c r="C7635">
        <v>2025</v>
      </c>
      <c r="D7635">
        <v>10</v>
      </c>
      <c r="E7635" t="s">
        <v>37</v>
      </c>
      <c r="F7635" t="s">
        <v>14</v>
      </c>
      <c r="G7635" t="s">
        <v>62</v>
      </c>
      <c r="H7635" t="s">
        <v>121</v>
      </c>
      <c r="I7635">
        <v>5583.16</v>
      </c>
      <c r="J7635">
        <v>5265.37</v>
      </c>
      <c r="K7635" t="s">
        <v>17</v>
      </c>
      <c r="L7635" t="b">
        <v>0</v>
      </c>
      <c r="N7635" s="2" t="str">
        <f t="shared" si="687"/>
        <v/>
      </c>
      <c r="Q7635" t="str">
        <f t="shared" si="684"/>
        <v/>
      </c>
    </row>
    <row r="7636" spans="1:17" hidden="1">
      <c r="A7636" t="s">
        <v>7741</v>
      </c>
      <c r="B7636" s="1">
        <v>45935</v>
      </c>
      <c r="C7636">
        <v>2025</v>
      </c>
      <c r="D7636">
        <v>10</v>
      </c>
      <c r="E7636" t="s">
        <v>37</v>
      </c>
      <c r="F7636" t="s">
        <v>24</v>
      </c>
      <c r="G7636" t="s">
        <v>62</v>
      </c>
      <c r="H7636" t="s">
        <v>63</v>
      </c>
      <c r="I7636">
        <v>4504.7700000000004</v>
      </c>
      <c r="J7636">
        <v>4281.6099999999997</v>
      </c>
      <c r="K7636" t="s">
        <v>17</v>
      </c>
      <c r="L7636" t="b">
        <v>0</v>
      </c>
      <c r="N7636" s="2" t="str">
        <f t="shared" si="687"/>
        <v/>
      </c>
      <c r="Q7636" t="str">
        <f t="shared" si="684"/>
        <v/>
      </c>
    </row>
    <row r="7637" spans="1:17" hidden="1">
      <c r="A7637" t="s">
        <v>7742</v>
      </c>
      <c r="B7637" s="1">
        <v>45935</v>
      </c>
      <c r="C7637">
        <v>2025</v>
      </c>
      <c r="D7637">
        <v>10</v>
      </c>
      <c r="E7637" t="s">
        <v>37</v>
      </c>
      <c r="F7637" t="s">
        <v>24</v>
      </c>
      <c r="G7637" t="s">
        <v>62</v>
      </c>
      <c r="H7637" t="s">
        <v>360</v>
      </c>
      <c r="I7637">
        <v>2320.4</v>
      </c>
      <c r="J7637">
        <v>2485.75</v>
      </c>
      <c r="K7637" t="s">
        <v>17</v>
      </c>
      <c r="L7637" t="b">
        <v>0</v>
      </c>
      <c r="N7637" s="2" t="str">
        <f t="shared" si="687"/>
        <v/>
      </c>
      <c r="Q7637" t="str">
        <f t="shared" si="684"/>
        <v/>
      </c>
    </row>
    <row r="7638" spans="1:17" hidden="1">
      <c r="A7638" t="s">
        <v>7743</v>
      </c>
      <c r="B7638" s="1">
        <v>45936</v>
      </c>
      <c r="C7638">
        <v>2025</v>
      </c>
      <c r="D7638">
        <v>10</v>
      </c>
      <c r="E7638" t="s">
        <v>13</v>
      </c>
      <c r="F7638" t="s">
        <v>28</v>
      </c>
      <c r="G7638" t="s">
        <v>102</v>
      </c>
      <c r="H7638" t="s">
        <v>145</v>
      </c>
      <c r="I7638">
        <v>3818.34</v>
      </c>
      <c r="J7638">
        <v>3524.99</v>
      </c>
      <c r="K7638" t="s">
        <v>17</v>
      </c>
      <c r="L7638" t="b">
        <v>0</v>
      </c>
      <c r="N7638" s="2" t="str">
        <f t="shared" si="687"/>
        <v/>
      </c>
      <c r="Q7638" t="str">
        <f t="shared" si="684"/>
        <v/>
      </c>
    </row>
    <row r="7639" spans="1:17" hidden="1">
      <c r="A7639" t="s">
        <v>7744</v>
      </c>
      <c r="B7639" s="1">
        <v>45936</v>
      </c>
      <c r="C7639">
        <v>2025</v>
      </c>
      <c r="D7639">
        <v>10</v>
      </c>
      <c r="E7639" t="s">
        <v>13</v>
      </c>
      <c r="F7639" t="s">
        <v>24</v>
      </c>
      <c r="G7639" t="s">
        <v>68</v>
      </c>
      <c r="H7639" t="s">
        <v>69</v>
      </c>
      <c r="I7639">
        <v>3747.22</v>
      </c>
      <c r="J7639">
        <v>3526.84</v>
      </c>
      <c r="K7639" t="s">
        <v>17</v>
      </c>
      <c r="L7639" t="b">
        <v>0</v>
      </c>
      <c r="N7639" s="2" t="str">
        <f t="shared" si="687"/>
        <v/>
      </c>
      <c r="Q7639" t="str">
        <f t="shared" si="684"/>
        <v/>
      </c>
    </row>
    <row r="7640" spans="1:17" hidden="1">
      <c r="A7640" t="s">
        <v>7745</v>
      </c>
      <c r="B7640" s="1">
        <v>45936</v>
      </c>
      <c r="C7640">
        <v>2025</v>
      </c>
      <c r="D7640">
        <v>10</v>
      </c>
      <c r="E7640" t="s">
        <v>23</v>
      </c>
      <c r="F7640" t="s">
        <v>28</v>
      </c>
      <c r="G7640" t="s">
        <v>59</v>
      </c>
      <c r="H7640" t="s">
        <v>60</v>
      </c>
      <c r="I7640">
        <v>6054.53</v>
      </c>
      <c r="J7640">
        <v>6043.06</v>
      </c>
      <c r="K7640" t="s">
        <v>17</v>
      </c>
      <c r="L7640" t="b">
        <v>0</v>
      </c>
      <c r="N7640" s="2" t="str">
        <f t="shared" si="687"/>
        <v/>
      </c>
      <c r="Q7640" t="str">
        <f t="shared" si="684"/>
        <v/>
      </c>
    </row>
    <row r="7641" spans="1:17" hidden="1">
      <c r="A7641" t="s">
        <v>7746</v>
      </c>
      <c r="B7641" s="1">
        <v>45936</v>
      </c>
      <c r="C7641">
        <v>2025</v>
      </c>
      <c r="D7641">
        <v>10</v>
      </c>
      <c r="E7641" t="s">
        <v>23</v>
      </c>
      <c r="F7641" t="s">
        <v>24</v>
      </c>
      <c r="G7641" t="s">
        <v>59</v>
      </c>
      <c r="H7641" t="s">
        <v>155</v>
      </c>
      <c r="I7641">
        <v>3988.17</v>
      </c>
      <c r="J7641">
        <v>3869.43</v>
      </c>
      <c r="K7641" t="s">
        <v>17</v>
      </c>
      <c r="L7641" t="b">
        <v>0</v>
      </c>
      <c r="N7641" s="2" t="str">
        <f t="shared" si="687"/>
        <v/>
      </c>
      <c r="Q7641" t="str">
        <f t="shared" si="684"/>
        <v/>
      </c>
    </row>
    <row r="7642" spans="1:17" hidden="1">
      <c r="A7642" t="s">
        <v>7747</v>
      </c>
      <c r="B7642" s="1">
        <v>45936</v>
      </c>
      <c r="C7642">
        <v>2025</v>
      </c>
      <c r="D7642">
        <v>10</v>
      </c>
      <c r="E7642" t="s">
        <v>37</v>
      </c>
      <c r="F7642" t="s">
        <v>28</v>
      </c>
      <c r="G7642" t="s">
        <v>38</v>
      </c>
      <c r="H7642" t="s">
        <v>39</v>
      </c>
      <c r="I7642">
        <v>4431.46</v>
      </c>
      <c r="J7642">
        <v>4327.07</v>
      </c>
      <c r="K7642" t="s">
        <v>17</v>
      </c>
      <c r="L7642" t="b">
        <v>0</v>
      </c>
      <c r="N7642" s="2" t="str">
        <f t="shared" si="687"/>
        <v/>
      </c>
      <c r="Q7642" t="str">
        <f t="shared" si="684"/>
        <v/>
      </c>
    </row>
    <row r="7643" spans="1:17" hidden="1">
      <c r="A7643" t="s">
        <v>7748</v>
      </c>
      <c r="B7643" s="1">
        <v>45937</v>
      </c>
      <c r="C7643">
        <v>2025</v>
      </c>
      <c r="D7643">
        <v>10</v>
      </c>
      <c r="E7643" t="s">
        <v>13</v>
      </c>
      <c r="F7643" t="s">
        <v>28</v>
      </c>
      <c r="G7643" t="s">
        <v>68</v>
      </c>
      <c r="H7643" t="s">
        <v>213</v>
      </c>
      <c r="I7643">
        <v>5569.47</v>
      </c>
      <c r="J7643">
        <v>5687.92</v>
      </c>
      <c r="K7643" t="s">
        <v>17</v>
      </c>
      <c r="L7643" t="b">
        <v>0</v>
      </c>
      <c r="N7643" s="2" t="str">
        <f t="shared" si="687"/>
        <v/>
      </c>
      <c r="Q7643" t="str">
        <f t="shared" si="684"/>
        <v/>
      </c>
    </row>
    <row r="7644" spans="1:17" hidden="1">
      <c r="A7644" t="s">
        <v>7749</v>
      </c>
      <c r="B7644" s="1">
        <v>45937</v>
      </c>
      <c r="C7644">
        <v>2025</v>
      </c>
      <c r="D7644">
        <v>10</v>
      </c>
      <c r="E7644" t="s">
        <v>47</v>
      </c>
      <c r="F7644" t="s">
        <v>28</v>
      </c>
      <c r="G7644" t="s">
        <v>77</v>
      </c>
      <c r="H7644" t="s">
        <v>130</v>
      </c>
      <c r="I7644">
        <v>15843.15</v>
      </c>
      <c r="J7644">
        <v>13216.31</v>
      </c>
      <c r="K7644" t="s">
        <v>17</v>
      </c>
      <c r="L7644" t="b">
        <v>0</v>
      </c>
      <c r="N7644" s="2" t="b">
        <f t="shared" si="687"/>
        <v>1</v>
      </c>
      <c r="O7644" t="str">
        <f>IF(AND(E7633="HR",K7633="EXPENSE"),I7633&lt;J7633,"")</f>
        <v/>
      </c>
      <c r="Q7644" t="str">
        <f t="shared" si="684"/>
        <v/>
      </c>
    </row>
    <row r="7645" spans="1:17" hidden="1">
      <c r="A7645" t="s">
        <v>7750</v>
      </c>
      <c r="B7645" s="1">
        <v>45937</v>
      </c>
      <c r="C7645">
        <v>2025</v>
      </c>
      <c r="D7645">
        <v>10</v>
      </c>
      <c r="E7645" t="s">
        <v>19</v>
      </c>
      <c r="F7645" t="s">
        <v>24</v>
      </c>
      <c r="G7645" t="s">
        <v>132</v>
      </c>
      <c r="H7645" t="s">
        <v>133</v>
      </c>
      <c r="I7645">
        <v>5625.2</v>
      </c>
      <c r="J7645">
        <v>6000.62</v>
      </c>
      <c r="K7645" t="s">
        <v>17</v>
      </c>
      <c r="L7645" t="b">
        <v>0</v>
      </c>
      <c r="N7645" s="2" t="str">
        <f t="shared" si="687"/>
        <v/>
      </c>
      <c r="Q7645" t="str">
        <f t="shared" si="684"/>
        <v/>
      </c>
    </row>
    <row r="7646" spans="1:17" hidden="1">
      <c r="A7646" t="s">
        <v>7751</v>
      </c>
      <c r="B7646" s="1">
        <v>45937</v>
      </c>
      <c r="C7646">
        <v>2025</v>
      </c>
      <c r="D7646">
        <v>10</v>
      </c>
      <c r="E7646" t="s">
        <v>23</v>
      </c>
      <c r="F7646" t="s">
        <v>14</v>
      </c>
      <c r="G7646" t="s">
        <v>59</v>
      </c>
      <c r="H7646" t="s">
        <v>155</v>
      </c>
      <c r="I7646">
        <v>6341.97</v>
      </c>
      <c r="J7646">
        <v>5736.47</v>
      </c>
      <c r="K7646" t="s">
        <v>17</v>
      </c>
      <c r="L7646" t="b">
        <v>0</v>
      </c>
      <c r="N7646" s="2" t="str">
        <f t="shared" si="687"/>
        <v/>
      </c>
      <c r="Q7646" t="str">
        <f t="shared" si="684"/>
        <v/>
      </c>
    </row>
    <row r="7647" spans="1:17" hidden="1">
      <c r="A7647" t="s">
        <v>7752</v>
      </c>
      <c r="B7647" s="1">
        <v>45937</v>
      </c>
      <c r="C7647">
        <v>2025</v>
      </c>
      <c r="D7647">
        <v>10</v>
      </c>
      <c r="E7647" t="s">
        <v>23</v>
      </c>
      <c r="F7647" t="s">
        <v>28</v>
      </c>
      <c r="G7647" t="s">
        <v>141</v>
      </c>
      <c r="H7647" t="s">
        <v>209</v>
      </c>
      <c r="I7647">
        <v>4853.12</v>
      </c>
      <c r="J7647">
        <v>5029.3500000000004</v>
      </c>
      <c r="K7647" t="s">
        <v>17</v>
      </c>
      <c r="L7647" t="b">
        <v>0</v>
      </c>
      <c r="N7647" s="2" t="str">
        <f t="shared" si="687"/>
        <v/>
      </c>
      <c r="Q7647" t="str">
        <f t="shared" si="684"/>
        <v/>
      </c>
    </row>
    <row r="7648" spans="1:17" hidden="1">
      <c r="A7648" t="s">
        <v>7753</v>
      </c>
      <c r="B7648" s="1">
        <v>45937</v>
      </c>
      <c r="C7648">
        <v>2025</v>
      </c>
      <c r="D7648">
        <v>10</v>
      </c>
      <c r="E7648" t="s">
        <v>23</v>
      </c>
      <c r="F7648" t="s">
        <v>24</v>
      </c>
      <c r="G7648" t="s">
        <v>141</v>
      </c>
      <c r="H7648" t="s">
        <v>153</v>
      </c>
      <c r="I7648">
        <v>6988.28</v>
      </c>
      <c r="J7648">
        <v>6580.54</v>
      </c>
      <c r="K7648" t="s">
        <v>17</v>
      </c>
      <c r="L7648" t="b">
        <v>0</v>
      </c>
      <c r="N7648" s="2" t="str">
        <f t="shared" si="687"/>
        <v/>
      </c>
      <c r="Q7648" t="str">
        <f t="shared" si="684"/>
        <v/>
      </c>
    </row>
    <row r="7649" spans="1:17" hidden="1">
      <c r="A7649" t="s">
        <v>7754</v>
      </c>
      <c r="B7649" s="1">
        <v>45938</v>
      </c>
      <c r="C7649">
        <v>2025</v>
      </c>
      <c r="D7649">
        <v>10</v>
      </c>
      <c r="E7649" t="s">
        <v>13</v>
      </c>
      <c r="F7649" t="s">
        <v>28</v>
      </c>
      <c r="G7649" t="s">
        <v>102</v>
      </c>
      <c r="H7649" t="s">
        <v>145</v>
      </c>
      <c r="I7649">
        <v>3268.71</v>
      </c>
      <c r="J7649">
        <v>3384.19</v>
      </c>
      <c r="K7649" t="s">
        <v>17</v>
      </c>
      <c r="L7649" t="b">
        <v>0</v>
      </c>
      <c r="N7649" s="2" t="str">
        <f t="shared" si="687"/>
        <v/>
      </c>
      <c r="Q7649" t="str">
        <f t="shared" si="684"/>
        <v/>
      </c>
    </row>
    <row r="7650" spans="1:17" hidden="1">
      <c r="A7650" t="s">
        <v>7755</v>
      </c>
      <c r="B7650" s="1">
        <v>45938</v>
      </c>
      <c r="C7650">
        <v>2025</v>
      </c>
      <c r="D7650">
        <v>10</v>
      </c>
      <c r="E7650" t="s">
        <v>13</v>
      </c>
      <c r="F7650" t="s">
        <v>28</v>
      </c>
      <c r="G7650" t="s">
        <v>108</v>
      </c>
      <c r="H7650" t="s">
        <v>126</v>
      </c>
      <c r="I7650">
        <v>5089.12</v>
      </c>
      <c r="J7650">
        <v>5566.22</v>
      </c>
      <c r="K7650" t="s">
        <v>17</v>
      </c>
      <c r="L7650" t="b">
        <v>0</v>
      </c>
      <c r="N7650" s="2" t="str">
        <f t="shared" si="687"/>
        <v/>
      </c>
      <c r="Q7650" t="str">
        <f t="shared" si="684"/>
        <v/>
      </c>
    </row>
    <row r="7651" spans="1:17" hidden="1">
      <c r="A7651" t="s">
        <v>7756</v>
      </c>
      <c r="B7651" s="1">
        <v>45938</v>
      </c>
      <c r="C7651">
        <v>2025</v>
      </c>
      <c r="D7651">
        <v>10</v>
      </c>
      <c r="E7651" t="s">
        <v>47</v>
      </c>
      <c r="F7651" t="s">
        <v>28</v>
      </c>
      <c r="G7651" t="s">
        <v>48</v>
      </c>
      <c r="H7651" t="s">
        <v>75</v>
      </c>
      <c r="I7651">
        <v>14413.65</v>
      </c>
      <c r="J7651">
        <v>12024.32</v>
      </c>
      <c r="K7651" t="s">
        <v>17</v>
      </c>
      <c r="L7651" t="b">
        <v>0</v>
      </c>
      <c r="N7651" s="2" t="b">
        <f t="shared" si="687"/>
        <v>1</v>
      </c>
      <c r="O7651" t="str">
        <f t="shared" ref="O7651:O7652" si="689">IF(AND(E7640="HR",K7640="EXPENSE"),I7640&lt;J7640,"")</f>
        <v/>
      </c>
      <c r="Q7651" t="str">
        <f t="shared" si="684"/>
        <v/>
      </c>
    </row>
    <row r="7652" spans="1:17" hidden="1">
      <c r="A7652" t="s">
        <v>7757</v>
      </c>
      <c r="B7652" s="1">
        <v>45938</v>
      </c>
      <c r="C7652">
        <v>2025</v>
      </c>
      <c r="D7652">
        <v>10</v>
      </c>
      <c r="E7652" t="s">
        <v>47</v>
      </c>
      <c r="F7652" t="s">
        <v>24</v>
      </c>
      <c r="G7652" t="s">
        <v>91</v>
      </c>
      <c r="H7652" t="s">
        <v>254</v>
      </c>
      <c r="I7652">
        <v>14167.78</v>
      </c>
      <c r="J7652">
        <v>12136.2</v>
      </c>
      <c r="K7652" t="s">
        <v>17</v>
      </c>
      <c r="L7652" t="b">
        <v>0</v>
      </c>
      <c r="N7652" s="2" t="b">
        <f t="shared" si="687"/>
        <v>1</v>
      </c>
      <c r="O7652" t="str">
        <f t="shared" si="689"/>
        <v/>
      </c>
      <c r="Q7652" t="str">
        <f t="shared" si="684"/>
        <v/>
      </c>
    </row>
    <row r="7653" spans="1:17" hidden="1">
      <c r="A7653" t="s">
        <v>7758</v>
      </c>
      <c r="B7653" s="1">
        <v>45938</v>
      </c>
      <c r="C7653">
        <v>2025</v>
      </c>
      <c r="D7653">
        <v>10</v>
      </c>
      <c r="E7653" t="s">
        <v>19</v>
      </c>
      <c r="F7653" t="s">
        <v>24</v>
      </c>
      <c r="G7653" t="s">
        <v>132</v>
      </c>
      <c r="H7653" t="s">
        <v>138</v>
      </c>
      <c r="I7653">
        <v>5519.17</v>
      </c>
      <c r="J7653">
        <v>5453.08</v>
      </c>
      <c r="K7653" t="s">
        <v>17</v>
      </c>
      <c r="L7653" t="b">
        <v>0</v>
      </c>
      <c r="N7653" s="2" t="str">
        <f t="shared" si="687"/>
        <v/>
      </c>
      <c r="Q7653" t="str">
        <f t="shared" si="684"/>
        <v/>
      </c>
    </row>
    <row r="7654" spans="1:17" hidden="1">
      <c r="A7654" t="s">
        <v>7759</v>
      </c>
      <c r="B7654" s="1">
        <v>45938</v>
      </c>
      <c r="C7654">
        <v>2025</v>
      </c>
      <c r="D7654">
        <v>10</v>
      </c>
      <c r="E7654" t="s">
        <v>23</v>
      </c>
      <c r="F7654" t="s">
        <v>28</v>
      </c>
      <c r="G7654" t="s">
        <v>59</v>
      </c>
      <c r="H7654" t="s">
        <v>60</v>
      </c>
      <c r="I7654">
        <v>4697</v>
      </c>
      <c r="J7654">
        <v>4438.42</v>
      </c>
      <c r="K7654" t="s">
        <v>17</v>
      </c>
      <c r="L7654" t="b">
        <v>0</v>
      </c>
      <c r="N7654" s="2" t="str">
        <f t="shared" si="687"/>
        <v/>
      </c>
      <c r="Q7654" t="str">
        <f t="shared" si="684"/>
        <v/>
      </c>
    </row>
    <row r="7655" spans="1:17" hidden="1">
      <c r="A7655" t="s">
        <v>7760</v>
      </c>
      <c r="B7655" s="1">
        <v>45938</v>
      </c>
      <c r="C7655">
        <v>2025</v>
      </c>
      <c r="D7655">
        <v>10</v>
      </c>
      <c r="E7655" t="s">
        <v>37</v>
      </c>
      <c r="F7655" t="s">
        <v>14</v>
      </c>
      <c r="G7655" t="s">
        <v>38</v>
      </c>
      <c r="H7655" t="s">
        <v>227</v>
      </c>
      <c r="I7655">
        <v>5089.28</v>
      </c>
      <c r="J7655">
        <v>5450.2</v>
      </c>
      <c r="K7655" t="s">
        <v>17</v>
      </c>
      <c r="L7655" t="b">
        <v>0</v>
      </c>
      <c r="N7655" s="2" t="str">
        <f t="shared" si="687"/>
        <v/>
      </c>
      <c r="Q7655" t="str">
        <f t="shared" si="684"/>
        <v/>
      </c>
    </row>
    <row r="7656" spans="1:17" hidden="1">
      <c r="A7656" t="s">
        <v>7761</v>
      </c>
      <c r="B7656" s="1">
        <v>45938</v>
      </c>
      <c r="C7656">
        <v>2025</v>
      </c>
      <c r="D7656">
        <v>10</v>
      </c>
      <c r="E7656" t="s">
        <v>37</v>
      </c>
      <c r="F7656" t="s">
        <v>28</v>
      </c>
      <c r="G7656" t="s">
        <v>38</v>
      </c>
      <c r="H7656" t="s">
        <v>227</v>
      </c>
      <c r="I7656">
        <v>4468.8100000000004</v>
      </c>
      <c r="J7656">
        <v>4273.75</v>
      </c>
      <c r="K7656" t="s">
        <v>17</v>
      </c>
      <c r="L7656" t="b">
        <v>0</v>
      </c>
      <c r="N7656" s="2" t="str">
        <f t="shared" si="687"/>
        <v/>
      </c>
      <c r="Q7656" t="str">
        <f t="shared" si="684"/>
        <v/>
      </c>
    </row>
    <row r="7657" spans="1:17" hidden="1">
      <c r="A7657" t="s">
        <v>7762</v>
      </c>
      <c r="B7657" s="1">
        <v>45938</v>
      </c>
      <c r="C7657">
        <v>2025</v>
      </c>
      <c r="D7657">
        <v>10</v>
      </c>
      <c r="E7657" t="s">
        <v>37</v>
      </c>
      <c r="F7657" t="s">
        <v>28</v>
      </c>
      <c r="G7657" t="s">
        <v>41</v>
      </c>
      <c r="H7657" t="s">
        <v>42</v>
      </c>
      <c r="I7657">
        <v>2959.67</v>
      </c>
      <c r="J7657">
        <v>3019.93</v>
      </c>
      <c r="K7657" t="s">
        <v>17</v>
      </c>
      <c r="L7657" t="b">
        <v>0</v>
      </c>
      <c r="N7657" s="2" t="str">
        <f t="shared" si="687"/>
        <v/>
      </c>
      <c r="Q7657" t="str">
        <f t="shared" si="684"/>
        <v/>
      </c>
    </row>
    <row r="7658" spans="1:17" hidden="1">
      <c r="A7658" t="s">
        <v>7763</v>
      </c>
      <c r="B7658" s="1">
        <v>45938</v>
      </c>
      <c r="C7658">
        <v>2025</v>
      </c>
      <c r="D7658">
        <v>10</v>
      </c>
      <c r="E7658" t="s">
        <v>37</v>
      </c>
      <c r="F7658" t="s">
        <v>24</v>
      </c>
      <c r="G7658" t="s">
        <v>98</v>
      </c>
      <c r="H7658" t="s">
        <v>185</v>
      </c>
      <c r="I7658">
        <v>5471.57</v>
      </c>
      <c r="J7658">
        <v>4964.4799999999996</v>
      </c>
      <c r="K7658" t="s">
        <v>17</v>
      </c>
      <c r="L7658" t="b">
        <v>0</v>
      </c>
      <c r="N7658" s="2" t="str">
        <f t="shared" si="687"/>
        <v/>
      </c>
      <c r="Q7658" t="str">
        <f t="shared" si="684"/>
        <v/>
      </c>
    </row>
    <row r="7659" spans="1:17" hidden="1">
      <c r="A7659" t="s">
        <v>7764</v>
      </c>
      <c r="B7659" s="1">
        <v>45939</v>
      </c>
      <c r="C7659">
        <v>2025</v>
      </c>
      <c r="D7659">
        <v>10</v>
      </c>
      <c r="E7659" t="s">
        <v>13</v>
      </c>
      <c r="F7659" t="s">
        <v>14</v>
      </c>
      <c r="G7659" t="s">
        <v>15</v>
      </c>
      <c r="H7659" t="s">
        <v>89</v>
      </c>
      <c r="I7659">
        <v>5043.16</v>
      </c>
      <c r="J7659">
        <v>5153.6099999999997</v>
      </c>
      <c r="K7659" t="s">
        <v>17</v>
      </c>
      <c r="L7659" t="b">
        <v>0</v>
      </c>
      <c r="N7659" s="2" t="str">
        <f t="shared" si="687"/>
        <v/>
      </c>
      <c r="Q7659" t="str">
        <f t="shared" si="684"/>
        <v/>
      </c>
    </row>
    <row r="7660" spans="1:17" hidden="1">
      <c r="A7660" t="s">
        <v>7765</v>
      </c>
      <c r="B7660" s="1">
        <v>45939</v>
      </c>
      <c r="C7660">
        <v>2025</v>
      </c>
      <c r="D7660">
        <v>10</v>
      </c>
      <c r="E7660" t="s">
        <v>47</v>
      </c>
      <c r="F7660" t="s">
        <v>24</v>
      </c>
      <c r="G7660" t="s">
        <v>91</v>
      </c>
      <c r="H7660" t="s">
        <v>92</v>
      </c>
      <c r="I7660">
        <v>6902.34</v>
      </c>
      <c r="J7660">
        <v>5661.31</v>
      </c>
      <c r="K7660" t="s">
        <v>17</v>
      </c>
      <c r="L7660" t="b">
        <v>0</v>
      </c>
      <c r="N7660" s="2" t="b">
        <f t="shared" si="687"/>
        <v>1</v>
      </c>
      <c r="O7660" t="b">
        <f t="shared" ref="O7660:O7661" si="690">IF(AND(E7649="HR",K7649="EXPENSE"),I7649&lt;J7649,"")</f>
        <v>1</v>
      </c>
      <c r="Q7660" t="str">
        <f t="shared" si="684"/>
        <v/>
      </c>
    </row>
    <row r="7661" spans="1:17" hidden="1">
      <c r="A7661" t="s">
        <v>7766</v>
      </c>
      <c r="B7661" s="1">
        <v>45939</v>
      </c>
      <c r="C7661">
        <v>2025</v>
      </c>
      <c r="D7661">
        <v>10</v>
      </c>
      <c r="E7661" t="s">
        <v>47</v>
      </c>
      <c r="F7661" t="s">
        <v>24</v>
      </c>
      <c r="G7661" t="s">
        <v>77</v>
      </c>
      <c r="H7661" t="s">
        <v>78</v>
      </c>
      <c r="I7661">
        <v>14093.62</v>
      </c>
      <c r="J7661">
        <v>11895.39</v>
      </c>
      <c r="K7661" t="s">
        <v>17</v>
      </c>
      <c r="L7661" t="b">
        <v>0</v>
      </c>
      <c r="N7661" s="2" t="b">
        <f t="shared" si="687"/>
        <v>1</v>
      </c>
      <c r="O7661" t="b">
        <f t="shared" si="690"/>
        <v>1</v>
      </c>
      <c r="Q7661" t="str">
        <f t="shared" si="684"/>
        <v/>
      </c>
    </row>
    <row r="7662" spans="1:17" hidden="1">
      <c r="A7662" t="s">
        <v>7767</v>
      </c>
      <c r="B7662" s="1">
        <v>45939</v>
      </c>
      <c r="C7662">
        <v>2025</v>
      </c>
      <c r="D7662">
        <v>10</v>
      </c>
      <c r="E7662" t="s">
        <v>23</v>
      </c>
      <c r="F7662" t="s">
        <v>14</v>
      </c>
      <c r="G7662" t="s">
        <v>141</v>
      </c>
      <c r="H7662" t="s">
        <v>209</v>
      </c>
      <c r="I7662">
        <v>6376.59</v>
      </c>
      <c r="J7662">
        <v>6472.18</v>
      </c>
      <c r="K7662" t="s">
        <v>17</v>
      </c>
      <c r="L7662" t="b">
        <v>0</v>
      </c>
      <c r="N7662" s="2" t="str">
        <f t="shared" si="687"/>
        <v/>
      </c>
      <c r="Q7662" t="str">
        <f t="shared" si="684"/>
        <v/>
      </c>
    </row>
    <row r="7663" spans="1:17" hidden="1">
      <c r="A7663" t="s">
        <v>7768</v>
      </c>
      <c r="B7663" s="1">
        <v>45939</v>
      </c>
      <c r="C7663">
        <v>2025</v>
      </c>
      <c r="D7663">
        <v>10</v>
      </c>
      <c r="E7663" t="s">
        <v>23</v>
      </c>
      <c r="F7663" t="s">
        <v>28</v>
      </c>
      <c r="G7663" t="s">
        <v>25</v>
      </c>
      <c r="H7663" t="s">
        <v>95</v>
      </c>
      <c r="I7663">
        <v>3371.37</v>
      </c>
      <c r="J7663">
        <v>3339.12</v>
      </c>
      <c r="K7663" t="s">
        <v>17</v>
      </c>
      <c r="L7663" t="b">
        <v>0</v>
      </c>
      <c r="N7663" s="2" t="str">
        <f t="shared" si="687"/>
        <v/>
      </c>
      <c r="Q7663" t="str">
        <f t="shared" si="684"/>
        <v/>
      </c>
    </row>
    <row r="7664" spans="1:17" hidden="1">
      <c r="A7664" t="s">
        <v>7769</v>
      </c>
      <c r="B7664" s="1">
        <v>45939</v>
      </c>
      <c r="C7664">
        <v>2025</v>
      </c>
      <c r="D7664">
        <v>10</v>
      </c>
      <c r="E7664" t="s">
        <v>37</v>
      </c>
      <c r="F7664" t="s">
        <v>28</v>
      </c>
      <c r="G7664" t="s">
        <v>38</v>
      </c>
      <c r="H7664" t="s">
        <v>227</v>
      </c>
      <c r="I7664">
        <v>3636.58</v>
      </c>
      <c r="J7664">
        <v>3908.12</v>
      </c>
      <c r="K7664" t="s">
        <v>17</v>
      </c>
      <c r="L7664" t="b">
        <v>0</v>
      </c>
      <c r="N7664" s="2" t="str">
        <f t="shared" si="687"/>
        <v/>
      </c>
      <c r="Q7664" t="str">
        <f t="shared" ref="Q7664:Q7727" si="691">IF(L7664=TRUE,OR(H7664="Apex Solutions Inc",H7664="Global Trade Partners",H7664="NovaTech Services"),"")</f>
        <v/>
      </c>
    </row>
    <row r="7665" spans="1:17" hidden="1">
      <c r="A7665" t="s">
        <v>7770</v>
      </c>
      <c r="B7665" s="1">
        <v>45939</v>
      </c>
      <c r="C7665">
        <v>2025</v>
      </c>
      <c r="D7665">
        <v>10</v>
      </c>
      <c r="E7665" t="s">
        <v>37</v>
      </c>
      <c r="F7665" t="s">
        <v>24</v>
      </c>
      <c r="G7665" t="s">
        <v>38</v>
      </c>
      <c r="H7665" t="s">
        <v>118</v>
      </c>
      <c r="I7665">
        <v>6193.34</v>
      </c>
      <c r="J7665">
        <v>6098.09</v>
      </c>
      <c r="K7665" t="s">
        <v>17</v>
      </c>
      <c r="L7665" t="b">
        <v>0</v>
      </c>
      <c r="N7665" s="2" t="str">
        <f t="shared" si="687"/>
        <v/>
      </c>
      <c r="Q7665" t="str">
        <f t="shared" si="691"/>
        <v/>
      </c>
    </row>
    <row r="7666" spans="1:17" hidden="1">
      <c r="A7666" t="s">
        <v>7771</v>
      </c>
      <c r="B7666" s="1">
        <v>45940</v>
      </c>
      <c r="C7666">
        <v>2025</v>
      </c>
      <c r="D7666">
        <v>10</v>
      </c>
      <c r="E7666" t="s">
        <v>13</v>
      </c>
      <c r="F7666" t="s">
        <v>14</v>
      </c>
      <c r="G7666" t="s">
        <v>68</v>
      </c>
      <c r="H7666" t="s">
        <v>87</v>
      </c>
      <c r="I7666">
        <v>3717.48</v>
      </c>
      <c r="J7666">
        <v>3965.74</v>
      </c>
      <c r="K7666" t="s">
        <v>17</v>
      </c>
      <c r="L7666" t="b">
        <v>0</v>
      </c>
      <c r="N7666" s="2" t="str">
        <f t="shared" si="687"/>
        <v/>
      </c>
      <c r="Q7666" t="str">
        <f t="shared" si="691"/>
        <v/>
      </c>
    </row>
    <row r="7667" spans="1:17" hidden="1">
      <c r="A7667" t="s">
        <v>7772</v>
      </c>
      <c r="B7667" s="1">
        <v>45940</v>
      </c>
      <c r="C7667">
        <v>2025</v>
      </c>
      <c r="D7667">
        <v>10</v>
      </c>
      <c r="E7667" t="s">
        <v>13</v>
      </c>
      <c r="F7667" t="s">
        <v>28</v>
      </c>
      <c r="G7667" t="s">
        <v>15</v>
      </c>
      <c r="H7667" t="s">
        <v>89</v>
      </c>
      <c r="I7667">
        <v>4661.93</v>
      </c>
      <c r="J7667">
        <v>4322.2</v>
      </c>
      <c r="K7667" t="s">
        <v>17</v>
      </c>
      <c r="L7667" t="b">
        <v>0</v>
      </c>
      <c r="N7667" s="2" t="str">
        <f t="shared" si="687"/>
        <v/>
      </c>
      <c r="Q7667" t="str">
        <f t="shared" si="691"/>
        <v/>
      </c>
    </row>
    <row r="7668" spans="1:17" hidden="1">
      <c r="A7668" t="s">
        <v>7773</v>
      </c>
      <c r="B7668" s="1">
        <v>45940</v>
      </c>
      <c r="C7668">
        <v>2025</v>
      </c>
      <c r="D7668">
        <v>10</v>
      </c>
      <c r="E7668" t="s">
        <v>13</v>
      </c>
      <c r="F7668" t="s">
        <v>28</v>
      </c>
      <c r="G7668" t="s">
        <v>108</v>
      </c>
      <c r="H7668" t="s">
        <v>126</v>
      </c>
      <c r="I7668">
        <v>3821.4</v>
      </c>
      <c r="J7668">
        <v>3702.09</v>
      </c>
      <c r="K7668" t="s">
        <v>17</v>
      </c>
      <c r="L7668" t="b">
        <v>0</v>
      </c>
      <c r="N7668" s="2" t="str">
        <f t="shared" si="687"/>
        <v/>
      </c>
      <c r="Q7668" t="str">
        <f t="shared" si="691"/>
        <v/>
      </c>
    </row>
    <row r="7669" spans="1:17" hidden="1">
      <c r="A7669" t="s">
        <v>7774</v>
      </c>
      <c r="B7669" s="1">
        <v>45940</v>
      </c>
      <c r="C7669">
        <v>2025</v>
      </c>
      <c r="D7669">
        <v>10</v>
      </c>
      <c r="E7669" t="s">
        <v>19</v>
      </c>
      <c r="F7669" t="s">
        <v>28</v>
      </c>
      <c r="G7669" t="s">
        <v>54</v>
      </c>
      <c r="H7669" t="s">
        <v>55</v>
      </c>
      <c r="I7669">
        <v>4571.92</v>
      </c>
      <c r="J7669">
        <v>4876.55</v>
      </c>
      <c r="K7669" t="s">
        <v>17</v>
      </c>
      <c r="L7669" t="b">
        <v>0</v>
      </c>
      <c r="N7669" s="2" t="str">
        <f t="shared" si="687"/>
        <v/>
      </c>
      <c r="Q7669" t="str">
        <f t="shared" si="691"/>
        <v/>
      </c>
    </row>
    <row r="7670" spans="1:17" hidden="1">
      <c r="A7670" t="s">
        <v>7775</v>
      </c>
      <c r="B7670" s="1">
        <v>45940</v>
      </c>
      <c r="C7670">
        <v>2025</v>
      </c>
      <c r="D7670">
        <v>10</v>
      </c>
      <c r="E7670" t="s">
        <v>19</v>
      </c>
      <c r="F7670" t="s">
        <v>24</v>
      </c>
      <c r="G7670" t="s">
        <v>80</v>
      </c>
      <c r="H7670" t="s">
        <v>217</v>
      </c>
      <c r="I7670">
        <v>6398.38</v>
      </c>
      <c r="J7670">
        <v>5903.43</v>
      </c>
      <c r="K7670" t="s">
        <v>17</v>
      </c>
      <c r="L7670" t="b">
        <v>0</v>
      </c>
      <c r="N7670" s="2" t="str">
        <f t="shared" si="687"/>
        <v/>
      </c>
      <c r="Q7670" t="str">
        <f t="shared" si="691"/>
        <v/>
      </c>
    </row>
    <row r="7671" spans="1:17" hidden="1">
      <c r="A7671" t="s">
        <v>7776</v>
      </c>
      <c r="B7671" s="1">
        <v>45940</v>
      </c>
      <c r="C7671">
        <v>2025</v>
      </c>
      <c r="D7671">
        <v>10</v>
      </c>
      <c r="E7671" t="s">
        <v>19</v>
      </c>
      <c r="F7671" t="s">
        <v>24</v>
      </c>
      <c r="G7671" t="s">
        <v>80</v>
      </c>
      <c r="H7671" t="s">
        <v>113</v>
      </c>
      <c r="I7671">
        <v>5768.81</v>
      </c>
      <c r="J7671">
        <v>6342.62</v>
      </c>
      <c r="K7671" t="s">
        <v>17</v>
      </c>
      <c r="L7671" t="b">
        <v>0</v>
      </c>
      <c r="N7671" s="2" t="str">
        <f t="shared" si="687"/>
        <v/>
      </c>
      <c r="Q7671" t="str">
        <f t="shared" si="691"/>
        <v/>
      </c>
    </row>
    <row r="7672" spans="1:17" hidden="1">
      <c r="A7672" t="s">
        <v>7777</v>
      </c>
      <c r="B7672" s="1">
        <v>45940</v>
      </c>
      <c r="C7672">
        <v>2025</v>
      </c>
      <c r="D7672">
        <v>10</v>
      </c>
      <c r="E7672" t="s">
        <v>23</v>
      </c>
      <c r="F7672" t="s">
        <v>28</v>
      </c>
      <c r="G7672" t="s">
        <v>141</v>
      </c>
      <c r="H7672" t="s">
        <v>153</v>
      </c>
      <c r="I7672">
        <v>1691.22</v>
      </c>
      <c r="J7672">
        <v>1850.42</v>
      </c>
      <c r="K7672" t="s">
        <v>17</v>
      </c>
      <c r="L7672" t="b">
        <v>0</v>
      </c>
      <c r="N7672" s="2" t="str">
        <f t="shared" si="687"/>
        <v/>
      </c>
      <c r="Q7672" t="str">
        <f t="shared" si="691"/>
        <v/>
      </c>
    </row>
    <row r="7673" spans="1:17" hidden="1">
      <c r="A7673" t="s">
        <v>7778</v>
      </c>
      <c r="B7673" s="1">
        <v>45940</v>
      </c>
      <c r="C7673">
        <v>2025</v>
      </c>
      <c r="D7673">
        <v>10</v>
      </c>
      <c r="E7673" t="s">
        <v>37</v>
      </c>
      <c r="F7673" t="s">
        <v>28</v>
      </c>
      <c r="G7673" t="s">
        <v>98</v>
      </c>
      <c r="H7673" t="s">
        <v>99</v>
      </c>
      <c r="I7673">
        <v>3512.09</v>
      </c>
      <c r="J7673">
        <v>3246.86</v>
      </c>
      <c r="K7673" t="s">
        <v>17</v>
      </c>
      <c r="L7673" t="b">
        <v>0</v>
      </c>
      <c r="N7673" s="2" t="str">
        <f t="shared" si="687"/>
        <v/>
      </c>
      <c r="Q7673" t="str">
        <f t="shared" si="691"/>
        <v/>
      </c>
    </row>
    <row r="7674" spans="1:17" hidden="1">
      <c r="A7674" t="s">
        <v>7779</v>
      </c>
      <c r="B7674" s="1">
        <v>45940</v>
      </c>
      <c r="C7674">
        <v>2025</v>
      </c>
      <c r="D7674">
        <v>10</v>
      </c>
      <c r="E7674" t="s">
        <v>37</v>
      </c>
      <c r="F7674" t="s">
        <v>28</v>
      </c>
      <c r="G7674" t="s">
        <v>38</v>
      </c>
      <c r="H7674" t="s">
        <v>227</v>
      </c>
      <c r="I7674">
        <v>6257.81</v>
      </c>
      <c r="J7674">
        <v>5905.45</v>
      </c>
      <c r="K7674" t="s">
        <v>17</v>
      </c>
      <c r="L7674" t="b">
        <v>0</v>
      </c>
      <c r="N7674" s="2" t="str">
        <f t="shared" si="687"/>
        <v/>
      </c>
      <c r="Q7674" t="str">
        <f t="shared" si="691"/>
        <v/>
      </c>
    </row>
    <row r="7675" spans="1:17" hidden="1">
      <c r="A7675" t="s">
        <v>7780</v>
      </c>
      <c r="B7675" s="1">
        <v>45940</v>
      </c>
      <c r="C7675">
        <v>2025</v>
      </c>
      <c r="D7675">
        <v>10</v>
      </c>
      <c r="E7675" t="s">
        <v>37</v>
      </c>
      <c r="F7675" t="s">
        <v>28</v>
      </c>
      <c r="G7675" t="s">
        <v>41</v>
      </c>
      <c r="H7675" t="s">
        <v>42</v>
      </c>
      <c r="I7675">
        <v>5796.7</v>
      </c>
      <c r="J7675">
        <v>5621.4</v>
      </c>
      <c r="K7675" t="s">
        <v>17</v>
      </c>
      <c r="L7675" t="b">
        <v>0</v>
      </c>
      <c r="N7675" s="2" t="str">
        <f t="shared" si="687"/>
        <v/>
      </c>
      <c r="Q7675" t="str">
        <f t="shared" si="691"/>
        <v/>
      </c>
    </row>
    <row r="7676" spans="1:17" hidden="1">
      <c r="A7676" t="s">
        <v>7781</v>
      </c>
      <c r="B7676" s="1">
        <v>45940</v>
      </c>
      <c r="C7676">
        <v>2025</v>
      </c>
      <c r="D7676">
        <v>10</v>
      </c>
      <c r="E7676" t="s">
        <v>37</v>
      </c>
      <c r="F7676" t="s">
        <v>24</v>
      </c>
      <c r="G7676" t="s">
        <v>38</v>
      </c>
      <c r="H7676" t="s">
        <v>39</v>
      </c>
      <c r="I7676">
        <v>3060.59</v>
      </c>
      <c r="J7676">
        <v>2895.82</v>
      </c>
      <c r="K7676" t="s">
        <v>17</v>
      </c>
      <c r="L7676" t="b">
        <v>0</v>
      </c>
      <c r="N7676" s="2" t="str">
        <f t="shared" si="687"/>
        <v/>
      </c>
      <c r="Q7676" t="str">
        <f t="shared" si="691"/>
        <v/>
      </c>
    </row>
    <row r="7677" spans="1:17" hidden="1">
      <c r="A7677" t="s">
        <v>7782</v>
      </c>
      <c r="B7677" s="1">
        <v>45940</v>
      </c>
      <c r="C7677">
        <v>2025</v>
      </c>
      <c r="D7677">
        <v>10</v>
      </c>
      <c r="E7677" t="s">
        <v>37</v>
      </c>
      <c r="F7677" t="s">
        <v>24</v>
      </c>
      <c r="G7677" t="s">
        <v>62</v>
      </c>
      <c r="H7677" t="s">
        <v>66</v>
      </c>
      <c r="I7677">
        <v>4194.22</v>
      </c>
      <c r="J7677">
        <v>4140.66</v>
      </c>
      <c r="K7677" t="s">
        <v>17</v>
      </c>
      <c r="L7677" t="b">
        <v>0</v>
      </c>
      <c r="N7677" s="2" t="str">
        <f t="shared" si="687"/>
        <v/>
      </c>
      <c r="Q7677" t="str">
        <f t="shared" si="691"/>
        <v/>
      </c>
    </row>
    <row r="7678" spans="1:17" hidden="1">
      <c r="A7678" t="s">
        <v>7783</v>
      </c>
      <c r="B7678" s="1">
        <v>45941</v>
      </c>
      <c r="C7678">
        <v>2025</v>
      </c>
      <c r="D7678">
        <v>10</v>
      </c>
      <c r="E7678" t="s">
        <v>13</v>
      </c>
      <c r="F7678" t="s">
        <v>14</v>
      </c>
      <c r="G7678" t="s">
        <v>102</v>
      </c>
      <c r="H7678" t="s">
        <v>103</v>
      </c>
      <c r="I7678">
        <v>5100.63</v>
      </c>
      <c r="J7678">
        <v>5149.51</v>
      </c>
      <c r="K7678" t="s">
        <v>17</v>
      </c>
      <c r="L7678" t="b">
        <v>0</v>
      </c>
      <c r="N7678" s="2" t="str">
        <f t="shared" si="687"/>
        <v/>
      </c>
      <c r="Q7678" t="str">
        <f t="shared" si="691"/>
        <v/>
      </c>
    </row>
    <row r="7679" spans="1:17" hidden="1">
      <c r="A7679" t="s">
        <v>7784</v>
      </c>
      <c r="B7679" s="1">
        <v>45941</v>
      </c>
      <c r="C7679">
        <v>2025</v>
      </c>
      <c r="D7679">
        <v>10</v>
      </c>
      <c r="E7679" t="s">
        <v>13</v>
      </c>
      <c r="F7679" t="s">
        <v>28</v>
      </c>
      <c r="G7679" t="s">
        <v>68</v>
      </c>
      <c r="H7679" t="s">
        <v>87</v>
      </c>
      <c r="I7679">
        <v>3484.44</v>
      </c>
      <c r="J7679">
        <v>3603.27</v>
      </c>
      <c r="K7679" t="s">
        <v>17</v>
      </c>
      <c r="L7679" t="b">
        <v>0</v>
      </c>
      <c r="N7679" s="2" t="str">
        <f t="shared" si="687"/>
        <v/>
      </c>
      <c r="Q7679" t="str">
        <f t="shared" si="691"/>
        <v/>
      </c>
    </row>
    <row r="7680" spans="1:17" hidden="1">
      <c r="A7680" t="s">
        <v>7785</v>
      </c>
      <c r="B7680" s="1">
        <v>45941</v>
      </c>
      <c r="C7680">
        <v>2025</v>
      </c>
      <c r="D7680">
        <v>10</v>
      </c>
      <c r="E7680" t="s">
        <v>47</v>
      </c>
      <c r="F7680" t="s">
        <v>24</v>
      </c>
      <c r="G7680" t="s">
        <v>77</v>
      </c>
      <c r="H7680" t="s">
        <v>147</v>
      </c>
      <c r="I7680">
        <v>7427.86</v>
      </c>
      <c r="J7680">
        <v>6317.94</v>
      </c>
      <c r="K7680" t="s">
        <v>17</v>
      </c>
      <c r="L7680" t="b">
        <v>0</v>
      </c>
      <c r="N7680" s="2" t="b">
        <f t="shared" si="687"/>
        <v>1</v>
      </c>
      <c r="O7680" t="str">
        <f>IF(AND(E7669="HR",K7669="EXPENSE"),I7669&lt;J7669,"")</f>
        <v/>
      </c>
      <c r="Q7680" t="str">
        <f t="shared" si="691"/>
        <v/>
      </c>
    </row>
    <row r="7681" spans="1:17" hidden="1">
      <c r="A7681" t="s">
        <v>7786</v>
      </c>
      <c r="B7681" s="1">
        <v>45941</v>
      </c>
      <c r="C7681">
        <v>2025</v>
      </c>
      <c r="D7681">
        <v>10</v>
      </c>
      <c r="E7681" t="s">
        <v>23</v>
      </c>
      <c r="F7681" t="s">
        <v>14</v>
      </c>
      <c r="G7681" t="s">
        <v>25</v>
      </c>
      <c r="H7681" t="s">
        <v>95</v>
      </c>
      <c r="I7681">
        <v>10250.44</v>
      </c>
      <c r="J7681">
        <v>10377.450000000001</v>
      </c>
      <c r="K7681" t="s">
        <v>17</v>
      </c>
      <c r="L7681" t="b">
        <v>0</v>
      </c>
      <c r="N7681" s="2" t="str">
        <f t="shared" si="687"/>
        <v/>
      </c>
      <c r="Q7681" t="str">
        <f t="shared" si="691"/>
        <v/>
      </c>
    </row>
    <row r="7682" spans="1:17" hidden="1">
      <c r="A7682" t="s">
        <v>7787</v>
      </c>
      <c r="B7682" s="1">
        <v>45941</v>
      </c>
      <c r="C7682">
        <v>2025</v>
      </c>
      <c r="D7682">
        <v>10</v>
      </c>
      <c r="E7682" t="s">
        <v>37</v>
      </c>
      <c r="F7682" t="s">
        <v>14</v>
      </c>
      <c r="G7682" t="s">
        <v>41</v>
      </c>
      <c r="H7682" t="s">
        <v>42</v>
      </c>
      <c r="I7682">
        <v>6159.63</v>
      </c>
      <c r="J7682">
        <v>5942.26</v>
      </c>
      <c r="K7682" t="s">
        <v>17</v>
      </c>
      <c r="L7682" t="b">
        <v>0</v>
      </c>
      <c r="N7682" s="2" t="str">
        <f t="shared" si="687"/>
        <v/>
      </c>
      <c r="Q7682" t="str">
        <f t="shared" si="691"/>
        <v/>
      </c>
    </row>
    <row r="7683" spans="1:17" hidden="1">
      <c r="A7683" t="s">
        <v>7788</v>
      </c>
      <c r="B7683" s="1">
        <v>45941</v>
      </c>
      <c r="C7683">
        <v>2025</v>
      </c>
      <c r="D7683">
        <v>10</v>
      </c>
      <c r="E7683" t="s">
        <v>37</v>
      </c>
      <c r="F7683" t="s">
        <v>24</v>
      </c>
      <c r="G7683" t="s">
        <v>41</v>
      </c>
      <c r="H7683" t="s">
        <v>42</v>
      </c>
      <c r="I7683">
        <v>4850.92</v>
      </c>
      <c r="J7683">
        <v>5258.41</v>
      </c>
      <c r="K7683" t="s">
        <v>17</v>
      </c>
      <c r="L7683" t="b">
        <v>0</v>
      </c>
      <c r="N7683" s="2" t="str">
        <f t="shared" ref="N7683:N7746" si="692">IF(AND(E7683="IT",K7683="EXPENSE"),I7683&gt;J7683,"")</f>
        <v/>
      </c>
      <c r="Q7683" t="str">
        <f t="shared" si="691"/>
        <v/>
      </c>
    </row>
    <row r="7684" spans="1:17" hidden="1">
      <c r="A7684" t="s">
        <v>7789</v>
      </c>
      <c r="B7684" s="1">
        <v>45942</v>
      </c>
      <c r="C7684">
        <v>2025</v>
      </c>
      <c r="D7684">
        <v>10</v>
      </c>
      <c r="E7684" t="s">
        <v>47</v>
      </c>
      <c r="F7684" t="s">
        <v>14</v>
      </c>
      <c r="G7684" t="s">
        <v>48</v>
      </c>
      <c r="H7684" t="s">
        <v>111</v>
      </c>
      <c r="I7684">
        <v>14657.13</v>
      </c>
      <c r="J7684">
        <v>12163.78</v>
      </c>
      <c r="K7684" t="s">
        <v>17</v>
      </c>
      <c r="L7684" t="b">
        <v>0</v>
      </c>
      <c r="N7684" s="2" t="b">
        <f t="shared" si="692"/>
        <v>1</v>
      </c>
      <c r="O7684" t="str">
        <f t="shared" ref="O7684:O7687" si="693">IF(AND(E7673="HR",K7673="EXPENSE"),I7673&lt;J7673,"")</f>
        <v/>
      </c>
      <c r="Q7684" t="str">
        <f t="shared" si="691"/>
        <v/>
      </c>
    </row>
    <row r="7685" spans="1:17" hidden="1">
      <c r="A7685" t="s">
        <v>7790</v>
      </c>
      <c r="B7685" s="1">
        <v>45942</v>
      </c>
      <c r="C7685">
        <v>2025</v>
      </c>
      <c r="D7685">
        <v>10</v>
      </c>
      <c r="E7685" t="s">
        <v>47</v>
      </c>
      <c r="F7685" t="s">
        <v>14</v>
      </c>
      <c r="G7685" t="s">
        <v>77</v>
      </c>
      <c r="H7685" t="s">
        <v>147</v>
      </c>
      <c r="I7685">
        <v>13608.89</v>
      </c>
      <c r="J7685">
        <v>11320.06</v>
      </c>
      <c r="K7685" t="s">
        <v>17</v>
      </c>
      <c r="L7685" t="b">
        <v>0</v>
      </c>
      <c r="N7685" s="2" t="b">
        <f t="shared" si="692"/>
        <v>1</v>
      </c>
      <c r="O7685" t="str">
        <f t="shared" si="693"/>
        <v/>
      </c>
      <c r="Q7685" t="str">
        <f t="shared" si="691"/>
        <v/>
      </c>
    </row>
    <row r="7686" spans="1:17" hidden="1">
      <c r="A7686" t="s">
        <v>7791</v>
      </c>
      <c r="B7686" s="1">
        <v>45942</v>
      </c>
      <c r="C7686">
        <v>2025</v>
      </c>
      <c r="D7686">
        <v>10</v>
      </c>
      <c r="E7686" t="s">
        <v>47</v>
      </c>
      <c r="F7686" t="s">
        <v>28</v>
      </c>
      <c r="G7686" t="s">
        <v>91</v>
      </c>
      <c r="H7686" t="s">
        <v>128</v>
      </c>
      <c r="I7686">
        <v>6672.28</v>
      </c>
      <c r="J7686">
        <v>5774.53</v>
      </c>
      <c r="K7686" t="s">
        <v>17</v>
      </c>
      <c r="L7686" t="b">
        <v>0</v>
      </c>
      <c r="N7686" s="2" t="b">
        <f t="shared" si="692"/>
        <v>1</v>
      </c>
      <c r="O7686" t="str">
        <f t="shared" si="693"/>
        <v/>
      </c>
      <c r="Q7686" t="str">
        <f t="shared" si="691"/>
        <v/>
      </c>
    </row>
    <row r="7687" spans="1:17" hidden="1">
      <c r="A7687" t="s">
        <v>7792</v>
      </c>
      <c r="B7687" s="1">
        <v>45942</v>
      </c>
      <c r="C7687">
        <v>2025</v>
      </c>
      <c r="D7687">
        <v>10</v>
      </c>
      <c r="E7687" t="s">
        <v>47</v>
      </c>
      <c r="F7687" t="s">
        <v>24</v>
      </c>
      <c r="G7687" t="s">
        <v>77</v>
      </c>
      <c r="H7687" t="s">
        <v>78</v>
      </c>
      <c r="I7687">
        <v>14819.34</v>
      </c>
      <c r="J7687">
        <v>12378</v>
      </c>
      <c r="K7687" t="s">
        <v>17</v>
      </c>
      <c r="L7687" t="b">
        <v>0</v>
      </c>
      <c r="N7687" s="2" t="b">
        <f t="shared" si="692"/>
        <v>1</v>
      </c>
      <c r="O7687" t="str">
        <f t="shared" si="693"/>
        <v/>
      </c>
      <c r="Q7687" t="str">
        <f t="shared" si="691"/>
        <v/>
      </c>
    </row>
    <row r="7688" spans="1:17" hidden="1">
      <c r="A7688" t="s">
        <v>7793</v>
      </c>
      <c r="B7688" s="1">
        <v>45942</v>
      </c>
      <c r="C7688">
        <v>2025</v>
      </c>
      <c r="D7688">
        <v>10</v>
      </c>
      <c r="E7688" t="s">
        <v>19</v>
      </c>
      <c r="F7688" t="s">
        <v>28</v>
      </c>
      <c r="G7688" t="s">
        <v>80</v>
      </c>
      <c r="H7688" t="s">
        <v>113</v>
      </c>
      <c r="I7688">
        <v>6467.32</v>
      </c>
      <c r="J7688">
        <v>5839.09</v>
      </c>
      <c r="K7688" t="s">
        <v>17</v>
      </c>
      <c r="L7688" t="b">
        <v>0</v>
      </c>
      <c r="N7688" s="2" t="str">
        <f t="shared" si="692"/>
        <v/>
      </c>
      <c r="Q7688" t="str">
        <f t="shared" si="691"/>
        <v/>
      </c>
    </row>
    <row r="7689" spans="1:17" hidden="1">
      <c r="A7689" t="s">
        <v>7794</v>
      </c>
      <c r="B7689" s="1">
        <v>45942</v>
      </c>
      <c r="C7689">
        <v>2025</v>
      </c>
      <c r="D7689">
        <v>10</v>
      </c>
      <c r="E7689" t="s">
        <v>23</v>
      </c>
      <c r="F7689" t="s">
        <v>14</v>
      </c>
      <c r="G7689" t="s">
        <v>30</v>
      </c>
      <c r="H7689" t="s">
        <v>31</v>
      </c>
      <c r="I7689">
        <v>6835.88</v>
      </c>
      <c r="J7689">
        <v>6967.39</v>
      </c>
      <c r="K7689" t="s">
        <v>17</v>
      </c>
      <c r="L7689" t="b">
        <v>0</v>
      </c>
      <c r="N7689" s="2" t="str">
        <f t="shared" si="692"/>
        <v/>
      </c>
      <c r="Q7689" t="str">
        <f t="shared" si="691"/>
        <v/>
      </c>
    </row>
    <row r="7690" spans="1:17" hidden="1">
      <c r="A7690" t="s">
        <v>7795</v>
      </c>
      <c r="B7690" s="1">
        <v>45942</v>
      </c>
      <c r="C7690">
        <v>2025</v>
      </c>
      <c r="D7690">
        <v>10</v>
      </c>
      <c r="E7690" t="s">
        <v>37</v>
      </c>
      <c r="F7690" t="s">
        <v>14</v>
      </c>
      <c r="G7690" t="s">
        <v>41</v>
      </c>
      <c r="H7690" t="s">
        <v>42</v>
      </c>
      <c r="I7690">
        <v>4733.57</v>
      </c>
      <c r="J7690">
        <v>4408.53</v>
      </c>
      <c r="K7690" t="s">
        <v>17</v>
      </c>
      <c r="L7690" t="b">
        <v>0</v>
      </c>
      <c r="N7690" s="2" t="str">
        <f t="shared" si="692"/>
        <v/>
      </c>
      <c r="Q7690" t="str">
        <f t="shared" si="691"/>
        <v/>
      </c>
    </row>
    <row r="7691" spans="1:17" hidden="1">
      <c r="A7691" t="s">
        <v>7796</v>
      </c>
      <c r="B7691" s="1">
        <v>45942</v>
      </c>
      <c r="C7691">
        <v>2025</v>
      </c>
      <c r="D7691">
        <v>10</v>
      </c>
      <c r="E7691" t="s">
        <v>37</v>
      </c>
      <c r="F7691" t="s">
        <v>28</v>
      </c>
      <c r="G7691" t="s">
        <v>62</v>
      </c>
      <c r="H7691" t="s">
        <v>63</v>
      </c>
      <c r="I7691">
        <v>5508.54</v>
      </c>
      <c r="J7691">
        <v>6042.76</v>
      </c>
      <c r="K7691" t="s">
        <v>17</v>
      </c>
      <c r="L7691" t="b">
        <v>0</v>
      </c>
      <c r="N7691" s="2" t="str">
        <f t="shared" si="692"/>
        <v/>
      </c>
      <c r="Q7691" t="str">
        <f t="shared" si="691"/>
        <v/>
      </c>
    </row>
    <row r="7692" spans="1:17" hidden="1">
      <c r="A7692" t="s">
        <v>7797</v>
      </c>
      <c r="B7692" s="1">
        <v>45943</v>
      </c>
      <c r="C7692">
        <v>2025</v>
      </c>
      <c r="D7692">
        <v>10</v>
      </c>
      <c r="E7692" t="s">
        <v>13</v>
      </c>
      <c r="F7692" t="s">
        <v>14</v>
      </c>
      <c r="G7692" t="s">
        <v>102</v>
      </c>
      <c r="H7692" t="s">
        <v>145</v>
      </c>
      <c r="I7692">
        <v>3709.36</v>
      </c>
      <c r="J7692">
        <v>3800.66</v>
      </c>
      <c r="K7692" t="s">
        <v>17</v>
      </c>
      <c r="L7692" t="b">
        <v>0</v>
      </c>
      <c r="N7692" s="2" t="str">
        <f t="shared" si="692"/>
        <v/>
      </c>
      <c r="Q7692" t="str">
        <f t="shared" si="691"/>
        <v/>
      </c>
    </row>
    <row r="7693" spans="1:17" hidden="1">
      <c r="A7693" t="s">
        <v>7798</v>
      </c>
      <c r="B7693" s="1">
        <v>45943</v>
      </c>
      <c r="C7693">
        <v>2025</v>
      </c>
      <c r="D7693">
        <v>10</v>
      </c>
      <c r="E7693" t="s">
        <v>13</v>
      </c>
      <c r="F7693" t="s">
        <v>24</v>
      </c>
      <c r="G7693" t="s">
        <v>68</v>
      </c>
      <c r="H7693" t="s">
        <v>213</v>
      </c>
      <c r="I7693">
        <v>2446.62</v>
      </c>
      <c r="J7693">
        <v>2568.71</v>
      </c>
      <c r="K7693" t="s">
        <v>17</v>
      </c>
      <c r="L7693" t="b">
        <v>0</v>
      </c>
      <c r="N7693" s="2" t="str">
        <f t="shared" si="692"/>
        <v/>
      </c>
      <c r="Q7693" t="str">
        <f t="shared" si="691"/>
        <v/>
      </c>
    </row>
    <row r="7694" spans="1:17" hidden="1">
      <c r="A7694" t="s">
        <v>7799</v>
      </c>
      <c r="B7694" s="1">
        <v>45943</v>
      </c>
      <c r="C7694">
        <v>2025</v>
      </c>
      <c r="D7694">
        <v>10</v>
      </c>
      <c r="E7694" t="s">
        <v>47</v>
      </c>
      <c r="F7694" t="s">
        <v>14</v>
      </c>
      <c r="G7694" t="s">
        <v>48</v>
      </c>
      <c r="H7694" t="s">
        <v>75</v>
      </c>
      <c r="I7694">
        <v>17653.38</v>
      </c>
      <c r="J7694">
        <v>15282.51</v>
      </c>
      <c r="K7694" t="s">
        <v>17</v>
      </c>
      <c r="L7694" t="b">
        <v>0</v>
      </c>
      <c r="N7694" s="2" t="b">
        <f t="shared" si="692"/>
        <v>1</v>
      </c>
      <c r="O7694" t="str">
        <f t="shared" ref="O7694:O7696" si="694">IF(AND(E7683="HR",K7683="EXPENSE"),I7683&lt;J7683,"")</f>
        <v/>
      </c>
      <c r="Q7694" t="str">
        <f t="shared" si="691"/>
        <v/>
      </c>
    </row>
    <row r="7695" spans="1:17" hidden="1">
      <c r="A7695" t="s">
        <v>7800</v>
      </c>
      <c r="B7695" s="1">
        <v>45943</v>
      </c>
      <c r="C7695">
        <v>2025</v>
      </c>
      <c r="D7695">
        <v>10</v>
      </c>
      <c r="E7695" t="s">
        <v>47</v>
      </c>
      <c r="F7695" t="s">
        <v>14</v>
      </c>
      <c r="G7695" t="s">
        <v>51</v>
      </c>
      <c r="H7695" t="s">
        <v>189</v>
      </c>
      <c r="I7695">
        <v>15524.84</v>
      </c>
      <c r="J7695">
        <v>13088.71</v>
      </c>
      <c r="K7695" t="s">
        <v>17</v>
      </c>
      <c r="L7695" t="b">
        <v>0</v>
      </c>
      <c r="N7695" s="2" t="b">
        <f t="shared" si="692"/>
        <v>1</v>
      </c>
      <c r="O7695" t="str">
        <f t="shared" si="694"/>
        <v/>
      </c>
      <c r="Q7695" t="str">
        <f t="shared" si="691"/>
        <v/>
      </c>
    </row>
    <row r="7696" spans="1:17" hidden="1">
      <c r="A7696" t="s">
        <v>7801</v>
      </c>
      <c r="B7696" s="1">
        <v>45943</v>
      </c>
      <c r="C7696">
        <v>2025</v>
      </c>
      <c r="D7696">
        <v>10</v>
      </c>
      <c r="E7696" t="s">
        <v>47</v>
      </c>
      <c r="F7696" t="s">
        <v>24</v>
      </c>
      <c r="G7696" t="s">
        <v>77</v>
      </c>
      <c r="H7696" t="s">
        <v>147</v>
      </c>
      <c r="I7696">
        <v>7032.42</v>
      </c>
      <c r="J7696">
        <v>6029.52</v>
      </c>
      <c r="K7696" t="s">
        <v>17</v>
      </c>
      <c r="L7696" t="b">
        <v>0</v>
      </c>
      <c r="N7696" s="2" t="b">
        <f t="shared" si="692"/>
        <v>1</v>
      </c>
      <c r="O7696" t="str">
        <f t="shared" si="694"/>
        <v/>
      </c>
      <c r="Q7696" t="str">
        <f t="shared" si="691"/>
        <v/>
      </c>
    </row>
    <row r="7697" spans="1:17" hidden="1">
      <c r="A7697" t="s">
        <v>7802</v>
      </c>
      <c r="B7697" s="1">
        <v>45943</v>
      </c>
      <c r="C7697">
        <v>2025</v>
      </c>
      <c r="D7697">
        <v>10</v>
      </c>
      <c r="E7697" t="s">
        <v>19</v>
      </c>
      <c r="F7697" t="s">
        <v>24</v>
      </c>
      <c r="G7697" t="s">
        <v>80</v>
      </c>
      <c r="H7697" t="s">
        <v>113</v>
      </c>
      <c r="I7697">
        <v>7725.5</v>
      </c>
      <c r="J7697">
        <v>7471.95</v>
      </c>
      <c r="K7697" t="s">
        <v>17</v>
      </c>
      <c r="L7697" t="b">
        <v>0</v>
      </c>
      <c r="N7697" s="2" t="str">
        <f t="shared" si="692"/>
        <v/>
      </c>
      <c r="Q7697" t="str">
        <f t="shared" si="691"/>
        <v/>
      </c>
    </row>
    <row r="7698" spans="1:17" hidden="1">
      <c r="A7698" t="s">
        <v>7803</v>
      </c>
      <c r="B7698" s="1">
        <v>45943</v>
      </c>
      <c r="C7698">
        <v>2025</v>
      </c>
      <c r="D7698">
        <v>10</v>
      </c>
      <c r="E7698" t="s">
        <v>23</v>
      </c>
      <c r="F7698" t="s">
        <v>24</v>
      </c>
      <c r="G7698" t="s">
        <v>59</v>
      </c>
      <c r="H7698" t="s">
        <v>60</v>
      </c>
      <c r="I7698">
        <v>5906.68</v>
      </c>
      <c r="J7698">
        <v>5390.92</v>
      </c>
      <c r="K7698" t="s">
        <v>17</v>
      </c>
      <c r="L7698" t="b">
        <v>0</v>
      </c>
      <c r="N7698" s="2" t="str">
        <f t="shared" si="692"/>
        <v/>
      </c>
      <c r="Q7698" t="str">
        <f t="shared" si="691"/>
        <v/>
      </c>
    </row>
    <row r="7699" spans="1:17" hidden="1">
      <c r="A7699" t="s">
        <v>7804</v>
      </c>
      <c r="B7699" s="1">
        <v>45943</v>
      </c>
      <c r="C7699">
        <v>2025</v>
      </c>
      <c r="D7699">
        <v>10</v>
      </c>
      <c r="E7699" t="s">
        <v>37</v>
      </c>
      <c r="F7699" t="s">
        <v>28</v>
      </c>
      <c r="G7699" t="s">
        <v>38</v>
      </c>
      <c r="H7699" t="s">
        <v>227</v>
      </c>
      <c r="I7699">
        <v>6029.02</v>
      </c>
      <c r="J7699">
        <v>6211.3</v>
      </c>
      <c r="K7699" t="s">
        <v>17</v>
      </c>
      <c r="L7699" t="b">
        <v>0</v>
      </c>
      <c r="N7699" s="2" t="str">
        <f t="shared" si="692"/>
        <v/>
      </c>
      <c r="Q7699" t="str">
        <f t="shared" si="691"/>
        <v/>
      </c>
    </row>
    <row r="7700" spans="1:17" hidden="1">
      <c r="A7700" t="s">
        <v>7805</v>
      </c>
      <c r="B7700" s="1">
        <v>45944</v>
      </c>
      <c r="C7700">
        <v>2025</v>
      </c>
      <c r="D7700">
        <v>10</v>
      </c>
      <c r="E7700" t="s">
        <v>47</v>
      </c>
      <c r="F7700" t="s">
        <v>14</v>
      </c>
      <c r="G7700" t="s">
        <v>51</v>
      </c>
      <c r="H7700" t="s">
        <v>52</v>
      </c>
      <c r="I7700">
        <v>11769.96</v>
      </c>
      <c r="J7700">
        <v>10100.209999999999</v>
      </c>
      <c r="K7700" t="s">
        <v>17</v>
      </c>
      <c r="L7700" t="b">
        <v>0</v>
      </c>
      <c r="N7700" s="2" t="b">
        <f t="shared" si="692"/>
        <v>1</v>
      </c>
      <c r="O7700" t="str">
        <f>IF(AND(E7689="HR",K7689="EXPENSE"),I7689&lt;J7689,"")</f>
        <v/>
      </c>
      <c r="Q7700" t="str">
        <f t="shared" si="691"/>
        <v/>
      </c>
    </row>
    <row r="7701" spans="1:17" hidden="1">
      <c r="A7701" t="s">
        <v>7806</v>
      </c>
      <c r="B7701" s="1">
        <v>45944</v>
      </c>
      <c r="C7701">
        <v>2025</v>
      </c>
      <c r="D7701">
        <v>10</v>
      </c>
      <c r="E7701" t="s">
        <v>19</v>
      </c>
      <c r="F7701" t="s">
        <v>14</v>
      </c>
      <c r="G7701" t="s">
        <v>132</v>
      </c>
      <c r="H7701" t="s">
        <v>133</v>
      </c>
      <c r="I7701">
        <v>6755.66</v>
      </c>
      <c r="J7701">
        <v>7037.49</v>
      </c>
      <c r="K7701" t="s">
        <v>17</v>
      </c>
      <c r="L7701" t="b">
        <v>0</v>
      </c>
      <c r="N7701" s="2" t="str">
        <f t="shared" si="692"/>
        <v/>
      </c>
      <c r="Q7701" t="str">
        <f t="shared" si="691"/>
        <v/>
      </c>
    </row>
    <row r="7702" spans="1:17" hidden="1">
      <c r="A7702" t="s">
        <v>7807</v>
      </c>
      <c r="B7702" s="1">
        <v>45944</v>
      </c>
      <c r="C7702">
        <v>2025</v>
      </c>
      <c r="D7702">
        <v>10</v>
      </c>
      <c r="E7702" t="s">
        <v>19</v>
      </c>
      <c r="F7702" t="s">
        <v>14</v>
      </c>
      <c r="G7702" t="s">
        <v>132</v>
      </c>
      <c r="H7702" t="s">
        <v>138</v>
      </c>
      <c r="I7702">
        <v>7116.95</v>
      </c>
      <c r="J7702">
        <v>7519.78</v>
      </c>
      <c r="K7702" t="s">
        <v>17</v>
      </c>
      <c r="L7702" t="b">
        <v>0</v>
      </c>
      <c r="N7702" s="2" t="str">
        <f t="shared" si="692"/>
        <v/>
      </c>
      <c r="Q7702" t="str">
        <f t="shared" si="691"/>
        <v/>
      </c>
    </row>
    <row r="7703" spans="1:17" hidden="1">
      <c r="A7703" t="s">
        <v>7808</v>
      </c>
      <c r="B7703" s="1">
        <v>45944</v>
      </c>
      <c r="C7703">
        <v>2025</v>
      </c>
      <c r="D7703">
        <v>10</v>
      </c>
      <c r="E7703" t="s">
        <v>19</v>
      </c>
      <c r="F7703" t="s">
        <v>28</v>
      </c>
      <c r="G7703" t="s">
        <v>20</v>
      </c>
      <c r="H7703" t="s">
        <v>136</v>
      </c>
      <c r="I7703">
        <v>5068.08</v>
      </c>
      <c r="J7703">
        <v>5356.83</v>
      </c>
      <c r="K7703" t="s">
        <v>17</v>
      </c>
      <c r="L7703" t="b">
        <v>0</v>
      </c>
      <c r="N7703" s="2" t="str">
        <f t="shared" si="692"/>
        <v/>
      </c>
      <c r="Q7703" t="str">
        <f t="shared" si="691"/>
        <v/>
      </c>
    </row>
    <row r="7704" spans="1:17" hidden="1">
      <c r="A7704" t="s">
        <v>7809</v>
      </c>
      <c r="B7704" s="1">
        <v>45944</v>
      </c>
      <c r="C7704">
        <v>2025</v>
      </c>
      <c r="D7704">
        <v>10</v>
      </c>
      <c r="E7704" t="s">
        <v>19</v>
      </c>
      <c r="F7704" t="s">
        <v>24</v>
      </c>
      <c r="G7704" t="s">
        <v>54</v>
      </c>
      <c r="H7704" t="s">
        <v>55</v>
      </c>
      <c r="I7704">
        <v>8245.09</v>
      </c>
      <c r="J7704">
        <v>8399.23</v>
      </c>
      <c r="K7704" t="s">
        <v>17</v>
      </c>
      <c r="L7704" t="b">
        <v>0</v>
      </c>
      <c r="N7704" s="2" t="str">
        <f t="shared" si="692"/>
        <v/>
      </c>
      <c r="Q7704" t="str">
        <f t="shared" si="691"/>
        <v/>
      </c>
    </row>
    <row r="7705" spans="1:17" hidden="1">
      <c r="A7705" t="s">
        <v>7810</v>
      </c>
      <c r="B7705" s="1">
        <v>45944</v>
      </c>
      <c r="C7705">
        <v>2025</v>
      </c>
      <c r="D7705">
        <v>10</v>
      </c>
      <c r="E7705" t="s">
        <v>37</v>
      </c>
      <c r="F7705" t="s">
        <v>28</v>
      </c>
      <c r="G7705" t="s">
        <v>98</v>
      </c>
      <c r="H7705" t="s">
        <v>99</v>
      </c>
      <c r="I7705">
        <v>7141.89</v>
      </c>
      <c r="J7705">
        <v>7711.35</v>
      </c>
      <c r="K7705" t="s">
        <v>17</v>
      </c>
      <c r="L7705" t="b">
        <v>0</v>
      </c>
      <c r="N7705" s="2" t="str">
        <f t="shared" si="692"/>
        <v/>
      </c>
      <c r="Q7705" t="str">
        <f t="shared" si="691"/>
        <v/>
      </c>
    </row>
    <row r="7706" spans="1:17" hidden="1">
      <c r="A7706" t="s">
        <v>7811</v>
      </c>
      <c r="B7706" s="1">
        <v>45944</v>
      </c>
      <c r="C7706">
        <v>2025</v>
      </c>
      <c r="D7706">
        <v>10</v>
      </c>
      <c r="E7706" t="s">
        <v>37</v>
      </c>
      <c r="F7706" t="s">
        <v>28</v>
      </c>
      <c r="G7706" t="s">
        <v>38</v>
      </c>
      <c r="H7706" t="s">
        <v>118</v>
      </c>
      <c r="I7706">
        <v>3670.35</v>
      </c>
      <c r="J7706">
        <v>3891.56</v>
      </c>
      <c r="K7706" t="s">
        <v>17</v>
      </c>
      <c r="L7706" t="b">
        <v>0</v>
      </c>
      <c r="N7706" s="2" t="str">
        <f t="shared" si="692"/>
        <v/>
      </c>
      <c r="Q7706" t="str">
        <f t="shared" si="691"/>
        <v/>
      </c>
    </row>
    <row r="7707" spans="1:17" hidden="1">
      <c r="A7707" t="s">
        <v>7812</v>
      </c>
      <c r="B7707" s="1">
        <v>45944</v>
      </c>
      <c r="C7707">
        <v>2025</v>
      </c>
      <c r="D7707">
        <v>10</v>
      </c>
      <c r="E7707" t="s">
        <v>37</v>
      </c>
      <c r="F7707" t="s">
        <v>24</v>
      </c>
      <c r="G7707" t="s">
        <v>38</v>
      </c>
      <c r="H7707" t="s">
        <v>227</v>
      </c>
      <c r="I7707">
        <v>4063.24</v>
      </c>
      <c r="J7707">
        <v>4072.83</v>
      </c>
      <c r="K7707" t="s">
        <v>17</v>
      </c>
      <c r="L7707" t="b">
        <v>0</v>
      </c>
      <c r="N7707" s="2" t="str">
        <f t="shared" si="692"/>
        <v/>
      </c>
      <c r="Q7707" t="str">
        <f t="shared" si="691"/>
        <v/>
      </c>
    </row>
    <row r="7708" spans="1:17" hidden="1">
      <c r="A7708" t="s">
        <v>7813</v>
      </c>
      <c r="B7708" s="1">
        <v>45945</v>
      </c>
      <c r="C7708">
        <v>2025</v>
      </c>
      <c r="D7708">
        <v>10</v>
      </c>
      <c r="E7708" t="s">
        <v>13</v>
      </c>
      <c r="F7708" t="s">
        <v>28</v>
      </c>
      <c r="G7708" t="s">
        <v>15</v>
      </c>
      <c r="H7708" t="s">
        <v>45</v>
      </c>
      <c r="I7708">
        <v>4160.7</v>
      </c>
      <c r="J7708">
        <v>4009.25</v>
      </c>
      <c r="K7708" t="s">
        <v>17</v>
      </c>
      <c r="L7708" t="b">
        <v>0</v>
      </c>
      <c r="N7708" s="2" t="str">
        <f t="shared" si="692"/>
        <v/>
      </c>
      <c r="Q7708" t="str">
        <f t="shared" si="691"/>
        <v/>
      </c>
    </row>
    <row r="7709" spans="1:17" hidden="1">
      <c r="A7709" t="s">
        <v>7814</v>
      </c>
      <c r="B7709" s="1">
        <v>45945</v>
      </c>
      <c r="C7709">
        <v>2025</v>
      </c>
      <c r="D7709">
        <v>10</v>
      </c>
      <c r="E7709" t="s">
        <v>13</v>
      </c>
      <c r="F7709" t="s">
        <v>24</v>
      </c>
      <c r="G7709" t="s">
        <v>68</v>
      </c>
      <c r="H7709" t="s">
        <v>69</v>
      </c>
      <c r="I7709">
        <v>2002.4</v>
      </c>
      <c r="J7709">
        <v>2167.0300000000002</v>
      </c>
      <c r="K7709" t="s">
        <v>17</v>
      </c>
      <c r="L7709" t="b">
        <v>0</v>
      </c>
      <c r="N7709" s="2" t="str">
        <f t="shared" si="692"/>
        <v/>
      </c>
      <c r="Q7709" t="str">
        <f t="shared" si="691"/>
        <v/>
      </c>
    </row>
    <row r="7710" spans="1:17" hidden="1">
      <c r="A7710" t="s">
        <v>7815</v>
      </c>
      <c r="B7710" s="1">
        <v>45945</v>
      </c>
      <c r="C7710">
        <v>2025</v>
      </c>
      <c r="D7710">
        <v>10</v>
      </c>
      <c r="E7710" t="s">
        <v>19</v>
      </c>
      <c r="F7710" t="s">
        <v>28</v>
      </c>
      <c r="G7710" t="s">
        <v>20</v>
      </c>
      <c r="H7710" t="s">
        <v>174</v>
      </c>
      <c r="I7710">
        <v>5950.74</v>
      </c>
      <c r="J7710">
        <v>6234.05</v>
      </c>
      <c r="K7710" t="s">
        <v>17</v>
      </c>
      <c r="L7710" t="b">
        <v>0</v>
      </c>
      <c r="N7710" s="2" t="str">
        <f t="shared" si="692"/>
        <v/>
      </c>
      <c r="Q7710" t="str">
        <f t="shared" si="691"/>
        <v/>
      </c>
    </row>
    <row r="7711" spans="1:17" hidden="1">
      <c r="A7711" t="s">
        <v>7816</v>
      </c>
      <c r="B7711" s="1">
        <v>45945</v>
      </c>
      <c r="C7711">
        <v>2025</v>
      </c>
      <c r="D7711">
        <v>10</v>
      </c>
      <c r="E7711" t="s">
        <v>19</v>
      </c>
      <c r="F7711" t="s">
        <v>28</v>
      </c>
      <c r="G7711" t="s">
        <v>80</v>
      </c>
      <c r="H7711" t="s">
        <v>81</v>
      </c>
      <c r="I7711">
        <v>5614.49</v>
      </c>
      <c r="J7711">
        <v>5420.62</v>
      </c>
      <c r="K7711" t="s">
        <v>17</v>
      </c>
      <c r="L7711" t="b">
        <v>0</v>
      </c>
      <c r="N7711" s="2" t="str">
        <f t="shared" si="692"/>
        <v/>
      </c>
      <c r="Q7711" t="str">
        <f t="shared" si="691"/>
        <v/>
      </c>
    </row>
    <row r="7712" spans="1:17" hidden="1">
      <c r="A7712" t="s">
        <v>7817</v>
      </c>
      <c r="B7712" s="1">
        <v>45945</v>
      </c>
      <c r="C7712">
        <v>2025</v>
      </c>
      <c r="D7712">
        <v>10</v>
      </c>
      <c r="E7712" t="s">
        <v>19</v>
      </c>
      <c r="F7712" t="s">
        <v>24</v>
      </c>
      <c r="G7712" t="s">
        <v>132</v>
      </c>
      <c r="H7712" t="s">
        <v>171</v>
      </c>
      <c r="I7712">
        <v>6767.98</v>
      </c>
      <c r="J7712">
        <v>6957.34</v>
      </c>
      <c r="K7712" t="s">
        <v>17</v>
      </c>
      <c r="L7712" t="b">
        <v>0</v>
      </c>
      <c r="N7712" s="2" t="str">
        <f t="shared" si="692"/>
        <v/>
      </c>
      <c r="Q7712" t="str">
        <f t="shared" si="691"/>
        <v/>
      </c>
    </row>
    <row r="7713" spans="1:17" hidden="1">
      <c r="A7713" t="s">
        <v>7818</v>
      </c>
      <c r="B7713" s="1">
        <v>45945</v>
      </c>
      <c r="C7713">
        <v>2025</v>
      </c>
      <c r="D7713">
        <v>10</v>
      </c>
      <c r="E7713" t="s">
        <v>23</v>
      </c>
      <c r="F7713" t="s">
        <v>14</v>
      </c>
      <c r="G7713" t="s">
        <v>30</v>
      </c>
      <c r="H7713" t="s">
        <v>31</v>
      </c>
      <c r="I7713">
        <v>4352.29</v>
      </c>
      <c r="J7713">
        <v>4232.13</v>
      </c>
      <c r="K7713" t="s">
        <v>17</v>
      </c>
      <c r="L7713" t="b">
        <v>0</v>
      </c>
      <c r="N7713" s="2" t="str">
        <f t="shared" si="692"/>
        <v/>
      </c>
      <c r="Q7713" t="str">
        <f t="shared" si="691"/>
        <v/>
      </c>
    </row>
    <row r="7714" spans="1:17" hidden="1">
      <c r="A7714" t="s">
        <v>7819</v>
      </c>
      <c r="B7714" s="1">
        <v>45945</v>
      </c>
      <c r="C7714">
        <v>2025</v>
      </c>
      <c r="D7714">
        <v>10</v>
      </c>
      <c r="E7714" t="s">
        <v>23</v>
      </c>
      <c r="F7714" t="s">
        <v>28</v>
      </c>
      <c r="G7714" t="s">
        <v>25</v>
      </c>
      <c r="H7714" t="s">
        <v>95</v>
      </c>
      <c r="I7714">
        <v>5728.07</v>
      </c>
      <c r="J7714">
        <v>5944.98</v>
      </c>
      <c r="K7714" t="s">
        <v>17</v>
      </c>
      <c r="L7714" t="b">
        <v>0</v>
      </c>
      <c r="N7714" s="2" t="str">
        <f t="shared" si="692"/>
        <v/>
      </c>
      <c r="Q7714" t="str">
        <f t="shared" si="691"/>
        <v/>
      </c>
    </row>
    <row r="7715" spans="1:17" hidden="1">
      <c r="A7715" t="s">
        <v>7820</v>
      </c>
      <c r="B7715" s="1">
        <v>45945</v>
      </c>
      <c r="C7715">
        <v>2025</v>
      </c>
      <c r="D7715">
        <v>10</v>
      </c>
      <c r="E7715" t="s">
        <v>23</v>
      </c>
      <c r="F7715" t="s">
        <v>28</v>
      </c>
      <c r="G7715" t="s">
        <v>59</v>
      </c>
      <c r="H7715" t="s">
        <v>155</v>
      </c>
      <c r="I7715">
        <v>5267.94</v>
      </c>
      <c r="J7715">
        <v>5124.8500000000004</v>
      </c>
      <c r="K7715" t="s">
        <v>17</v>
      </c>
      <c r="L7715" t="b">
        <v>0</v>
      </c>
      <c r="N7715" s="2" t="str">
        <f t="shared" si="692"/>
        <v/>
      </c>
      <c r="Q7715" t="str">
        <f t="shared" si="691"/>
        <v/>
      </c>
    </row>
    <row r="7716" spans="1:17" hidden="1">
      <c r="A7716" t="s">
        <v>7821</v>
      </c>
      <c r="B7716" s="1">
        <v>45945</v>
      </c>
      <c r="C7716">
        <v>2025</v>
      </c>
      <c r="D7716">
        <v>10</v>
      </c>
      <c r="E7716" t="s">
        <v>37</v>
      </c>
      <c r="F7716" t="s">
        <v>14</v>
      </c>
      <c r="G7716" t="s">
        <v>38</v>
      </c>
      <c r="H7716" t="s">
        <v>227</v>
      </c>
      <c r="I7716">
        <v>5511.91</v>
      </c>
      <c r="J7716">
        <v>5102.45</v>
      </c>
      <c r="K7716" t="s">
        <v>17</v>
      </c>
      <c r="L7716" t="b">
        <v>0</v>
      </c>
      <c r="N7716" s="2" t="str">
        <f t="shared" si="692"/>
        <v/>
      </c>
      <c r="Q7716" t="str">
        <f t="shared" si="691"/>
        <v/>
      </c>
    </row>
    <row r="7717" spans="1:17" hidden="1">
      <c r="A7717" t="s">
        <v>7822</v>
      </c>
      <c r="B7717" s="1">
        <v>45946</v>
      </c>
      <c r="C7717">
        <v>2025</v>
      </c>
      <c r="D7717">
        <v>10</v>
      </c>
      <c r="E7717" t="s">
        <v>47</v>
      </c>
      <c r="F7717" t="s">
        <v>24</v>
      </c>
      <c r="G7717" t="s">
        <v>51</v>
      </c>
      <c r="H7717" t="s">
        <v>189</v>
      </c>
      <c r="I7717">
        <v>11261.23</v>
      </c>
      <c r="J7717">
        <v>9351.6200000000008</v>
      </c>
      <c r="K7717" t="s">
        <v>17</v>
      </c>
      <c r="L7717" t="b">
        <v>0</v>
      </c>
      <c r="N7717" s="2" t="b">
        <f t="shared" si="692"/>
        <v>1</v>
      </c>
      <c r="O7717" t="str">
        <f>IF(AND(E7706="HR",K7706="EXPENSE"),I7706&lt;J7706,"")</f>
        <v/>
      </c>
      <c r="Q7717" t="str">
        <f t="shared" si="691"/>
        <v/>
      </c>
    </row>
    <row r="7718" spans="1:17" hidden="1">
      <c r="A7718" t="s">
        <v>7823</v>
      </c>
      <c r="B7718" s="1">
        <v>45946</v>
      </c>
      <c r="C7718">
        <v>2025</v>
      </c>
      <c r="D7718">
        <v>10</v>
      </c>
      <c r="E7718" t="s">
        <v>19</v>
      </c>
      <c r="F7718" t="s">
        <v>14</v>
      </c>
      <c r="G7718" t="s">
        <v>20</v>
      </c>
      <c r="H7718" t="s">
        <v>174</v>
      </c>
      <c r="I7718">
        <v>7619.1</v>
      </c>
      <c r="J7718">
        <v>7600.08</v>
      </c>
      <c r="K7718" t="s">
        <v>17</v>
      </c>
      <c r="L7718" t="b">
        <v>0</v>
      </c>
      <c r="N7718" s="2" t="str">
        <f t="shared" si="692"/>
        <v/>
      </c>
      <c r="Q7718" t="str">
        <f t="shared" si="691"/>
        <v/>
      </c>
    </row>
    <row r="7719" spans="1:17" hidden="1">
      <c r="A7719" t="s">
        <v>7824</v>
      </c>
      <c r="B7719" s="1">
        <v>45946</v>
      </c>
      <c r="C7719">
        <v>2025</v>
      </c>
      <c r="D7719">
        <v>10</v>
      </c>
      <c r="E7719" t="s">
        <v>19</v>
      </c>
      <c r="F7719" t="s">
        <v>28</v>
      </c>
      <c r="G7719" t="s">
        <v>20</v>
      </c>
      <c r="H7719" t="s">
        <v>21</v>
      </c>
      <c r="I7719">
        <v>4285.3900000000003</v>
      </c>
      <c r="J7719">
        <v>4052.33</v>
      </c>
      <c r="K7719" t="s">
        <v>17</v>
      </c>
      <c r="L7719" t="b">
        <v>0</v>
      </c>
      <c r="N7719" s="2" t="str">
        <f t="shared" si="692"/>
        <v/>
      </c>
      <c r="Q7719" t="str">
        <f t="shared" si="691"/>
        <v/>
      </c>
    </row>
    <row r="7720" spans="1:17" hidden="1">
      <c r="A7720" t="s">
        <v>7825</v>
      </c>
      <c r="B7720" s="1">
        <v>45946</v>
      </c>
      <c r="C7720">
        <v>2025</v>
      </c>
      <c r="D7720">
        <v>10</v>
      </c>
      <c r="E7720" t="s">
        <v>19</v>
      </c>
      <c r="F7720" t="s">
        <v>24</v>
      </c>
      <c r="G7720" t="s">
        <v>54</v>
      </c>
      <c r="H7720" t="s">
        <v>57</v>
      </c>
      <c r="I7720">
        <v>7581.79</v>
      </c>
      <c r="J7720">
        <v>6921.78</v>
      </c>
      <c r="K7720" t="s">
        <v>17</v>
      </c>
      <c r="L7720" t="b">
        <v>0</v>
      </c>
      <c r="N7720" s="2" t="str">
        <f t="shared" si="692"/>
        <v/>
      </c>
      <c r="Q7720" t="str">
        <f t="shared" si="691"/>
        <v/>
      </c>
    </row>
    <row r="7721" spans="1:17" hidden="1">
      <c r="A7721" t="s">
        <v>7826</v>
      </c>
      <c r="B7721" s="1">
        <v>45946</v>
      </c>
      <c r="C7721">
        <v>2025</v>
      </c>
      <c r="D7721">
        <v>10</v>
      </c>
      <c r="E7721" t="s">
        <v>19</v>
      </c>
      <c r="F7721" t="s">
        <v>24</v>
      </c>
      <c r="G7721" t="s">
        <v>80</v>
      </c>
      <c r="H7721" t="s">
        <v>217</v>
      </c>
      <c r="I7721">
        <v>3630.23</v>
      </c>
      <c r="J7721">
        <v>3604.25</v>
      </c>
      <c r="K7721" t="s">
        <v>17</v>
      </c>
      <c r="L7721" t="b">
        <v>0</v>
      </c>
      <c r="N7721" s="2" t="str">
        <f t="shared" si="692"/>
        <v/>
      </c>
      <c r="Q7721" t="str">
        <f t="shared" si="691"/>
        <v/>
      </c>
    </row>
    <row r="7722" spans="1:17" hidden="1">
      <c r="A7722" t="s">
        <v>7827</v>
      </c>
      <c r="B7722" s="1">
        <v>45946</v>
      </c>
      <c r="C7722">
        <v>2025</v>
      </c>
      <c r="D7722">
        <v>10</v>
      </c>
      <c r="E7722" t="s">
        <v>23</v>
      </c>
      <c r="F7722" t="s">
        <v>24</v>
      </c>
      <c r="G7722" t="s">
        <v>141</v>
      </c>
      <c r="H7722" t="s">
        <v>209</v>
      </c>
      <c r="I7722">
        <v>7332.05</v>
      </c>
      <c r="J7722">
        <v>7147.84</v>
      </c>
      <c r="K7722" t="s">
        <v>17</v>
      </c>
      <c r="L7722" t="b">
        <v>0</v>
      </c>
      <c r="N7722" s="2" t="str">
        <f t="shared" si="692"/>
        <v/>
      </c>
      <c r="Q7722" t="str">
        <f t="shared" si="691"/>
        <v/>
      </c>
    </row>
    <row r="7723" spans="1:17" hidden="1">
      <c r="A7723" t="s">
        <v>7828</v>
      </c>
      <c r="B7723" s="1">
        <v>45946</v>
      </c>
      <c r="C7723">
        <v>2025</v>
      </c>
      <c r="D7723">
        <v>10</v>
      </c>
      <c r="E7723" t="s">
        <v>37</v>
      </c>
      <c r="F7723" t="s">
        <v>24</v>
      </c>
      <c r="G7723" t="s">
        <v>41</v>
      </c>
      <c r="H7723" t="s">
        <v>42</v>
      </c>
      <c r="I7723">
        <v>4042.4</v>
      </c>
      <c r="J7723">
        <v>3881.13</v>
      </c>
      <c r="K7723" t="s">
        <v>17</v>
      </c>
      <c r="L7723" t="b">
        <v>0</v>
      </c>
      <c r="N7723" s="2" t="str">
        <f t="shared" si="692"/>
        <v/>
      </c>
      <c r="Q7723" t="str">
        <f t="shared" si="691"/>
        <v/>
      </c>
    </row>
    <row r="7724" spans="1:17" hidden="1">
      <c r="A7724" t="s">
        <v>7829</v>
      </c>
      <c r="B7724" s="1">
        <v>45947</v>
      </c>
      <c r="C7724">
        <v>2025</v>
      </c>
      <c r="D7724">
        <v>10</v>
      </c>
      <c r="E7724" t="s">
        <v>13</v>
      </c>
      <c r="F7724" t="s">
        <v>14</v>
      </c>
      <c r="G7724" t="s">
        <v>102</v>
      </c>
      <c r="H7724" t="s">
        <v>145</v>
      </c>
      <c r="I7724">
        <v>4442.45</v>
      </c>
      <c r="J7724">
        <v>4283.79</v>
      </c>
      <c r="K7724" t="s">
        <v>17</v>
      </c>
      <c r="L7724" t="b">
        <v>0</v>
      </c>
      <c r="N7724" s="2" t="str">
        <f t="shared" si="692"/>
        <v/>
      </c>
      <c r="Q7724" t="str">
        <f t="shared" si="691"/>
        <v/>
      </c>
    </row>
    <row r="7725" spans="1:17" hidden="1">
      <c r="A7725" t="s">
        <v>7830</v>
      </c>
      <c r="B7725" s="1">
        <v>45947</v>
      </c>
      <c r="C7725">
        <v>2025</v>
      </c>
      <c r="D7725">
        <v>10</v>
      </c>
      <c r="E7725" t="s">
        <v>47</v>
      </c>
      <c r="F7725" t="s">
        <v>14</v>
      </c>
      <c r="G7725" t="s">
        <v>77</v>
      </c>
      <c r="H7725" t="s">
        <v>147</v>
      </c>
      <c r="I7725">
        <v>17470.37</v>
      </c>
      <c r="J7725">
        <v>15007.27</v>
      </c>
      <c r="K7725" t="s">
        <v>17</v>
      </c>
      <c r="L7725" t="b">
        <v>0</v>
      </c>
      <c r="N7725" s="2" t="b">
        <f t="shared" si="692"/>
        <v>1</v>
      </c>
      <c r="O7725" t="str">
        <f t="shared" ref="O7725:O7726" si="695">IF(AND(E7714="HR",K7714="EXPENSE"),I7714&lt;J7714,"")</f>
        <v/>
      </c>
      <c r="Q7725" t="str">
        <f t="shared" si="691"/>
        <v/>
      </c>
    </row>
    <row r="7726" spans="1:17" hidden="1">
      <c r="A7726" t="s">
        <v>7831</v>
      </c>
      <c r="B7726" s="1">
        <v>45947</v>
      </c>
      <c r="C7726">
        <v>2025</v>
      </c>
      <c r="D7726">
        <v>10</v>
      </c>
      <c r="E7726" t="s">
        <v>47</v>
      </c>
      <c r="F7726" t="s">
        <v>28</v>
      </c>
      <c r="G7726" t="s">
        <v>51</v>
      </c>
      <c r="H7726" t="s">
        <v>72</v>
      </c>
      <c r="I7726">
        <v>14667.69</v>
      </c>
      <c r="J7726">
        <v>12435.42</v>
      </c>
      <c r="K7726" t="s">
        <v>17</v>
      </c>
      <c r="L7726" t="b">
        <v>0</v>
      </c>
      <c r="N7726" s="2" t="b">
        <f t="shared" si="692"/>
        <v>1</v>
      </c>
      <c r="O7726" t="str">
        <f t="shared" si="695"/>
        <v/>
      </c>
      <c r="Q7726" t="str">
        <f t="shared" si="691"/>
        <v/>
      </c>
    </row>
    <row r="7727" spans="1:17" hidden="1">
      <c r="A7727" t="s">
        <v>7832</v>
      </c>
      <c r="B7727" s="1">
        <v>45947</v>
      </c>
      <c r="C7727">
        <v>2025</v>
      </c>
      <c r="D7727">
        <v>10</v>
      </c>
      <c r="E7727" t="s">
        <v>23</v>
      </c>
      <c r="F7727" t="s">
        <v>14</v>
      </c>
      <c r="G7727" t="s">
        <v>141</v>
      </c>
      <c r="H7727" t="s">
        <v>209</v>
      </c>
      <c r="I7727">
        <v>8197.61</v>
      </c>
      <c r="J7727">
        <v>8669.6200000000008</v>
      </c>
      <c r="K7727" t="s">
        <v>17</v>
      </c>
      <c r="L7727" t="b">
        <v>0</v>
      </c>
      <c r="N7727" s="2" t="str">
        <f t="shared" si="692"/>
        <v/>
      </c>
      <c r="Q7727" t="str">
        <f t="shared" si="691"/>
        <v/>
      </c>
    </row>
    <row r="7728" spans="1:17" hidden="1">
      <c r="A7728" t="s">
        <v>7833</v>
      </c>
      <c r="B7728" s="1">
        <v>45948</v>
      </c>
      <c r="C7728">
        <v>2025</v>
      </c>
      <c r="D7728">
        <v>10</v>
      </c>
      <c r="E7728" t="s">
        <v>13</v>
      </c>
      <c r="F7728" t="s">
        <v>14</v>
      </c>
      <c r="G7728" t="s">
        <v>102</v>
      </c>
      <c r="H7728" t="s">
        <v>103</v>
      </c>
      <c r="I7728">
        <v>3224.87</v>
      </c>
      <c r="J7728">
        <v>2907.17</v>
      </c>
      <c r="K7728" t="s">
        <v>17</v>
      </c>
      <c r="L7728" t="b">
        <v>0</v>
      </c>
      <c r="N7728" s="2" t="str">
        <f t="shared" si="692"/>
        <v/>
      </c>
      <c r="Q7728" t="str">
        <f t="shared" ref="Q7728:Q7791" si="696">IF(L7728=TRUE,OR(H7728="Apex Solutions Inc",H7728="Global Trade Partners",H7728="NovaTech Services"),"")</f>
        <v/>
      </c>
    </row>
    <row r="7729" spans="1:17" hidden="1">
      <c r="A7729" t="s">
        <v>7834</v>
      </c>
      <c r="B7729" s="1">
        <v>45948</v>
      </c>
      <c r="C7729">
        <v>2025</v>
      </c>
      <c r="D7729">
        <v>10</v>
      </c>
      <c r="E7729" t="s">
        <v>13</v>
      </c>
      <c r="F7729" t="s">
        <v>24</v>
      </c>
      <c r="G7729" t="s">
        <v>108</v>
      </c>
      <c r="H7729" t="s">
        <v>126</v>
      </c>
      <c r="I7729">
        <v>3670.64</v>
      </c>
      <c r="J7729">
        <v>3740.75</v>
      </c>
      <c r="K7729" t="s">
        <v>17</v>
      </c>
      <c r="L7729" t="b">
        <v>0</v>
      </c>
      <c r="N7729" s="2" t="str">
        <f t="shared" si="692"/>
        <v/>
      </c>
      <c r="Q7729" t="str">
        <f t="shared" si="696"/>
        <v/>
      </c>
    </row>
    <row r="7730" spans="1:17" hidden="1">
      <c r="A7730" t="s">
        <v>7835</v>
      </c>
      <c r="B7730" s="1">
        <v>45948</v>
      </c>
      <c r="C7730">
        <v>2025</v>
      </c>
      <c r="D7730">
        <v>10</v>
      </c>
      <c r="E7730" t="s">
        <v>47</v>
      </c>
      <c r="F7730" t="s">
        <v>14</v>
      </c>
      <c r="G7730" t="s">
        <v>48</v>
      </c>
      <c r="H7730" t="s">
        <v>49</v>
      </c>
      <c r="I7730">
        <v>14306.99</v>
      </c>
      <c r="J7730">
        <v>12016.88</v>
      </c>
      <c r="K7730" t="s">
        <v>17</v>
      </c>
      <c r="L7730" t="b">
        <v>0</v>
      </c>
      <c r="N7730" s="2" t="b">
        <f t="shared" si="692"/>
        <v>1</v>
      </c>
      <c r="O7730" t="str">
        <f>IF(AND(E7719="HR",K7719="EXPENSE"),I7719&lt;J7719,"")</f>
        <v/>
      </c>
      <c r="Q7730" t="str">
        <f t="shared" si="696"/>
        <v/>
      </c>
    </row>
    <row r="7731" spans="1:17" hidden="1">
      <c r="A7731" t="s">
        <v>7836</v>
      </c>
      <c r="B7731" s="1">
        <v>45948</v>
      </c>
      <c r="C7731">
        <v>2025</v>
      </c>
      <c r="D7731">
        <v>10</v>
      </c>
      <c r="E7731" t="s">
        <v>19</v>
      </c>
      <c r="F7731" t="s">
        <v>14</v>
      </c>
      <c r="G7731" t="s">
        <v>132</v>
      </c>
      <c r="H7731" t="s">
        <v>133</v>
      </c>
      <c r="I7731">
        <v>10255.700000000001</v>
      </c>
      <c r="J7731">
        <v>10324.67</v>
      </c>
      <c r="K7731" t="s">
        <v>17</v>
      </c>
      <c r="L7731" t="b">
        <v>0</v>
      </c>
      <c r="N7731" s="2" t="str">
        <f t="shared" si="692"/>
        <v/>
      </c>
      <c r="Q7731" t="str">
        <f t="shared" si="696"/>
        <v/>
      </c>
    </row>
    <row r="7732" spans="1:17" hidden="1">
      <c r="A7732" t="s">
        <v>7837</v>
      </c>
      <c r="B7732" s="1">
        <v>45948</v>
      </c>
      <c r="C7732">
        <v>2025</v>
      </c>
      <c r="D7732">
        <v>10</v>
      </c>
      <c r="E7732" t="s">
        <v>19</v>
      </c>
      <c r="F7732" t="s">
        <v>28</v>
      </c>
      <c r="G7732" t="s">
        <v>80</v>
      </c>
      <c r="H7732" t="s">
        <v>113</v>
      </c>
      <c r="I7732">
        <v>7775.27</v>
      </c>
      <c r="J7732">
        <v>8515.9</v>
      </c>
      <c r="K7732" t="s">
        <v>17</v>
      </c>
      <c r="L7732" t="b">
        <v>0</v>
      </c>
      <c r="N7732" s="2" t="str">
        <f t="shared" si="692"/>
        <v/>
      </c>
      <c r="Q7732" t="str">
        <f t="shared" si="696"/>
        <v/>
      </c>
    </row>
    <row r="7733" spans="1:17" hidden="1">
      <c r="A7733" t="s">
        <v>7838</v>
      </c>
      <c r="B7733" s="1">
        <v>45949</v>
      </c>
      <c r="C7733">
        <v>2025</v>
      </c>
      <c r="D7733">
        <v>10</v>
      </c>
      <c r="E7733" t="s">
        <v>19</v>
      </c>
      <c r="F7733" t="s">
        <v>14</v>
      </c>
      <c r="G7733" t="s">
        <v>132</v>
      </c>
      <c r="H7733" t="s">
        <v>138</v>
      </c>
      <c r="I7733">
        <v>6633.35</v>
      </c>
      <c r="J7733">
        <v>6023.67</v>
      </c>
      <c r="K7733" t="s">
        <v>17</v>
      </c>
      <c r="L7733" t="b">
        <v>0</v>
      </c>
      <c r="N7733" s="2" t="str">
        <f t="shared" si="692"/>
        <v/>
      </c>
      <c r="Q7733" t="str">
        <f t="shared" si="696"/>
        <v/>
      </c>
    </row>
    <row r="7734" spans="1:17" hidden="1">
      <c r="A7734" t="s">
        <v>7839</v>
      </c>
      <c r="B7734" s="1">
        <v>45949</v>
      </c>
      <c r="C7734">
        <v>2025</v>
      </c>
      <c r="D7734">
        <v>10</v>
      </c>
      <c r="E7734" t="s">
        <v>19</v>
      </c>
      <c r="F7734" t="s">
        <v>14</v>
      </c>
      <c r="G7734" t="s">
        <v>80</v>
      </c>
      <c r="H7734" t="s">
        <v>150</v>
      </c>
      <c r="I7734">
        <v>6827.23</v>
      </c>
      <c r="J7734">
        <v>7052.89</v>
      </c>
      <c r="K7734" t="s">
        <v>17</v>
      </c>
      <c r="L7734" t="b">
        <v>0</v>
      </c>
      <c r="N7734" s="2" t="str">
        <f t="shared" si="692"/>
        <v/>
      </c>
      <c r="Q7734" t="str">
        <f t="shared" si="696"/>
        <v/>
      </c>
    </row>
    <row r="7735" spans="1:17" hidden="1">
      <c r="A7735" t="s">
        <v>7840</v>
      </c>
      <c r="B7735" s="1">
        <v>45949</v>
      </c>
      <c r="C7735">
        <v>2025</v>
      </c>
      <c r="D7735">
        <v>10</v>
      </c>
      <c r="E7735" t="s">
        <v>19</v>
      </c>
      <c r="F7735" t="s">
        <v>28</v>
      </c>
      <c r="G7735" t="s">
        <v>54</v>
      </c>
      <c r="H7735" t="s">
        <v>55</v>
      </c>
      <c r="I7735">
        <v>3883.24</v>
      </c>
      <c r="J7735">
        <v>3779.48</v>
      </c>
      <c r="K7735" t="s">
        <v>17</v>
      </c>
      <c r="L7735" t="b">
        <v>0</v>
      </c>
      <c r="N7735" s="2" t="str">
        <f t="shared" si="692"/>
        <v/>
      </c>
      <c r="Q7735" t="str">
        <f t="shared" si="696"/>
        <v/>
      </c>
    </row>
    <row r="7736" spans="1:17" hidden="1">
      <c r="A7736" t="s">
        <v>7841</v>
      </c>
      <c r="B7736" s="1">
        <v>45949</v>
      </c>
      <c r="C7736">
        <v>2025</v>
      </c>
      <c r="D7736">
        <v>10</v>
      </c>
      <c r="E7736" t="s">
        <v>19</v>
      </c>
      <c r="F7736" t="s">
        <v>28</v>
      </c>
      <c r="G7736" t="s">
        <v>132</v>
      </c>
      <c r="H7736" t="s">
        <v>171</v>
      </c>
      <c r="I7736">
        <v>6310.9</v>
      </c>
      <c r="J7736">
        <v>6035.28</v>
      </c>
      <c r="K7736" t="s">
        <v>17</v>
      </c>
      <c r="L7736" t="b">
        <v>0</v>
      </c>
      <c r="N7736" s="2" t="str">
        <f t="shared" si="692"/>
        <v/>
      </c>
      <c r="Q7736" t="str">
        <f t="shared" si="696"/>
        <v/>
      </c>
    </row>
    <row r="7737" spans="1:17" hidden="1">
      <c r="A7737" t="s">
        <v>7842</v>
      </c>
      <c r="B7737" s="1">
        <v>45949</v>
      </c>
      <c r="C7737">
        <v>2025</v>
      </c>
      <c r="D7737">
        <v>10</v>
      </c>
      <c r="E7737" t="s">
        <v>19</v>
      </c>
      <c r="F7737" t="s">
        <v>24</v>
      </c>
      <c r="G7737" t="s">
        <v>20</v>
      </c>
      <c r="H7737" t="s">
        <v>174</v>
      </c>
      <c r="I7737">
        <v>6795.72</v>
      </c>
      <c r="J7737">
        <v>7257.01</v>
      </c>
      <c r="K7737" t="s">
        <v>17</v>
      </c>
      <c r="L7737" t="b">
        <v>0</v>
      </c>
      <c r="N7737" s="2" t="str">
        <f t="shared" si="692"/>
        <v/>
      </c>
      <c r="Q7737" t="str">
        <f t="shared" si="696"/>
        <v/>
      </c>
    </row>
    <row r="7738" spans="1:17" hidden="1">
      <c r="A7738" t="s">
        <v>7843</v>
      </c>
      <c r="B7738" s="1">
        <v>45949</v>
      </c>
      <c r="C7738">
        <v>2025</v>
      </c>
      <c r="D7738">
        <v>10</v>
      </c>
      <c r="E7738" t="s">
        <v>23</v>
      </c>
      <c r="F7738" t="s">
        <v>28</v>
      </c>
      <c r="G7738" t="s">
        <v>141</v>
      </c>
      <c r="H7738" t="s">
        <v>153</v>
      </c>
      <c r="I7738">
        <v>2963.43</v>
      </c>
      <c r="J7738">
        <v>2972.54</v>
      </c>
      <c r="K7738" t="s">
        <v>17</v>
      </c>
      <c r="L7738" t="b">
        <v>0</v>
      </c>
      <c r="N7738" s="2" t="str">
        <f t="shared" si="692"/>
        <v/>
      </c>
      <c r="Q7738" t="str">
        <f t="shared" si="696"/>
        <v/>
      </c>
    </row>
    <row r="7739" spans="1:17" hidden="1">
      <c r="A7739" t="s">
        <v>7844</v>
      </c>
      <c r="B7739" s="1">
        <v>45949</v>
      </c>
      <c r="C7739">
        <v>2025</v>
      </c>
      <c r="D7739">
        <v>10</v>
      </c>
      <c r="E7739" t="s">
        <v>37</v>
      </c>
      <c r="F7739" t="s">
        <v>14</v>
      </c>
      <c r="G7739" t="s">
        <v>41</v>
      </c>
      <c r="H7739" t="s">
        <v>42</v>
      </c>
      <c r="I7739">
        <v>4120.29</v>
      </c>
      <c r="J7739">
        <v>4247.8999999999996</v>
      </c>
      <c r="K7739" t="s">
        <v>17</v>
      </c>
      <c r="L7739" t="b">
        <v>0</v>
      </c>
      <c r="N7739" s="2" t="str">
        <f t="shared" si="692"/>
        <v/>
      </c>
      <c r="Q7739" t="str">
        <f t="shared" si="696"/>
        <v/>
      </c>
    </row>
    <row r="7740" spans="1:17" hidden="1">
      <c r="A7740" t="s">
        <v>7845</v>
      </c>
      <c r="B7740" s="1">
        <v>45949</v>
      </c>
      <c r="C7740">
        <v>2025</v>
      </c>
      <c r="D7740">
        <v>10</v>
      </c>
      <c r="E7740" t="s">
        <v>37</v>
      </c>
      <c r="F7740" t="s">
        <v>28</v>
      </c>
      <c r="G7740" t="s">
        <v>62</v>
      </c>
      <c r="H7740" t="s">
        <v>360</v>
      </c>
      <c r="I7740">
        <v>3434.85</v>
      </c>
      <c r="J7740">
        <v>3741.77</v>
      </c>
      <c r="K7740" t="s">
        <v>17</v>
      </c>
      <c r="L7740" t="b">
        <v>0</v>
      </c>
      <c r="N7740" s="2" t="str">
        <f t="shared" si="692"/>
        <v/>
      </c>
      <c r="Q7740" t="str">
        <f t="shared" si="696"/>
        <v/>
      </c>
    </row>
    <row r="7741" spans="1:17" hidden="1">
      <c r="A7741" t="s">
        <v>7846</v>
      </c>
      <c r="B7741" s="1">
        <v>45949</v>
      </c>
      <c r="C7741">
        <v>2025</v>
      </c>
      <c r="D7741">
        <v>10</v>
      </c>
      <c r="E7741" t="s">
        <v>37</v>
      </c>
      <c r="F7741" t="s">
        <v>28</v>
      </c>
      <c r="G7741" t="s">
        <v>38</v>
      </c>
      <c r="H7741" t="s">
        <v>118</v>
      </c>
      <c r="I7741">
        <v>3409.78</v>
      </c>
      <c r="J7741">
        <v>3253.41</v>
      </c>
      <c r="K7741" t="s">
        <v>17</v>
      </c>
      <c r="L7741" t="b">
        <v>0</v>
      </c>
      <c r="N7741" s="2" t="str">
        <f t="shared" si="692"/>
        <v/>
      </c>
      <c r="Q7741" t="str">
        <f t="shared" si="696"/>
        <v/>
      </c>
    </row>
    <row r="7742" spans="1:17" hidden="1">
      <c r="A7742" t="s">
        <v>7847</v>
      </c>
      <c r="B7742" s="1">
        <v>45949</v>
      </c>
      <c r="C7742">
        <v>2025</v>
      </c>
      <c r="D7742">
        <v>10</v>
      </c>
      <c r="E7742" t="s">
        <v>37</v>
      </c>
      <c r="F7742" t="s">
        <v>24</v>
      </c>
      <c r="G7742" t="s">
        <v>98</v>
      </c>
      <c r="H7742" t="s">
        <v>185</v>
      </c>
      <c r="I7742">
        <v>5131.79</v>
      </c>
      <c r="J7742">
        <v>5579.09</v>
      </c>
      <c r="K7742" t="s">
        <v>17</v>
      </c>
      <c r="L7742" t="b">
        <v>0</v>
      </c>
      <c r="N7742" s="2" t="str">
        <f t="shared" si="692"/>
        <v/>
      </c>
      <c r="Q7742" t="str">
        <f t="shared" si="696"/>
        <v/>
      </c>
    </row>
    <row r="7743" spans="1:17" hidden="1">
      <c r="A7743" t="s">
        <v>7848</v>
      </c>
      <c r="B7743" s="1">
        <v>45950</v>
      </c>
      <c r="C7743">
        <v>2025</v>
      </c>
      <c r="D7743">
        <v>10</v>
      </c>
      <c r="E7743" t="s">
        <v>13</v>
      </c>
      <c r="F7743" t="s">
        <v>24</v>
      </c>
      <c r="G7743" t="s">
        <v>15</v>
      </c>
      <c r="H7743" t="s">
        <v>45</v>
      </c>
      <c r="I7743">
        <v>4540.34</v>
      </c>
      <c r="J7743">
        <v>4389.08</v>
      </c>
      <c r="K7743" t="s">
        <v>17</v>
      </c>
      <c r="L7743" t="b">
        <v>0</v>
      </c>
      <c r="N7743" s="2" t="str">
        <f t="shared" si="692"/>
        <v/>
      </c>
      <c r="Q7743" t="str">
        <f t="shared" si="696"/>
        <v/>
      </c>
    </row>
    <row r="7744" spans="1:17" hidden="1">
      <c r="A7744" t="s">
        <v>7849</v>
      </c>
      <c r="B7744" s="1">
        <v>45950</v>
      </c>
      <c r="C7744">
        <v>2025</v>
      </c>
      <c r="D7744">
        <v>10</v>
      </c>
      <c r="E7744" t="s">
        <v>47</v>
      </c>
      <c r="F7744" t="s">
        <v>14</v>
      </c>
      <c r="G7744" t="s">
        <v>51</v>
      </c>
      <c r="H7744" t="s">
        <v>52</v>
      </c>
      <c r="I7744">
        <v>15602.26</v>
      </c>
      <c r="J7744">
        <v>13005.6</v>
      </c>
      <c r="K7744" t="s">
        <v>17</v>
      </c>
      <c r="L7744" t="b">
        <v>0</v>
      </c>
      <c r="N7744" s="2" t="b">
        <f t="shared" si="692"/>
        <v>1</v>
      </c>
      <c r="O7744" t="str">
        <f>IF(AND(E7733="HR",K7733="EXPENSE"),I7733&lt;J7733,"")</f>
        <v/>
      </c>
      <c r="Q7744" t="str">
        <f t="shared" si="696"/>
        <v/>
      </c>
    </row>
    <row r="7745" spans="1:17" hidden="1">
      <c r="A7745" t="s">
        <v>7850</v>
      </c>
      <c r="B7745" s="1">
        <v>45950</v>
      </c>
      <c r="C7745">
        <v>2025</v>
      </c>
      <c r="D7745">
        <v>10</v>
      </c>
      <c r="E7745" t="s">
        <v>23</v>
      </c>
      <c r="F7745" t="s">
        <v>28</v>
      </c>
      <c r="G7745" t="s">
        <v>30</v>
      </c>
      <c r="H7745" t="s">
        <v>106</v>
      </c>
      <c r="I7745">
        <v>6870.87</v>
      </c>
      <c r="J7745">
        <v>7316.25</v>
      </c>
      <c r="K7745" t="s">
        <v>17</v>
      </c>
      <c r="L7745" t="b">
        <v>0</v>
      </c>
      <c r="N7745" s="2" t="str">
        <f t="shared" si="692"/>
        <v/>
      </c>
      <c r="Q7745" t="str">
        <f t="shared" si="696"/>
        <v/>
      </c>
    </row>
    <row r="7746" spans="1:17" hidden="1">
      <c r="A7746" t="s">
        <v>7851</v>
      </c>
      <c r="B7746" s="1">
        <v>45950</v>
      </c>
      <c r="C7746">
        <v>2025</v>
      </c>
      <c r="D7746">
        <v>10</v>
      </c>
      <c r="E7746" t="s">
        <v>23</v>
      </c>
      <c r="F7746" t="s">
        <v>24</v>
      </c>
      <c r="G7746" t="s">
        <v>141</v>
      </c>
      <c r="H7746" t="s">
        <v>142</v>
      </c>
      <c r="I7746">
        <v>3716.71</v>
      </c>
      <c r="J7746">
        <v>3383.4</v>
      </c>
      <c r="K7746" t="s">
        <v>17</v>
      </c>
      <c r="L7746" t="b">
        <v>0</v>
      </c>
      <c r="N7746" s="2" t="str">
        <f t="shared" si="692"/>
        <v/>
      </c>
      <c r="Q7746" t="str">
        <f t="shared" si="696"/>
        <v/>
      </c>
    </row>
    <row r="7747" spans="1:17" hidden="1">
      <c r="A7747" t="s">
        <v>7852</v>
      </c>
      <c r="B7747" s="1">
        <v>45950</v>
      </c>
      <c r="C7747">
        <v>2025</v>
      </c>
      <c r="D7747">
        <v>10</v>
      </c>
      <c r="E7747" t="s">
        <v>37</v>
      </c>
      <c r="F7747" t="s">
        <v>28</v>
      </c>
      <c r="G7747" t="s">
        <v>62</v>
      </c>
      <c r="H7747" t="s">
        <v>121</v>
      </c>
      <c r="I7747">
        <v>4307.82</v>
      </c>
      <c r="J7747">
        <v>4366.8999999999996</v>
      </c>
      <c r="K7747" t="s">
        <v>17</v>
      </c>
      <c r="L7747" t="b">
        <v>0</v>
      </c>
      <c r="N7747" s="2" t="str">
        <f t="shared" ref="N7747:N7810" si="697">IF(AND(E7747="IT",K7747="EXPENSE"),I7747&gt;J7747,"")</f>
        <v/>
      </c>
      <c r="Q7747" t="str">
        <f t="shared" si="696"/>
        <v/>
      </c>
    </row>
    <row r="7748" spans="1:17" hidden="1">
      <c r="A7748" t="s">
        <v>7853</v>
      </c>
      <c r="B7748" s="1">
        <v>45951</v>
      </c>
      <c r="C7748">
        <v>2025</v>
      </c>
      <c r="D7748">
        <v>10</v>
      </c>
      <c r="E7748" t="s">
        <v>47</v>
      </c>
      <c r="F7748" t="s">
        <v>24</v>
      </c>
      <c r="G7748" t="s">
        <v>91</v>
      </c>
      <c r="H7748" t="s">
        <v>249</v>
      </c>
      <c r="I7748">
        <v>11896.18</v>
      </c>
      <c r="J7748">
        <v>9949.64</v>
      </c>
      <c r="K7748" t="s">
        <v>17</v>
      </c>
      <c r="L7748" t="b">
        <v>0</v>
      </c>
      <c r="N7748" s="2" t="b">
        <f t="shared" si="697"/>
        <v>1</v>
      </c>
      <c r="O7748" t="str">
        <f>IF(AND(E7737="HR",K7737="EXPENSE"),I7737&lt;J7737,"")</f>
        <v/>
      </c>
      <c r="Q7748" t="str">
        <f t="shared" si="696"/>
        <v/>
      </c>
    </row>
    <row r="7749" spans="1:17" hidden="1">
      <c r="A7749" t="s">
        <v>7854</v>
      </c>
      <c r="B7749" s="1">
        <v>45951</v>
      </c>
      <c r="C7749">
        <v>2025</v>
      </c>
      <c r="D7749">
        <v>10</v>
      </c>
      <c r="E7749" t="s">
        <v>23</v>
      </c>
      <c r="F7749" t="s">
        <v>24</v>
      </c>
      <c r="G7749" t="s">
        <v>25</v>
      </c>
      <c r="H7749" t="s">
        <v>26</v>
      </c>
      <c r="I7749">
        <v>6323.78</v>
      </c>
      <c r="J7749">
        <v>5843.58</v>
      </c>
      <c r="K7749" t="s">
        <v>17</v>
      </c>
      <c r="L7749" t="b">
        <v>0</v>
      </c>
      <c r="N7749" s="2" t="str">
        <f t="shared" si="697"/>
        <v/>
      </c>
      <c r="Q7749" t="str">
        <f t="shared" si="696"/>
        <v/>
      </c>
    </row>
    <row r="7750" spans="1:17" hidden="1">
      <c r="A7750" t="s">
        <v>7855</v>
      </c>
      <c r="B7750" s="1">
        <v>45951</v>
      </c>
      <c r="C7750">
        <v>2025</v>
      </c>
      <c r="D7750">
        <v>10</v>
      </c>
      <c r="E7750" t="s">
        <v>23</v>
      </c>
      <c r="F7750" t="s">
        <v>24</v>
      </c>
      <c r="G7750" t="s">
        <v>30</v>
      </c>
      <c r="H7750" t="s">
        <v>31</v>
      </c>
      <c r="I7750">
        <v>6451.13</v>
      </c>
      <c r="J7750">
        <v>5843.55</v>
      </c>
      <c r="K7750" t="s">
        <v>17</v>
      </c>
      <c r="L7750" t="b">
        <v>0</v>
      </c>
      <c r="N7750" s="2" t="str">
        <f t="shared" si="697"/>
        <v/>
      </c>
      <c r="Q7750" t="str">
        <f t="shared" si="696"/>
        <v/>
      </c>
    </row>
    <row r="7751" spans="1:17" hidden="1">
      <c r="A7751" t="s">
        <v>7856</v>
      </c>
      <c r="B7751" s="1">
        <v>45952</v>
      </c>
      <c r="C7751">
        <v>2025</v>
      </c>
      <c r="D7751">
        <v>10</v>
      </c>
      <c r="E7751" t="s">
        <v>13</v>
      </c>
      <c r="F7751" t="s">
        <v>14</v>
      </c>
      <c r="G7751" t="s">
        <v>68</v>
      </c>
      <c r="H7751" t="s">
        <v>87</v>
      </c>
      <c r="I7751">
        <v>3550.78</v>
      </c>
      <c r="J7751">
        <v>3576.36</v>
      </c>
      <c r="K7751" t="s">
        <v>17</v>
      </c>
      <c r="L7751" t="b">
        <v>0</v>
      </c>
      <c r="N7751" s="2" t="str">
        <f t="shared" si="697"/>
        <v/>
      </c>
      <c r="Q7751" t="str">
        <f t="shared" si="696"/>
        <v/>
      </c>
    </row>
    <row r="7752" spans="1:17" hidden="1">
      <c r="A7752" t="s">
        <v>7857</v>
      </c>
      <c r="B7752" s="1">
        <v>45952</v>
      </c>
      <c r="C7752">
        <v>2025</v>
      </c>
      <c r="D7752">
        <v>10</v>
      </c>
      <c r="E7752" t="s">
        <v>13</v>
      </c>
      <c r="F7752" t="s">
        <v>24</v>
      </c>
      <c r="G7752" t="s">
        <v>108</v>
      </c>
      <c r="H7752" t="s">
        <v>109</v>
      </c>
      <c r="I7752">
        <v>2614.16</v>
      </c>
      <c r="J7752">
        <v>2696.35</v>
      </c>
      <c r="K7752" t="s">
        <v>17</v>
      </c>
      <c r="L7752" t="b">
        <v>0</v>
      </c>
      <c r="N7752" s="2" t="str">
        <f t="shared" si="697"/>
        <v/>
      </c>
      <c r="Q7752" t="str">
        <f t="shared" si="696"/>
        <v/>
      </c>
    </row>
    <row r="7753" spans="1:17" hidden="1">
      <c r="A7753" t="s">
        <v>7858</v>
      </c>
      <c r="B7753" s="1">
        <v>45952</v>
      </c>
      <c r="C7753">
        <v>2025</v>
      </c>
      <c r="D7753">
        <v>10</v>
      </c>
      <c r="E7753" t="s">
        <v>47</v>
      </c>
      <c r="F7753" t="s">
        <v>14</v>
      </c>
      <c r="G7753" t="s">
        <v>51</v>
      </c>
      <c r="H7753" t="s">
        <v>72</v>
      </c>
      <c r="I7753">
        <v>24582.79</v>
      </c>
      <c r="J7753">
        <v>20242.87</v>
      </c>
      <c r="K7753" t="s">
        <v>17</v>
      </c>
      <c r="L7753" t="b">
        <v>0</v>
      </c>
      <c r="N7753" s="2" t="b">
        <f t="shared" si="697"/>
        <v>1</v>
      </c>
      <c r="O7753" t="str">
        <f t="shared" ref="O7753:O7754" si="698">IF(AND(E7742="HR",K7742="EXPENSE"),I7742&lt;J7742,"")</f>
        <v/>
      </c>
      <c r="Q7753" t="str">
        <f t="shared" si="696"/>
        <v/>
      </c>
    </row>
    <row r="7754" spans="1:17" hidden="1">
      <c r="A7754" t="s">
        <v>7859</v>
      </c>
      <c r="B7754" s="1">
        <v>45952</v>
      </c>
      <c r="C7754">
        <v>2025</v>
      </c>
      <c r="D7754">
        <v>10</v>
      </c>
      <c r="E7754" t="s">
        <v>47</v>
      </c>
      <c r="F7754" t="s">
        <v>24</v>
      </c>
      <c r="G7754" t="s">
        <v>91</v>
      </c>
      <c r="H7754" t="s">
        <v>254</v>
      </c>
      <c r="I7754">
        <v>7981.24</v>
      </c>
      <c r="J7754">
        <v>6605.73</v>
      </c>
      <c r="K7754" t="s">
        <v>17</v>
      </c>
      <c r="L7754" t="b">
        <v>0</v>
      </c>
      <c r="N7754" s="2" t="b">
        <f t="shared" si="697"/>
        <v>1</v>
      </c>
      <c r="O7754" t="b">
        <f t="shared" si="698"/>
        <v>0</v>
      </c>
      <c r="Q7754" t="str">
        <f t="shared" si="696"/>
        <v/>
      </c>
    </row>
    <row r="7755" spans="1:17" hidden="1">
      <c r="A7755" t="s">
        <v>7860</v>
      </c>
      <c r="B7755" s="1">
        <v>45952</v>
      </c>
      <c r="C7755">
        <v>2025</v>
      </c>
      <c r="D7755">
        <v>10</v>
      </c>
      <c r="E7755" t="s">
        <v>19</v>
      </c>
      <c r="F7755" t="s">
        <v>28</v>
      </c>
      <c r="G7755" t="s">
        <v>20</v>
      </c>
      <c r="H7755" t="s">
        <v>136</v>
      </c>
      <c r="I7755">
        <v>6753.52</v>
      </c>
      <c r="J7755">
        <v>7149.1</v>
      </c>
      <c r="K7755" t="s">
        <v>17</v>
      </c>
      <c r="L7755" t="b">
        <v>0</v>
      </c>
      <c r="N7755" s="2" t="str">
        <f t="shared" si="697"/>
        <v/>
      </c>
      <c r="Q7755" t="str">
        <f t="shared" si="696"/>
        <v/>
      </c>
    </row>
    <row r="7756" spans="1:17" hidden="1">
      <c r="A7756" t="s">
        <v>7861</v>
      </c>
      <c r="B7756" s="1">
        <v>45952</v>
      </c>
      <c r="C7756">
        <v>2025</v>
      </c>
      <c r="D7756">
        <v>10</v>
      </c>
      <c r="E7756" t="s">
        <v>19</v>
      </c>
      <c r="F7756" t="s">
        <v>24</v>
      </c>
      <c r="G7756" t="s">
        <v>54</v>
      </c>
      <c r="H7756" t="s">
        <v>163</v>
      </c>
      <c r="I7756">
        <v>8262.89</v>
      </c>
      <c r="J7756">
        <v>8067.24</v>
      </c>
      <c r="K7756" t="s">
        <v>17</v>
      </c>
      <c r="L7756" t="b">
        <v>0</v>
      </c>
      <c r="N7756" s="2" t="str">
        <f t="shared" si="697"/>
        <v/>
      </c>
      <c r="Q7756" t="str">
        <f t="shared" si="696"/>
        <v/>
      </c>
    </row>
    <row r="7757" spans="1:17" hidden="1">
      <c r="A7757" t="s">
        <v>7862</v>
      </c>
      <c r="B7757" s="1">
        <v>45952</v>
      </c>
      <c r="C7757">
        <v>2025</v>
      </c>
      <c r="D7757">
        <v>10</v>
      </c>
      <c r="E7757" t="s">
        <v>19</v>
      </c>
      <c r="F7757" t="s">
        <v>24</v>
      </c>
      <c r="G7757" t="s">
        <v>132</v>
      </c>
      <c r="H7757" t="s">
        <v>171</v>
      </c>
      <c r="I7757">
        <v>5234.9799999999996</v>
      </c>
      <c r="J7757">
        <v>4988.25</v>
      </c>
      <c r="K7757" t="s">
        <v>17</v>
      </c>
      <c r="L7757" t="b">
        <v>0</v>
      </c>
      <c r="N7757" s="2" t="str">
        <f t="shared" si="697"/>
        <v/>
      </c>
      <c r="Q7757" t="str">
        <f t="shared" si="696"/>
        <v/>
      </c>
    </row>
    <row r="7758" spans="1:17" hidden="1">
      <c r="A7758" t="s">
        <v>7863</v>
      </c>
      <c r="B7758" s="1">
        <v>45952</v>
      </c>
      <c r="C7758">
        <v>2025</v>
      </c>
      <c r="D7758">
        <v>10</v>
      </c>
      <c r="E7758" t="s">
        <v>23</v>
      </c>
      <c r="F7758" t="s">
        <v>28</v>
      </c>
      <c r="G7758" t="s">
        <v>141</v>
      </c>
      <c r="H7758" t="s">
        <v>209</v>
      </c>
      <c r="I7758">
        <v>6568.57</v>
      </c>
      <c r="J7758">
        <v>5933.42</v>
      </c>
      <c r="K7758" t="s">
        <v>17</v>
      </c>
      <c r="L7758" t="b">
        <v>0</v>
      </c>
      <c r="N7758" s="2" t="str">
        <f t="shared" si="697"/>
        <v/>
      </c>
      <c r="Q7758" t="str">
        <f t="shared" si="696"/>
        <v/>
      </c>
    </row>
    <row r="7759" spans="1:17" hidden="1">
      <c r="A7759" t="s">
        <v>7864</v>
      </c>
      <c r="B7759" s="1">
        <v>45952</v>
      </c>
      <c r="C7759">
        <v>2025</v>
      </c>
      <c r="D7759">
        <v>10</v>
      </c>
      <c r="E7759" t="s">
        <v>23</v>
      </c>
      <c r="F7759" t="s">
        <v>28</v>
      </c>
      <c r="G7759" t="s">
        <v>30</v>
      </c>
      <c r="H7759" t="s">
        <v>31</v>
      </c>
      <c r="I7759">
        <v>5958.12</v>
      </c>
      <c r="J7759">
        <v>5958.92</v>
      </c>
      <c r="K7759" t="s">
        <v>17</v>
      </c>
      <c r="L7759" t="b">
        <v>0</v>
      </c>
      <c r="N7759" s="2" t="str">
        <f t="shared" si="697"/>
        <v/>
      </c>
      <c r="Q7759" t="str">
        <f t="shared" si="696"/>
        <v/>
      </c>
    </row>
    <row r="7760" spans="1:17" hidden="1">
      <c r="A7760" t="s">
        <v>7865</v>
      </c>
      <c r="B7760" s="1">
        <v>45953</v>
      </c>
      <c r="C7760">
        <v>2025</v>
      </c>
      <c r="D7760">
        <v>10</v>
      </c>
      <c r="E7760" t="s">
        <v>13</v>
      </c>
      <c r="F7760" t="s">
        <v>24</v>
      </c>
      <c r="G7760" t="s">
        <v>68</v>
      </c>
      <c r="H7760" t="s">
        <v>87</v>
      </c>
      <c r="I7760">
        <v>2910.05</v>
      </c>
      <c r="J7760">
        <v>2787.65</v>
      </c>
      <c r="K7760" t="s">
        <v>17</v>
      </c>
      <c r="L7760" t="b">
        <v>0</v>
      </c>
      <c r="N7760" s="2" t="str">
        <f t="shared" si="697"/>
        <v/>
      </c>
      <c r="Q7760" t="str">
        <f t="shared" si="696"/>
        <v/>
      </c>
    </row>
    <row r="7761" spans="1:17" hidden="1">
      <c r="A7761" t="s">
        <v>7866</v>
      </c>
      <c r="B7761" s="1">
        <v>45953</v>
      </c>
      <c r="C7761">
        <v>2025</v>
      </c>
      <c r="D7761">
        <v>10</v>
      </c>
      <c r="E7761" t="s">
        <v>47</v>
      </c>
      <c r="F7761" t="s">
        <v>28</v>
      </c>
      <c r="G7761" t="s">
        <v>51</v>
      </c>
      <c r="H7761" t="s">
        <v>189</v>
      </c>
      <c r="I7761">
        <v>12219.66</v>
      </c>
      <c r="J7761">
        <v>10187.44</v>
      </c>
      <c r="K7761" t="s">
        <v>17</v>
      </c>
      <c r="L7761" t="b">
        <v>0</v>
      </c>
      <c r="N7761" s="2" t="b">
        <f t="shared" si="697"/>
        <v>1</v>
      </c>
      <c r="O7761" t="str">
        <f t="shared" ref="O7761:O7762" si="699">IF(AND(E7750="HR",K7750="EXPENSE"),I7750&lt;J7750,"")</f>
        <v/>
      </c>
      <c r="Q7761" t="str">
        <f t="shared" si="696"/>
        <v/>
      </c>
    </row>
    <row r="7762" spans="1:17" hidden="1">
      <c r="A7762" t="s">
        <v>7867</v>
      </c>
      <c r="B7762" s="1">
        <v>45953</v>
      </c>
      <c r="C7762">
        <v>2025</v>
      </c>
      <c r="D7762">
        <v>10</v>
      </c>
      <c r="E7762" t="s">
        <v>47</v>
      </c>
      <c r="F7762" t="s">
        <v>28</v>
      </c>
      <c r="G7762" t="s">
        <v>91</v>
      </c>
      <c r="H7762" t="s">
        <v>128</v>
      </c>
      <c r="I7762">
        <v>14087.49</v>
      </c>
      <c r="J7762">
        <v>11625.6</v>
      </c>
      <c r="K7762" t="s">
        <v>17</v>
      </c>
      <c r="L7762" t="b">
        <v>0</v>
      </c>
      <c r="N7762" s="2" t="b">
        <f t="shared" si="697"/>
        <v>1</v>
      </c>
      <c r="O7762" t="b">
        <f t="shared" si="699"/>
        <v>1</v>
      </c>
      <c r="Q7762" t="str">
        <f t="shared" si="696"/>
        <v/>
      </c>
    </row>
    <row r="7763" spans="1:17" hidden="1">
      <c r="A7763" t="s">
        <v>7868</v>
      </c>
      <c r="B7763" s="1">
        <v>45953</v>
      </c>
      <c r="C7763">
        <v>2025</v>
      </c>
      <c r="D7763">
        <v>10</v>
      </c>
      <c r="E7763" t="s">
        <v>23</v>
      </c>
      <c r="F7763" t="s">
        <v>14</v>
      </c>
      <c r="G7763" t="s">
        <v>25</v>
      </c>
      <c r="H7763" t="s">
        <v>35</v>
      </c>
      <c r="I7763">
        <v>8007.87</v>
      </c>
      <c r="J7763">
        <v>7710.41</v>
      </c>
      <c r="K7763" t="s">
        <v>17</v>
      </c>
      <c r="L7763" t="b">
        <v>0</v>
      </c>
      <c r="N7763" s="2" t="str">
        <f t="shared" si="697"/>
        <v/>
      </c>
      <c r="Q7763" t="str">
        <f t="shared" si="696"/>
        <v/>
      </c>
    </row>
    <row r="7764" spans="1:17" hidden="1">
      <c r="A7764" t="s">
        <v>7869</v>
      </c>
      <c r="B7764" s="1">
        <v>45953</v>
      </c>
      <c r="C7764">
        <v>2025</v>
      </c>
      <c r="D7764">
        <v>10</v>
      </c>
      <c r="E7764" t="s">
        <v>37</v>
      </c>
      <c r="F7764" t="s">
        <v>14</v>
      </c>
      <c r="G7764" t="s">
        <v>38</v>
      </c>
      <c r="H7764" t="s">
        <v>118</v>
      </c>
      <c r="I7764">
        <v>6082.45</v>
      </c>
      <c r="J7764">
        <v>6412.13</v>
      </c>
      <c r="K7764" t="s">
        <v>17</v>
      </c>
      <c r="L7764" t="b">
        <v>0</v>
      </c>
      <c r="N7764" s="2" t="str">
        <f t="shared" si="697"/>
        <v/>
      </c>
      <c r="Q7764" t="str">
        <f t="shared" si="696"/>
        <v/>
      </c>
    </row>
    <row r="7765" spans="1:17" hidden="1">
      <c r="A7765" t="s">
        <v>7870</v>
      </c>
      <c r="B7765" s="1">
        <v>45953</v>
      </c>
      <c r="C7765">
        <v>2025</v>
      </c>
      <c r="D7765">
        <v>10</v>
      </c>
      <c r="E7765" t="s">
        <v>37</v>
      </c>
      <c r="F7765" t="s">
        <v>14</v>
      </c>
      <c r="G7765" t="s">
        <v>98</v>
      </c>
      <c r="H7765" t="s">
        <v>185</v>
      </c>
      <c r="I7765">
        <v>4853.76</v>
      </c>
      <c r="J7765">
        <v>4613.47</v>
      </c>
      <c r="K7765" t="s">
        <v>17</v>
      </c>
      <c r="L7765" t="b">
        <v>0</v>
      </c>
      <c r="N7765" s="2" t="str">
        <f t="shared" si="697"/>
        <v/>
      </c>
      <c r="Q7765" t="str">
        <f t="shared" si="696"/>
        <v/>
      </c>
    </row>
    <row r="7766" spans="1:17" hidden="1">
      <c r="A7766" t="s">
        <v>7871</v>
      </c>
      <c r="B7766" s="1">
        <v>45953</v>
      </c>
      <c r="C7766">
        <v>2025</v>
      </c>
      <c r="D7766">
        <v>10</v>
      </c>
      <c r="E7766" t="s">
        <v>37</v>
      </c>
      <c r="F7766" t="s">
        <v>24</v>
      </c>
      <c r="G7766" t="s">
        <v>83</v>
      </c>
      <c r="H7766" t="s">
        <v>84</v>
      </c>
      <c r="I7766">
        <v>170664.11</v>
      </c>
      <c r="J7766">
        <v>162130.9</v>
      </c>
      <c r="K7766" t="s">
        <v>85</v>
      </c>
      <c r="L7766" t="b">
        <v>0</v>
      </c>
      <c r="N7766" s="2" t="str">
        <f t="shared" si="697"/>
        <v/>
      </c>
      <c r="Q7766" t="str">
        <f t="shared" si="696"/>
        <v/>
      </c>
    </row>
    <row r="7767" spans="1:17" hidden="1">
      <c r="A7767" t="s">
        <v>7872</v>
      </c>
      <c r="B7767" s="1">
        <v>45954</v>
      </c>
      <c r="C7767">
        <v>2025</v>
      </c>
      <c r="D7767">
        <v>10</v>
      </c>
      <c r="E7767" t="s">
        <v>13</v>
      </c>
      <c r="F7767" t="s">
        <v>14</v>
      </c>
      <c r="G7767" t="s">
        <v>108</v>
      </c>
      <c r="H7767" t="s">
        <v>126</v>
      </c>
      <c r="I7767">
        <v>2955.21</v>
      </c>
      <c r="J7767">
        <v>2866.02</v>
      </c>
      <c r="K7767" t="s">
        <v>17</v>
      </c>
      <c r="L7767" t="b">
        <v>0</v>
      </c>
      <c r="N7767" s="2" t="str">
        <f t="shared" si="697"/>
        <v/>
      </c>
      <c r="Q7767" t="str">
        <f t="shared" si="696"/>
        <v/>
      </c>
    </row>
    <row r="7768" spans="1:17" hidden="1">
      <c r="A7768" t="s">
        <v>7873</v>
      </c>
      <c r="B7768" s="1">
        <v>45954</v>
      </c>
      <c r="C7768">
        <v>2025</v>
      </c>
      <c r="D7768">
        <v>10</v>
      </c>
      <c r="E7768" t="s">
        <v>13</v>
      </c>
      <c r="F7768" t="s">
        <v>14</v>
      </c>
      <c r="G7768" t="s">
        <v>108</v>
      </c>
      <c r="H7768" t="s">
        <v>126</v>
      </c>
      <c r="I7768">
        <v>5493.79</v>
      </c>
      <c r="J7768">
        <v>5495.27</v>
      </c>
      <c r="K7768" t="s">
        <v>17</v>
      </c>
      <c r="L7768" t="b">
        <v>0</v>
      </c>
      <c r="N7768" s="2" t="str">
        <f t="shared" si="697"/>
        <v/>
      </c>
      <c r="Q7768" t="str">
        <f t="shared" si="696"/>
        <v/>
      </c>
    </row>
    <row r="7769" spans="1:17" hidden="1">
      <c r="A7769" t="s">
        <v>7874</v>
      </c>
      <c r="B7769" s="1">
        <v>45954</v>
      </c>
      <c r="C7769">
        <v>2025</v>
      </c>
      <c r="D7769">
        <v>10</v>
      </c>
      <c r="E7769" t="s">
        <v>13</v>
      </c>
      <c r="F7769" t="s">
        <v>24</v>
      </c>
      <c r="G7769" t="s">
        <v>102</v>
      </c>
      <c r="H7769" t="s">
        <v>278</v>
      </c>
      <c r="I7769">
        <v>4063.04</v>
      </c>
      <c r="J7769">
        <v>4267.49</v>
      </c>
      <c r="K7769" t="s">
        <v>17</v>
      </c>
      <c r="L7769" t="b">
        <v>0</v>
      </c>
      <c r="N7769" s="2" t="str">
        <f t="shared" si="697"/>
        <v/>
      </c>
      <c r="Q7769" t="str">
        <f t="shared" si="696"/>
        <v/>
      </c>
    </row>
    <row r="7770" spans="1:17" hidden="1">
      <c r="A7770" t="s">
        <v>7875</v>
      </c>
      <c r="B7770" s="1">
        <v>45954</v>
      </c>
      <c r="C7770">
        <v>2025</v>
      </c>
      <c r="D7770">
        <v>10</v>
      </c>
      <c r="E7770" t="s">
        <v>47</v>
      </c>
      <c r="F7770" t="s">
        <v>28</v>
      </c>
      <c r="G7770" t="s">
        <v>51</v>
      </c>
      <c r="H7770" t="s">
        <v>189</v>
      </c>
      <c r="I7770">
        <v>7719.81</v>
      </c>
      <c r="J7770">
        <v>6456.61</v>
      </c>
      <c r="K7770" t="s">
        <v>17</v>
      </c>
      <c r="L7770" t="b">
        <v>0</v>
      </c>
      <c r="N7770" s="2" t="b">
        <f t="shared" si="697"/>
        <v>1</v>
      </c>
      <c r="O7770" t="str">
        <f>IF(AND(E7759="HR",K7759="EXPENSE"),I7759&lt;J7759,"")</f>
        <v/>
      </c>
      <c r="Q7770" t="str">
        <f t="shared" si="696"/>
        <v/>
      </c>
    </row>
    <row r="7771" spans="1:17" hidden="1">
      <c r="A7771" t="s">
        <v>7876</v>
      </c>
      <c r="B7771" s="1">
        <v>45954</v>
      </c>
      <c r="C7771">
        <v>2025</v>
      </c>
      <c r="D7771">
        <v>10</v>
      </c>
      <c r="E7771" t="s">
        <v>19</v>
      </c>
      <c r="F7771" t="s">
        <v>14</v>
      </c>
      <c r="G7771" t="s">
        <v>54</v>
      </c>
      <c r="H7771" t="s">
        <v>163</v>
      </c>
      <c r="I7771">
        <v>8179.27</v>
      </c>
      <c r="J7771">
        <v>8411.66</v>
      </c>
      <c r="K7771" t="s">
        <v>17</v>
      </c>
      <c r="L7771" t="b">
        <v>0</v>
      </c>
      <c r="N7771" s="2" t="str">
        <f t="shared" si="697"/>
        <v/>
      </c>
      <c r="Q7771" t="str">
        <f t="shared" si="696"/>
        <v/>
      </c>
    </row>
    <row r="7772" spans="1:17" hidden="1">
      <c r="A7772" t="s">
        <v>7877</v>
      </c>
      <c r="B7772" s="1">
        <v>45954</v>
      </c>
      <c r="C7772">
        <v>2025</v>
      </c>
      <c r="D7772">
        <v>10</v>
      </c>
      <c r="E7772" t="s">
        <v>37</v>
      </c>
      <c r="F7772" t="s">
        <v>24</v>
      </c>
      <c r="G7772" t="s">
        <v>98</v>
      </c>
      <c r="H7772" t="s">
        <v>99</v>
      </c>
      <c r="I7772">
        <v>4450.5600000000004</v>
      </c>
      <c r="J7772">
        <v>4708.71</v>
      </c>
      <c r="K7772" t="s">
        <v>17</v>
      </c>
      <c r="L7772" t="b">
        <v>0</v>
      </c>
      <c r="N7772" s="2" t="str">
        <f t="shared" si="697"/>
        <v/>
      </c>
      <c r="Q7772" t="str">
        <f t="shared" si="696"/>
        <v/>
      </c>
    </row>
    <row r="7773" spans="1:17" hidden="1">
      <c r="A7773" t="s">
        <v>7878</v>
      </c>
      <c r="B7773" s="1">
        <v>45955</v>
      </c>
      <c r="C7773">
        <v>2025</v>
      </c>
      <c r="D7773">
        <v>10</v>
      </c>
      <c r="E7773" t="s">
        <v>13</v>
      </c>
      <c r="F7773" t="s">
        <v>24</v>
      </c>
      <c r="G7773" t="s">
        <v>68</v>
      </c>
      <c r="H7773" t="s">
        <v>213</v>
      </c>
      <c r="I7773">
        <v>3147.17</v>
      </c>
      <c r="J7773">
        <v>3280.96</v>
      </c>
      <c r="K7773" t="s">
        <v>17</v>
      </c>
      <c r="L7773" t="b">
        <v>0</v>
      </c>
      <c r="N7773" s="2" t="str">
        <f t="shared" si="697"/>
        <v/>
      </c>
      <c r="Q7773" t="str">
        <f t="shared" si="696"/>
        <v/>
      </c>
    </row>
    <row r="7774" spans="1:17" hidden="1">
      <c r="A7774" t="s">
        <v>7879</v>
      </c>
      <c r="B7774" s="1">
        <v>45955</v>
      </c>
      <c r="C7774">
        <v>2025</v>
      </c>
      <c r="D7774">
        <v>10</v>
      </c>
      <c r="E7774" t="s">
        <v>47</v>
      </c>
      <c r="F7774" t="s">
        <v>14</v>
      </c>
      <c r="G7774" t="s">
        <v>77</v>
      </c>
      <c r="H7774" t="s">
        <v>147</v>
      </c>
      <c r="I7774">
        <v>15484.13</v>
      </c>
      <c r="J7774">
        <v>13212.18</v>
      </c>
      <c r="K7774" t="s">
        <v>17</v>
      </c>
      <c r="L7774" t="b">
        <v>0</v>
      </c>
      <c r="N7774" s="2" t="b">
        <f t="shared" si="697"/>
        <v>1</v>
      </c>
      <c r="O7774" t="str">
        <f t="shared" ref="O7774:O7779" si="700">IF(AND(E7763="HR",K7763="EXPENSE"),I7763&lt;J7763,"")</f>
        <v/>
      </c>
      <c r="Q7774" t="str">
        <f t="shared" si="696"/>
        <v/>
      </c>
    </row>
    <row r="7775" spans="1:17" hidden="1">
      <c r="A7775" t="s">
        <v>7880</v>
      </c>
      <c r="B7775" s="1">
        <v>45955</v>
      </c>
      <c r="C7775">
        <v>2025</v>
      </c>
      <c r="D7775">
        <v>10</v>
      </c>
      <c r="E7775" t="s">
        <v>47</v>
      </c>
      <c r="F7775" t="s">
        <v>28</v>
      </c>
      <c r="G7775" t="s">
        <v>77</v>
      </c>
      <c r="H7775" t="s">
        <v>78</v>
      </c>
      <c r="I7775">
        <v>11667.5</v>
      </c>
      <c r="J7775">
        <v>9674.9500000000007</v>
      </c>
      <c r="K7775" t="s">
        <v>17</v>
      </c>
      <c r="L7775" t="b">
        <v>0</v>
      </c>
      <c r="N7775" s="2" t="b">
        <f t="shared" si="697"/>
        <v>1</v>
      </c>
      <c r="O7775" t="str">
        <f t="shared" si="700"/>
        <v/>
      </c>
      <c r="Q7775" t="str">
        <f t="shared" si="696"/>
        <v/>
      </c>
    </row>
    <row r="7776" spans="1:17" hidden="1">
      <c r="A7776" t="s">
        <v>7881</v>
      </c>
      <c r="B7776" s="1">
        <v>45955</v>
      </c>
      <c r="C7776">
        <v>2025</v>
      </c>
      <c r="D7776">
        <v>10</v>
      </c>
      <c r="E7776" t="s">
        <v>47</v>
      </c>
      <c r="F7776" t="s">
        <v>28</v>
      </c>
      <c r="G7776" t="s">
        <v>91</v>
      </c>
      <c r="H7776" t="s">
        <v>92</v>
      </c>
      <c r="I7776">
        <v>8298.5400000000009</v>
      </c>
      <c r="J7776">
        <v>7144.27</v>
      </c>
      <c r="K7776" t="s">
        <v>17</v>
      </c>
      <c r="L7776" t="b">
        <v>0</v>
      </c>
      <c r="N7776" s="2" t="b">
        <f t="shared" si="697"/>
        <v>1</v>
      </c>
      <c r="O7776" t="str">
        <f t="shared" si="700"/>
        <v/>
      </c>
      <c r="Q7776" t="str">
        <f t="shared" si="696"/>
        <v/>
      </c>
    </row>
    <row r="7777" spans="1:17" hidden="1">
      <c r="A7777" t="s">
        <v>7882</v>
      </c>
      <c r="B7777" s="1">
        <v>45955</v>
      </c>
      <c r="C7777">
        <v>2025</v>
      </c>
      <c r="D7777">
        <v>10</v>
      </c>
      <c r="E7777" t="s">
        <v>47</v>
      </c>
      <c r="F7777" t="s">
        <v>28</v>
      </c>
      <c r="G7777" t="s">
        <v>91</v>
      </c>
      <c r="H7777" t="s">
        <v>254</v>
      </c>
      <c r="I7777">
        <v>10640.19</v>
      </c>
      <c r="J7777">
        <v>9118.4500000000007</v>
      </c>
      <c r="K7777" t="s">
        <v>17</v>
      </c>
      <c r="L7777" t="b">
        <v>0</v>
      </c>
      <c r="N7777" s="2" t="b">
        <f t="shared" si="697"/>
        <v>1</v>
      </c>
      <c r="O7777" t="str">
        <f t="shared" si="700"/>
        <v/>
      </c>
      <c r="Q7777" t="str">
        <f t="shared" si="696"/>
        <v/>
      </c>
    </row>
    <row r="7778" spans="1:17" hidden="1">
      <c r="A7778" t="s">
        <v>7883</v>
      </c>
      <c r="B7778" s="1">
        <v>45955</v>
      </c>
      <c r="C7778">
        <v>2025</v>
      </c>
      <c r="D7778">
        <v>10</v>
      </c>
      <c r="E7778" t="s">
        <v>47</v>
      </c>
      <c r="F7778" t="s">
        <v>28</v>
      </c>
      <c r="G7778" t="s">
        <v>48</v>
      </c>
      <c r="H7778" t="s">
        <v>49</v>
      </c>
      <c r="I7778">
        <v>13325.36</v>
      </c>
      <c r="J7778">
        <v>10981.8</v>
      </c>
      <c r="K7778" t="s">
        <v>17</v>
      </c>
      <c r="L7778" t="b">
        <v>0</v>
      </c>
      <c r="N7778" s="2" t="b">
        <f t="shared" si="697"/>
        <v>1</v>
      </c>
      <c r="O7778" t="b">
        <f t="shared" si="700"/>
        <v>0</v>
      </c>
      <c r="Q7778" t="str">
        <f t="shared" si="696"/>
        <v/>
      </c>
    </row>
    <row r="7779" spans="1:17" hidden="1">
      <c r="A7779" t="s">
        <v>7884</v>
      </c>
      <c r="B7779" s="1">
        <v>45955</v>
      </c>
      <c r="C7779">
        <v>2025</v>
      </c>
      <c r="D7779">
        <v>10</v>
      </c>
      <c r="E7779" t="s">
        <v>47</v>
      </c>
      <c r="F7779" t="s">
        <v>24</v>
      </c>
      <c r="G7779" t="s">
        <v>48</v>
      </c>
      <c r="H7779" t="s">
        <v>189</v>
      </c>
      <c r="I7779">
        <v>12009.29</v>
      </c>
      <c r="J7779">
        <v>10393.58</v>
      </c>
      <c r="K7779" t="s">
        <v>17</v>
      </c>
      <c r="L7779" t="b">
        <v>0</v>
      </c>
      <c r="N7779" s="2" t="b">
        <f t="shared" si="697"/>
        <v>1</v>
      </c>
      <c r="O7779" t="b">
        <f t="shared" si="700"/>
        <v>1</v>
      </c>
      <c r="Q7779" t="str">
        <f t="shared" si="696"/>
        <v/>
      </c>
    </row>
    <row r="7780" spans="1:17" hidden="1">
      <c r="A7780" t="s">
        <v>7885</v>
      </c>
      <c r="B7780" s="1">
        <v>45955</v>
      </c>
      <c r="C7780">
        <v>2025</v>
      </c>
      <c r="D7780">
        <v>10</v>
      </c>
      <c r="E7780" t="s">
        <v>19</v>
      </c>
      <c r="F7780" t="s">
        <v>14</v>
      </c>
      <c r="G7780" t="s">
        <v>54</v>
      </c>
      <c r="H7780" t="s">
        <v>163</v>
      </c>
      <c r="I7780">
        <v>8428.09</v>
      </c>
      <c r="J7780">
        <v>7980.25</v>
      </c>
      <c r="K7780" t="s">
        <v>17</v>
      </c>
      <c r="L7780" t="b">
        <v>0</v>
      </c>
      <c r="N7780" s="2" t="str">
        <f t="shared" si="697"/>
        <v/>
      </c>
      <c r="Q7780" t="str">
        <f t="shared" si="696"/>
        <v/>
      </c>
    </row>
    <row r="7781" spans="1:17" hidden="1">
      <c r="A7781" t="s">
        <v>7886</v>
      </c>
      <c r="B7781" s="1">
        <v>45955</v>
      </c>
      <c r="C7781">
        <v>2025</v>
      </c>
      <c r="D7781">
        <v>10</v>
      </c>
      <c r="E7781" t="s">
        <v>19</v>
      </c>
      <c r="F7781" t="s">
        <v>28</v>
      </c>
      <c r="G7781" t="s">
        <v>54</v>
      </c>
      <c r="H7781" t="s">
        <v>163</v>
      </c>
      <c r="I7781">
        <v>6400.45</v>
      </c>
      <c r="J7781">
        <v>6059.32</v>
      </c>
      <c r="K7781" t="s">
        <v>17</v>
      </c>
      <c r="L7781" t="b">
        <v>0</v>
      </c>
      <c r="N7781" s="2" t="str">
        <f t="shared" si="697"/>
        <v/>
      </c>
      <c r="Q7781" t="str">
        <f t="shared" si="696"/>
        <v/>
      </c>
    </row>
    <row r="7782" spans="1:17" hidden="1">
      <c r="A7782" t="s">
        <v>7887</v>
      </c>
      <c r="B7782" s="1">
        <v>45955</v>
      </c>
      <c r="C7782">
        <v>2025</v>
      </c>
      <c r="D7782">
        <v>10</v>
      </c>
      <c r="E7782" t="s">
        <v>23</v>
      </c>
      <c r="F7782" t="s">
        <v>14</v>
      </c>
      <c r="G7782" t="s">
        <v>141</v>
      </c>
      <c r="H7782" t="s">
        <v>142</v>
      </c>
      <c r="I7782">
        <v>5230.47</v>
      </c>
      <c r="J7782">
        <v>5716.63</v>
      </c>
      <c r="K7782" t="s">
        <v>17</v>
      </c>
      <c r="L7782" t="b">
        <v>0</v>
      </c>
      <c r="N7782" s="2" t="str">
        <f t="shared" si="697"/>
        <v/>
      </c>
      <c r="Q7782" t="str">
        <f t="shared" si="696"/>
        <v/>
      </c>
    </row>
    <row r="7783" spans="1:17" hidden="1">
      <c r="A7783" t="s">
        <v>7888</v>
      </c>
      <c r="B7783" s="1">
        <v>45955</v>
      </c>
      <c r="C7783">
        <v>2025</v>
      </c>
      <c r="D7783">
        <v>10</v>
      </c>
      <c r="E7783" t="s">
        <v>23</v>
      </c>
      <c r="F7783" t="s">
        <v>28</v>
      </c>
      <c r="G7783" t="s">
        <v>30</v>
      </c>
      <c r="H7783" t="s">
        <v>33</v>
      </c>
      <c r="I7783">
        <v>5420.27</v>
      </c>
      <c r="J7783">
        <v>5607.59</v>
      </c>
      <c r="K7783" t="s">
        <v>17</v>
      </c>
      <c r="L7783" t="b">
        <v>0</v>
      </c>
      <c r="N7783" s="2" t="str">
        <f t="shared" si="697"/>
        <v/>
      </c>
      <c r="Q7783" t="str">
        <f t="shared" si="696"/>
        <v/>
      </c>
    </row>
    <row r="7784" spans="1:17" hidden="1">
      <c r="A7784" t="s">
        <v>7889</v>
      </c>
      <c r="B7784" s="1">
        <v>45955</v>
      </c>
      <c r="C7784">
        <v>2025</v>
      </c>
      <c r="D7784">
        <v>10</v>
      </c>
      <c r="E7784" t="s">
        <v>23</v>
      </c>
      <c r="F7784" t="s">
        <v>24</v>
      </c>
      <c r="G7784" t="s">
        <v>30</v>
      </c>
      <c r="H7784" t="s">
        <v>106</v>
      </c>
      <c r="I7784">
        <v>5640.93</v>
      </c>
      <c r="J7784">
        <v>5526.03</v>
      </c>
      <c r="K7784" t="s">
        <v>17</v>
      </c>
      <c r="L7784" t="b">
        <v>0</v>
      </c>
      <c r="N7784" s="2" t="str">
        <f t="shared" si="697"/>
        <v/>
      </c>
      <c r="Q7784" t="str">
        <f t="shared" si="696"/>
        <v/>
      </c>
    </row>
    <row r="7785" spans="1:17" hidden="1">
      <c r="A7785" t="s">
        <v>7890</v>
      </c>
      <c r="B7785" s="1">
        <v>45956</v>
      </c>
      <c r="C7785">
        <v>2025</v>
      </c>
      <c r="D7785">
        <v>10</v>
      </c>
      <c r="E7785" t="s">
        <v>13</v>
      </c>
      <c r="F7785" t="s">
        <v>24</v>
      </c>
      <c r="G7785" t="s">
        <v>15</v>
      </c>
      <c r="H7785" t="s">
        <v>45</v>
      </c>
      <c r="I7785">
        <v>3135.38</v>
      </c>
      <c r="J7785">
        <v>3186.8</v>
      </c>
      <c r="K7785" t="s">
        <v>17</v>
      </c>
      <c r="L7785" t="b">
        <v>0</v>
      </c>
      <c r="N7785" s="2" t="str">
        <f t="shared" si="697"/>
        <v/>
      </c>
      <c r="Q7785" t="str">
        <f t="shared" si="696"/>
        <v/>
      </c>
    </row>
    <row r="7786" spans="1:17" hidden="1">
      <c r="A7786" t="s">
        <v>7891</v>
      </c>
      <c r="B7786" s="1">
        <v>45956</v>
      </c>
      <c r="C7786">
        <v>2025</v>
      </c>
      <c r="D7786">
        <v>10</v>
      </c>
      <c r="E7786" t="s">
        <v>47</v>
      </c>
      <c r="F7786" t="s">
        <v>28</v>
      </c>
      <c r="G7786" t="s">
        <v>77</v>
      </c>
      <c r="H7786" t="s">
        <v>78</v>
      </c>
      <c r="I7786">
        <v>10109.959999999999</v>
      </c>
      <c r="J7786">
        <v>8572.1299999999992</v>
      </c>
      <c r="K7786" t="s">
        <v>17</v>
      </c>
      <c r="L7786" t="b">
        <v>0</v>
      </c>
      <c r="N7786" s="2" t="b">
        <f t="shared" si="697"/>
        <v>1</v>
      </c>
      <c r="O7786" t="str">
        <f t="shared" ref="O7786:O7787" si="701">IF(AND(E7775="HR",K7775="EXPENSE"),I7775&lt;J7775,"")</f>
        <v/>
      </c>
      <c r="Q7786" t="str">
        <f t="shared" si="696"/>
        <v/>
      </c>
    </row>
    <row r="7787" spans="1:17" hidden="1">
      <c r="A7787" t="s">
        <v>7892</v>
      </c>
      <c r="B7787" s="1">
        <v>45956</v>
      </c>
      <c r="C7787">
        <v>2025</v>
      </c>
      <c r="D7787">
        <v>10</v>
      </c>
      <c r="E7787" t="s">
        <v>47</v>
      </c>
      <c r="F7787" t="s">
        <v>24</v>
      </c>
      <c r="G7787" t="s">
        <v>48</v>
      </c>
      <c r="H7787" t="s">
        <v>111</v>
      </c>
      <c r="I7787">
        <v>7693.18</v>
      </c>
      <c r="J7787">
        <v>6507.98</v>
      </c>
      <c r="K7787" t="s">
        <v>17</v>
      </c>
      <c r="L7787" t="b">
        <v>0</v>
      </c>
      <c r="N7787" s="2" t="b">
        <f t="shared" si="697"/>
        <v>1</v>
      </c>
      <c r="O7787" t="str">
        <f t="shared" si="701"/>
        <v/>
      </c>
      <c r="Q7787" t="str">
        <f t="shared" si="696"/>
        <v/>
      </c>
    </row>
    <row r="7788" spans="1:17" hidden="1">
      <c r="A7788" t="s">
        <v>7893</v>
      </c>
      <c r="B7788" s="1">
        <v>45956</v>
      </c>
      <c r="C7788">
        <v>2025</v>
      </c>
      <c r="D7788">
        <v>10</v>
      </c>
      <c r="E7788" t="s">
        <v>19</v>
      </c>
      <c r="F7788" t="s">
        <v>14</v>
      </c>
      <c r="G7788" t="s">
        <v>80</v>
      </c>
      <c r="H7788" t="s">
        <v>217</v>
      </c>
      <c r="I7788">
        <v>6937.16</v>
      </c>
      <c r="J7788">
        <v>6389.77</v>
      </c>
      <c r="K7788" t="s">
        <v>17</v>
      </c>
      <c r="L7788" t="b">
        <v>0</v>
      </c>
      <c r="N7788" s="2" t="str">
        <f t="shared" si="697"/>
        <v/>
      </c>
      <c r="Q7788" t="str">
        <f t="shared" si="696"/>
        <v/>
      </c>
    </row>
    <row r="7789" spans="1:17" hidden="1">
      <c r="A7789" t="s">
        <v>7894</v>
      </c>
      <c r="B7789" s="1">
        <v>45956</v>
      </c>
      <c r="C7789">
        <v>2025</v>
      </c>
      <c r="D7789">
        <v>10</v>
      </c>
      <c r="E7789" t="s">
        <v>23</v>
      </c>
      <c r="F7789" t="s">
        <v>14</v>
      </c>
      <c r="G7789" t="s">
        <v>141</v>
      </c>
      <c r="H7789" t="s">
        <v>153</v>
      </c>
      <c r="I7789">
        <v>6763.52</v>
      </c>
      <c r="J7789">
        <v>6133.55</v>
      </c>
      <c r="K7789" t="s">
        <v>17</v>
      </c>
      <c r="L7789" t="b">
        <v>0</v>
      </c>
      <c r="N7789" s="2" t="str">
        <f t="shared" si="697"/>
        <v/>
      </c>
      <c r="Q7789" t="str">
        <f t="shared" si="696"/>
        <v/>
      </c>
    </row>
    <row r="7790" spans="1:17" hidden="1">
      <c r="A7790" t="s">
        <v>7895</v>
      </c>
      <c r="B7790" s="1">
        <v>45956</v>
      </c>
      <c r="C7790">
        <v>2025</v>
      </c>
      <c r="D7790">
        <v>10</v>
      </c>
      <c r="E7790" t="s">
        <v>23</v>
      </c>
      <c r="F7790" t="s">
        <v>24</v>
      </c>
      <c r="G7790" t="s">
        <v>30</v>
      </c>
      <c r="H7790" t="s">
        <v>33</v>
      </c>
      <c r="I7790">
        <v>6596.64</v>
      </c>
      <c r="J7790">
        <v>6729.3</v>
      </c>
      <c r="K7790" t="s">
        <v>17</v>
      </c>
      <c r="L7790" t="b">
        <v>0</v>
      </c>
      <c r="N7790" s="2" t="str">
        <f t="shared" si="697"/>
        <v/>
      </c>
      <c r="Q7790" t="str">
        <f t="shared" si="696"/>
        <v/>
      </c>
    </row>
    <row r="7791" spans="1:17" hidden="1">
      <c r="A7791" t="s">
        <v>7896</v>
      </c>
      <c r="B7791" s="1">
        <v>45956</v>
      </c>
      <c r="C7791">
        <v>2025</v>
      </c>
      <c r="D7791">
        <v>10</v>
      </c>
      <c r="E7791" t="s">
        <v>23</v>
      </c>
      <c r="F7791" t="s">
        <v>24</v>
      </c>
      <c r="G7791" t="s">
        <v>25</v>
      </c>
      <c r="H7791" t="s">
        <v>35</v>
      </c>
      <c r="I7791">
        <v>3537.17</v>
      </c>
      <c r="J7791">
        <v>3267.7</v>
      </c>
      <c r="K7791" t="s">
        <v>17</v>
      </c>
      <c r="L7791" t="b">
        <v>0</v>
      </c>
      <c r="N7791" s="2" t="str">
        <f t="shared" si="697"/>
        <v/>
      </c>
      <c r="Q7791" t="str">
        <f t="shared" si="696"/>
        <v/>
      </c>
    </row>
    <row r="7792" spans="1:17" hidden="1">
      <c r="A7792" t="s">
        <v>7897</v>
      </c>
      <c r="B7792" s="1">
        <v>45957</v>
      </c>
      <c r="C7792">
        <v>2025</v>
      </c>
      <c r="D7792">
        <v>10</v>
      </c>
      <c r="E7792" t="s">
        <v>13</v>
      </c>
      <c r="F7792" t="s">
        <v>28</v>
      </c>
      <c r="G7792" t="s">
        <v>15</v>
      </c>
      <c r="H7792" t="s">
        <v>89</v>
      </c>
      <c r="I7792">
        <v>5642.14</v>
      </c>
      <c r="J7792">
        <v>5577.29</v>
      </c>
      <c r="K7792" t="s">
        <v>17</v>
      </c>
      <c r="L7792" t="b">
        <v>0</v>
      </c>
      <c r="N7792" s="2" t="str">
        <f t="shared" si="697"/>
        <v/>
      </c>
      <c r="Q7792" t="str">
        <f t="shared" ref="Q7792:Q7855" si="702">IF(L7792=TRUE,OR(H7792="Apex Solutions Inc",H7792="Global Trade Partners",H7792="NovaTech Services"),"")</f>
        <v/>
      </c>
    </row>
    <row r="7793" spans="1:17" hidden="1">
      <c r="A7793" t="s">
        <v>7898</v>
      </c>
      <c r="B7793" s="1">
        <v>45957</v>
      </c>
      <c r="C7793">
        <v>2025</v>
      </c>
      <c r="D7793">
        <v>10</v>
      </c>
      <c r="E7793" t="s">
        <v>13</v>
      </c>
      <c r="F7793" t="s">
        <v>24</v>
      </c>
      <c r="G7793" t="s">
        <v>102</v>
      </c>
      <c r="H7793" t="s">
        <v>278</v>
      </c>
      <c r="I7793">
        <v>2695.08</v>
      </c>
      <c r="J7793">
        <v>2471.12</v>
      </c>
      <c r="K7793" t="s">
        <v>17</v>
      </c>
      <c r="L7793" t="b">
        <v>0</v>
      </c>
      <c r="N7793" s="2" t="str">
        <f t="shared" si="697"/>
        <v/>
      </c>
      <c r="Q7793" t="str">
        <f t="shared" si="702"/>
        <v/>
      </c>
    </row>
    <row r="7794" spans="1:17" hidden="1">
      <c r="A7794" t="s">
        <v>7899</v>
      </c>
      <c r="B7794" s="1">
        <v>45957</v>
      </c>
      <c r="C7794">
        <v>2025</v>
      </c>
      <c r="D7794">
        <v>10</v>
      </c>
      <c r="E7794" t="s">
        <v>13</v>
      </c>
      <c r="F7794" t="s">
        <v>24</v>
      </c>
      <c r="G7794" t="s">
        <v>68</v>
      </c>
      <c r="H7794" t="s">
        <v>69</v>
      </c>
      <c r="I7794">
        <v>3884.9</v>
      </c>
      <c r="J7794">
        <v>4091.26</v>
      </c>
      <c r="K7794" t="s">
        <v>17</v>
      </c>
      <c r="L7794" t="b">
        <v>0</v>
      </c>
      <c r="N7794" s="2" t="str">
        <f t="shared" si="697"/>
        <v/>
      </c>
      <c r="Q7794" t="str">
        <f t="shared" si="702"/>
        <v/>
      </c>
    </row>
    <row r="7795" spans="1:17" hidden="1">
      <c r="A7795" t="s">
        <v>7900</v>
      </c>
      <c r="B7795" s="1">
        <v>45957</v>
      </c>
      <c r="C7795">
        <v>2025</v>
      </c>
      <c r="D7795">
        <v>10</v>
      </c>
      <c r="E7795" t="s">
        <v>47</v>
      </c>
      <c r="F7795" t="s">
        <v>28</v>
      </c>
      <c r="G7795" t="s">
        <v>77</v>
      </c>
      <c r="H7795" t="s">
        <v>147</v>
      </c>
      <c r="I7795">
        <v>11777.29</v>
      </c>
      <c r="J7795">
        <v>9899.51</v>
      </c>
      <c r="K7795" t="s">
        <v>17</v>
      </c>
      <c r="L7795" t="b">
        <v>0</v>
      </c>
      <c r="N7795" s="2" t="b">
        <f t="shared" si="697"/>
        <v>1</v>
      </c>
      <c r="O7795" t="str">
        <f>IF(AND(E7784="HR",K7784="EXPENSE"),I7784&lt;J7784,"")</f>
        <v/>
      </c>
      <c r="Q7795" t="str">
        <f t="shared" si="702"/>
        <v/>
      </c>
    </row>
    <row r="7796" spans="1:17">
      <c r="A7796" t="s">
        <v>7901</v>
      </c>
      <c r="B7796" s="1">
        <v>45957</v>
      </c>
      <c r="C7796">
        <v>2025</v>
      </c>
      <c r="D7796">
        <v>10</v>
      </c>
      <c r="E7796" t="s">
        <v>19</v>
      </c>
      <c r="F7796" t="s">
        <v>24</v>
      </c>
      <c r="G7796" t="s">
        <v>54</v>
      </c>
      <c r="H7796" t="s">
        <v>651</v>
      </c>
      <c r="I7796">
        <v>50007.199999999997</v>
      </c>
      <c r="J7796">
        <v>11467.25</v>
      </c>
      <c r="K7796" t="s">
        <v>17</v>
      </c>
      <c r="L7796" t="b">
        <v>1</v>
      </c>
      <c r="N7796" s="2" t="str">
        <f t="shared" si="697"/>
        <v/>
      </c>
      <c r="Q7796" t="b">
        <f t="shared" si="702"/>
        <v>1</v>
      </c>
    </row>
    <row r="7797" spans="1:17" hidden="1">
      <c r="A7797" t="s">
        <v>7902</v>
      </c>
      <c r="B7797" s="1">
        <v>45957</v>
      </c>
      <c r="C7797">
        <v>2025</v>
      </c>
      <c r="D7797">
        <v>10</v>
      </c>
      <c r="E7797" t="s">
        <v>23</v>
      </c>
      <c r="F7797" t="s">
        <v>24</v>
      </c>
      <c r="G7797" t="s">
        <v>30</v>
      </c>
      <c r="H7797" t="s">
        <v>31</v>
      </c>
      <c r="I7797">
        <v>3777.86</v>
      </c>
      <c r="J7797">
        <v>3776.8</v>
      </c>
      <c r="K7797" t="s">
        <v>17</v>
      </c>
      <c r="L7797" t="b">
        <v>0</v>
      </c>
      <c r="N7797" s="2" t="str">
        <f t="shared" si="697"/>
        <v/>
      </c>
      <c r="Q7797" t="str">
        <f t="shared" si="702"/>
        <v/>
      </c>
    </row>
    <row r="7798" spans="1:17" hidden="1">
      <c r="A7798" t="s">
        <v>7903</v>
      </c>
      <c r="B7798" s="1">
        <v>45957</v>
      </c>
      <c r="C7798">
        <v>2025</v>
      </c>
      <c r="D7798">
        <v>10</v>
      </c>
      <c r="E7798" t="s">
        <v>37</v>
      </c>
      <c r="F7798" t="s">
        <v>14</v>
      </c>
      <c r="G7798" t="s">
        <v>62</v>
      </c>
      <c r="H7798" t="s">
        <v>360</v>
      </c>
      <c r="I7798">
        <v>5231.82</v>
      </c>
      <c r="J7798">
        <v>5643.84</v>
      </c>
      <c r="K7798" t="s">
        <v>17</v>
      </c>
      <c r="L7798" t="b">
        <v>0</v>
      </c>
      <c r="N7798" s="2" t="str">
        <f t="shared" si="697"/>
        <v/>
      </c>
      <c r="Q7798" t="str">
        <f t="shared" si="702"/>
        <v/>
      </c>
    </row>
    <row r="7799" spans="1:17" hidden="1">
      <c r="A7799" t="s">
        <v>7904</v>
      </c>
      <c r="B7799" s="1">
        <v>45957</v>
      </c>
      <c r="C7799">
        <v>2025</v>
      </c>
      <c r="D7799">
        <v>10</v>
      </c>
      <c r="E7799" t="s">
        <v>37</v>
      </c>
      <c r="F7799" t="s">
        <v>28</v>
      </c>
      <c r="G7799" t="s">
        <v>98</v>
      </c>
      <c r="H7799" t="s">
        <v>185</v>
      </c>
      <c r="I7799">
        <v>4121.8900000000003</v>
      </c>
      <c r="J7799">
        <v>4146.8100000000004</v>
      </c>
      <c r="K7799" t="s">
        <v>17</v>
      </c>
      <c r="L7799" t="b">
        <v>0</v>
      </c>
      <c r="N7799" s="2" t="str">
        <f t="shared" si="697"/>
        <v/>
      </c>
      <c r="Q7799" t="str">
        <f t="shared" si="702"/>
        <v/>
      </c>
    </row>
    <row r="7800" spans="1:17" hidden="1">
      <c r="A7800" t="s">
        <v>7905</v>
      </c>
      <c r="B7800" s="1">
        <v>45958</v>
      </c>
      <c r="C7800">
        <v>2025</v>
      </c>
      <c r="D7800">
        <v>10</v>
      </c>
      <c r="E7800" t="s">
        <v>13</v>
      </c>
      <c r="F7800" t="s">
        <v>14</v>
      </c>
      <c r="G7800" t="s">
        <v>102</v>
      </c>
      <c r="H7800" t="s">
        <v>145</v>
      </c>
      <c r="I7800">
        <v>2693.69</v>
      </c>
      <c r="J7800">
        <v>2935.14</v>
      </c>
      <c r="K7800" t="s">
        <v>17</v>
      </c>
      <c r="L7800" t="b">
        <v>0</v>
      </c>
      <c r="N7800" s="2" t="str">
        <f t="shared" si="697"/>
        <v/>
      </c>
      <c r="Q7800" t="str">
        <f t="shared" si="702"/>
        <v/>
      </c>
    </row>
    <row r="7801" spans="1:17" hidden="1">
      <c r="A7801" t="s">
        <v>7906</v>
      </c>
      <c r="B7801" s="1">
        <v>45958</v>
      </c>
      <c r="C7801">
        <v>2025</v>
      </c>
      <c r="D7801">
        <v>10</v>
      </c>
      <c r="E7801" t="s">
        <v>13</v>
      </c>
      <c r="F7801" t="s">
        <v>28</v>
      </c>
      <c r="G7801" t="s">
        <v>15</v>
      </c>
      <c r="H7801" t="s">
        <v>89</v>
      </c>
      <c r="I7801">
        <v>4315.3900000000003</v>
      </c>
      <c r="J7801">
        <v>3986.15</v>
      </c>
      <c r="K7801" t="s">
        <v>17</v>
      </c>
      <c r="L7801" t="b">
        <v>0</v>
      </c>
      <c r="N7801" s="2" t="str">
        <f t="shared" si="697"/>
        <v/>
      </c>
      <c r="Q7801" t="str">
        <f t="shared" si="702"/>
        <v/>
      </c>
    </row>
    <row r="7802" spans="1:17" hidden="1">
      <c r="A7802" t="s">
        <v>7907</v>
      </c>
      <c r="B7802" s="1">
        <v>45958</v>
      </c>
      <c r="C7802">
        <v>2025</v>
      </c>
      <c r="D7802">
        <v>10</v>
      </c>
      <c r="E7802" t="s">
        <v>13</v>
      </c>
      <c r="F7802" t="s">
        <v>24</v>
      </c>
      <c r="G7802" t="s">
        <v>15</v>
      </c>
      <c r="H7802" t="s">
        <v>45</v>
      </c>
      <c r="I7802">
        <v>3111.17</v>
      </c>
      <c r="J7802">
        <v>3104</v>
      </c>
      <c r="K7802" t="s">
        <v>17</v>
      </c>
      <c r="L7802" t="b">
        <v>0</v>
      </c>
      <c r="N7802" s="2" t="str">
        <f t="shared" si="697"/>
        <v/>
      </c>
      <c r="Q7802" t="str">
        <f t="shared" si="702"/>
        <v/>
      </c>
    </row>
    <row r="7803" spans="1:17" hidden="1">
      <c r="A7803" t="s">
        <v>7908</v>
      </c>
      <c r="B7803" s="1">
        <v>45958</v>
      </c>
      <c r="C7803">
        <v>2025</v>
      </c>
      <c r="D7803">
        <v>10</v>
      </c>
      <c r="E7803" t="s">
        <v>47</v>
      </c>
      <c r="F7803" t="s">
        <v>24</v>
      </c>
      <c r="G7803" t="s">
        <v>91</v>
      </c>
      <c r="H7803" t="s">
        <v>128</v>
      </c>
      <c r="I7803">
        <v>11097.37</v>
      </c>
      <c r="J7803">
        <v>9199.2900000000009</v>
      </c>
      <c r="K7803" t="s">
        <v>17</v>
      </c>
      <c r="L7803" t="b">
        <v>0</v>
      </c>
      <c r="N7803" s="2" t="b">
        <f t="shared" si="697"/>
        <v>1</v>
      </c>
      <c r="O7803" t="b">
        <f>IF(AND(E7792="HR",K7792="EXPENSE"),I7792&lt;J7792,"")</f>
        <v>0</v>
      </c>
      <c r="Q7803" t="str">
        <f t="shared" si="702"/>
        <v/>
      </c>
    </row>
    <row r="7804" spans="1:17" hidden="1">
      <c r="A7804" t="s">
        <v>7909</v>
      </c>
      <c r="B7804" s="1">
        <v>45958</v>
      </c>
      <c r="C7804">
        <v>2025</v>
      </c>
      <c r="D7804">
        <v>10</v>
      </c>
      <c r="E7804" t="s">
        <v>19</v>
      </c>
      <c r="F7804" t="s">
        <v>14</v>
      </c>
      <c r="G7804" t="s">
        <v>54</v>
      </c>
      <c r="H7804" t="s">
        <v>163</v>
      </c>
      <c r="I7804">
        <v>5424.31</v>
      </c>
      <c r="J7804">
        <v>5121.3100000000004</v>
      </c>
      <c r="K7804" t="s">
        <v>17</v>
      </c>
      <c r="L7804" t="b">
        <v>0</v>
      </c>
      <c r="N7804" s="2" t="str">
        <f t="shared" si="697"/>
        <v/>
      </c>
      <c r="Q7804" t="str">
        <f t="shared" si="702"/>
        <v/>
      </c>
    </row>
    <row r="7805" spans="1:17" hidden="1">
      <c r="A7805" t="s">
        <v>7910</v>
      </c>
      <c r="B7805" s="1">
        <v>45958</v>
      </c>
      <c r="C7805">
        <v>2025</v>
      </c>
      <c r="D7805">
        <v>10</v>
      </c>
      <c r="E7805" t="s">
        <v>23</v>
      </c>
      <c r="F7805" t="s">
        <v>28</v>
      </c>
      <c r="G7805" t="s">
        <v>25</v>
      </c>
      <c r="H7805" t="s">
        <v>26</v>
      </c>
      <c r="I7805">
        <v>4894.8599999999997</v>
      </c>
      <c r="J7805">
        <v>5171.83</v>
      </c>
      <c r="K7805" t="s">
        <v>17</v>
      </c>
      <c r="L7805" t="b">
        <v>0</v>
      </c>
      <c r="N7805" s="2" t="str">
        <f t="shared" si="697"/>
        <v/>
      </c>
      <c r="Q7805" t="str">
        <f t="shared" si="702"/>
        <v/>
      </c>
    </row>
    <row r="7806" spans="1:17" hidden="1">
      <c r="A7806" t="s">
        <v>7911</v>
      </c>
      <c r="B7806" s="1">
        <v>45958</v>
      </c>
      <c r="C7806">
        <v>2025</v>
      </c>
      <c r="D7806">
        <v>10</v>
      </c>
      <c r="E7806" t="s">
        <v>23</v>
      </c>
      <c r="F7806" t="s">
        <v>24</v>
      </c>
      <c r="G7806" t="s">
        <v>141</v>
      </c>
      <c r="H7806" t="s">
        <v>153</v>
      </c>
      <c r="I7806">
        <v>6064.45</v>
      </c>
      <c r="J7806">
        <v>6482.31</v>
      </c>
      <c r="K7806" t="s">
        <v>17</v>
      </c>
      <c r="L7806" t="b">
        <v>0</v>
      </c>
      <c r="N7806" s="2" t="str">
        <f t="shared" si="697"/>
        <v/>
      </c>
      <c r="Q7806" t="str">
        <f t="shared" si="702"/>
        <v/>
      </c>
    </row>
    <row r="7807" spans="1:17" hidden="1">
      <c r="A7807" t="s">
        <v>7912</v>
      </c>
      <c r="B7807" s="1">
        <v>45958</v>
      </c>
      <c r="C7807">
        <v>2025</v>
      </c>
      <c r="D7807">
        <v>10</v>
      </c>
      <c r="E7807" t="s">
        <v>37</v>
      </c>
      <c r="F7807" t="s">
        <v>14</v>
      </c>
      <c r="G7807" t="s">
        <v>62</v>
      </c>
      <c r="H7807" t="s">
        <v>121</v>
      </c>
      <c r="I7807">
        <v>4356.1000000000004</v>
      </c>
      <c r="J7807">
        <v>4629.59</v>
      </c>
      <c r="K7807" t="s">
        <v>17</v>
      </c>
      <c r="L7807" t="b">
        <v>0</v>
      </c>
      <c r="N7807" s="2" t="str">
        <f t="shared" si="697"/>
        <v/>
      </c>
      <c r="Q7807" t="str">
        <f t="shared" si="702"/>
        <v/>
      </c>
    </row>
    <row r="7808" spans="1:17" hidden="1">
      <c r="A7808" t="s">
        <v>7913</v>
      </c>
      <c r="B7808" s="1">
        <v>45958</v>
      </c>
      <c r="C7808">
        <v>2025</v>
      </c>
      <c r="D7808">
        <v>10</v>
      </c>
      <c r="E7808" t="s">
        <v>37</v>
      </c>
      <c r="F7808" t="s">
        <v>28</v>
      </c>
      <c r="G7808" t="s">
        <v>98</v>
      </c>
      <c r="H7808" t="s">
        <v>185</v>
      </c>
      <c r="I7808">
        <v>3336.52</v>
      </c>
      <c r="J7808">
        <v>3509.44</v>
      </c>
      <c r="K7808" t="s">
        <v>17</v>
      </c>
      <c r="L7808" t="b">
        <v>0</v>
      </c>
      <c r="N7808" s="2" t="str">
        <f t="shared" si="697"/>
        <v/>
      </c>
      <c r="Q7808" t="str">
        <f t="shared" si="702"/>
        <v/>
      </c>
    </row>
    <row r="7809" spans="1:17" hidden="1">
      <c r="A7809" t="s">
        <v>7914</v>
      </c>
      <c r="B7809" s="1">
        <v>45958</v>
      </c>
      <c r="C7809">
        <v>2025</v>
      </c>
      <c r="D7809">
        <v>10</v>
      </c>
      <c r="E7809" t="s">
        <v>37</v>
      </c>
      <c r="F7809" t="s">
        <v>28</v>
      </c>
      <c r="G7809" t="s">
        <v>38</v>
      </c>
      <c r="H7809" t="s">
        <v>118</v>
      </c>
      <c r="I7809">
        <v>4935.22</v>
      </c>
      <c r="J7809">
        <v>5410.23</v>
      </c>
      <c r="K7809" t="s">
        <v>17</v>
      </c>
      <c r="L7809" t="b">
        <v>0</v>
      </c>
      <c r="N7809" s="2" t="str">
        <f t="shared" si="697"/>
        <v/>
      </c>
      <c r="Q7809" t="str">
        <f t="shared" si="702"/>
        <v/>
      </c>
    </row>
    <row r="7810" spans="1:17" hidden="1">
      <c r="A7810" t="s">
        <v>7915</v>
      </c>
      <c r="B7810" s="1">
        <v>45958</v>
      </c>
      <c r="C7810">
        <v>2025</v>
      </c>
      <c r="D7810">
        <v>10</v>
      </c>
      <c r="E7810" t="s">
        <v>37</v>
      </c>
      <c r="F7810" t="s">
        <v>24</v>
      </c>
      <c r="G7810" t="s">
        <v>41</v>
      </c>
      <c r="H7810" t="s">
        <v>42</v>
      </c>
      <c r="I7810">
        <v>5604.45</v>
      </c>
      <c r="J7810">
        <v>5096.0200000000004</v>
      </c>
      <c r="K7810" t="s">
        <v>17</v>
      </c>
      <c r="L7810" t="b">
        <v>0</v>
      </c>
      <c r="N7810" s="2" t="str">
        <f t="shared" si="697"/>
        <v/>
      </c>
      <c r="Q7810" t="str">
        <f t="shared" si="702"/>
        <v/>
      </c>
    </row>
    <row r="7811" spans="1:17" hidden="1">
      <c r="A7811" t="s">
        <v>7916</v>
      </c>
      <c r="B7811" s="1">
        <v>45958</v>
      </c>
      <c r="C7811">
        <v>2025</v>
      </c>
      <c r="D7811">
        <v>10</v>
      </c>
      <c r="E7811" t="s">
        <v>37</v>
      </c>
      <c r="F7811" t="s">
        <v>14</v>
      </c>
      <c r="G7811" t="s">
        <v>83</v>
      </c>
      <c r="H7811" t="s">
        <v>84</v>
      </c>
      <c r="I7811">
        <v>428637.74</v>
      </c>
      <c r="J7811">
        <v>407205.86</v>
      </c>
      <c r="K7811" t="s">
        <v>85</v>
      </c>
      <c r="L7811" t="b">
        <v>0</v>
      </c>
      <c r="N7811" s="2" t="str">
        <f t="shared" ref="N7811:N7874" si="703">IF(AND(E7811="IT",K7811="EXPENSE"),I7811&gt;J7811,"")</f>
        <v/>
      </c>
      <c r="Q7811" t="str">
        <f t="shared" si="702"/>
        <v/>
      </c>
    </row>
    <row r="7812" spans="1:17" hidden="1">
      <c r="A7812" t="s">
        <v>7917</v>
      </c>
      <c r="B7812" s="1">
        <v>45959</v>
      </c>
      <c r="C7812">
        <v>2025</v>
      </c>
      <c r="D7812">
        <v>10</v>
      </c>
      <c r="E7812" t="s">
        <v>13</v>
      </c>
      <c r="F7812" t="s">
        <v>14</v>
      </c>
      <c r="G7812" t="s">
        <v>108</v>
      </c>
      <c r="H7812" t="s">
        <v>126</v>
      </c>
      <c r="I7812">
        <v>4165.71</v>
      </c>
      <c r="J7812">
        <v>4229.37</v>
      </c>
      <c r="K7812" t="s">
        <v>17</v>
      </c>
      <c r="L7812" t="b">
        <v>0</v>
      </c>
      <c r="N7812" s="2" t="str">
        <f t="shared" si="703"/>
        <v/>
      </c>
      <c r="Q7812" t="str">
        <f t="shared" si="702"/>
        <v/>
      </c>
    </row>
    <row r="7813" spans="1:17" hidden="1">
      <c r="A7813" t="s">
        <v>7918</v>
      </c>
      <c r="B7813" s="1">
        <v>45959</v>
      </c>
      <c r="C7813">
        <v>2025</v>
      </c>
      <c r="D7813">
        <v>10</v>
      </c>
      <c r="E7813" t="s">
        <v>13</v>
      </c>
      <c r="F7813" t="s">
        <v>28</v>
      </c>
      <c r="G7813" t="s">
        <v>68</v>
      </c>
      <c r="H7813" t="s">
        <v>69</v>
      </c>
      <c r="I7813">
        <v>4199.63</v>
      </c>
      <c r="J7813">
        <v>4347.3</v>
      </c>
      <c r="K7813" t="s">
        <v>17</v>
      </c>
      <c r="L7813" t="b">
        <v>0</v>
      </c>
      <c r="N7813" s="2" t="str">
        <f t="shared" si="703"/>
        <v/>
      </c>
      <c r="Q7813" t="str">
        <f t="shared" si="702"/>
        <v/>
      </c>
    </row>
    <row r="7814" spans="1:17" hidden="1">
      <c r="A7814" t="s">
        <v>7919</v>
      </c>
      <c r="B7814" s="1">
        <v>45959</v>
      </c>
      <c r="C7814">
        <v>2025</v>
      </c>
      <c r="D7814">
        <v>10</v>
      </c>
      <c r="E7814" t="s">
        <v>13</v>
      </c>
      <c r="F7814" t="s">
        <v>28</v>
      </c>
      <c r="G7814" t="s">
        <v>15</v>
      </c>
      <c r="H7814" t="s">
        <v>16</v>
      </c>
      <c r="I7814">
        <v>5555.59</v>
      </c>
      <c r="J7814">
        <v>5604.19</v>
      </c>
      <c r="K7814" t="s">
        <v>17</v>
      </c>
      <c r="L7814" t="b">
        <v>0</v>
      </c>
      <c r="N7814" s="2" t="str">
        <f t="shared" si="703"/>
        <v/>
      </c>
      <c r="Q7814" t="str">
        <f t="shared" si="702"/>
        <v/>
      </c>
    </row>
    <row r="7815" spans="1:17" hidden="1">
      <c r="A7815" t="s">
        <v>7920</v>
      </c>
      <c r="B7815" s="1">
        <v>45959</v>
      </c>
      <c r="C7815">
        <v>2025</v>
      </c>
      <c r="D7815">
        <v>10</v>
      </c>
      <c r="E7815" t="s">
        <v>13</v>
      </c>
      <c r="F7815" t="s">
        <v>24</v>
      </c>
      <c r="G7815" t="s">
        <v>108</v>
      </c>
      <c r="H7815" t="s">
        <v>126</v>
      </c>
      <c r="I7815">
        <v>2604.33</v>
      </c>
      <c r="J7815">
        <v>2440.37</v>
      </c>
      <c r="K7815" t="s">
        <v>17</v>
      </c>
      <c r="L7815" t="b">
        <v>0</v>
      </c>
      <c r="N7815" s="2" t="str">
        <f t="shared" si="703"/>
        <v/>
      </c>
      <c r="Q7815" t="str">
        <f t="shared" si="702"/>
        <v/>
      </c>
    </row>
    <row r="7816" spans="1:17" hidden="1">
      <c r="A7816" t="s">
        <v>7921</v>
      </c>
      <c r="B7816" s="1">
        <v>45959</v>
      </c>
      <c r="C7816">
        <v>2025</v>
      </c>
      <c r="D7816">
        <v>10</v>
      </c>
      <c r="E7816" t="s">
        <v>13</v>
      </c>
      <c r="F7816" t="s">
        <v>24</v>
      </c>
      <c r="G7816" t="s">
        <v>102</v>
      </c>
      <c r="H7816" t="s">
        <v>145</v>
      </c>
      <c r="I7816">
        <v>2613.69</v>
      </c>
      <c r="J7816">
        <v>2693.2</v>
      </c>
      <c r="K7816" t="s">
        <v>17</v>
      </c>
      <c r="L7816" t="b">
        <v>0</v>
      </c>
      <c r="N7816" s="2" t="str">
        <f t="shared" si="703"/>
        <v/>
      </c>
      <c r="Q7816" t="str">
        <f t="shared" si="702"/>
        <v/>
      </c>
    </row>
    <row r="7817" spans="1:17" hidden="1">
      <c r="A7817" t="s">
        <v>7922</v>
      </c>
      <c r="B7817" s="1">
        <v>45959</v>
      </c>
      <c r="C7817">
        <v>2025</v>
      </c>
      <c r="D7817">
        <v>10</v>
      </c>
      <c r="E7817" t="s">
        <v>23</v>
      </c>
      <c r="F7817" t="s">
        <v>14</v>
      </c>
      <c r="G7817" t="s">
        <v>141</v>
      </c>
      <c r="H7817" t="s">
        <v>209</v>
      </c>
      <c r="I7817">
        <v>5359.45</v>
      </c>
      <c r="J7817">
        <v>5556.22</v>
      </c>
      <c r="K7817" t="s">
        <v>17</v>
      </c>
      <c r="L7817" t="b">
        <v>0</v>
      </c>
      <c r="N7817" s="2" t="str">
        <f t="shared" si="703"/>
        <v/>
      </c>
      <c r="Q7817" t="str">
        <f t="shared" si="702"/>
        <v/>
      </c>
    </row>
    <row r="7818" spans="1:17" hidden="1">
      <c r="A7818" t="s">
        <v>7923</v>
      </c>
      <c r="B7818" s="1">
        <v>45959</v>
      </c>
      <c r="C7818">
        <v>2025</v>
      </c>
      <c r="D7818">
        <v>10</v>
      </c>
      <c r="E7818" t="s">
        <v>23</v>
      </c>
      <c r="F7818" t="s">
        <v>14</v>
      </c>
      <c r="G7818" t="s">
        <v>25</v>
      </c>
      <c r="H7818" t="s">
        <v>35</v>
      </c>
      <c r="I7818">
        <v>4851.97</v>
      </c>
      <c r="J7818">
        <v>4379.41</v>
      </c>
      <c r="K7818" t="s">
        <v>17</v>
      </c>
      <c r="L7818" t="b">
        <v>0</v>
      </c>
      <c r="N7818" s="2" t="str">
        <f t="shared" si="703"/>
        <v/>
      </c>
      <c r="Q7818" t="str">
        <f t="shared" si="702"/>
        <v/>
      </c>
    </row>
    <row r="7819" spans="1:17" hidden="1">
      <c r="A7819" t="s">
        <v>7924</v>
      </c>
      <c r="B7819" s="1">
        <v>45959</v>
      </c>
      <c r="C7819">
        <v>2025</v>
      </c>
      <c r="D7819">
        <v>10</v>
      </c>
      <c r="E7819" t="s">
        <v>37</v>
      </c>
      <c r="F7819" t="s">
        <v>14</v>
      </c>
      <c r="G7819" t="s">
        <v>41</v>
      </c>
      <c r="H7819" t="s">
        <v>42</v>
      </c>
      <c r="I7819">
        <v>4473.1400000000003</v>
      </c>
      <c r="J7819">
        <v>4228.7700000000004</v>
      </c>
      <c r="K7819" t="s">
        <v>17</v>
      </c>
      <c r="L7819" t="b">
        <v>0</v>
      </c>
      <c r="N7819" s="2" t="str">
        <f t="shared" si="703"/>
        <v/>
      </c>
      <c r="Q7819" t="str">
        <f t="shared" si="702"/>
        <v/>
      </c>
    </row>
    <row r="7820" spans="1:17" hidden="1">
      <c r="A7820" t="s">
        <v>7925</v>
      </c>
      <c r="B7820" s="1">
        <v>45959</v>
      </c>
      <c r="C7820">
        <v>2025</v>
      </c>
      <c r="D7820">
        <v>10</v>
      </c>
      <c r="E7820" t="s">
        <v>37</v>
      </c>
      <c r="F7820" t="s">
        <v>14</v>
      </c>
      <c r="G7820" t="s">
        <v>98</v>
      </c>
      <c r="H7820" t="s">
        <v>99</v>
      </c>
      <c r="I7820">
        <v>4265.91</v>
      </c>
      <c r="J7820">
        <v>4057.85</v>
      </c>
      <c r="K7820" t="s">
        <v>17</v>
      </c>
      <c r="L7820" t="b">
        <v>0</v>
      </c>
      <c r="N7820" s="2" t="str">
        <f t="shared" si="703"/>
        <v/>
      </c>
      <c r="Q7820" t="str">
        <f t="shared" si="702"/>
        <v/>
      </c>
    </row>
    <row r="7821" spans="1:17" hidden="1">
      <c r="A7821" t="s">
        <v>7926</v>
      </c>
      <c r="B7821" s="1">
        <v>45959</v>
      </c>
      <c r="C7821">
        <v>2025</v>
      </c>
      <c r="D7821">
        <v>10</v>
      </c>
      <c r="E7821" t="s">
        <v>37</v>
      </c>
      <c r="F7821" t="s">
        <v>24</v>
      </c>
      <c r="G7821" t="s">
        <v>38</v>
      </c>
      <c r="H7821" t="s">
        <v>118</v>
      </c>
      <c r="I7821">
        <v>3584.79</v>
      </c>
      <c r="J7821">
        <v>3672.76</v>
      </c>
      <c r="K7821" t="s">
        <v>17</v>
      </c>
      <c r="L7821" t="b">
        <v>0</v>
      </c>
      <c r="N7821" s="2" t="str">
        <f t="shared" si="703"/>
        <v/>
      </c>
      <c r="Q7821" t="str">
        <f t="shared" si="702"/>
        <v/>
      </c>
    </row>
    <row r="7822" spans="1:17" hidden="1">
      <c r="A7822" t="s">
        <v>7927</v>
      </c>
      <c r="B7822" s="1">
        <v>45960</v>
      </c>
      <c r="C7822">
        <v>2025</v>
      </c>
      <c r="D7822">
        <v>10</v>
      </c>
      <c r="E7822" t="s">
        <v>13</v>
      </c>
      <c r="F7822" t="s">
        <v>14</v>
      </c>
      <c r="G7822" t="s">
        <v>102</v>
      </c>
      <c r="H7822" t="s">
        <v>103</v>
      </c>
      <c r="I7822">
        <v>3946.9</v>
      </c>
      <c r="J7822">
        <v>3874.58</v>
      </c>
      <c r="K7822" t="s">
        <v>17</v>
      </c>
      <c r="L7822" t="b">
        <v>0</v>
      </c>
      <c r="N7822" s="2" t="str">
        <f t="shared" si="703"/>
        <v/>
      </c>
      <c r="Q7822" t="str">
        <f t="shared" si="702"/>
        <v/>
      </c>
    </row>
    <row r="7823" spans="1:17" hidden="1">
      <c r="A7823" t="s">
        <v>7928</v>
      </c>
      <c r="B7823" s="1">
        <v>45960</v>
      </c>
      <c r="C7823">
        <v>2025</v>
      </c>
      <c r="D7823">
        <v>10</v>
      </c>
      <c r="E7823" t="s">
        <v>13</v>
      </c>
      <c r="F7823" t="s">
        <v>28</v>
      </c>
      <c r="G7823" t="s">
        <v>102</v>
      </c>
      <c r="H7823" t="s">
        <v>103</v>
      </c>
      <c r="I7823">
        <v>3009.59</v>
      </c>
      <c r="J7823">
        <v>2746.82</v>
      </c>
      <c r="K7823" t="s">
        <v>17</v>
      </c>
      <c r="L7823" t="b">
        <v>0</v>
      </c>
      <c r="N7823" s="2" t="str">
        <f t="shared" si="703"/>
        <v/>
      </c>
      <c r="Q7823" t="str">
        <f t="shared" si="702"/>
        <v/>
      </c>
    </row>
    <row r="7824" spans="1:17" hidden="1">
      <c r="A7824" t="s">
        <v>7929</v>
      </c>
      <c r="B7824" s="1">
        <v>45960</v>
      </c>
      <c r="C7824">
        <v>2025</v>
      </c>
      <c r="D7824">
        <v>10</v>
      </c>
      <c r="E7824" t="s">
        <v>47</v>
      </c>
      <c r="F7824" t="s">
        <v>24</v>
      </c>
      <c r="G7824" t="s">
        <v>48</v>
      </c>
      <c r="H7824" t="s">
        <v>189</v>
      </c>
      <c r="I7824">
        <v>10590.63</v>
      </c>
      <c r="J7824">
        <v>8745.74</v>
      </c>
      <c r="K7824" t="s">
        <v>17</v>
      </c>
      <c r="L7824" t="b">
        <v>0</v>
      </c>
      <c r="N7824" s="2" t="b">
        <f t="shared" si="703"/>
        <v>1</v>
      </c>
      <c r="O7824" t="b">
        <f>IF(AND(E7813="HR",K7813="EXPENSE"),I7813&lt;J7813,"")</f>
        <v>1</v>
      </c>
      <c r="Q7824" t="str">
        <f t="shared" si="702"/>
        <v/>
      </c>
    </row>
    <row r="7825" spans="1:17" hidden="1">
      <c r="A7825" t="s">
        <v>7930</v>
      </c>
      <c r="B7825" s="1">
        <v>45960</v>
      </c>
      <c r="C7825">
        <v>2025</v>
      </c>
      <c r="D7825">
        <v>10</v>
      </c>
      <c r="E7825" t="s">
        <v>19</v>
      </c>
      <c r="F7825" t="s">
        <v>28</v>
      </c>
      <c r="G7825" t="s">
        <v>20</v>
      </c>
      <c r="H7825" t="s">
        <v>136</v>
      </c>
      <c r="I7825">
        <v>4879.18</v>
      </c>
      <c r="J7825">
        <v>4669.57</v>
      </c>
      <c r="K7825" t="s">
        <v>17</v>
      </c>
      <c r="L7825" t="b">
        <v>0</v>
      </c>
      <c r="N7825" s="2" t="str">
        <f t="shared" si="703"/>
        <v/>
      </c>
      <c r="Q7825" t="str">
        <f t="shared" si="702"/>
        <v/>
      </c>
    </row>
    <row r="7826" spans="1:17" hidden="1">
      <c r="A7826" t="s">
        <v>7931</v>
      </c>
      <c r="B7826" s="1">
        <v>45960</v>
      </c>
      <c r="C7826">
        <v>2025</v>
      </c>
      <c r="D7826">
        <v>10</v>
      </c>
      <c r="E7826" t="s">
        <v>23</v>
      </c>
      <c r="F7826" t="s">
        <v>28</v>
      </c>
      <c r="G7826" t="s">
        <v>25</v>
      </c>
      <c r="H7826" t="s">
        <v>95</v>
      </c>
      <c r="I7826">
        <v>3295.88</v>
      </c>
      <c r="J7826">
        <v>3533.43</v>
      </c>
      <c r="K7826" t="s">
        <v>17</v>
      </c>
      <c r="L7826" t="b">
        <v>0</v>
      </c>
      <c r="N7826" s="2" t="str">
        <f t="shared" si="703"/>
        <v/>
      </c>
      <c r="Q7826" t="str">
        <f t="shared" si="702"/>
        <v/>
      </c>
    </row>
    <row r="7827" spans="1:17" hidden="1">
      <c r="A7827" t="s">
        <v>7932</v>
      </c>
      <c r="B7827" s="1">
        <v>45960</v>
      </c>
      <c r="C7827">
        <v>2025</v>
      </c>
      <c r="D7827">
        <v>10</v>
      </c>
      <c r="E7827" t="s">
        <v>23</v>
      </c>
      <c r="F7827" t="s">
        <v>24</v>
      </c>
      <c r="G7827" t="s">
        <v>59</v>
      </c>
      <c r="H7827" t="s">
        <v>60</v>
      </c>
      <c r="I7827">
        <v>4772.8100000000004</v>
      </c>
      <c r="J7827">
        <v>4580.6499999999996</v>
      </c>
      <c r="K7827" t="s">
        <v>17</v>
      </c>
      <c r="L7827" t="b">
        <v>0</v>
      </c>
      <c r="N7827" s="2" t="str">
        <f t="shared" si="703"/>
        <v/>
      </c>
      <c r="Q7827" t="str">
        <f t="shared" si="702"/>
        <v/>
      </c>
    </row>
    <row r="7828" spans="1:17" hidden="1">
      <c r="A7828" t="s">
        <v>7933</v>
      </c>
      <c r="B7828" s="1">
        <v>45960</v>
      </c>
      <c r="C7828">
        <v>2025</v>
      </c>
      <c r="D7828">
        <v>10</v>
      </c>
      <c r="E7828" t="s">
        <v>37</v>
      </c>
      <c r="F7828" t="s">
        <v>28</v>
      </c>
      <c r="G7828" t="s">
        <v>83</v>
      </c>
      <c r="H7828" t="s">
        <v>84</v>
      </c>
      <c r="I7828">
        <v>278840.27</v>
      </c>
      <c r="J7828">
        <v>264898.26</v>
      </c>
      <c r="K7828" t="s">
        <v>85</v>
      </c>
      <c r="L7828" t="b">
        <v>0</v>
      </c>
      <c r="N7828" s="2" t="str">
        <f t="shared" si="703"/>
        <v/>
      </c>
      <c r="Q7828" t="str">
        <f t="shared" si="702"/>
        <v/>
      </c>
    </row>
    <row r="7829" spans="1:17" hidden="1">
      <c r="A7829" t="s">
        <v>7934</v>
      </c>
      <c r="B7829" s="1">
        <v>45961</v>
      </c>
      <c r="C7829">
        <v>2025</v>
      </c>
      <c r="D7829">
        <v>10</v>
      </c>
      <c r="E7829" t="s">
        <v>47</v>
      </c>
      <c r="F7829" t="s">
        <v>28</v>
      </c>
      <c r="G7829" t="s">
        <v>51</v>
      </c>
      <c r="H7829" t="s">
        <v>189</v>
      </c>
      <c r="I7829">
        <v>14333.69</v>
      </c>
      <c r="J7829">
        <v>12002.57</v>
      </c>
      <c r="K7829" t="s">
        <v>17</v>
      </c>
      <c r="L7829" t="b">
        <v>0</v>
      </c>
      <c r="N7829" s="2" t="b">
        <f t="shared" si="703"/>
        <v>1</v>
      </c>
      <c r="O7829" t="str">
        <f>IF(AND(E7818="HR",K7818="EXPENSE"),I7818&lt;J7818,"")</f>
        <v/>
      </c>
      <c r="Q7829" t="str">
        <f t="shared" si="702"/>
        <v/>
      </c>
    </row>
    <row r="7830" spans="1:17" hidden="1">
      <c r="A7830" t="s">
        <v>7935</v>
      </c>
      <c r="B7830" s="1">
        <v>45961</v>
      </c>
      <c r="C7830">
        <v>2025</v>
      </c>
      <c r="D7830">
        <v>10</v>
      </c>
      <c r="E7830" t="s">
        <v>23</v>
      </c>
      <c r="F7830" t="s">
        <v>28</v>
      </c>
      <c r="G7830" t="s">
        <v>30</v>
      </c>
      <c r="H7830" t="s">
        <v>33</v>
      </c>
      <c r="I7830">
        <v>4194.09</v>
      </c>
      <c r="J7830">
        <v>4583.32</v>
      </c>
      <c r="K7830" t="s">
        <v>17</v>
      </c>
      <c r="L7830" t="b">
        <v>0</v>
      </c>
      <c r="N7830" s="2" t="str">
        <f t="shared" si="703"/>
        <v/>
      </c>
      <c r="Q7830" t="str">
        <f t="shared" si="702"/>
        <v/>
      </c>
    </row>
    <row r="7831" spans="1:17" hidden="1">
      <c r="A7831" t="s">
        <v>7936</v>
      </c>
      <c r="B7831" s="1">
        <v>45961</v>
      </c>
      <c r="C7831">
        <v>2025</v>
      </c>
      <c r="D7831">
        <v>10</v>
      </c>
      <c r="E7831" t="s">
        <v>37</v>
      </c>
      <c r="F7831" t="s">
        <v>14</v>
      </c>
      <c r="G7831" t="s">
        <v>41</v>
      </c>
      <c r="H7831" t="s">
        <v>42</v>
      </c>
      <c r="I7831">
        <v>5630.61</v>
      </c>
      <c r="J7831">
        <v>5112.74</v>
      </c>
      <c r="K7831" t="s">
        <v>17</v>
      </c>
      <c r="L7831" t="b">
        <v>0</v>
      </c>
      <c r="N7831" s="2" t="str">
        <f t="shared" si="703"/>
        <v/>
      </c>
      <c r="Q7831" t="str">
        <f t="shared" si="702"/>
        <v/>
      </c>
    </row>
    <row r="7832" spans="1:17" hidden="1">
      <c r="A7832" t="s">
        <v>7937</v>
      </c>
      <c r="B7832" s="1">
        <v>45962</v>
      </c>
      <c r="C7832">
        <v>2025</v>
      </c>
      <c r="D7832">
        <v>11</v>
      </c>
      <c r="E7832" t="s">
        <v>13</v>
      </c>
      <c r="F7832" t="s">
        <v>24</v>
      </c>
      <c r="G7832" t="s">
        <v>102</v>
      </c>
      <c r="H7832" t="s">
        <v>145</v>
      </c>
      <c r="I7832">
        <v>3995.53</v>
      </c>
      <c r="J7832">
        <v>3653.92</v>
      </c>
      <c r="K7832" t="s">
        <v>17</v>
      </c>
      <c r="L7832" t="b">
        <v>0</v>
      </c>
      <c r="N7832" s="2" t="str">
        <f t="shared" si="703"/>
        <v/>
      </c>
      <c r="Q7832" t="str">
        <f t="shared" si="702"/>
        <v/>
      </c>
    </row>
    <row r="7833" spans="1:17" hidden="1">
      <c r="A7833" t="s">
        <v>7938</v>
      </c>
      <c r="B7833" s="1">
        <v>45962</v>
      </c>
      <c r="C7833">
        <v>2025</v>
      </c>
      <c r="D7833">
        <v>11</v>
      </c>
      <c r="E7833" t="s">
        <v>47</v>
      </c>
      <c r="F7833" t="s">
        <v>24</v>
      </c>
      <c r="G7833" t="s">
        <v>91</v>
      </c>
      <c r="H7833" t="s">
        <v>128</v>
      </c>
      <c r="I7833">
        <v>14687.29</v>
      </c>
      <c r="J7833">
        <v>12726.95</v>
      </c>
      <c r="K7833" t="s">
        <v>17</v>
      </c>
      <c r="L7833" t="b">
        <v>0</v>
      </c>
      <c r="N7833" s="2" t="b">
        <f t="shared" si="703"/>
        <v>1</v>
      </c>
      <c r="O7833" t="b">
        <f>IF(AND(E7822="HR",K7822="EXPENSE"),I7822&lt;J7822,"")</f>
        <v>0</v>
      </c>
      <c r="Q7833" t="str">
        <f t="shared" si="702"/>
        <v/>
      </c>
    </row>
    <row r="7834" spans="1:17" hidden="1">
      <c r="A7834" t="s">
        <v>7939</v>
      </c>
      <c r="B7834" s="1">
        <v>45962</v>
      </c>
      <c r="C7834">
        <v>2025</v>
      </c>
      <c r="D7834">
        <v>11</v>
      </c>
      <c r="E7834" t="s">
        <v>19</v>
      </c>
      <c r="F7834" t="s">
        <v>24</v>
      </c>
      <c r="G7834" t="s">
        <v>20</v>
      </c>
      <c r="H7834" t="s">
        <v>136</v>
      </c>
      <c r="I7834">
        <v>8206.23</v>
      </c>
      <c r="J7834">
        <v>7499.59</v>
      </c>
      <c r="K7834" t="s">
        <v>17</v>
      </c>
      <c r="L7834" t="b">
        <v>0</v>
      </c>
      <c r="N7834" s="2" t="str">
        <f t="shared" si="703"/>
        <v/>
      </c>
      <c r="Q7834" t="str">
        <f t="shared" si="702"/>
        <v/>
      </c>
    </row>
    <row r="7835" spans="1:17" hidden="1">
      <c r="A7835" t="s">
        <v>7940</v>
      </c>
      <c r="B7835" s="1">
        <v>45962</v>
      </c>
      <c r="C7835">
        <v>2025</v>
      </c>
      <c r="D7835">
        <v>11</v>
      </c>
      <c r="E7835" t="s">
        <v>23</v>
      </c>
      <c r="F7835" t="s">
        <v>14</v>
      </c>
      <c r="G7835" t="s">
        <v>25</v>
      </c>
      <c r="H7835" t="s">
        <v>95</v>
      </c>
      <c r="I7835">
        <v>6250.28</v>
      </c>
      <c r="J7835">
        <v>6328.44</v>
      </c>
      <c r="K7835" t="s">
        <v>17</v>
      </c>
      <c r="L7835" t="b">
        <v>0</v>
      </c>
      <c r="N7835" s="2" t="str">
        <f t="shared" si="703"/>
        <v/>
      </c>
      <c r="Q7835" t="str">
        <f t="shared" si="702"/>
        <v/>
      </c>
    </row>
    <row r="7836" spans="1:17" hidden="1">
      <c r="A7836" t="s">
        <v>7941</v>
      </c>
      <c r="B7836" s="1">
        <v>45962</v>
      </c>
      <c r="C7836">
        <v>2025</v>
      </c>
      <c r="D7836">
        <v>11</v>
      </c>
      <c r="E7836" t="s">
        <v>23</v>
      </c>
      <c r="F7836" t="s">
        <v>14</v>
      </c>
      <c r="G7836" t="s">
        <v>30</v>
      </c>
      <c r="H7836" t="s">
        <v>33</v>
      </c>
      <c r="I7836">
        <v>5471.57</v>
      </c>
      <c r="J7836">
        <v>5060.01</v>
      </c>
      <c r="K7836" t="s">
        <v>17</v>
      </c>
      <c r="L7836" t="b">
        <v>0</v>
      </c>
      <c r="N7836" s="2" t="str">
        <f t="shared" si="703"/>
        <v/>
      </c>
      <c r="Q7836" t="str">
        <f t="shared" si="702"/>
        <v/>
      </c>
    </row>
    <row r="7837" spans="1:17" hidden="1">
      <c r="A7837" t="s">
        <v>7942</v>
      </c>
      <c r="B7837" s="1">
        <v>45962</v>
      </c>
      <c r="C7837">
        <v>2025</v>
      </c>
      <c r="D7837">
        <v>11</v>
      </c>
      <c r="E7837" t="s">
        <v>23</v>
      </c>
      <c r="F7837" t="s">
        <v>28</v>
      </c>
      <c r="G7837" t="s">
        <v>25</v>
      </c>
      <c r="H7837" t="s">
        <v>95</v>
      </c>
      <c r="I7837">
        <v>8584.14</v>
      </c>
      <c r="J7837">
        <v>7990.22</v>
      </c>
      <c r="K7837" t="s">
        <v>17</v>
      </c>
      <c r="L7837" t="b">
        <v>0</v>
      </c>
      <c r="N7837" s="2" t="str">
        <f t="shared" si="703"/>
        <v/>
      </c>
      <c r="Q7837" t="str">
        <f t="shared" si="702"/>
        <v/>
      </c>
    </row>
    <row r="7838" spans="1:17" hidden="1">
      <c r="A7838" t="s">
        <v>7943</v>
      </c>
      <c r="B7838" s="1">
        <v>45962</v>
      </c>
      <c r="C7838">
        <v>2025</v>
      </c>
      <c r="D7838">
        <v>11</v>
      </c>
      <c r="E7838" t="s">
        <v>23</v>
      </c>
      <c r="F7838" t="s">
        <v>28</v>
      </c>
      <c r="G7838" t="s">
        <v>59</v>
      </c>
      <c r="H7838" t="s">
        <v>155</v>
      </c>
      <c r="I7838">
        <v>6724.14</v>
      </c>
      <c r="J7838">
        <v>6688.05</v>
      </c>
      <c r="K7838" t="s">
        <v>17</v>
      </c>
      <c r="L7838" t="b">
        <v>0</v>
      </c>
      <c r="N7838" s="2" t="str">
        <f t="shared" si="703"/>
        <v/>
      </c>
      <c r="Q7838" t="str">
        <f t="shared" si="702"/>
        <v/>
      </c>
    </row>
    <row r="7839" spans="1:17" hidden="1">
      <c r="A7839" t="s">
        <v>7944</v>
      </c>
      <c r="B7839" s="1">
        <v>45962</v>
      </c>
      <c r="C7839">
        <v>2025</v>
      </c>
      <c r="D7839">
        <v>11</v>
      </c>
      <c r="E7839" t="s">
        <v>37</v>
      </c>
      <c r="F7839" t="s">
        <v>14</v>
      </c>
      <c r="G7839" t="s">
        <v>98</v>
      </c>
      <c r="H7839" t="s">
        <v>185</v>
      </c>
      <c r="I7839">
        <v>4276.09</v>
      </c>
      <c r="J7839">
        <v>4038.37</v>
      </c>
      <c r="K7839" t="s">
        <v>17</v>
      </c>
      <c r="L7839" t="b">
        <v>0</v>
      </c>
      <c r="N7839" s="2" t="str">
        <f t="shared" si="703"/>
        <v/>
      </c>
      <c r="Q7839" t="str">
        <f t="shared" si="702"/>
        <v/>
      </c>
    </row>
    <row r="7840" spans="1:17" hidden="1">
      <c r="A7840" t="s">
        <v>7945</v>
      </c>
      <c r="B7840" s="1">
        <v>45962</v>
      </c>
      <c r="C7840">
        <v>2025</v>
      </c>
      <c r="D7840">
        <v>11</v>
      </c>
      <c r="E7840" t="s">
        <v>37</v>
      </c>
      <c r="F7840" t="s">
        <v>14</v>
      </c>
      <c r="G7840" t="s">
        <v>62</v>
      </c>
      <c r="H7840" t="s">
        <v>66</v>
      </c>
      <c r="I7840">
        <v>4717.5200000000004</v>
      </c>
      <c r="J7840">
        <v>4281.91</v>
      </c>
      <c r="K7840" t="s">
        <v>17</v>
      </c>
      <c r="L7840" t="b">
        <v>0</v>
      </c>
      <c r="N7840" s="2" t="str">
        <f t="shared" si="703"/>
        <v/>
      </c>
      <c r="Q7840" t="str">
        <f t="shared" si="702"/>
        <v/>
      </c>
    </row>
    <row r="7841" spans="1:17" hidden="1">
      <c r="A7841" t="s">
        <v>7946</v>
      </c>
      <c r="B7841" s="1">
        <v>45962</v>
      </c>
      <c r="C7841">
        <v>2025</v>
      </c>
      <c r="D7841">
        <v>11</v>
      </c>
      <c r="E7841" t="s">
        <v>37</v>
      </c>
      <c r="F7841" t="s">
        <v>24</v>
      </c>
      <c r="G7841" t="s">
        <v>38</v>
      </c>
      <c r="H7841" t="s">
        <v>39</v>
      </c>
      <c r="I7841">
        <v>3327.99</v>
      </c>
      <c r="J7841">
        <v>3594.2</v>
      </c>
      <c r="K7841" t="s">
        <v>17</v>
      </c>
      <c r="L7841" t="b">
        <v>0</v>
      </c>
      <c r="N7841" s="2" t="str">
        <f t="shared" si="703"/>
        <v/>
      </c>
      <c r="Q7841" t="str">
        <f t="shared" si="702"/>
        <v/>
      </c>
    </row>
    <row r="7842" spans="1:17" hidden="1">
      <c r="A7842" t="s">
        <v>7947</v>
      </c>
      <c r="B7842" s="1">
        <v>45963</v>
      </c>
      <c r="C7842">
        <v>2025</v>
      </c>
      <c r="D7842">
        <v>11</v>
      </c>
      <c r="E7842" t="s">
        <v>47</v>
      </c>
      <c r="F7842" t="s">
        <v>14</v>
      </c>
      <c r="G7842" t="s">
        <v>77</v>
      </c>
      <c r="H7842" t="s">
        <v>78</v>
      </c>
      <c r="I7842">
        <v>20835.7</v>
      </c>
      <c r="J7842">
        <v>17228.02</v>
      </c>
      <c r="K7842" t="s">
        <v>17</v>
      </c>
      <c r="L7842" t="b">
        <v>0</v>
      </c>
      <c r="N7842" s="2" t="b">
        <f t="shared" si="703"/>
        <v>1</v>
      </c>
      <c r="O7842" t="str">
        <f>IF(AND(E7831="HR",K7831="EXPENSE"),I7831&lt;J7831,"")</f>
        <v/>
      </c>
      <c r="Q7842" t="str">
        <f t="shared" si="702"/>
        <v/>
      </c>
    </row>
    <row r="7843" spans="1:17" hidden="1">
      <c r="A7843" t="s">
        <v>7948</v>
      </c>
      <c r="B7843" s="1">
        <v>45963</v>
      </c>
      <c r="C7843">
        <v>2025</v>
      </c>
      <c r="D7843">
        <v>11</v>
      </c>
      <c r="E7843" t="s">
        <v>19</v>
      </c>
      <c r="F7843" t="s">
        <v>14</v>
      </c>
      <c r="G7843" t="s">
        <v>80</v>
      </c>
      <c r="H7843" t="s">
        <v>150</v>
      </c>
      <c r="I7843">
        <v>9534.2000000000007</v>
      </c>
      <c r="J7843">
        <v>8586.82</v>
      </c>
      <c r="K7843" t="s">
        <v>17</v>
      </c>
      <c r="L7843" t="b">
        <v>0</v>
      </c>
      <c r="N7843" s="2" t="str">
        <f t="shared" si="703"/>
        <v/>
      </c>
      <c r="Q7843" t="str">
        <f t="shared" si="702"/>
        <v/>
      </c>
    </row>
    <row r="7844" spans="1:17" hidden="1">
      <c r="A7844" t="s">
        <v>7949</v>
      </c>
      <c r="B7844" s="1">
        <v>45963</v>
      </c>
      <c r="C7844">
        <v>2025</v>
      </c>
      <c r="D7844">
        <v>11</v>
      </c>
      <c r="E7844" t="s">
        <v>23</v>
      </c>
      <c r="F7844" t="s">
        <v>14</v>
      </c>
      <c r="G7844" t="s">
        <v>141</v>
      </c>
      <c r="H7844" t="s">
        <v>142</v>
      </c>
      <c r="I7844">
        <v>7827.24</v>
      </c>
      <c r="J7844">
        <v>8119.8</v>
      </c>
      <c r="K7844" t="s">
        <v>17</v>
      </c>
      <c r="L7844" t="b">
        <v>0</v>
      </c>
      <c r="N7844" s="2" t="str">
        <f t="shared" si="703"/>
        <v/>
      </c>
      <c r="Q7844" t="str">
        <f t="shared" si="702"/>
        <v/>
      </c>
    </row>
    <row r="7845" spans="1:17" hidden="1">
      <c r="A7845" t="s">
        <v>7950</v>
      </c>
      <c r="B7845" s="1">
        <v>45963</v>
      </c>
      <c r="C7845">
        <v>2025</v>
      </c>
      <c r="D7845">
        <v>11</v>
      </c>
      <c r="E7845" t="s">
        <v>37</v>
      </c>
      <c r="F7845" t="s">
        <v>28</v>
      </c>
      <c r="G7845" t="s">
        <v>98</v>
      </c>
      <c r="H7845" t="s">
        <v>185</v>
      </c>
      <c r="I7845">
        <v>4642.13</v>
      </c>
      <c r="J7845">
        <v>4446.16</v>
      </c>
      <c r="K7845" t="s">
        <v>17</v>
      </c>
      <c r="L7845" t="b">
        <v>0</v>
      </c>
      <c r="N7845" s="2" t="str">
        <f t="shared" si="703"/>
        <v/>
      </c>
      <c r="Q7845" t="str">
        <f t="shared" si="702"/>
        <v/>
      </c>
    </row>
    <row r="7846" spans="1:17" hidden="1">
      <c r="A7846" t="s">
        <v>7951</v>
      </c>
      <c r="B7846" s="1">
        <v>45964</v>
      </c>
      <c r="C7846">
        <v>2025</v>
      </c>
      <c r="D7846">
        <v>11</v>
      </c>
      <c r="E7846" t="s">
        <v>47</v>
      </c>
      <c r="F7846" t="s">
        <v>14</v>
      </c>
      <c r="G7846" t="s">
        <v>51</v>
      </c>
      <c r="H7846" t="s">
        <v>189</v>
      </c>
      <c r="I7846">
        <v>16117.04</v>
      </c>
      <c r="J7846">
        <v>13872.86</v>
      </c>
      <c r="K7846" t="s">
        <v>17</v>
      </c>
      <c r="L7846" t="b">
        <v>0</v>
      </c>
      <c r="N7846" s="2" t="b">
        <f t="shared" si="703"/>
        <v>1</v>
      </c>
      <c r="O7846" t="str">
        <f t="shared" ref="O7846:O7847" si="704">IF(AND(E7835="HR",K7835="EXPENSE"),I7835&lt;J7835,"")</f>
        <v/>
      </c>
      <c r="Q7846" t="str">
        <f t="shared" si="702"/>
        <v/>
      </c>
    </row>
    <row r="7847" spans="1:17" hidden="1">
      <c r="A7847" t="s">
        <v>7952</v>
      </c>
      <c r="B7847" s="1">
        <v>45964</v>
      </c>
      <c r="C7847">
        <v>2025</v>
      </c>
      <c r="D7847">
        <v>11</v>
      </c>
      <c r="E7847" t="s">
        <v>47</v>
      </c>
      <c r="F7847" t="s">
        <v>24</v>
      </c>
      <c r="G7847" t="s">
        <v>91</v>
      </c>
      <c r="H7847" t="s">
        <v>249</v>
      </c>
      <c r="I7847">
        <v>16334.28</v>
      </c>
      <c r="J7847">
        <v>13473.47</v>
      </c>
      <c r="K7847" t="s">
        <v>17</v>
      </c>
      <c r="L7847" t="b">
        <v>0</v>
      </c>
      <c r="N7847" s="2" t="b">
        <f t="shared" si="703"/>
        <v>1</v>
      </c>
      <c r="O7847" t="str">
        <f t="shared" si="704"/>
        <v/>
      </c>
      <c r="Q7847" t="str">
        <f t="shared" si="702"/>
        <v/>
      </c>
    </row>
    <row r="7848" spans="1:17" hidden="1">
      <c r="A7848" t="s">
        <v>7953</v>
      </c>
      <c r="B7848" s="1">
        <v>45964</v>
      </c>
      <c r="C7848">
        <v>2025</v>
      </c>
      <c r="D7848">
        <v>11</v>
      </c>
      <c r="E7848" t="s">
        <v>37</v>
      </c>
      <c r="F7848" t="s">
        <v>14</v>
      </c>
      <c r="G7848" t="s">
        <v>98</v>
      </c>
      <c r="H7848" t="s">
        <v>185</v>
      </c>
      <c r="I7848">
        <v>5888.91</v>
      </c>
      <c r="J7848">
        <v>5424.71</v>
      </c>
      <c r="K7848" t="s">
        <v>17</v>
      </c>
      <c r="L7848" t="b">
        <v>0</v>
      </c>
      <c r="N7848" s="2" t="str">
        <f t="shared" si="703"/>
        <v/>
      </c>
      <c r="Q7848" t="str">
        <f t="shared" si="702"/>
        <v/>
      </c>
    </row>
    <row r="7849" spans="1:17" hidden="1">
      <c r="A7849" t="s">
        <v>7954</v>
      </c>
      <c r="B7849" s="1">
        <v>45964</v>
      </c>
      <c r="C7849">
        <v>2025</v>
      </c>
      <c r="D7849">
        <v>11</v>
      </c>
      <c r="E7849" t="s">
        <v>37</v>
      </c>
      <c r="F7849" t="s">
        <v>14</v>
      </c>
      <c r="G7849" t="s">
        <v>38</v>
      </c>
      <c r="H7849" t="s">
        <v>227</v>
      </c>
      <c r="I7849">
        <v>6608.49</v>
      </c>
      <c r="J7849">
        <v>6142.57</v>
      </c>
      <c r="K7849" t="s">
        <v>17</v>
      </c>
      <c r="L7849" t="b">
        <v>0</v>
      </c>
      <c r="N7849" s="2" t="str">
        <f t="shared" si="703"/>
        <v/>
      </c>
      <c r="Q7849" t="str">
        <f t="shared" si="702"/>
        <v/>
      </c>
    </row>
    <row r="7850" spans="1:17" hidden="1">
      <c r="A7850" t="s">
        <v>7955</v>
      </c>
      <c r="B7850" s="1">
        <v>45964</v>
      </c>
      <c r="C7850">
        <v>2025</v>
      </c>
      <c r="D7850">
        <v>11</v>
      </c>
      <c r="E7850" t="s">
        <v>37</v>
      </c>
      <c r="F7850" t="s">
        <v>14</v>
      </c>
      <c r="G7850" t="s">
        <v>41</v>
      </c>
      <c r="H7850" t="s">
        <v>42</v>
      </c>
      <c r="I7850">
        <v>3955.95</v>
      </c>
      <c r="J7850">
        <v>3649.06</v>
      </c>
      <c r="K7850" t="s">
        <v>17</v>
      </c>
      <c r="L7850" t="b">
        <v>0</v>
      </c>
      <c r="N7850" s="2" t="str">
        <f t="shared" si="703"/>
        <v/>
      </c>
      <c r="Q7850" t="str">
        <f t="shared" si="702"/>
        <v/>
      </c>
    </row>
    <row r="7851" spans="1:17" hidden="1">
      <c r="A7851" t="s">
        <v>7956</v>
      </c>
      <c r="B7851" s="1">
        <v>45965</v>
      </c>
      <c r="C7851">
        <v>2025</v>
      </c>
      <c r="D7851">
        <v>11</v>
      </c>
      <c r="E7851" t="s">
        <v>47</v>
      </c>
      <c r="F7851" t="s">
        <v>14</v>
      </c>
      <c r="G7851" t="s">
        <v>48</v>
      </c>
      <c r="H7851" t="s">
        <v>189</v>
      </c>
      <c r="I7851">
        <v>16873.68</v>
      </c>
      <c r="J7851">
        <v>14250.48</v>
      </c>
      <c r="K7851" t="s">
        <v>17</v>
      </c>
      <c r="L7851" t="b">
        <v>0</v>
      </c>
      <c r="N7851" s="2" t="b">
        <f t="shared" si="703"/>
        <v>1</v>
      </c>
      <c r="O7851" t="str">
        <f t="shared" ref="O7851:O7852" si="705">IF(AND(E7840="HR",K7840="EXPENSE"),I7840&lt;J7840,"")</f>
        <v/>
      </c>
      <c r="Q7851" t="str">
        <f t="shared" si="702"/>
        <v/>
      </c>
    </row>
    <row r="7852" spans="1:17" hidden="1">
      <c r="A7852" t="s">
        <v>7957</v>
      </c>
      <c r="B7852" s="1">
        <v>45965</v>
      </c>
      <c r="C7852">
        <v>2025</v>
      </c>
      <c r="D7852">
        <v>11</v>
      </c>
      <c r="E7852" t="s">
        <v>47</v>
      </c>
      <c r="F7852" t="s">
        <v>14</v>
      </c>
      <c r="G7852" t="s">
        <v>51</v>
      </c>
      <c r="H7852" t="s">
        <v>52</v>
      </c>
      <c r="I7852">
        <v>13844.51</v>
      </c>
      <c r="J7852">
        <v>11653.05</v>
      </c>
      <c r="K7852" t="s">
        <v>17</v>
      </c>
      <c r="L7852" t="b">
        <v>0</v>
      </c>
      <c r="N7852" s="2" t="b">
        <f t="shared" si="703"/>
        <v>1</v>
      </c>
      <c r="O7852" t="str">
        <f t="shared" si="705"/>
        <v/>
      </c>
      <c r="Q7852" t="str">
        <f t="shared" si="702"/>
        <v/>
      </c>
    </row>
    <row r="7853" spans="1:17" hidden="1">
      <c r="A7853" t="s">
        <v>7958</v>
      </c>
      <c r="B7853" s="1">
        <v>45965</v>
      </c>
      <c r="C7853">
        <v>2025</v>
      </c>
      <c r="D7853">
        <v>11</v>
      </c>
      <c r="E7853" t="s">
        <v>19</v>
      </c>
      <c r="F7853" t="s">
        <v>14</v>
      </c>
      <c r="G7853" t="s">
        <v>20</v>
      </c>
      <c r="H7853" t="s">
        <v>136</v>
      </c>
      <c r="I7853">
        <v>7222.99</v>
      </c>
      <c r="J7853">
        <v>7513.89</v>
      </c>
      <c r="K7853" t="s">
        <v>17</v>
      </c>
      <c r="L7853" t="b">
        <v>0</v>
      </c>
      <c r="N7853" s="2" t="str">
        <f t="shared" si="703"/>
        <v/>
      </c>
      <c r="Q7853" t="str">
        <f t="shared" si="702"/>
        <v/>
      </c>
    </row>
    <row r="7854" spans="1:17" hidden="1">
      <c r="A7854" t="s">
        <v>7959</v>
      </c>
      <c r="B7854" s="1">
        <v>45965</v>
      </c>
      <c r="C7854">
        <v>2025</v>
      </c>
      <c r="D7854">
        <v>11</v>
      </c>
      <c r="E7854" t="s">
        <v>19</v>
      </c>
      <c r="F7854" t="s">
        <v>28</v>
      </c>
      <c r="G7854" t="s">
        <v>132</v>
      </c>
      <c r="H7854" t="s">
        <v>138</v>
      </c>
      <c r="I7854">
        <v>2981.65</v>
      </c>
      <c r="J7854">
        <v>3209.57</v>
      </c>
      <c r="K7854" t="s">
        <v>17</v>
      </c>
      <c r="L7854" t="b">
        <v>0</v>
      </c>
      <c r="N7854" s="2" t="str">
        <f t="shared" si="703"/>
        <v/>
      </c>
      <c r="Q7854" t="str">
        <f t="shared" si="702"/>
        <v/>
      </c>
    </row>
    <row r="7855" spans="1:17" hidden="1">
      <c r="A7855" t="s">
        <v>7960</v>
      </c>
      <c r="B7855" s="1">
        <v>45965</v>
      </c>
      <c r="C7855">
        <v>2025</v>
      </c>
      <c r="D7855">
        <v>11</v>
      </c>
      <c r="E7855" t="s">
        <v>23</v>
      </c>
      <c r="F7855" t="s">
        <v>28</v>
      </c>
      <c r="G7855" t="s">
        <v>25</v>
      </c>
      <c r="H7855" t="s">
        <v>35</v>
      </c>
      <c r="I7855">
        <v>6477.35</v>
      </c>
      <c r="J7855">
        <v>6764.65</v>
      </c>
      <c r="K7855" t="s">
        <v>17</v>
      </c>
      <c r="L7855" t="b">
        <v>0</v>
      </c>
      <c r="N7855" s="2" t="str">
        <f t="shared" si="703"/>
        <v/>
      </c>
      <c r="Q7855" t="str">
        <f t="shared" si="702"/>
        <v/>
      </c>
    </row>
    <row r="7856" spans="1:17" hidden="1">
      <c r="A7856" t="s">
        <v>7961</v>
      </c>
      <c r="B7856" s="1">
        <v>45965</v>
      </c>
      <c r="C7856">
        <v>2025</v>
      </c>
      <c r="D7856">
        <v>11</v>
      </c>
      <c r="E7856" t="s">
        <v>23</v>
      </c>
      <c r="F7856" t="s">
        <v>28</v>
      </c>
      <c r="G7856" t="s">
        <v>25</v>
      </c>
      <c r="H7856" t="s">
        <v>95</v>
      </c>
      <c r="I7856">
        <v>5956.32</v>
      </c>
      <c r="J7856">
        <v>6054.86</v>
      </c>
      <c r="K7856" t="s">
        <v>17</v>
      </c>
      <c r="L7856" t="b">
        <v>0</v>
      </c>
      <c r="N7856" s="2" t="str">
        <f t="shared" si="703"/>
        <v/>
      </c>
      <c r="Q7856" t="str">
        <f t="shared" ref="Q7856:Q7919" si="706">IF(L7856=TRUE,OR(H7856="Apex Solutions Inc",H7856="Global Trade Partners",H7856="NovaTech Services"),"")</f>
        <v/>
      </c>
    </row>
    <row r="7857" spans="1:17" hidden="1">
      <c r="A7857" t="s">
        <v>7962</v>
      </c>
      <c r="B7857" s="1">
        <v>45965</v>
      </c>
      <c r="C7857">
        <v>2025</v>
      </c>
      <c r="D7857">
        <v>11</v>
      </c>
      <c r="E7857" t="s">
        <v>23</v>
      </c>
      <c r="F7857" t="s">
        <v>24</v>
      </c>
      <c r="G7857" t="s">
        <v>141</v>
      </c>
      <c r="H7857" t="s">
        <v>209</v>
      </c>
      <c r="I7857">
        <v>7457.54</v>
      </c>
      <c r="J7857">
        <v>7816.05</v>
      </c>
      <c r="K7857" t="s">
        <v>17</v>
      </c>
      <c r="L7857" t="b">
        <v>0</v>
      </c>
      <c r="N7857" s="2" t="str">
        <f t="shared" si="703"/>
        <v/>
      </c>
      <c r="Q7857" t="str">
        <f t="shared" si="706"/>
        <v/>
      </c>
    </row>
    <row r="7858" spans="1:17" hidden="1">
      <c r="A7858" t="s">
        <v>7963</v>
      </c>
      <c r="B7858" s="1">
        <v>45965</v>
      </c>
      <c r="C7858">
        <v>2025</v>
      </c>
      <c r="D7858">
        <v>11</v>
      </c>
      <c r="E7858" t="s">
        <v>37</v>
      </c>
      <c r="F7858" t="s">
        <v>24</v>
      </c>
      <c r="G7858" t="s">
        <v>41</v>
      </c>
      <c r="H7858" t="s">
        <v>42</v>
      </c>
      <c r="I7858">
        <v>3043.07</v>
      </c>
      <c r="J7858">
        <v>3292.41</v>
      </c>
      <c r="K7858" t="s">
        <v>17</v>
      </c>
      <c r="L7858" t="b">
        <v>0</v>
      </c>
      <c r="N7858" s="2" t="str">
        <f t="shared" si="703"/>
        <v/>
      </c>
      <c r="Q7858" t="str">
        <f t="shared" si="706"/>
        <v/>
      </c>
    </row>
    <row r="7859" spans="1:17" hidden="1">
      <c r="A7859" t="s">
        <v>7964</v>
      </c>
      <c r="B7859" s="1">
        <v>45965</v>
      </c>
      <c r="C7859">
        <v>2025</v>
      </c>
      <c r="D7859">
        <v>11</v>
      </c>
      <c r="E7859" t="s">
        <v>37</v>
      </c>
      <c r="F7859" t="s">
        <v>24</v>
      </c>
      <c r="G7859" t="s">
        <v>98</v>
      </c>
      <c r="H7859" t="s">
        <v>185</v>
      </c>
      <c r="I7859">
        <v>3982.71</v>
      </c>
      <c r="J7859">
        <v>3696.82</v>
      </c>
      <c r="K7859" t="s">
        <v>17</v>
      </c>
      <c r="L7859" t="b">
        <v>0</v>
      </c>
      <c r="N7859" s="2" t="str">
        <f t="shared" si="703"/>
        <v/>
      </c>
      <c r="Q7859" t="str">
        <f t="shared" si="706"/>
        <v/>
      </c>
    </row>
    <row r="7860" spans="1:17" hidden="1">
      <c r="A7860" t="s">
        <v>7965</v>
      </c>
      <c r="B7860" s="1">
        <v>45966</v>
      </c>
      <c r="C7860">
        <v>2025</v>
      </c>
      <c r="D7860">
        <v>11</v>
      </c>
      <c r="E7860" t="s">
        <v>13</v>
      </c>
      <c r="F7860" t="s">
        <v>14</v>
      </c>
      <c r="G7860" t="s">
        <v>108</v>
      </c>
      <c r="H7860" t="s">
        <v>109</v>
      </c>
      <c r="I7860">
        <v>2919</v>
      </c>
      <c r="J7860">
        <v>2718.5</v>
      </c>
      <c r="K7860" t="s">
        <v>17</v>
      </c>
      <c r="L7860" t="b">
        <v>0</v>
      </c>
      <c r="N7860" s="2" t="str">
        <f t="shared" si="703"/>
        <v/>
      </c>
      <c r="Q7860" t="str">
        <f t="shared" si="706"/>
        <v/>
      </c>
    </row>
    <row r="7861" spans="1:17" hidden="1">
      <c r="A7861" t="s">
        <v>7966</v>
      </c>
      <c r="B7861" s="1">
        <v>45966</v>
      </c>
      <c r="C7861">
        <v>2025</v>
      </c>
      <c r="D7861">
        <v>11</v>
      </c>
      <c r="E7861" t="s">
        <v>47</v>
      </c>
      <c r="F7861" t="s">
        <v>28</v>
      </c>
      <c r="G7861" t="s">
        <v>91</v>
      </c>
      <c r="H7861" t="s">
        <v>128</v>
      </c>
      <c r="I7861">
        <v>12902.47</v>
      </c>
      <c r="J7861">
        <v>10921.37</v>
      </c>
      <c r="K7861" t="s">
        <v>17</v>
      </c>
      <c r="L7861" t="b">
        <v>0</v>
      </c>
      <c r="N7861" s="2" t="b">
        <f t="shared" si="703"/>
        <v>1</v>
      </c>
      <c r="O7861" t="str">
        <f t="shared" ref="O7861:O7862" si="707">IF(AND(E7850="HR",K7850="EXPENSE"),I7850&lt;J7850,"")</f>
        <v/>
      </c>
      <c r="Q7861" t="str">
        <f t="shared" si="706"/>
        <v/>
      </c>
    </row>
    <row r="7862" spans="1:17" hidden="1">
      <c r="A7862" t="s">
        <v>7967</v>
      </c>
      <c r="B7862" s="1">
        <v>45966</v>
      </c>
      <c r="C7862">
        <v>2025</v>
      </c>
      <c r="D7862">
        <v>11</v>
      </c>
      <c r="E7862" t="s">
        <v>47</v>
      </c>
      <c r="F7862" t="s">
        <v>24</v>
      </c>
      <c r="G7862" t="s">
        <v>91</v>
      </c>
      <c r="H7862" t="s">
        <v>128</v>
      </c>
      <c r="I7862">
        <v>16979.849999999999</v>
      </c>
      <c r="J7862">
        <v>14441.79</v>
      </c>
      <c r="K7862" t="s">
        <v>17</v>
      </c>
      <c r="L7862" t="b">
        <v>0</v>
      </c>
      <c r="N7862" s="2" t="b">
        <f t="shared" si="703"/>
        <v>1</v>
      </c>
      <c r="O7862" t="str">
        <f t="shared" si="707"/>
        <v/>
      </c>
      <c r="Q7862" t="str">
        <f t="shared" si="706"/>
        <v/>
      </c>
    </row>
    <row r="7863" spans="1:17" hidden="1">
      <c r="A7863" t="s">
        <v>7968</v>
      </c>
      <c r="B7863" s="1">
        <v>45966</v>
      </c>
      <c r="C7863">
        <v>2025</v>
      </c>
      <c r="D7863">
        <v>11</v>
      </c>
      <c r="E7863" t="s">
        <v>23</v>
      </c>
      <c r="F7863" t="s">
        <v>24</v>
      </c>
      <c r="G7863" t="s">
        <v>30</v>
      </c>
      <c r="H7863" t="s">
        <v>31</v>
      </c>
      <c r="I7863">
        <v>6072.57</v>
      </c>
      <c r="J7863">
        <v>6303.06</v>
      </c>
      <c r="K7863" t="s">
        <v>17</v>
      </c>
      <c r="L7863" t="b">
        <v>0</v>
      </c>
      <c r="N7863" s="2" t="str">
        <f t="shared" si="703"/>
        <v/>
      </c>
      <c r="Q7863" t="str">
        <f t="shared" si="706"/>
        <v/>
      </c>
    </row>
    <row r="7864" spans="1:17" hidden="1">
      <c r="A7864" t="s">
        <v>7969</v>
      </c>
      <c r="B7864" s="1">
        <v>45966</v>
      </c>
      <c r="C7864">
        <v>2025</v>
      </c>
      <c r="D7864">
        <v>11</v>
      </c>
      <c r="E7864" t="s">
        <v>37</v>
      </c>
      <c r="F7864" t="s">
        <v>14</v>
      </c>
      <c r="G7864" t="s">
        <v>41</v>
      </c>
      <c r="H7864" t="s">
        <v>42</v>
      </c>
      <c r="I7864">
        <v>7403.74</v>
      </c>
      <c r="J7864">
        <v>7714.31</v>
      </c>
      <c r="K7864" t="s">
        <v>17</v>
      </c>
      <c r="L7864" t="b">
        <v>0</v>
      </c>
      <c r="N7864" s="2" t="str">
        <f t="shared" si="703"/>
        <v/>
      </c>
      <c r="Q7864" t="str">
        <f t="shared" si="706"/>
        <v/>
      </c>
    </row>
    <row r="7865" spans="1:17" hidden="1">
      <c r="A7865" t="s">
        <v>7970</v>
      </c>
      <c r="B7865" s="1">
        <v>45966</v>
      </c>
      <c r="C7865">
        <v>2025</v>
      </c>
      <c r="D7865">
        <v>11</v>
      </c>
      <c r="E7865" t="s">
        <v>37</v>
      </c>
      <c r="F7865" t="s">
        <v>24</v>
      </c>
      <c r="G7865" t="s">
        <v>62</v>
      </c>
      <c r="H7865" t="s">
        <v>63</v>
      </c>
      <c r="I7865">
        <v>3896.02</v>
      </c>
      <c r="J7865">
        <v>3729.36</v>
      </c>
      <c r="K7865" t="s">
        <v>17</v>
      </c>
      <c r="L7865" t="b">
        <v>0</v>
      </c>
      <c r="N7865" s="2" t="str">
        <f t="shared" si="703"/>
        <v/>
      </c>
      <c r="Q7865" t="str">
        <f t="shared" si="706"/>
        <v/>
      </c>
    </row>
    <row r="7866" spans="1:17" hidden="1">
      <c r="A7866" t="s">
        <v>7971</v>
      </c>
      <c r="B7866" s="1">
        <v>45967</v>
      </c>
      <c r="C7866">
        <v>2025</v>
      </c>
      <c r="D7866">
        <v>11</v>
      </c>
      <c r="E7866" t="s">
        <v>47</v>
      </c>
      <c r="F7866" t="s">
        <v>14</v>
      </c>
      <c r="G7866" t="s">
        <v>91</v>
      </c>
      <c r="H7866" t="s">
        <v>92</v>
      </c>
      <c r="I7866">
        <v>14872.99</v>
      </c>
      <c r="J7866">
        <v>12688.83</v>
      </c>
      <c r="K7866" t="s">
        <v>17</v>
      </c>
      <c r="L7866" t="b">
        <v>0</v>
      </c>
      <c r="N7866" s="2" t="b">
        <f t="shared" si="703"/>
        <v>1</v>
      </c>
      <c r="O7866" t="str">
        <f t="shared" ref="O7866:O7869" si="708">IF(AND(E7855="HR",K7855="EXPENSE"),I7855&lt;J7855,"")</f>
        <v/>
      </c>
      <c r="Q7866" t="str">
        <f t="shared" si="706"/>
        <v/>
      </c>
    </row>
    <row r="7867" spans="1:17" hidden="1">
      <c r="A7867" t="s">
        <v>7972</v>
      </c>
      <c r="B7867" s="1">
        <v>45967</v>
      </c>
      <c r="C7867">
        <v>2025</v>
      </c>
      <c r="D7867">
        <v>11</v>
      </c>
      <c r="E7867" t="s">
        <v>47</v>
      </c>
      <c r="F7867" t="s">
        <v>14</v>
      </c>
      <c r="G7867" t="s">
        <v>48</v>
      </c>
      <c r="H7867" t="s">
        <v>189</v>
      </c>
      <c r="I7867">
        <v>15959.24</v>
      </c>
      <c r="J7867">
        <v>13094.43</v>
      </c>
      <c r="K7867" t="s">
        <v>17</v>
      </c>
      <c r="L7867" t="b">
        <v>0</v>
      </c>
      <c r="N7867" s="2" t="b">
        <f t="shared" si="703"/>
        <v>1</v>
      </c>
      <c r="O7867" t="str">
        <f t="shared" si="708"/>
        <v/>
      </c>
      <c r="Q7867" t="str">
        <f t="shared" si="706"/>
        <v/>
      </c>
    </row>
    <row r="7868" spans="1:17" hidden="1">
      <c r="A7868" t="s">
        <v>7973</v>
      </c>
      <c r="B7868" s="1">
        <v>45967</v>
      </c>
      <c r="C7868">
        <v>2025</v>
      </c>
      <c r="D7868">
        <v>11</v>
      </c>
      <c r="E7868" t="s">
        <v>47</v>
      </c>
      <c r="F7868" t="s">
        <v>28</v>
      </c>
      <c r="G7868" t="s">
        <v>77</v>
      </c>
      <c r="H7868" t="s">
        <v>147</v>
      </c>
      <c r="I7868">
        <v>9384.35</v>
      </c>
      <c r="J7868">
        <v>8000.05</v>
      </c>
      <c r="K7868" t="s">
        <v>17</v>
      </c>
      <c r="L7868" t="b">
        <v>0</v>
      </c>
      <c r="N7868" s="2" t="b">
        <f t="shared" si="703"/>
        <v>1</v>
      </c>
      <c r="O7868" t="str">
        <f t="shared" si="708"/>
        <v/>
      </c>
      <c r="Q7868" t="str">
        <f t="shared" si="706"/>
        <v/>
      </c>
    </row>
    <row r="7869" spans="1:17" hidden="1">
      <c r="A7869" t="s">
        <v>7974</v>
      </c>
      <c r="B7869" s="1">
        <v>45967</v>
      </c>
      <c r="C7869">
        <v>2025</v>
      </c>
      <c r="D7869">
        <v>11</v>
      </c>
      <c r="E7869" t="s">
        <v>47</v>
      </c>
      <c r="F7869" t="s">
        <v>28</v>
      </c>
      <c r="G7869" t="s">
        <v>48</v>
      </c>
      <c r="H7869" t="s">
        <v>75</v>
      </c>
      <c r="I7869">
        <v>16490.38</v>
      </c>
      <c r="J7869">
        <v>14119.96</v>
      </c>
      <c r="K7869" t="s">
        <v>17</v>
      </c>
      <c r="L7869" t="b">
        <v>0</v>
      </c>
      <c r="N7869" s="2" t="b">
        <f t="shared" si="703"/>
        <v>1</v>
      </c>
      <c r="O7869" t="str">
        <f t="shared" si="708"/>
        <v/>
      </c>
      <c r="Q7869" t="str">
        <f t="shared" si="706"/>
        <v/>
      </c>
    </row>
    <row r="7870" spans="1:17" hidden="1">
      <c r="A7870" t="s">
        <v>7975</v>
      </c>
      <c r="B7870" s="1">
        <v>45967</v>
      </c>
      <c r="C7870">
        <v>2025</v>
      </c>
      <c r="D7870">
        <v>11</v>
      </c>
      <c r="E7870" t="s">
        <v>19</v>
      </c>
      <c r="F7870" t="s">
        <v>24</v>
      </c>
      <c r="G7870" t="s">
        <v>54</v>
      </c>
      <c r="H7870" t="s">
        <v>57</v>
      </c>
      <c r="I7870">
        <v>7557.31</v>
      </c>
      <c r="J7870">
        <v>7292.79</v>
      </c>
      <c r="K7870" t="s">
        <v>17</v>
      </c>
      <c r="L7870" t="b">
        <v>0</v>
      </c>
      <c r="N7870" s="2" t="str">
        <f t="shared" si="703"/>
        <v/>
      </c>
      <c r="Q7870" t="str">
        <f t="shared" si="706"/>
        <v/>
      </c>
    </row>
    <row r="7871" spans="1:17" hidden="1">
      <c r="A7871" t="s">
        <v>7976</v>
      </c>
      <c r="B7871" s="1">
        <v>45967</v>
      </c>
      <c r="C7871">
        <v>2025</v>
      </c>
      <c r="D7871">
        <v>11</v>
      </c>
      <c r="E7871" t="s">
        <v>23</v>
      </c>
      <c r="F7871" t="s">
        <v>24</v>
      </c>
      <c r="G7871" t="s">
        <v>30</v>
      </c>
      <c r="H7871" t="s">
        <v>31</v>
      </c>
      <c r="I7871">
        <v>6016.69</v>
      </c>
      <c r="J7871">
        <v>5957.51</v>
      </c>
      <c r="K7871" t="s">
        <v>17</v>
      </c>
      <c r="L7871" t="b">
        <v>0</v>
      </c>
      <c r="N7871" s="2" t="str">
        <f t="shared" si="703"/>
        <v/>
      </c>
      <c r="Q7871" t="str">
        <f t="shared" si="706"/>
        <v/>
      </c>
    </row>
    <row r="7872" spans="1:17" hidden="1">
      <c r="A7872" t="s">
        <v>7977</v>
      </c>
      <c r="B7872" s="1">
        <v>45967</v>
      </c>
      <c r="C7872">
        <v>2025</v>
      </c>
      <c r="D7872">
        <v>11</v>
      </c>
      <c r="E7872" t="s">
        <v>37</v>
      </c>
      <c r="F7872" t="s">
        <v>14</v>
      </c>
      <c r="G7872" t="s">
        <v>62</v>
      </c>
      <c r="H7872" t="s">
        <v>121</v>
      </c>
      <c r="I7872">
        <v>5017.8999999999996</v>
      </c>
      <c r="J7872">
        <v>5065.74</v>
      </c>
      <c r="K7872" t="s">
        <v>17</v>
      </c>
      <c r="L7872" t="b">
        <v>0</v>
      </c>
      <c r="N7872" s="2" t="str">
        <f t="shared" si="703"/>
        <v/>
      </c>
      <c r="Q7872" t="str">
        <f t="shared" si="706"/>
        <v/>
      </c>
    </row>
    <row r="7873" spans="1:17" hidden="1">
      <c r="A7873" t="s">
        <v>7978</v>
      </c>
      <c r="B7873" s="1">
        <v>45967</v>
      </c>
      <c r="C7873">
        <v>2025</v>
      </c>
      <c r="D7873">
        <v>11</v>
      </c>
      <c r="E7873" t="s">
        <v>37</v>
      </c>
      <c r="F7873" t="s">
        <v>28</v>
      </c>
      <c r="G7873" t="s">
        <v>98</v>
      </c>
      <c r="H7873" t="s">
        <v>185</v>
      </c>
      <c r="I7873">
        <v>5156.54</v>
      </c>
      <c r="J7873">
        <v>4985.1099999999997</v>
      </c>
      <c r="K7873" t="s">
        <v>17</v>
      </c>
      <c r="L7873" t="b">
        <v>0</v>
      </c>
      <c r="N7873" s="2" t="str">
        <f t="shared" si="703"/>
        <v/>
      </c>
      <c r="Q7873" t="str">
        <f t="shared" si="706"/>
        <v/>
      </c>
    </row>
    <row r="7874" spans="1:17" hidden="1">
      <c r="A7874" t="s">
        <v>7979</v>
      </c>
      <c r="B7874" s="1">
        <v>45967</v>
      </c>
      <c r="C7874">
        <v>2025</v>
      </c>
      <c r="D7874">
        <v>11</v>
      </c>
      <c r="E7874" t="s">
        <v>37</v>
      </c>
      <c r="F7874" t="s">
        <v>24</v>
      </c>
      <c r="G7874" t="s">
        <v>62</v>
      </c>
      <c r="H7874" t="s">
        <v>360</v>
      </c>
      <c r="I7874">
        <v>3841.15</v>
      </c>
      <c r="J7874">
        <v>4200.01</v>
      </c>
      <c r="K7874" t="s">
        <v>17</v>
      </c>
      <c r="L7874" t="b">
        <v>0</v>
      </c>
      <c r="N7874" s="2" t="str">
        <f t="shared" si="703"/>
        <v/>
      </c>
      <c r="Q7874" t="str">
        <f t="shared" si="706"/>
        <v/>
      </c>
    </row>
    <row r="7875" spans="1:17" hidden="1">
      <c r="A7875" t="s">
        <v>7980</v>
      </c>
      <c r="B7875" s="1">
        <v>45967</v>
      </c>
      <c r="C7875">
        <v>2025</v>
      </c>
      <c r="D7875">
        <v>11</v>
      </c>
      <c r="E7875" t="s">
        <v>37</v>
      </c>
      <c r="F7875" t="s">
        <v>24</v>
      </c>
      <c r="G7875" t="s">
        <v>38</v>
      </c>
      <c r="H7875" t="s">
        <v>227</v>
      </c>
      <c r="I7875">
        <v>3679</v>
      </c>
      <c r="J7875">
        <v>3626.58</v>
      </c>
      <c r="K7875" t="s">
        <v>17</v>
      </c>
      <c r="L7875" t="b">
        <v>0</v>
      </c>
      <c r="N7875" s="2" t="str">
        <f t="shared" ref="N7875:N7938" si="709">IF(AND(E7875="IT",K7875="EXPENSE"),I7875&gt;J7875,"")</f>
        <v/>
      </c>
      <c r="Q7875" t="str">
        <f t="shared" si="706"/>
        <v/>
      </c>
    </row>
    <row r="7876" spans="1:17" hidden="1">
      <c r="A7876" t="s">
        <v>7981</v>
      </c>
      <c r="B7876" s="1">
        <v>45968</v>
      </c>
      <c r="C7876">
        <v>2025</v>
      </c>
      <c r="D7876">
        <v>11</v>
      </c>
      <c r="E7876" t="s">
        <v>13</v>
      </c>
      <c r="F7876" t="s">
        <v>24</v>
      </c>
      <c r="G7876" t="s">
        <v>108</v>
      </c>
      <c r="H7876" t="s">
        <v>109</v>
      </c>
      <c r="I7876">
        <v>3790.55</v>
      </c>
      <c r="J7876">
        <v>3817.26</v>
      </c>
      <c r="K7876" t="s">
        <v>17</v>
      </c>
      <c r="L7876" t="b">
        <v>0</v>
      </c>
      <c r="N7876" s="2" t="str">
        <f t="shared" si="709"/>
        <v/>
      </c>
      <c r="Q7876" t="str">
        <f t="shared" si="706"/>
        <v/>
      </c>
    </row>
    <row r="7877" spans="1:17" hidden="1">
      <c r="A7877" t="s">
        <v>7982</v>
      </c>
      <c r="B7877" s="1">
        <v>45968</v>
      </c>
      <c r="C7877">
        <v>2025</v>
      </c>
      <c r="D7877">
        <v>11</v>
      </c>
      <c r="E7877" t="s">
        <v>19</v>
      </c>
      <c r="F7877" t="s">
        <v>14</v>
      </c>
      <c r="G7877" t="s">
        <v>132</v>
      </c>
      <c r="H7877" t="s">
        <v>138</v>
      </c>
      <c r="I7877">
        <v>4059.79</v>
      </c>
      <c r="J7877">
        <v>4369.2299999999996</v>
      </c>
      <c r="K7877" t="s">
        <v>17</v>
      </c>
      <c r="L7877" t="b">
        <v>0</v>
      </c>
      <c r="N7877" s="2" t="str">
        <f t="shared" si="709"/>
        <v/>
      </c>
      <c r="Q7877" t="str">
        <f t="shared" si="706"/>
        <v/>
      </c>
    </row>
    <row r="7878" spans="1:17" hidden="1">
      <c r="A7878" t="s">
        <v>7983</v>
      </c>
      <c r="B7878" s="1">
        <v>45968</v>
      </c>
      <c r="C7878">
        <v>2025</v>
      </c>
      <c r="D7878">
        <v>11</v>
      </c>
      <c r="E7878" t="s">
        <v>37</v>
      </c>
      <c r="F7878" t="s">
        <v>14</v>
      </c>
      <c r="G7878" t="s">
        <v>38</v>
      </c>
      <c r="H7878" t="s">
        <v>227</v>
      </c>
      <c r="I7878">
        <v>5913.49</v>
      </c>
      <c r="J7878">
        <v>6428.64</v>
      </c>
      <c r="K7878" t="s">
        <v>17</v>
      </c>
      <c r="L7878" t="b">
        <v>0</v>
      </c>
      <c r="N7878" s="2" t="str">
        <f t="shared" si="709"/>
        <v/>
      </c>
      <c r="Q7878" t="str">
        <f t="shared" si="706"/>
        <v/>
      </c>
    </row>
    <row r="7879" spans="1:17" hidden="1">
      <c r="A7879" t="s">
        <v>7984</v>
      </c>
      <c r="B7879" s="1">
        <v>45969</v>
      </c>
      <c r="C7879">
        <v>2025</v>
      </c>
      <c r="D7879">
        <v>11</v>
      </c>
      <c r="E7879" t="s">
        <v>47</v>
      </c>
      <c r="F7879" t="s">
        <v>14</v>
      </c>
      <c r="G7879" t="s">
        <v>91</v>
      </c>
      <c r="H7879" t="s">
        <v>128</v>
      </c>
      <c r="I7879">
        <v>18019.740000000002</v>
      </c>
      <c r="J7879">
        <v>15093.55</v>
      </c>
      <c r="K7879" t="s">
        <v>17</v>
      </c>
      <c r="L7879" t="b">
        <v>0</v>
      </c>
      <c r="N7879" s="2" t="b">
        <f t="shared" si="709"/>
        <v>1</v>
      </c>
      <c r="O7879" t="str">
        <f t="shared" ref="O7879:O7880" si="710">IF(AND(E7868="HR",K7868="EXPENSE"),I7868&lt;J7868,"")</f>
        <v/>
      </c>
      <c r="Q7879" t="str">
        <f t="shared" si="706"/>
        <v/>
      </c>
    </row>
    <row r="7880" spans="1:17" hidden="1">
      <c r="A7880" t="s">
        <v>7985</v>
      </c>
      <c r="B7880" s="1">
        <v>45969</v>
      </c>
      <c r="C7880">
        <v>2025</v>
      </c>
      <c r="D7880">
        <v>11</v>
      </c>
      <c r="E7880" t="s">
        <v>47</v>
      </c>
      <c r="F7880" t="s">
        <v>24</v>
      </c>
      <c r="G7880" t="s">
        <v>91</v>
      </c>
      <c r="H7880" t="s">
        <v>254</v>
      </c>
      <c r="I7880">
        <v>9339.5300000000007</v>
      </c>
      <c r="J7880">
        <v>7734.55</v>
      </c>
      <c r="K7880" t="s">
        <v>17</v>
      </c>
      <c r="L7880" t="b">
        <v>0</v>
      </c>
      <c r="N7880" s="2" t="b">
        <f t="shared" si="709"/>
        <v>1</v>
      </c>
      <c r="O7880" t="str">
        <f t="shared" si="710"/>
        <v/>
      </c>
      <c r="Q7880" t="str">
        <f t="shared" si="706"/>
        <v/>
      </c>
    </row>
    <row r="7881" spans="1:17" hidden="1">
      <c r="A7881" t="s">
        <v>7986</v>
      </c>
      <c r="B7881" s="1">
        <v>45969</v>
      </c>
      <c r="C7881">
        <v>2025</v>
      </c>
      <c r="D7881">
        <v>11</v>
      </c>
      <c r="E7881" t="s">
        <v>23</v>
      </c>
      <c r="F7881" t="s">
        <v>24</v>
      </c>
      <c r="G7881" t="s">
        <v>25</v>
      </c>
      <c r="H7881" t="s">
        <v>95</v>
      </c>
      <c r="I7881">
        <v>5543.17</v>
      </c>
      <c r="J7881">
        <v>5111.78</v>
      </c>
      <c r="K7881" t="s">
        <v>17</v>
      </c>
      <c r="L7881" t="b">
        <v>0</v>
      </c>
      <c r="N7881" s="2" t="str">
        <f t="shared" si="709"/>
        <v/>
      </c>
      <c r="Q7881" t="str">
        <f t="shared" si="706"/>
        <v/>
      </c>
    </row>
    <row r="7882" spans="1:17" hidden="1">
      <c r="A7882" t="s">
        <v>7987</v>
      </c>
      <c r="B7882" s="1">
        <v>45969</v>
      </c>
      <c r="C7882">
        <v>2025</v>
      </c>
      <c r="D7882">
        <v>11</v>
      </c>
      <c r="E7882" t="s">
        <v>23</v>
      </c>
      <c r="F7882" t="s">
        <v>24</v>
      </c>
      <c r="G7882" t="s">
        <v>25</v>
      </c>
      <c r="H7882" t="s">
        <v>26</v>
      </c>
      <c r="I7882">
        <v>2239.06</v>
      </c>
      <c r="J7882">
        <v>2436.56</v>
      </c>
      <c r="K7882" t="s">
        <v>17</v>
      </c>
      <c r="L7882" t="b">
        <v>0</v>
      </c>
      <c r="N7882" s="2" t="str">
        <f t="shared" si="709"/>
        <v/>
      </c>
      <c r="Q7882" t="str">
        <f t="shared" si="706"/>
        <v/>
      </c>
    </row>
    <row r="7883" spans="1:17" hidden="1">
      <c r="A7883" t="s">
        <v>7988</v>
      </c>
      <c r="B7883" s="1">
        <v>45969</v>
      </c>
      <c r="C7883">
        <v>2025</v>
      </c>
      <c r="D7883">
        <v>11</v>
      </c>
      <c r="E7883" t="s">
        <v>37</v>
      </c>
      <c r="F7883" t="s">
        <v>14</v>
      </c>
      <c r="G7883" t="s">
        <v>62</v>
      </c>
      <c r="H7883" t="s">
        <v>66</v>
      </c>
      <c r="I7883">
        <v>7146.06</v>
      </c>
      <c r="J7883">
        <v>7778.06</v>
      </c>
      <c r="K7883" t="s">
        <v>17</v>
      </c>
      <c r="L7883" t="b">
        <v>0</v>
      </c>
      <c r="N7883" s="2" t="str">
        <f t="shared" si="709"/>
        <v/>
      </c>
      <c r="Q7883" t="str">
        <f t="shared" si="706"/>
        <v/>
      </c>
    </row>
    <row r="7884" spans="1:17" hidden="1">
      <c r="A7884" t="s">
        <v>7989</v>
      </c>
      <c r="B7884" s="1">
        <v>45969</v>
      </c>
      <c r="C7884">
        <v>2025</v>
      </c>
      <c r="D7884">
        <v>11</v>
      </c>
      <c r="E7884" t="s">
        <v>37</v>
      </c>
      <c r="F7884" t="s">
        <v>28</v>
      </c>
      <c r="G7884" t="s">
        <v>98</v>
      </c>
      <c r="H7884" t="s">
        <v>99</v>
      </c>
      <c r="I7884">
        <v>6844.35</v>
      </c>
      <c r="J7884">
        <v>7190.16</v>
      </c>
      <c r="K7884" t="s">
        <v>17</v>
      </c>
      <c r="L7884" t="b">
        <v>0</v>
      </c>
      <c r="N7884" s="2" t="str">
        <f t="shared" si="709"/>
        <v/>
      </c>
      <c r="Q7884" t="str">
        <f t="shared" si="706"/>
        <v/>
      </c>
    </row>
    <row r="7885" spans="1:17" hidden="1">
      <c r="A7885" t="s">
        <v>7990</v>
      </c>
      <c r="B7885" s="1">
        <v>45970</v>
      </c>
      <c r="C7885">
        <v>2025</v>
      </c>
      <c r="D7885">
        <v>11</v>
      </c>
      <c r="E7885" t="s">
        <v>13</v>
      </c>
      <c r="F7885" t="s">
        <v>28</v>
      </c>
      <c r="G7885" t="s">
        <v>15</v>
      </c>
      <c r="H7885" t="s">
        <v>45</v>
      </c>
      <c r="I7885">
        <v>3177.71</v>
      </c>
      <c r="J7885">
        <v>3158.9</v>
      </c>
      <c r="K7885" t="s">
        <v>17</v>
      </c>
      <c r="L7885" t="b">
        <v>0</v>
      </c>
      <c r="N7885" s="2" t="str">
        <f t="shared" si="709"/>
        <v/>
      </c>
      <c r="Q7885" t="str">
        <f t="shared" si="706"/>
        <v/>
      </c>
    </row>
    <row r="7886" spans="1:17" hidden="1">
      <c r="A7886" t="s">
        <v>7991</v>
      </c>
      <c r="B7886" s="1">
        <v>45970</v>
      </c>
      <c r="C7886">
        <v>2025</v>
      </c>
      <c r="D7886">
        <v>11</v>
      </c>
      <c r="E7886" t="s">
        <v>13</v>
      </c>
      <c r="F7886" t="s">
        <v>28</v>
      </c>
      <c r="G7886" t="s">
        <v>108</v>
      </c>
      <c r="H7886" t="s">
        <v>123</v>
      </c>
      <c r="I7886">
        <v>3182.65</v>
      </c>
      <c r="J7886">
        <v>2910.6</v>
      </c>
      <c r="K7886" t="s">
        <v>17</v>
      </c>
      <c r="L7886" t="b">
        <v>0</v>
      </c>
      <c r="N7886" s="2" t="str">
        <f t="shared" si="709"/>
        <v/>
      </c>
      <c r="Q7886" t="str">
        <f t="shared" si="706"/>
        <v/>
      </c>
    </row>
    <row r="7887" spans="1:17" hidden="1">
      <c r="A7887" t="s">
        <v>7992</v>
      </c>
      <c r="B7887" s="1">
        <v>45970</v>
      </c>
      <c r="C7887">
        <v>2025</v>
      </c>
      <c r="D7887">
        <v>11</v>
      </c>
      <c r="E7887" t="s">
        <v>13</v>
      </c>
      <c r="F7887" t="s">
        <v>24</v>
      </c>
      <c r="G7887" t="s">
        <v>68</v>
      </c>
      <c r="H7887" t="s">
        <v>213</v>
      </c>
      <c r="I7887">
        <v>3270.89</v>
      </c>
      <c r="J7887">
        <v>3325.74</v>
      </c>
      <c r="K7887" t="s">
        <v>17</v>
      </c>
      <c r="L7887" t="b">
        <v>0</v>
      </c>
      <c r="N7887" s="2" t="str">
        <f t="shared" si="709"/>
        <v/>
      </c>
      <c r="Q7887" t="str">
        <f t="shared" si="706"/>
        <v/>
      </c>
    </row>
    <row r="7888" spans="1:17" hidden="1">
      <c r="A7888" t="s">
        <v>7993</v>
      </c>
      <c r="B7888" s="1">
        <v>45970</v>
      </c>
      <c r="C7888">
        <v>2025</v>
      </c>
      <c r="D7888">
        <v>11</v>
      </c>
      <c r="E7888" t="s">
        <v>47</v>
      </c>
      <c r="F7888" t="s">
        <v>28</v>
      </c>
      <c r="G7888" t="s">
        <v>91</v>
      </c>
      <c r="H7888" t="s">
        <v>249</v>
      </c>
      <c r="I7888">
        <v>8575.14</v>
      </c>
      <c r="J7888">
        <v>7440</v>
      </c>
      <c r="K7888" t="s">
        <v>17</v>
      </c>
      <c r="L7888" t="b">
        <v>0</v>
      </c>
      <c r="N7888" s="2" t="b">
        <f t="shared" si="709"/>
        <v>1</v>
      </c>
      <c r="O7888" t="str">
        <f t="shared" ref="O7888:O7889" si="711">IF(AND(E7877="HR",K7877="EXPENSE"),I7877&lt;J7877,"")</f>
        <v/>
      </c>
      <c r="Q7888" t="str">
        <f t="shared" si="706"/>
        <v/>
      </c>
    </row>
    <row r="7889" spans="1:17" hidden="1">
      <c r="A7889" t="s">
        <v>7994</v>
      </c>
      <c r="B7889" s="1">
        <v>45970</v>
      </c>
      <c r="C7889">
        <v>2025</v>
      </c>
      <c r="D7889">
        <v>11</v>
      </c>
      <c r="E7889" t="s">
        <v>47</v>
      </c>
      <c r="F7889" t="s">
        <v>24</v>
      </c>
      <c r="G7889" t="s">
        <v>77</v>
      </c>
      <c r="H7889" t="s">
        <v>130</v>
      </c>
      <c r="I7889">
        <v>10476.48</v>
      </c>
      <c r="J7889">
        <v>8631.15</v>
      </c>
      <c r="K7889" t="s">
        <v>17</v>
      </c>
      <c r="L7889" t="b">
        <v>0</v>
      </c>
      <c r="N7889" s="2" t="b">
        <f t="shared" si="709"/>
        <v>1</v>
      </c>
      <c r="O7889" t="str">
        <f t="shared" si="711"/>
        <v/>
      </c>
      <c r="Q7889" t="str">
        <f t="shared" si="706"/>
        <v/>
      </c>
    </row>
    <row r="7890" spans="1:17" hidden="1">
      <c r="A7890" t="s">
        <v>7995</v>
      </c>
      <c r="B7890" s="1">
        <v>45970</v>
      </c>
      <c r="C7890">
        <v>2025</v>
      </c>
      <c r="D7890">
        <v>11</v>
      </c>
      <c r="E7890" t="s">
        <v>19</v>
      </c>
      <c r="F7890" t="s">
        <v>28</v>
      </c>
      <c r="G7890" t="s">
        <v>54</v>
      </c>
      <c r="H7890" t="s">
        <v>55</v>
      </c>
      <c r="I7890">
        <v>7342.58</v>
      </c>
      <c r="J7890">
        <v>6914.8</v>
      </c>
      <c r="K7890" t="s">
        <v>17</v>
      </c>
      <c r="L7890" t="b">
        <v>0</v>
      </c>
      <c r="N7890" s="2" t="str">
        <f t="shared" si="709"/>
        <v/>
      </c>
      <c r="Q7890" t="str">
        <f t="shared" si="706"/>
        <v/>
      </c>
    </row>
    <row r="7891" spans="1:17" hidden="1">
      <c r="A7891" t="s">
        <v>7996</v>
      </c>
      <c r="B7891" s="1">
        <v>45970</v>
      </c>
      <c r="C7891">
        <v>2025</v>
      </c>
      <c r="D7891">
        <v>11</v>
      </c>
      <c r="E7891" t="s">
        <v>23</v>
      </c>
      <c r="F7891" t="s">
        <v>28</v>
      </c>
      <c r="G7891" t="s">
        <v>25</v>
      </c>
      <c r="H7891" t="s">
        <v>35</v>
      </c>
      <c r="I7891">
        <v>6476.06</v>
      </c>
      <c r="J7891">
        <v>6957.55</v>
      </c>
      <c r="K7891" t="s">
        <v>17</v>
      </c>
      <c r="L7891" t="b">
        <v>0</v>
      </c>
      <c r="N7891" s="2" t="str">
        <f t="shared" si="709"/>
        <v/>
      </c>
      <c r="Q7891" t="str">
        <f t="shared" si="706"/>
        <v/>
      </c>
    </row>
    <row r="7892" spans="1:17" hidden="1">
      <c r="A7892" t="s">
        <v>7997</v>
      </c>
      <c r="B7892" s="1">
        <v>45970</v>
      </c>
      <c r="C7892">
        <v>2025</v>
      </c>
      <c r="D7892">
        <v>11</v>
      </c>
      <c r="E7892" t="s">
        <v>37</v>
      </c>
      <c r="F7892" t="s">
        <v>28</v>
      </c>
      <c r="G7892" t="s">
        <v>83</v>
      </c>
      <c r="H7892" t="s">
        <v>84</v>
      </c>
      <c r="I7892">
        <v>269196.49</v>
      </c>
      <c r="J7892">
        <v>255736.67</v>
      </c>
      <c r="K7892" t="s">
        <v>85</v>
      </c>
      <c r="L7892" t="b">
        <v>0</v>
      </c>
      <c r="N7892" s="2" t="str">
        <f t="shared" si="709"/>
        <v/>
      </c>
      <c r="Q7892" t="str">
        <f t="shared" si="706"/>
        <v/>
      </c>
    </row>
    <row r="7893" spans="1:17" hidden="1">
      <c r="A7893" t="s">
        <v>7998</v>
      </c>
      <c r="B7893" s="1">
        <v>45971</v>
      </c>
      <c r="C7893">
        <v>2025</v>
      </c>
      <c r="D7893">
        <v>11</v>
      </c>
      <c r="E7893" t="s">
        <v>13</v>
      </c>
      <c r="F7893" t="s">
        <v>28</v>
      </c>
      <c r="G7893" t="s">
        <v>102</v>
      </c>
      <c r="H7893" t="s">
        <v>103</v>
      </c>
      <c r="I7893">
        <v>2327.44</v>
      </c>
      <c r="J7893">
        <v>2351.16</v>
      </c>
      <c r="K7893" t="s">
        <v>17</v>
      </c>
      <c r="L7893" t="b">
        <v>0</v>
      </c>
      <c r="N7893" s="2" t="str">
        <f t="shared" si="709"/>
        <v/>
      </c>
      <c r="Q7893" t="str">
        <f t="shared" si="706"/>
        <v/>
      </c>
    </row>
    <row r="7894" spans="1:17" hidden="1">
      <c r="A7894" t="s">
        <v>7999</v>
      </c>
      <c r="B7894" s="1">
        <v>45971</v>
      </c>
      <c r="C7894">
        <v>2025</v>
      </c>
      <c r="D7894">
        <v>11</v>
      </c>
      <c r="E7894" t="s">
        <v>13</v>
      </c>
      <c r="F7894" t="s">
        <v>24</v>
      </c>
      <c r="G7894" t="s">
        <v>102</v>
      </c>
      <c r="H7894" t="s">
        <v>103</v>
      </c>
      <c r="I7894">
        <v>2976.68</v>
      </c>
      <c r="J7894">
        <v>2768.7</v>
      </c>
      <c r="K7894" t="s">
        <v>17</v>
      </c>
      <c r="L7894" t="b">
        <v>0</v>
      </c>
      <c r="N7894" s="2" t="str">
        <f t="shared" si="709"/>
        <v/>
      </c>
      <c r="Q7894" t="str">
        <f t="shared" si="706"/>
        <v/>
      </c>
    </row>
    <row r="7895" spans="1:17" hidden="1">
      <c r="A7895" t="s">
        <v>8000</v>
      </c>
      <c r="B7895" s="1">
        <v>45971</v>
      </c>
      <c r="C7895">
        <v>2025</v>
      </c>
      <c r="D7895">
        <v>11</v>
      </c>
      <c r="E7895" t="s">
        <v>13</v>
      </c>
      <c r="F7895" t="s">
        <v>24</v>
      </c>
      <c r="G7895" t="s">
        <v>108</v>
      </c>
      <c r="H7895" t="s">
        <v>123</v>
      </c>
      <c r="I7895">
        <v>2309.63</v>
      </c>
      <c r="J7895">
        <v>2447.04</v>
      </c>
      <c r="K7895" t="s">
        <v>17</v>
      </c>
      <c r="L7895" t="b">
        <v>0</v>
      </c>
      <c r="N7895" s="2" t="str">
        <f t="shared" si="709"/>
        <v/>
      </c>
      <c r="Q7895" t="str">
        <f t="shared" si="706"/>
        <v/>
      </c>
    </row>
    <row r="7896" spans="1:17" hidden="1">
      <c r="A7896" t="s">
        <v>8001</v>
      </c>
      <c r="B7896" s="1">
        <v>45971</v>
      </c>
      <c r="C7896">
        <v>2025</v>
      </c>
      <c r="D7896">
        <v>11</v>
      </c>
      <c r="E7896" t="s">
        <v>13</v>
      </c>
      <c r="F7896" t="s">
        <v>24</v>
      </c>
      <c r="G7896" t="s">
        <v>108</v>
      </c>
      <c r="H7896" t="s">
        <v>123</v>
      </c>
      <c r="I7896">
        <v>3833.13</v>
      </c>
      <c r="J7896">
        <v>4058.1</v>
      </c>
      <c r="K7896" t="s">
        <v>17</v>
      </c>
      <c r="L7896" t="b">
        <v>0</v>
      </c>
      <c r="N7896" s="2" t="str">
        <f t="shared" si="709"/>
        <v/>
      </c>
      <c r="Q7896" t="str">
        <f t="shared" si="706"/>
        <v/>
      </c>
    </row>
    <row r="7897" spans="1:17" hidden="1">
      <c r="A7897" t="s">
        <v>8002</v>
      </c>
      <c r="B7897" s="1">
        <v>45971</v>
      </c>
      <c r="C7897">
        <v>2025</v>
      </c>
      <c r="D7897">
        <v>11</v>
      </c>
      <c r="E7897" t="s">
        <v>47</v>
      </c>
      <c r="F7897" t="s">
        <v>14</v>
      </c>
      <c r="G7897" t="s">
        <v>48</v>
      </c>
      <c r="H7897" t="s">
        <v>75</v>
      </c>
      <c r="I7897">
        <v>16600.36</v>
      </c>
      <c r="J7897">
        <v>14326.17</v>
      </c>
      <c r="K7897" t="s">
        <v>17</v>
      </c>
      <c r="L7897" t="b">
        <v>0</v>
      </c>
      <c r="N7897" s="2" t="b">
        <f t="shared" si="709"/>
        <v>1</v>
      </c>
      <c r="O7897" t="b">
        <f t="shared" ref="O7897:O7898" si="712">IF(AND(E7886="HR",K7886="EXPENSE"),I7886&lt;J7886,"")</f>
        <v>0</v>
      </c>
      <c r="Q7897" t="str">
        <f t="shared" si="706"/>
        <v/>
      </c>
    </row>
    <row r="7898" spans="1:17" hidden="1">
      <c r="A7898" t="s">
        <v>8003</v>
      </c>
      <c r="B7898" s="1">
        <v>45971</v>
      </c>
      <c r="C7898">
        <v>2025</v>
      </c>
      <c r="D7898">
        <v>11</v>
      </c>
      <c r="E7898" t="s">
        <v>47</v>
      </c>
      <c r="F7898" t="s">
        <v>28</v>
      </c>
      <c r="G7898" t="s">
        <v>51</v>
      </c>
      <c r="H7898" t="s">
        <v>189</v>
      </c>
      <c r="I7898">
        <v>16097.93</v>
      </c>
      <c r="J7898">
        <v>13292.32</v>
      </c>
      <c r="K7898" t="s">
        <v>17</v>
      </c>
      <c r="L7898" t="b">
        <v>0</v>
      </c>
      <c r="N7898" s="2" t="b">
        <f t="shared" si="709"/>
        <v>1</v>
      </c>
      <c r="O7898" t="b">
        <f t="shared" si="712"/>
        <v>1</v>
      </c>
      <c r="Q7898" t="str">
        <f t="shared" si="706"/>
        <v/>
      </c>
    </row>
    <row r="7899" spans="1:17" hidden="1">
      <c r="A7899" t="s">
        <v>8004</v>
      </c>
      <c r="B7899" s="1">
        <v>45971</v>
      </c>
      <c r="C7899">
        <v>2025</v>
      </c>
      <c r="D7899">
        <v>11</v>
      </c>
      <c r="E7899" t="s">
        <v>19</v>
      </c>
      <c r="F7899" t="s">
        <v>24</v>
      </c>
      <c r="G7899" t="s">
        <v>80</v>
      </c>
      <c r="H7899" t="s">
        <v>217</v>
      </c>
      <c r="I7899">
        <v>12130.62</v>
      </c>
      <c r="J7899">
        <v>12284.35</v>
      </c>
      <c r="K7899" t="s">
        <v>17</v>
      </c>
      <c r="L7899" t="b">
        <v>0</v>
      </c>
      <c r="N7899" s="2" t="str">
        <f t="shared" si="709"/>
        <v/>
      </c>
      <c r="Q7899" t="str">
        <f t="shared" si="706"/>
        <v/>
      </c>
    </row>
    <row r="7900" spans="1:17" hidden="1">
      <c r="A7900" t="s">
        <v>8005</v>
      </c>
      <c r="B7900" s="1">
        <v>45971</v>
      </c>
      <c r="C7900">
        <v>2025</v>
      </c>
      <c r="D7900">
        <v>11</v>
      </c>
      <c r="E7900" t="s">
        <v>19</v>
      </c>
      <c r="F7900" t="s">
        <v>24</v>
      </c>
      <c r="G7900" t="s">
        <v>80</v>
      </c>
      <c r="H7900" t="s">
        <v>113</v>
      </c>
      <c r="I7900">
        <v>10527.34</v>
      </c>
      <c r="J7900">
        <v>10530.26</v>
      </c>
      <c r="K7900" t="s">
        <v>17</v>
      </c>
      <c r="L7900" t="b">
        <v>0</v>
      </c>
      <c r="N7900" s="2" t="str">
        <f t="shared" si="709"/>
        <v/>
      </c>
      <c r="Q7900" t="str">
        <f t="shared" si="706"/>
        <v/>
      </c>
    </row>
    <row r="7901" spans="1:17" hidden="1">
      <c r="A7901" t="s">
        <v>8006</v>
      </c>
      <c r="B7901" s="1">
        <v>45971</v>
      </c>
      <c r="C7901">
        <v>2025</v>
      </c>
      <c r="D7901">
        <v>11</v>
      </c>
      <c r="E7901" t="s">
        <v>19</v>
      </c>
      <c r="F7901" t="s">
        <v>24</v>
      </c>
      <c r="G7901" t="s">
        <v>20</v>
      </c>
      <c r="H7901" t="s">
        <v>174</v>
      </c>
      <c r="I7901">
        <v>7563.65</v>
      </c>
      <c r="J7901">
        <v>8067.03</v>
      </c>
      <c r="K7901" t="s">
        <v>17</v>
      </c>
      <c r="L7901" t="b">
        <v>0</v>
      </c>
      <c r="N7901" s="2" t="str">
        <f t="shared" si="709"/>
        <v/>
      </c>
      <c r="Q7901" t="str">
        <f t="shared" si="706"/>
        <v/>
      </c>
    </row>
    <row r="7902" spans="1:17" hidden="1">
      <c r="A7902" t="s">
        <v>8007</v>
      </c>
      <c r="B7902" s="1">
        <v>45971</v>
      </c>
      <c r="C7902">
        <v>2025</v>
      </c>
      <c r="D7902">
        <v>11</v>
      </c>
      <c r="E7902" t="s">
        <v>23</v>
      </c>
      <c r="F7902" t="s">
        <v>14</v>
      </c>
      <c r="G7902" t="s">
        <v>30</v>
      </c>
      <c r="H7902" t="s">
        <v>31</v>
      </c>
      <c r="I7902">
        <v>7130.55</v>
      </c>
      <c r="J7902">
        <v>6978.69</v>
      </c>
      <c r="K7902" t="s">
        <v>17</v>
      </c>
      <c r="L7902" t="b">
        <v>0</v>
      </c>
      <c r="N7902" s="2" t="str">
        <f t="shared" si="709"/>
        <v/>
      </c>
      <c r="Q7902" t="str">
        <f t="shared" si="706"/>
        <v/>
      </c>
    </row>
    <row r="7903" spans="1:17" hidden="1">
      <c r="A7903" t="s">
        <v>8008</v>
      </c>
      <c r="B7903" s="1">
        <v>45971</v>
      </c>
      <c r="C7903">
        <v>2025</v>
      </c>
      <c r="D7903">
        <v>11</v>
      </c>
      <c r="E7903" t="s">
        <v>23</v>
      </c>
      <c r="F7903" t="s">
        <v>28</v>
      </c>
      <c r="G7903" t="s">
        <v>59</v>
      </c>
      <c r="H7903" t="s">
        <v>60</v>
      </c>
      <c r="I7903">
        <v>8096.19</v>
      </c>
      <c r="J7903">
        <v>7594.75</v>
      </c>
      <c r="K7903" t="s">
        <v>17</v>
      </c>
      <c r="L7903" t="b">
        <v>0</v>
      </c>
      <c r="N7903" s="2" t="str">
        <f t="shared" si="709"/>
        <v/>
      </c>
      <c r="Q7903" t="str">
        <f t="shared" si="706"/>
        <v/>
      </c>
    </row>
    <row r="7904" spans="1:17" hidden="1">
      <c r="A7904" t="s">
        <v>8009</v>
      </c>
      <c r="B7904" s="1">
        <v>45971</v>
      </c>
      <c r="C7904">
        <v>2025</v>
      </c>
      <c r="D7904">
        <v>11</v>
      </c>
      <c r="E7904" t="s">
        <v>23</v>
      </c>
      <c r="F7904" t="s">
        <v>24</v>
      </c>
      <c r="G7904" t="s">
        <v>59</v>
      </c>
      <c r="H7904" t="s">
        <v>60</v>
      </c>
      <c r="I7904">
        <v>6523.04</v>
      </c>
      <c r="J7904">
        <v>6761.24</v>
      </c>
      <c r="K7904" t="s">
        <v>17</v>
      </c>
      <c r="L7904" t="b">
        <v>0</v>
      </c>
      <c r="N7904" s="2" t="str">
        <f t="shared" si="709"/>
        <v/>
      </c>
      <c r="Q7904" t="str">
        <f t="shared" si="706"/>
        <v/>
      </c>
    </row>
    <row r="7905" spans="1:17" hidden="1">
      <c r="A7905" t="s">
        <v>8010</v>
      </c>
      <c r="B7905" s="1">
        <v>45972</v>
      </c>
      <c r="C7905">
        <v>2025</v>
      </c>
      <c r="D7905">
        <v>11</v>
      </c>
      <c r="E7905" t="s">
        <v>13</v>
      </c>
      <c r="F7905" t="s">
        <v>28</v>
      </c>
      <c r="G7905" t="s">
        <v>108</v>
      </c>
      <c r="H7905" t="s">
        <v>126</v>
      </c>
      <c r="I7905">
        <v>3040.22</v>
      </c>
      <c r="J7905">
        <v>2868.75</v>
      </c>
      <c r="K7905" t="s">
        <v>17</v>
      </c>
      <c r="L7905" t="b">
        <v>0</v>
      </c>
      <c r="N7905" s="2" t="str">
        <f t="shared" si="709"/>
        <v/>
      </c>
      <c r="Q7905" t="str">
        <f t="shared" si="706"/>
        <v/>
      </c>
    </row>
    <row r="7906" spans="1:17" hidden="1">
      <c r="A7906" t="s">
        <v>8011</v>
      </c>
      <c r="B7906" s="1">
        <v>45972</v>
      </c>
      <c r="C7906">
        <v>2025</v>
      </c>
      <c r="D7906">
        <v>11</v>
      </c>
      <c r="E7906" t="s">
        <v>13</v>
      </c>
      <c r="F7906" t="s">
        <v>28</v>
      </c>
      <c r="G7906" t="s">
        <v>15</v>
      </c>
      <c r="H7906" t="s">
        <v>16</v>
      </c>
      <c r="I7906">
        <v>5927.32</v>
      </c>
      <c r="J7906">
        <v>5989.19</v>
      </c>
      <c r="K7906" t="s">
        <v>17</v>
      </c>
      <c r="L7906" t="b">
        <v>0</v>
      </c>
      <c r="N7906" s="2" t="str">
        <f t="shared" si="709"/>
        <v/>
      </c>
      <c r="Q7906" t="str">
        <f t="shared" si="706"/>
        <v/>
      </c>
    </row>
    <row r="7907" spans="1:17" hidden="1">
      <c r="A7907" t="s">
        <v>8012</v>
      </c>
      <c r="B7907" s="1">
        <v>45972</v>
      </c>
      <c r="C7907">
        <v>2025</v>
      </c>
      <c r="D7907">
        <v>11</v>
      </c>
      <c r="E7907" t="s">
        <v>47</v>
      </c>
      <c r="F7907" t="s">
        <v>28</v>
      </c>
      <c r="G7907" t="s">
        <v>77</v>
      </c>
      <c r="H7907" t="s">
        <v>78</v>
      </c>
      <c r="I7907">
        <v>13520.8</v>
      </c>
      <c r="J7907">
        <v>11398.97</v>
      </c>
      <c r="K7907" t="s">
        <v>17</v>
      </c>
      <c r="L7907" t="b">
        <v>0</v>
      </c>
      <c r="N7907" s="2" t="b">
        <f t="shared" si="709"/>
        <v>1</v>
      </c>
      <c r="O7907" t="b">
        <f t="shared" ref="O7907:O7908" si="713">IF(AND(E7896="HR",K7896="EXPENSE"),I7896&lt;J7896,"")</f>
        <v>1</v>
      </c>
      <c r="Q7907" t="str">
        <f t="shared" si="706"/>
        <v/>
      </c>
    </row>
    <row r="7908" spans="1:17" hidden="1">
      <c r="A7908" t="s">
        <v>8013</v>
      </c>
      <c r="B7908" s="1">
        <v>45972</v>
      </c>
      <c r="C7908">
        <v>2025</v>
      </c>
      <c r="D7908">
        <v>11</v>
      </c>
      <c r="E7908" t="s">
        <v>47</v>
      </c>
      <c r="F7908" t="s">
        <v>24</v>
      </c>
      <c r="G7908" t="s">
        <v>77</v>
      </c>
      <c r="H7908" t="s">
        <v>130</v>
      </c>
      <c r="I7908">
        <v>10554.61</v>
      </c>
      <c r="J7908">
        <v>8654.81</v>
      </c>
      <c r="K7908" t="s">
        <v>17</v>
      </c>
      <c r="L7908" t="b">
        <v>0</v>
      </c>
      <c r="N7908" s="2" t="b">
        <f t="shared" si="709"/>
        <v>1</v>
      </c>
      <c r="O7908" t="str">
        <f t="shared" si="713"/>
        <v/>
      </c>
      <c r="Q7908" t="str">
        <f t="shared" si="706"/>
        <v/>
      </c>
    </row>
    <row r="7909" spans="1:17" hidden="1">
      <c r="A7909" t="s">
        <v>8014</v>
      </c>
      <c r="B7909" s="1">
        <v>45972</v>
      </c>
      <c r="C7909">
        <v>2025</v>
      </c>
      <c r="D7909">
        <v>11</v>
      </c>
      <c r="E7909" t="s">
        <v>19</v>
      </c>
      <c r="F7909" t="s">
        <v>14</v>
      </c>
      <c r="G7909" t="s">
        <v>20</v>
      </c>
      <c r="H7909" t="s">
        <v>136</v>
      </c>
      <c r="I7909">
        <v>7315.82</v>
      </c>
      <c r="J7909">
        <v>6845.11</v>
      </c>
      <c r="K7909" t="s">
        <v>17</v>
      </c>
      <c r="L7909" t="b">
        <v>0</v>
      </c>
      <c r="N7909" s="2" t="str">
        <f t="shared" si="709"/>
        <v/>
      </c>
      <c r="Q7909" t="str">
        <f t="shared" si="706"/>
        <v/>
      </c>
    </row>
    <row r="7910" spans="1:17" hidden="1">
      <c r="A7910" t="s">
        <v>8015</v>
      </c>
      <c r="B7910" s="1">
        <v>45972</v>
      </c>
      <c r="C7910">
        <v>2025</v>
      </c>
      <c r="D7910">
        <v>11</v>
      </c>
      <c r="E7910" t="s">
        <v>19</v>
      </c>
      <c r="F7910" t="s">
        <v>14</v>
      </c>
      <c r="G7910" t="s">
        <v>80</v>
      </c>
      <c r="H7910" t="s">
        <v>81</v>
      </c>
      <c r="I7910">
        <v>10826.58</v>
      </c>
      <c r="J7910">
        <v>10399.16</v>
      </c>
      <c r="K7910" t="s">
        <v>17</v>
      </c>
      <c r="L7910" t="b">
        <v>0</v>
      </c>
      <c r="N7910" s="2" t="str">
        <f t="shared" si="709"/>
        <v/>
      </c>
      <c r="Q7910" t="str">
        <f t="shared" si="706"/>
        <v/>
      </c>
    </row>
    <row r="7911" spans="1:17" hidden="1">
      <c r="A7911" t="s">
        <v>8016</v>
      </c>
      <c r="B7911" s="1">
        <v>45972</v>
      </c>
      <c r="C7911">
        <v>2025</v>
      </c>
      <c r="D7911">
        <v>11</v>
      </c>
      <c r="E7911" t="s">
        <v>19</v>
      </c>
      <c r="F7911" t="s">
        <v>28</v>
      </c>
      <c r="G7911" t="s">
        <v>54</v>
      </c>
      <c r="H7911" t="s">
        <v>163</v>
      </c>
      <c r="I7911">
        <v>5260.81</v>
      </c>
      <c r="J7911">
        <v>5204.88</v>
      </c>
      <c r="K7911" t="s">
        <v>17</v>
      </c>
      <c r="L7911" t="b">
        <v>0</v>
      </c>
      <c r="N7911" s="2" t="str">
        <f t="shared" si="709"/>
        <v/>
      </c>
      <c r="Q7911" t="str">
        <f t="shared" si="706"/>
        <v/>
      </c>
    </row>
    <row r="7912" spans="1:17" hidden="1">
      <c r="A7912" t="s">
        <v>8017</v>
      </c>
      <c r="B7912" s="1">
        <v>45972</v>
      </c>
      <c r="C7912">
        <v>2025</v>
      </c>
      <c r="D7912">
        <v>11</v>
      </c>
      <c r="E7912" t="s">
        <v>19</v>
      </c>
      <c r="F7912" t="s">
        <v>24</v>
      </c>
      <c r="G7912" t="s">
        <v>132</v>
      </c>
      <c r="H7912" t="s">
        <v>171</v>
      </c>
      <c r="I7912">
        <v>7603.91</v>
      </c>
      <c r="J7912">
        <v>7321.9</v>
      </c>
      <c r="K7912" t="s">
        <v>17</v>
      </c>
      <c r="L7912" t="b">
        <v>0</v>
      </c>
      <c r="N7912" s="2" t="str">
        <f t="shared" si="709"/>
        <v/>
      </c>
      <c r="Q7912" t="str">
        <f t="shared" si="706"/>
        <v/>
      </c>
    </row>
    <row r="7913" spans="1:17" hidden="1">
      <c r="A7913" t="s">
        <v>8018</v>
      </c>
      <c r="B7913" s="1">
        <v>45972</v>
      </c>
      <c r="C7913">
        <v>2025</v>
      </c>
      <c r="D7913">
        <v>11</v>
      </c>
      <c r="E7913" t="s">
        <v>23</v>
      </c>
      <c r="F7913" t="s">
        <v>14</v>
      </c>
      <c r="G7913" t="s">
        <v>30</v>
      </c>
      <c r="H7913" t="s">
        <v>33</v>
      </c>
      <c r="I7913">
        <v>4249.4799999999996</v>
      </c>
      <c r="J7913">
        <v>4650.79</v>
      </c>
      <c r="K7913" t="s">
        <v>17</v>
      </c>
      <c r="L7913" t="b">
        <v>0</v>
      </c>
      <c r="N7913" s="2" t="str">
        <f t="shared" si="709"/>
        <v/>
      </c>
      <c r="Q7913" t="str">
        <f t="shared" si="706"/>
        <v/>
      </c>
    </row>
    <row r="7914" spans="1:17" hidden="1">
      <c r="A7914" t="s">
        <v>8019</v>
      </c>
      <c r="B7914" s="1">
        <v>45972</v>
      </c>
      <c r="C7914">
        <v>2025</v>
      </c>
      <c r="D7914">
        <v>11</v>
      </c>
      <c r="E7914" t="s">
        <v>37</v>
      </c>
      <c r="F7914" t="s">
        <v>28</v>
      </c>
      <c r="G7914" t="s">
        <v>62</v>
      </c>
      <c r="H7914" t="s">
        <v>66</v>
      </c>
      <c r="I7914">
        <v>4980.08</v>
      </c>
      <c r="J7914">
        <v>4636.32</v>
      </c>
      <c r="K7914" t="s">
        <v>17</v>
      </c>
      <c r="L7914" t="b">
        <v>0</v>
      </c>
      <c r="N7914" s="2" t="str">
        <f t="shared" si="709"/>
        <v/>
      </c>
      <c r="Q7914" t="str">
        <f t="shared" si="706"/>
        <v/>
      </c>
    </row>
    <row r="7915" spans="1:17" hidden="1">
      <c r="A7915" t="s">
        <v>8020</v>
      </c>
      <c r="B7915" s="1">
        <v>45972</v>
      </c>
      <c r="C7915">
        <v>2025</v>
      </c>
      <c r="D7915">
        <v>11</v>
      </c>
      <c r="E7915" t="s">
        <v>37</v>
      </c>
      <c r="F7915" t="s">
        <v>24</v>
      </c>
      <c r="G7915" t="s">
        <v>62</v>
      </c>
      <c r="H7915" t="s">
        <v>360</v>
      </c>
      <c r="I7915">
        <v>6218.06</v>
      </c>
      <c r="J7915">
        <v>6209.18</v>
      </c>
      <c r="K7915" t="s">
        <v>17</v>
      </c>
      <c r="L7915" t="b">
        <v>0</v>
      </c>
      <c r="N7915" s="2" t="str">
        <f t="shared" si="709"/>
        <v/>
      </c>
      <c r="Q7915" t="str">
        <f t="shared" si="706"/>
        <v/>
      </c>
    </row>
    <row r="7916" spans="1:17" hidden="1">
      <c r="A7916" t="s">
        <v>8021</v>
      </c>
      <c r="B7916" s="1">
        <v>45973</v>
      </c>
      <c r="C7916">
        <v>2025</v>
      </c>
      <c r="D7916">
        <v>11</v>
      </c>
      <c r="E7916" t="s">
        <v>47</v>
      </c>
      <c r="F7916" t="s">
        <v>14</v>
      </c>
      <c r="G7916" t="s">
        <v>51</v>
      </c>
      <c r="H7916" t="s">
        <v>72</v>
      </c>
      <c r="I7916">
        <v>13935.15</v>
      </c>
      <c r="J7916">
        <v>11845.85</v>
      </c>
      <c r="K7916" t="s">
        <v>17</v>
      </c>
      <c r="L7916" t="b">
        <v>0</v>
      </c>
      <c r="N7916" s="2" t="b">
        <f t="shared" si="709"/>
        <v>1</v>
      </c>
      <c r="O7916" t="b">
        <f>IF(AND(E7905="HR",K7905="EXPENSE"),I7905&lt;J7905,"")</f>
        <v>0</v>
      </c>
      <c r="Q7916" t="str">
        <f t="shared" si="706"/>
        <v/>
      </c>
    </row>
    <row r="7917" spans="1:17" hidden="1">
      <c r="A7917" t="s">
        <v>8022</v>
      </c>
      <c r="B7917" s="1">
        <v>45973</v>
      </c>
      <c r="C7917">
        <v>2025</v>
      </c>
      <c r="D7917">
        <v>11</v>
      </c>
      <c r="E7917" t="s">
        <v>19</v>
      </c>
      <c r="F7917" t="s">
        <v>28</v>
      </c>
      <c r="G7917" t="s">
        <v>20</v>
      </c>
      <c r="H7917" t="s">
        <v>174</v>
      </c>
      <c r="I7917">
        <v>7629.19</v>
      </c>
      <c r="J7917">
        <v>7208.52</v>
      </c>
      <c r="K7917" t="s">
        <v>17</v>
      </c>
      <c r="L7917" t="b">
        <v>0</v>
      </c>
      <c r="N7917" s="2" t="str">
        <f t="shared" si="709"/>
        <v/>
      </c>
      <c r="Q7917" t="str">
        <f t="shared" si="706"/>
        <v/>
      </c>
    </row>
    <row r="7918" spans="1:17" hidden="1">
      <c r="A7918" t="s">
        <v>8023</v>
      </c>
      <c r="B7918" s="1">
        <v>45973</v>
      </c>
      <c r="C7918">
        <v>2025</v>
      </c>
      <c r="D7918">
        <v>11</v>
      </c>
      <c r="E7918" t="s">
        <v>19</v>
      </c>
      <c r="F7918" t="s">
        <v>28</v>
      </c>
      <c r="G7918" t="s">
        <v>54</v>
      </c>
      <c r="H7918" t="s">
        <v>163</v>
      </c>
      <c r="I7918">
        <v>6461.08</v>
      </c>
      <c r="J7918">
        <v>7067.72</v>
      </c>
      <c r="K7918" t="s">
        <v>17</v>
      </c>
      <c r="L7918" t="b">
        <v>0</v>
      </c>
      <c r="N7918" s="2" t="str">
        <f t="shared" si="709"/>
        <v/>
      </c>
      <c r="Q7918" t="str">
        <f t="shared" si="706"/>
        <v/>
      </c>
    </row>
    <row r="7919" spans="1:17" hidden="1">
      <c r="A7919" t="s">
        <v>8024</v>
      </c>
      <c r="B7919" s="1">
        <v>45973</v>
      </c>
      <c r="C7919">
        <v>2025</v>
      </c>
      <c r="D7919">
        <v>11</v>
      </c>
      <c r="E7919" t="s">
        <v>23</v>
      </c>
      <c r="F7919" t="s">
        <v>14</v>
      </c>
      <c r="G7919" t="s">
        <v>25</v>
      </c>
      <c r="H7919" t="s">
        <v>35</v>
      </c>
      <c r="I7919">
        <v>6133.35</v>
      </c>
      <c r="J7919">
        <v>6224.85</v>
      </c>
      <c r="K7919" t="s">
        <v>17</v>
      </c>
      <c r="L7919" t="b">
        <v>0</v>
      </c>
      <c r="N7919" s="2" t="str">
        <f t="shared" si="709"/>
        <v/>
      </c>
      <c r="Q7919" t="str">
        <f t="shared" si="706"/>
        <v/>
      </c>
    </row>
    <row r="7920" spans="1:17" hidden="1">
      <c r="A7920" t="s">
        <v>8025</v>
      </c>
      <c r="B7920" s="1">
        <v>45973</v>
      </c>
      <c r="C7920">
        <v>2025</v>
      </c>
      <c r="D7920">
        <v>11</v>
      </c>
      <c r="E7920" t="s">
        <v>23</v>
      </c>
      <c r="F7920" t="s">
        <v>24</v>
      </c>
      <c r="G7920" t="s">
        <v>141</v>
      </c>
      <c r="H7920" t="s">
        <v>142</v>
      </c>
      <c r="I7920">
        <v>4512.3500000000004</v>
      </c>
      <c r="J7920">
        <v>4698.26</v>
      </c>
      <c r="K7920" t="s">
        <v>17</v>
      </c>
      <c r="L7920" t="b">
        <v>0</v>
      </c>
      <c r="N7920" s="2" t="str">
        <f t="shared" si="709"/>
        <v/>
      </c>
      <c r="Q7920" t="str">
        <f t="shared" ref="Q7920:Q7983" si="714">IF(L7920=TRUE,OR(H7920="Apex Solutions Inc",H7920="Global Trade Partners",H7920="NovaTech Services"),"")</f>
        <v/>
      </c>
    </row>
    <row r="7921" spans="1:17" hidden="1">
      <c r="A7921" t="s">
        <v>8026</v>
      </c>
      <c r="B7921" s="1">
        <v>45974</v>
      </c>
      <c r="C7921">
        <v>2025</v>
      </c>
      <c r="D7921">
        <v>11</v>
      </c>
      <c r="E7921" t="s">
        <v>13</v>
      </c>
      <c r="F7921" t="s">
        <v>14</v>
      </c>
      <c r="G7921" t="s">
        <v>15</v>
      </c>
      <c r="H7921" t="s">
        <v>45</v>
      </c>
      <c r="I7921">
        <v>3585.6</v>
      </c>
      <c r="J7921">
        <v>3373.12</v>
      </c>
      <c r="K7921" t="s">
        <v>17</v>
      </c>
      <c r="L7921" t="b">
        <v>0</v>
      </c>
      <c r="N7921" s="2" t="str">
        <f t="shared" si="709"/>
        <v/>
      </c>
      <c r="Q7921" t="str">
        <f t="shared" si="714"/>
        <v/>
      </c>
    </row>
    <row r="7922" spans="1:17" hidden="1">
      <c r="A7922" t="s">
        <v>8027</v>
      </c>
      <c r="B7922" s="1">
        <v>45974</v>
      </c>
      <c r="C7922">
        <v>2025</v>
      </c>
      <c r="D7922">
        <v>11</v>
      </c>
      <c r="E7922" t="s">
        <v>13</v>
      </c>
      <c r="F7922" t="s">
        <v>28</v>
      </c>
      <c r="G7922" t="s">
        <v>102</v>
      </c>
      <c r="H7922" t="s">
        <v>278</v>
      </c>
      <c r="I7922">
        <v>4266.3</v>
      </c>
      <c r="J7922">
        <v>4692.84</v>
      </c>
      <c r="K7922" t="s">
        <v>17</v>
      </c>
      <c r="L7922" t="b">
        <v>0</v>
      </c>
      <c r="N7922" s="2" t="str">
        <f t="shared" si="709"/>
        <v/>
      </c>
      <c r="Q7922" t="str">
        <f t="shared" si="714"/>
        <v/>
      </c>
    </row>
    <row r="7923" spans="1:17" hidden="1">
      <c r="A7923" t="s">
        <v>8028</v>
      </c>
      <c r="B7923" s="1">
        <v>45974</v>
      </c>
      <c r="C7923">
        <v>2025</v>
      </c>
      <c r="D7923">
        <v>11</v>
      </c>
      <c r="E7923" t="s">
        <v>13</v>
      </c>
      <c r="F7923" t="s">
        <v>24</v>
      </c>
      <c r="G7923" t="s">
        <v>68</v>
      </c>
      <c r="H7923" t="s">
        <v>69</v>
      </c>
      <c r="I7923">
        <v>4326.83</v>
      </c>
      <c r="J7923">
        <v>4096.93</v>
      </c>
      <c r="K7923" t="s">
        <v>17</v>
      </c>
      <c r="L7923" t="b">
        <v>0</v>
      </c>
      <c r="N7923" s="2" t="str">
        <f t="shared" si="709"/>
        <v/>
      </c>
      <c r="Q7923" t="str">
        <f t="shared" si="714"/>
        <v/>
      </c>
    </row>
    <row r="7924" spans="1:17" hidden="1">
      <c r="A7924" t="s">
        <v>8029</v>
      </c>
      <c r="B7924" s="1">
        <v>45974</v>
      </c>
      <c r="C7924">
        <v>2025</v>
      </c>
      <c r="D7924">
        <v>11</v>
      </c>
      <c r="E7924" t="s">
        <v>47</v>
      </c>
      <c r="F7924" t="s">
        <v>14</v>
      </c>
      <c r="G7924" t="s">
        <v>51</v>
      </c>
      <c r="H7924" t="s">
        <v>52</v>
      </c>
      <c r="I7924">
        <v>13842.85</v>
      </c>
      <c r="J7924">
        <v>11766.37</v>
      </c>
      <c r="K7924" t="s">
        <v>17</v>
      </c>
      <c r="L7924" t="b">
        <v>0</v>
      </c>
      <c r="N7924" s="2" t="b">
        <f t="shared" si="709"/>
        <v>1</v>
      </c>
      <c r="O7924" t="str">
        <f>IF(AND(E7913="HR",K7913="EXPENSE"),I7913&lt;J7913,"")</f>
        <v/>
      </c>
      <c r="Q7924" t="str">
        <f t="shared" si="714"/>
        <v/>
      </c>
    </row>
    <row r="7925" spans="1:17" hidden="1">
      <c r="A7925" t="s">
        <v>8030</v>
      </c>
      <c r="B7925" s="1">
        <v>45974</v>
      </c>
      <c r="C7925">
        <v>2025</v>
      </c>
      <c r="D7925">
        <v>11</v>
      </c>
      <c r="E7925" t="s">
        <v>19</v>
      </c>
      <c r="F7925" t="s">
        <v>28</v>
      </c>
      <c r="G7925" t="s">
        <v>80</v>
      </c>
      <c r="H7925" t="s">
        <v>113</v>
      </c>
      <c r="I7925">
        <v>7867.26</v>
      </c>
      <c r="J7925">
        <v>7813.95</v>
      </c>
      <c r="K7925" t="s">
        <v>17</v>
      </c>
      <c r="L7925" t="b">
        <v>0</v>
      </c>
      <c r="N7925" s="2" t="str">
        <f t="shared" si="709"/>
        <v/>
      </c>
      <c r="Q7925" t="str">
        <f t="shared" si="714"/>
        <v/>
      </c>
    </row>
    <row r="7926" spans="1:17" hidden="1">
      <c r="A7926" t="s">
        <v>8031</v>
      </c>
      <c r="B7926" s="1">
        <v>45974</v>
      </c>
      <c r="C7926">
        <v>2025</v>
      </c>
      <c r="D7926">
        <v>11</v>
      </c>
      <c r="E7926" t="s">
        <v>23</v>
      </c>
      <c r="F7926" t="s">
        <v>14</v>
      </c>
      <c r="G7926" t="s">
        <v>25</v>
      </c>
      <c r="H7926" t="s">
        <v>95</v>
      </c>
      <c r="I7926">
        <v>5817.59</v>
      </c>
      <c r="J7926">
        <v>6147.17</v>
      </c>
      <c r="K7926" t="s">
        <v>17</v>
      </c>
      <c r="L7926" t="b">
        <v>0</v>
      </c>
      <c r="N7926" s="2" t="str">
        <f t="shared" si="709"/>
        <v/>
      </c>
      <c r="Q7926" t="str">
        <f t="shared" si="714"/>
        <v/>
      </c>
    </row>
    <row r="7927" spans="1:17" hidden="1">
      <c r="A7927" t="s">
        <v>8032</v>
      </c>
      <c r="B7927" s="1">
        <v>45974</v>
      </c>
      <c r="C7927">
        <v>2025</v>
      </c>
      <c r="D7927">
        <v>11</v>
      </c>
      <c r="E7927" t="s">
        <v>23</v>
      </c>
      <c r="F7927" t="s">
        <v>24</v>
      </c>
      <c r="G7927" t="s">
        <v>59</v>
      </c>
      <c r="H7927" t="s">
        <v>155</v>
      </c>
      <c r="I7927">
        <v>3962.29</v>
      </c>
      <c r="J7927">
        <v>3640.94</v>
      </c>
      <c r="K7927" t="s">
        <v>17</v>
      </c>
      <c r="L7927" t="b">
        <v>0</v>
      </c>
      <c r="N7927" s="2" t="str">
        <f t="shared" si="709"/>
        <v/>
      </c>
      <c r="Q7927" t="str">
        <f t="shared" si="714"/>
        <v/>
      </c>
    </row>
    <row r="7928" spans="1:17" hidden="1">
      <c r="A7928" t="s">
        <v>8033</v>
      </c>
      <c r="B7928" s="1">
        <v>45974</v>
      </c>
      <c r="C7928">
        <v>2025</v>
      </c>
      <c r="D7928">
        <v>11</v>
      </c>
      <c r="E7928" t="s">
        <v>37</v>
      </c>
      <c r="F7928" t="s">
        <v>24</v>
      </c>
      <c r="G7928" t="s">
        <v>41</v>
      </c>
      <c r="H7928" t="s">
        <v>42</v>
      </c>
      <c r="I7928">
        <v>4116.24</v>
      </c>
      <c r="J7928">
        <v>3828.89</v>
      </c>
      <c r="K7928" t="s">
        <v>17</v>
      </c>
      <c r="L7928" t="b">
        <v>0</v>
      </c>
      <c r="N7928" s="2" t="str">
        <f t="shared" si="709"/>
        <v/>
      </c>
      <c r="Q7928" t="str">
        <f t="shared" si="714"/>
        <v/>
      </c>
    </row>
    <row r="7929" spans="1:17" hidden="1">
      <c r="A7929" t="s">
        <v>8034</v>
      </c>
      <c r="B7929" s="1">
        <v>45975</v>
      </c>
      <c r="C7929">
        <v>2025</v>
      </c>
      <c r="D7929">
        <v>11</v>
      </c>
      <c r="E7929" t="s">
        <v>13</v>
      </c>
      <c r="F7929" t="s">
        <v>24</v>
      </c>
      <c r="G7929" t="s">
        <v>68</v>
      </c>
      <c r="H7929" t="s">
        <v>69</v>
      </c>
      <c r="I7929">
        <v>5579.03</v>
      </c>
      <c r="J7929">
        <v>5038.5200000000004</v>
      </c>
      <c r="K7929" t="s">
        <v>17</v>
      </c>
      <c r="L7929" t="b">
        <v>0</v>
      </c>
      <c r="N7929" s="2" t="str">
        <f t="shared" si="709"/>
        <v/>
      </c>
      <c r="Q7929" t="str">
        <f t="shared" si="714"/>
        <v/>
      </c>
    </row>
    <row r="7930" spans="1:17" hidden="1">
      <c r="A7930" t="s">
        <v>8035</v>
      </c>
      <c r="B7930" s="1">
        <v>45975</v>
      </c>
      <c r="C7930">
        <v>2025</v>
      </c>
      <c r="D7930">
        <v>11</v>
      </c>
      <c r="E7930" t="s">
        <v>47</v>
      </c>
      <c r="F7930" t="s">
        <v>24</v>
      </c>
      <c r="G7930" t="s">
        <v>51</v>
      </c>
      <c r="H7930" t="s">
        <v>52</v>
      </c>
      <c r="I7930">
        <v>14191.65</v>
      </c>
      <c r="J7930">
        <v>12275.57</v>
      </c>
      <c r="K7930" t="s">
        <v>17</v>
      </c>
      <c r="L7930" t="b">
        <v>0</v>
      </c>
      <c r="N7930" s="2" t="b">
        <f t="shared" si="709"/>
        <v>1</v>
      </c>
      <c r="O7930" t="str">
        <f>IF(AND(E7919="HR",K7919="EXPENSE"),I7919&lt;J7919,"")</f>
        <v/>
      </c>
      <c r="Q7930" t="str">
        <f t="shared" si="714"/>
        <v/>
      </c>
    </row>
    <row r="7931" spans="1:17" hidden="1">
      <c r="A7931" t="s">
        <v>8036</v>
      </c>
      <c r="B7931" s="1">
        <v>45975</v>
      </c>
      <c r="C7931">
        <v>2025</v>
      </c>
      <c r="D7931">
        <v>11</v>
      </c>
      <c r="E7931" t="s">
        <v>19</v>
      </c>
      <c r="F7931" t="s">
        <v>14</v>
      </c>
      <c r="G7931" t="s">
        <v>80</v>
      </c>
      <c r="H7931" t="s">
        <v>150</v>
      </c>
      <c r="I7931">
        <v>6232.85</v>
      </c>
      <c r="J7931">
        <v>6625.15</v>
      </c>
      <c r="K7931" t="s">
        <v>17</v>
      </c>
      <c r="L7931" t="b">
        <v>0</v>
      </c>
      <c r="N7931" s="2" t="str">
        <f t="shared" si="709"/>
        <v/>
      </c>
      <c r="Q7931" t="str">
        <f t="shared" si="714"/>
        <v/>
      </c>
    </row>
    <row r="7932" spans="1:17" hidden="1">
      <c r="A7932" t="s">
        <v>8037</v>
      </c>
      <c r="B7932" s="1">
        <v>45975</v>
      </c>
      <c r="C7932">
        <v>2025</v>
      </c>
      <c r="D7932">
        <v>11</v>
      </c>
      <c r="E7932" t="s">
        <v>19</v>
      </c>
      <c r="F7932" t="s">
        <v>14</v>
      </c>
      <c r="G7932" t="s">
        <v>20</v>
      </c>
      <c r="H7932" t="s">
        <v>136</v>
      </c>
      <c r="I7932">
        <v>5162.87</v>
      </c>
      <c r="J7932">
        <v>5358.74</v>
      </c>
      <c r="K7932" t="s">
        <v>17</v>
      </c>
      <c r="L7932" t="b">
        <v>0</v>
      </c>
      <c r="N7932" s="2" t="str">
        <f t="shared" si="709"/>
        <v/>
      </c>
      <c r="Q7932" t="str">
        <f t="shared" si="714"/>
        <v/>
      </c>
    </row>
    <row r="7933" spans="1:17" hidden="1">
      <c r="A7933" t="s">
        <v>8038</v>
      </c>
      <c r="B7933" s="1">
        <v>45975</v>
      </c>
      <c r="C7933">
        <v>2025</v>
      </c>
      <c r="D7933">
        <v>11</v>
      </c>
      <c r="E7933" t="s">
        <v>19</v>
      </c>
      <c r="F7933" t="s">
        <v>14</v>
      </c>
      <c r="G7933" t="s">
        <v>20</v>
      </c>
      <c r="H7933" t="s">
        <v>174</v>
      </c>
      <c r="I7933">
        <v>3587.2</v>
      </c>
      <c r="J7933">
        <v>3892.17</v>
      </c>
      <c r="K7933" t="s">
        <v>17</v>
      </c>
      <c r="L7933" t="b">
        <v>0</v>
      </c>
      <c r="N7933" s="2" t="str">
        <f t="shared" si="709"/>
        <v/>
      </c>
      <c r="Q7933" t="str">
        <f t="shared" si="714"/>
        <v/>
      </c>
    </row>
    <row r="7934" spans="1:17" hidden="1">
      <c r="A7934" t="s">
        <v>8039</v>
      </c>
      <c r="B7934" s="1">
        <v>45975</v>
      </c>
      <c r="C7934">
        <v>2025</v>
      </c>
      <c r="D7934">
        <v>11</v>
      </c>
      <c r="E7934" t="s">
        <v>19</v>
      </c>
      <c r="F7934" t="s">
        <v>24</v>
      </c>
      <c r="G7934" t="s">
        <v>54</v>
      </c>
      <c r="H7934" t="s">
        <v>163</v>
      </c>
      <c r="I7934">
        <v>8363.31</v>
      </c>
      <c r="J7934">
        <v>8197.48</v>
      </c>
      <c r="K7934" t="s">
        <v>17</v>
      </c>
      <c r="L7934" t="b">
        <v>0</v>
      </c>
      <c r="N7934" s="2" t="str">
        <f t="shared" si="709"/>
        <v/>
      </c>
      <c r="Q7934" t="str">
        <f t="shared" si="714"/>
        <v/>
      </c>
    </row>
    <row r="7935" spans="1:17" hidden="1">
      <c r="A7935" t="s">
        <v>8040</v>
      </c>
      <c r="B7935" s="1">
        <v>45975</v>
      </c>
      <c r="C7935">
        <v>2025</v>
      </c>
      <c r="D7935">
        <v>11</v>
      </c>
      <c r="E7935" t="s">
        <v>23</v>
      </c>
      <c r="F7935" t="s">
        <v>28</v>
      </c>
      <c r="G7935" t="s">
        <v>30</v>
      </c>
      <c r="H7935" t="s">
        <v>33</v>
      </c>
      <c r="I7935">
        <v>5238.66</v>
      </c>
      <c r="J7935">
        <v>4895.5600000000004</v>
      </c>
      <c r="K7935" t="s">
        <v>17</v>
      </c>
      <c r="L7935" t="b">
        <v>0</v>
      </c>
      <c r="N7935" s="2" t="str">
        <f t="shared" si="709"/>
        <v/>
      </c>
      <c r="Q7935" t="str">
        <f t="shared" si="714"/>
        <v/>
      </c>
    </row>
    <row r="7936" spans="1:17" hidden="1">
      <c r="A7936" t="s">
        <v>8041</v>
      </c>
      <c r="B7936" s="1">
        <v>45975</v>
      </c>
      <c r="C7936">
        <v>2025</v>
      </c>
      <c r="D7936">
        <v>11</v>
      </c>
      <c r="E7936" t="s">
        <v>23</v>
      </c>
      <c r="F7936" t="s">
        <v>24</v>
      </c>
      <c r="G7936" t="s">
        <v>59</v>
      </c>
      <c r="H7936" t="s">
        <v>60</v>
      </c>
      <c r="I7936">
        <v>3577.87</v>
      </c>
      <c r="J7936">
        <v>3902.62</v>
      </c>
      <c r="K7936" t="s">
        <v>17</v>
      </c>
      <c r="L7936" t="b">
        <v>0</v>
      </c>
      <c r="N7936" s="2" t="str">
        <f t="shared" si="709"/>
        <v/>
      </c>
      <c r="Q7936" t="str">
        <f t="shared" si="714"/>
        <v/>
      </c>
    </row>
    <row r="7937" spans="1:17" hidden="1">
      <c r="A7937" t="s">
        <v>8042</v>
      </c>
      <c r="B7937" s="1">
        <v>45975</v>
      </c>
      <c r="C7937">
        <v>2025</v>
      </c>
      <c r="D7937">
        <v>11</v>
      </c>
      <c r="E7937" t="s">
        <v>37</v>
      </c>
      <c r="F7937" t="s">
        <v>14</v>
      </c>
      <c r="G7937" t="s">
        <v>41</v>
      </c>
      <c r="H7937" t="s">
        <v>42</v>
      </c>
      <c r="I7937">
        <v>3702.21</v>
      </c>
      <c r="J7937">
        <v>3570.65</v>
      </c>
      <c r="K7937" t="s">
        <v>17</v>
      </c>
      <c r="L7937" t="b">
        <v>0</v>
      </c>
      <c r="N7937" s="2" t="str">
        <f t="shared" si="709"/>
        <v/>
      </c>
      <c r="Q7937" t="str">
        <f t="shared" si="714"/>
        <v/>
      </c>
    </row>
    <row r="7938" spans="1:17" hidden="1">
      <c r="A7938" t="s">
        <v>8043</v>
      </c>
      <c r="B7938" s="1">
        <v>45975</v>
      </c>
      <c r="C7938">
        <v>2025</v>
      </c>
      <c r="D7938">
        <v>11</v>
      </c>
      <c r="E7938" t="s">
        <v>37</v>
      </c>
      <c r="F7938" t="s">
        <v>24</v>
      </c>
      <c r="G7938" t="s">
        <v>62</v>
      </c>
      <c r="H7938" t="s">
        <v>66</v>
      </c>
      <c r="I7938">
        <v>3640.19</v>
      </c>
      <c r="J7938">
        <v>3875.76</v>
      </c>
      <c r="K7938" t="s">
        <v>17</v>
      </c>
      <c r="L7938" t="b">
        <v>0</v>
      </c>
      <c r="N7938" s="2" t="str">
        <f t="shared" si="709"/>
        <v/>
      </c>
      <c r="Q7938" t="str">
        <f t="shared" si="714"/>
        <v/>
      </c>
    </row>
    <row r="7939" spans="1:17" hidden="1">
      <c r="A7939" t="s">
        <v>8044</v>
      </c>
      <c r="B7939" s="1">
        <v>45976</v>
      </c>
      <c r="C7939">
        <v>2025</v>
      </c>
      <c r="D7939">
        <v>11</v>
      </c>
      <c r="E7939" t="s">
        <v>13</v>
      </c>
      <c r="F7939" t="s">
        <v>14</v>
      </c>
      <c r="G7939" t="s">
        <v>102</v>
      </c>
      <c r="H7939" t="s">
        <v>278</v>
      </c>
      <c r="I7939">
        <v>3198.81</v>
      </c>
      <c r="J7939">
        <v>2924.95</v>
      </c>
      <c r="K7939" t="s">
        <v>17</v>
      </c>
      <c r="L7939" t="b">
        <v>0</v>
      </c>
      <c r="N7939" s="2" t="str">
        <f t="shared" ref="N7939:N8002" si="715">IF(AND(E7939="IT",K7939="EXPENSE"),I7939&gt;J7939,"")</f>
        <v/>
      </c>
      <c r="Q7939" t="str">
        <f t="shared" si="714"/>
        <v/>
      </c>
    </row>
    <row r="7940" spans="1:17" hidden="1">
      <c r="A7940" t="s">
        <v>8045</v>
      </c>
      <c r="B7940" s="1">
        <v>45976</v>
      </c>
      <c r="C7940">
        <v>2025</v>
      </c>
      <c r="D7940">
        <v>11</v>
      </c>
      <c r="E7940" t="s">
        <v>13</v>
      </c>
      <c r="F7940" t="s">
        <v>14</v>
      </c>
      <c r="G7940" t="s">
        <v>102</v>
      </c>
      <c r="H7940" t="s">
        <v>103</v>
      </c>
      <c r="I7940">
        <v>6296</v>
      </c>
      <c r="J7940">
        <v>6044.19</v>
      </c>
      <c r="K7940" t="s">
        <v>17</v>
      </c>
      <c r="L7940" t="b">
        <v>0</v>
      </c>
      <c r="N7940" s="2" t="str">
        <f t="shared" si="715"/>
        <v/>
      </c>
      <c r="Q7940" t="str">
        <f t="shared" si="714"/>
        <v/>
      </c>
    </row>
    <row r="7941" spans="1:17" hidden="1">
      <c r="A7941" t="s">
        <v>8046</v>
      </c>
      <c r="B7941" s="1">
        <v>45976</v>
      </c>
      <c r="C7941">
        <v>2025</v>
      </c>
      <c r="D7941">
        <v>11</v>
      </c>
      <c r="E7941" t="s">
        <v>47</v>
      </c>
      <c r="F7941" t="s">
        <v>14</v>
      </c>
      <c r="G7941" t="s">
        <v>48</v>
      </c>
      <c r="H7941" t="s">
        <v>49</v>
      </c>
      <c r="I7941">
        <v>8706.68</v>
      </c>
      <c r="J7941">
        <v>7502.03</v>
      </c>
      <c r="K7941" t="s">
        <v>17</v>
      </c>
      <c r="L7941" t="b">
        <v>0</v>
      </c>
      <c r="N7941" s="2" t="b">
        <f t="shared" si="715"/>
        <v>1</v>
      </c>
      <c r="O7941" t="str">
        <f t="shared" ref="O7941:O7943" si="716">IF(AND(E7930="HR",K7930="EXPENSE"),I7930&lt;J7930,"")</f>
        <v/>
      </c>
      <c r="Q7941" t="str">
        <f t="shared" si="714"/>
        <v/>
      </c>
    </row>
    <row r="7942" spans="1:17" hidden="1">
      <c r="A7942" t="s">
        <v>8047</v>
      </c>
      <c r="B7942" s="1">
        <v>45976</v>
      </c>
      <c r="C7942">
        <v>2025</v>
      </c>
      <c r="D7942">
        <v>11</v>
      </c>
      <c r="E7942" t="s">
        <v>47</v>
      </c>
      <c r="F7942" t="s">
        <v>28</v>
      </c>
      <c r="G7942" t="s">
        <v>91</v>
      </c>
      <c r="H7942" t="s">
        <v>92</v>
      </c>
      <c r="I7942">
        <v>10948.68</v>
      </c>
      <c r="J7942">
        <v>9238.15</v>
      </c>
      <c r="K7942" t="s">
        <v>17</v>
      </c>
      <c r="L7942" t="b">
        <v>0</v>
      </c>
      <c r="N7942" s="2" t="b">
        <f t="shared" si="715"/>
        <v>1</v>
      </c>
      <c r="O7942" t="str">
        <f t="shared" si="716"/>
        <v/>
      </c>
      <c r="Q7942" t="str">
        <f t="shared" si="714"/>
        <v/>
      </c>
    </row>
    <row r="7943" spans="1:17" hidden="1">
      <c r="A7943" t="s">
        <v>8048</v>
      </c>
      <c r="B7943" s="1">
        <v>45976</v>
      </c>
      <c r="C7943">
        <v>2025</v>
      </c>
      <c r="D7943">
        <v>11</v>
      </c>
      <c r="E7943" t="s">
        <v>47</v>
      </c>
      <c r="F7943" t="s">
        <v>24</v>
      </c>
      <c r="G7943" t="s">
        <v>91</v>
      </c>
      <c r="H7943" t="s">
        <v>128</v>
      </c>
      <c r="I7943">
        <v>11191.08</v>
      </c>
      <c r="J7943">
        <v>9651.02</v>
      </c>
      <c r="K7943" t="s">
        <v>17</v>
      </c>
      <c r="L7943" t="b">
        <v>0</v>
      </c>
      <c r="N7943" s="2" t="b">
        <f t="shared" si="715"/>
        <v>1</v>
      </c>
      <c r="O7943" t="str">
        <f t="shared" si="716"/>
        <v/>
      </c>
      <c r="Q7943" t="str">
        <f t="shared" si="714"/>
        <v/>
      </c>
    </row>
    <row r="7944" spans="1:17" hidden="1">
      <c r="A7944" t="s">
        <v>8049</v>
      </c>
      <c r="B7944" s="1">
        <v>45976</v>
      </c>
      <c r="C7944">
        <v>2025</v>
      </c>
      <c r="D7944">
        <v>11</v>
      </c>
      <c r="E7944" t="s">
        <v>23</v>
      </c>
      <c r="F7944" t="s">
        <v>28</v>
      </c>
      <c r="G7944" t="s">
        <v>59</v>
      </c>
      <c r="H7944" t="s">
        <v>60</v>
      </c>
      <c r="I7944">
        <v>7495.17</v>
      </c>
      <c r="J7944">
        <v>6778.09</v>
      </c>
      <c r="K7944" t="s">
        <v>17</v>
      </c>
      <c r="L7944" t="b">
        <v>0</v>
      </c>
      <c r="N7944" s="2" t="str">
        <f t="shared" si="715"/>
        <v/>
      </c>
      <c r="Q7944" t="str">
        <f t="shared" si="714"/>
        <v/>
      </c>
    </row>
    <row r="7945" spans="1:17" hidden="1">
      <c r="A7945" t="s">
        <v>8050</v>
      </c>
      <c r="B7945" s="1">
        <v>45977</v>
      </c>
      <c r="C7945">
        <v>2025</v>
      </c>
      <c r="D7945">
        <v>11</v>
      </c>
      <c r="E7945" t="s">
        <v>47</v>
      </c>
      <c r="F7945" t="s">
        <v>14</v>
      </c>
      <c r="G7945" t="s">
        <v>91</v>
      </c>
      <c r="H7945" t="s">
        <v>249</v>
      </c>
      <c r="I7945">
        <v>8074.93</v>
      </c>
      <c r="J7945">
        <v>6795.97</v>
      </c>
      <c r="K7945" t="s">
        <v>17</v>
      </c>
      <c r="L7945" t="b">
        <v>0</v>
      </c>
      <c r="N7945" s="2" t="b">
        <f t="shared" si="715"/>
        <v>1</v>
      </c>
      <c r="O7945" t="str">
        <f>IF(AND(E7934="HR",K7934="EXPENSE"),I7934&lt;J7934,"")</f>
        <v/>
      </c>
      <c r="Q7945" t="str">
        <f t="shared" si="714"/>
        <v/>
      </c>
    </row>
    <row r="7946" spans="1:17" hidden="1">
      <c r="A7946" t="s">
        <v>8051</v>
      </c>
      <c r="B7946" s="1">
        <v>45977</v>
      </c>
      <c r="C7946">
        <v>2025</v>
      </c>
      <c r="D7946">
        <v>11</v>
      </c>
      <c r="E7946" t="s">
        <v>23</v>
      </c>
      <c r="F7946" t="s">
        <v>14</v>
      </c>
      <c r="G7946" t="s">
        <v>25</v>
      </c>
      <c r="H7946" t="s">
        <v>26</v>
      </c>
      <c r="I7946">
        <v>4938.8</v>
      </c>
      <c r="J7946">
        <v>5059.76</v>
      </c>
      <c r="K7946" t="s">
        <v>17</v>
      </c>
      <c r="L7946" t="b">
        <v>0</v>
      </c>
      <c r="N7946" s="2" t="str">
        <f t="shared" si="715"/>
        <v/>
      </c>
      <c r="Q7946" t="str">
        <f t="shared" si="714"/>
        <v/>
      </c>
    </row>
    <row r="7947" spans="1:17" hidden="1">
      <c r="A7947" t="s">
        <v>8052</v>
      </c>
      <c r="B7947" s="1">
        <v>45977</v>
      </c>
      <c r="C7947">
        <v>2025</v>
      </c>
      <c r="D7947">
        <v>11</v>
      </c>
      <c r="E7947" t="s">
        <v>23</v>
      </c>
      <c r="F7947" t="s">
        <v>24</v>
      </c>
      <c r="G7947" t="s">
        <v>25</v>
      </c>
      <c r="H7947" t="s">
        <v>26</v>
      </c>
      <c r="I7947">
        <v>5914.93</v>
      </c>
      <c r="J7947">
        <v>6330.28</v>
      </c>
      <c r="K7947" t="s">
        <v>17</v>
      </c>
      <c r="L7947" t="b">
        <v>0</v>
      </c>
      <c r="N7947" s="2" t="str">
        <f t="shared" si="715"/>
        <v/>
      </c>
      <c r="Q7947" t="str">
        <f t="shared" si="714"/>
        <v/>
      </c>
    </row>
    <row r="7948" spans="1:17" hidden="1">
      <c r="A7948" t="s">
        <v>8053</v>
      </c>
      <c r="B7948" s="1">
        <v>45978</v>
      </c>
      <c r="C7948">
        <v>2025</v>
      </c>
      <c r="D7948">
        <v>11</v>
      </c>
      <c r="E7948" t="s">
        <v>47</v>
      </c>
      <c r="F7948" t="s">
        <v>14</v>
      </c>
      <c r="G7948" t="s">
        <v>48</v>
      </c>
      <c r="H7948" t="s">
        <v>49</v>
      </c>
      <c r="I7948">
        <v>14949.8</v>
      </c>
      <c r="J7948">
        <v>12759.07</v>
      </c>
      <c r="K7948" t="s">
        <v>17</v>
      </c>
      <c r="L7948" t="b">
        <v>0</v>
      </c>
      <c r="N7948" s="2" t="b">
        <f t="shared" si="715"/>
        <v>1</v>
      </c>
      <c r="O7948" t="str">
        <f t="shared" ref="O7948:O7949" si="717">IF(AND(E7937="HR",K7937="EXPENSE"),I7937&lt;J7937,"")</f>
        <v/>
      </c>
      <c r="Q7948" t="str">
        <f t="shared" si="714"/>
        <v/>
      </c>
    </row>
    <row r="7949" spans="1:17" hidden="1">
      <c r="A7949" t="s">
        <v>8054</v>
      </c>
      <c r="B7949" s="1">
        <v>45978</v>
      </c>
      <c r="C7949">
        <v>2025</v>
      </c>
      <c r="D7949">
        <v>11</v>
      </c>
      <c r="E7949" t="s">
        <v>47</v>
      </c>
      <c r="F7949" t="s">
        <v>28</v>
      </c>
      <c r="G7949" t="s">
        <v>48</v>
      </c>
      <c r="H7949" t="s">
        <v>191</v>
      </c>
      <c r="I7949">
        <v>16282.64</v>
      </c>
      <c r="J7949">
        <v>13736.54</v>
      </c>
      <c r="K7949" t="s">
        <v>17</v>
      </c>
      <c r="L7949" t="b">
        <v>0</v>
      </c>
      <c r="N7949" s="2" t="b">
        <f t="shared" si="715"/>
        <v>1</v>
      </c>
      <c r="O7949" t="str">
        <f t="shared" si="717"/>
        <v/>
      </c>
      <c r="Q7949" t="str">
        <f t="shared" si="714"/>
        <v/>
      </c>
    </row>
    <row r="7950" spans="1:17" hidden="1">
      <c r="A7950" t="s">
        <v>8055</v>
      </c>
      <c r="B7950" s="1">
        <v>45978</v>
      </c>
      <c r="C7950">
        <v>2025</v>
      </c>
      <c r="D7950">
        <v>11</v>
      </c>
      <c r="E7950" t="s">
        <v>19</v>
      </c>
      <c r="F7950" t="s">
        <v>14</v>
      </c>
      <c r="G7950" t="s">
        <v>132</v>
      </c>
      <c r="H7950" t="s">
        <v>171</v>
      </c>
      <c r="I7950">
        <v>7171.6</v>
      </c>
      <c r="J7950">
        <v>7840.99</v>
      </c>
      <c r="K7950" t="s">
        <v>17</v>
      </c>
      <c r="L7950" t="b">
        <v>0</v>
      </c>
      <c r="N7950" s="2" t="str">
        <f t="shared" si="715"/>
        <v/>
      </c>
      <c r="Q7950" t="str">
        <f t="shared" si="714"/>
        <v/>
      </c>
    </row>
    <row r="7951" spans="1:17" hidden="1">
      <c r="A7951" t="s">
        <v>8056</v>
      </c>
      <c r="B7951" s="1">
        <v>45978</v>
      </c>
      <c r="C7951">
        <v>2025</v>
      </c>
      <c r="D7951">
        <v>11</v>
      </c>
      <c r="E7951" t="s">
        <v>23</v>
      </c>
      <c r="F7951" t="s">
        <v>14</v>
      </c>
      <c r="G7951" t="s">
        <v>59</v>
      </c>
      <c r="H7951" t="s">
        <v>60</v>
      </c>
      <c r="I7951">
        <v>3882.2</v>
      </c>
      <c r="J7951">
        <v>3909.48</v>
      </c>
      <c r="K7951" t="s">
        <v>17</v>
      </c>
      <c r="L7951" t="b">
        <v>0</v>
      </c>
      <c r="N7951" s="2" t="str">
        <f t="shared" si="715"/>
        <v/>
      </c>
      <c r="Q7951" t="str">
        <f t="shared" si="714"/>
        <v/>
      </c>
    </row>
    <row r="7952" spans="1:17" hidden="1">
      <c r="A7952" t="s">
        <v>8057</v>
      </c>
      <c r="B7952" s="1">
        <v>45978</v>
      </c>
      <c r="C7952">
        <v>2025</v>
      </c>
      <c r="D7952">
        <v>11</v>
      </c>
      <c r="E7952" t="s">
        <v>37</v>
      </c>
      <c r="F7952" t="s">
        <v>14</v>
      </c>
      <c r="G7952" t="s">
        <v>62</v>
      </c>
      <c r="H7952" t="s">
        <v>63</v>
      </c>
      <c r="I7952">
        <v>4539.28</v>
      </c>
      <c r="J7952">
        <v>4711.4799999999996</v>
      </c>
      <c r="K7952" t="s">
        <v>17</v>
      </c>
      <c r="L7952" t="b">
        <v>0</v>
      </c>
      <c r="N7952" s="2" t="str">
        <f t="shared" si="715"/>
        <v/>
      </c>
      <c r="Q7952" t="str">
        <f t="shared" si="714"/>
        <v/>
      </c>
    </row>
    <row r="7953" spans="1:17" hidden="1">
      <c r="A7953" t="s">
        <v>8058</v>
      </c>
      <c r="B7953" s="1">
        <v>45979</v>
      </c>
      <c r="C7953">
        <v>2025</v>
      </c>
      <c r="D7953">
        <v>11</v>
      </c>
      <c r="E7953" t="s">
        <v>13</v>
      </c>
      <c r="F7953" t="s">
        <v>24</v>
      </c>
      <c r="G7953" t="s">
        <v>102</v>
      </c>
      <c r="H7953" t="s">
        <v>145</v>
      </c>
      <c r="I7953">
        <v>3181.8</v>
      </c>
      <c r="J7953">
        <v>3162.44</v>
      </c>
      <c r="K7953" t="s">
        <v>17</v>
      </c>
      <c r="L7953" t="b">
        <v>0</v>
      </c>
      <c r="N7953" s="2" t="str">
        <f t="shared" si="715"/>
        <v/>
      </c>
      <c r="Q7953" t="str">
        <f t="shared" si="714"/>
        <v/>
      </c>
    </row>
    <row r="7954" spans="1:17" hidden="1">
      <c r="A7954" t="s">
        <v>8059</v>
      </c>
      <c r="B7954" s="1">
        <v>45979</v>
      </c>
      <c r="C7954">
        <v>2025</v>
      </c>
      <c r="D7954">
        <v>11</v>
      </c>
      <c r="E7954" t="s">
        <v>47</v>
      </c>
      <c r="F7954" t="s">
        <v>24</v>
      </c>
      <c r="G7954" t="s">
        <v>77</v>
      </c>
      <c r="H7954" t="s">
        <v>130</v>
      </c>
      <c r="I7954">
        <v>10734.48</v>
      </c>
      <c r="J7954">
        <v>8910.82</v>
      </c>
      <c r="K7954" t="s">
        <v>17</v>
      </c>
      <c r="L7954" t="b">
        <v>0</v>
      </c>
      <c r="N7954" s="2" t="b">
        <f t="shared" si="715"/>
        <v>1</v>
      </c>
      <c r="O7954" t="str">
        <f>IF(AND(E7943="HR",K7943="EXPENSE"),I7943&lt;J7943,"")</f>
        <v/>
      </c>
      <c r="Q7954" t="str">
        <f t="shared" si="714"/>
        <v/>
      </c>
    </row>
    <row r="7955" spans="1:17" hidden="1">
      <c r="A7955" t="s">
        <v>8060</v>
      </c>
      <c r="B7955" s="1">
        <v>45979</v>
      </c>
      <c r="C7955">
        <v>2025</v>
      </c>
      <c r="D7955">
        <v>11</v>
      </c>
      <c r="E7955" t="s">
        <v>19</v>
      </c>
      <c r="F7955" t="s">
        <v>28</v>
      </c>
      <c r="G7955" t="s">
        <v>20</v>
      </c>
      <c r="H7955" t="s">
        <v>21</v>
      </c>
      <c r="I7955">
        <v>7512.27</v>
      </c>
      <c r="J7955">
        <v>8141.3</v>
      </c>
      <c r="K7955" t="s">
        <v>17</v>
      </c>
      <c r="L7955" t="b">
        <v>0</v>
      </c>
      <c r="N7955" s="2" t="str">
        <f t="shared" si="715"/>
        <v/>
      </c>
      <c r="Q7955" t="str">
        <f t="shared" si="714"/>
        <v/>
      </c>
    </row>
    <row r="7956" spans="1:17" hidden="1">
      <c r="A7956" t="s">
        <v>8061</v>
      </c>
      <c r="B7956" s="1">
        <v>45979</v>
      </c>
      <c r="C7956">
        <v>2025</v>
      </c>
      <c r="D7956">
        <v>11</v>
      </c>
      <c r="E7956" t="s">
        <v>19</v>
      </c>
      <c r="F7956" t="s">
        <v>28</v>
      </c>
      <c r="G7956" t="s">
        <v>132</v>
      </c>
      <c r="H7956" t="s">
        <v>171</v>
      </c>
      <c r="I7956">
        <v>9047.51</v>
      </c>
      <c r="J7956">
        <v>8918.9699999999993</v>
      </c>
      <c r="K7956" t="s">
        <v>17</v>
      </c>
      <c r="L7956" t="b">
        <v>0</v>
      </c>
      <c r="N7956" s="2" t="str">
        <f t="shared" si="715"/>
        <v/>
      </c>
      <c r="Q7956" t="str">
        <f t="shared" si="714"/>
        <v/>
      </c>
    </row>
    <row r="7957" spans="1:17" hidden="1">
      <c r="A7957" t="s">
        <v>8062</v>
      </c>
      <c r="B7957" s="1">
        <v>45979</v>
      </c>
      <c r="C7957">
        <v>2025</v>
      </c>
      <c r="D7957">
        <v>11</v>
      </c>
      <c r="E7957" t="s">
        <v>23</v>
      </c>
      <c r="F7957" t="s">
        <v>14</v>
      </c>
      <c r="G7957" t="s">
        <v>141</v>
      </c>
      <c r="H7957" t="s">
        <v>142</v>
      </c>
      <c r="I7957">
        <v>3919.86</v>
      </c>
      <c r="J7957">
        <v>4065.91</v>
      </c>
      <c r="K7957" t="s">
        <v>17</v>
      </c>
      <c r="L7957" t="b">
        <v>0</v>
      </c>
      <c r="N7957" s="2" t="str">
        <f t="shared" si="715"/>
        <v/>
      </c>
      <c r="Q7957" t="str">
        <f t="shared" si="714"/>
        <v/>
      </c>
    </row>
    <row r="7958" spans="1:17" hidden="1">
      <c r="A7958" t="s">
        <v>8063</v>
      </c>
      <c r="B7958" s="1">
        <v>45979</v>
      </c>
      <c r="C7958">
        <v>2025</v>
      </c>
      <c r="D7958">
        <v>11</v>
      </c>
      <c r="E7958" t="s">
        <v>23</v>
      </c>
      <c r="F7958" t="s">
        <v>28</v>
      </c>
      <c r="G7958" t="s">
        <v>141</v>
      </c>
      <c r="H7958" t="s">
        <v>142</v>
      </c>
      <c r="I7958">
        <v>7302.25</v>
      </c>
      <c r="J7958">
        <v>6698.8</v>
      </c>
      <c r="K7958" t="s">
        <v>17</v>
      </c>
      <c r="L7958" t="b">
        <v>0</v>
      </c>
      <c r="N7958" s="2" t="str">
        <f t="shared" si="715"/>
        <v/>
      </c>
      <c r="Q7958" t="str">
        <f t="shared" si="714"/>
        <v/>
      </c>
    </row>
    <row r="7959" spans="1:17" hidden="1">
      <c r="A7959" t="s">
        <v>8064</v>
      </c>
      <c r="B7959" s="1">
        <v>45979</v>
      </c>
      <c r="C7959">
        <v>2025</v>
      </c>
      <c r="D7959">
        <v>11</v>
      </c>
      <c r="E7959" t="s">
        <v>37</v>
      </c>
      <c r="F7959" t="s">
        <v>28</v>
      </c>
      <c r="G7959" t="s">
        <v>98</v>
      </c>
      <c r="H7959" t="s">
        <v>185</v>
      </c>
      <c r="I7959">
        <v>6593.54</v>
      </c>
      <c r="J7959">
        <v>5998.14</v>
      </c>
      <c r="K7959" t="s">
        <v>17</v>
      </c>
      <c r="L7959" t="b">
        <v>0</v>
      </c>
      <c r="N7959" s="2" t="str">
        <f t="shared" si="715"/>
        <v/>
      </c>
      <c r="Q7959" t="str">
        <f t="shared" si="714"/>
        <v/>
      </c>
    </row>
    <row r="7960" spans="1:17" hidden="1">
      <c r="A7960" t="s">
        <v>8065</v>
      </c>
      <c r="B7960" s="1">
        <v>45979</v>
      </c>
      <c r="C7960">
        <v>2025</v>
      </c>
      <c r="D7960">
        <v>11</v>
      </c>
      <c r="E7960" t="s">
        <v>37</v>
      </c>
      <c r="F7960" t="s">
        <v>28</v>
      </c>
      <c r="G7960" t="s">
        <v>38</v>
      </c>
      <c r="H7960" t="s">
        <v>39</v>
      </c>
      <c r="I7960">
        <v>6495.39</v>
      </c>
      <c r="J7960">
        <v>6604.76</v>
      </c>
      <c r="K7960" t="s">
        <v>17</v>
      </c>
      <c r="L7960" t="b">
        <v>0</v>
      </c>
      <c r="N7960" s="2" t="str">
        <f t="shared" si="715"/>
        <v/>
      </c>
      <c r="Q7960" t="str">
        <f t="shared" si="714"/>
        <v/>
      </c>
    </row>
    <row r="7961" spans="1:17" hidden="1">
      <c r="A7961" t="s">
        <v>8066</v>
      </c>
      <c r="B7961" s="1">
        <v>45979</v>
      </c>
      <c r="C7961">
        <v>2025</v>
      </c>
      <c r="D7961">
        <v>11</v>
      </c>
      <c r="E7961" t="s">
        <v>37</v>
      </c>
      <c r="F7961" t="s">
        <v>28</v>
      </c>
      <c r="G7961" t="s">
        <v>41</v>
      </c>
      <c r="H7961" t="s">
        <v>42</v>
      </c>
      <c r="I7961">
        <v>4563.67</v>
      </c>
      <c r="J7961">
        <v>4997.5200000000004</v>
      </c>
      <c r="K7961" t="s">
        <v>17</v>
      </c>
      <c r="L7961" t="b">
        <v>0</v>
      </c>
      <c r="N7961" s="2" t="str">
        <f t="shared" si="715"/>
        <v/>
      </c>
      <c r="Q7961" t="str">
        <f t="shared" si="714"/>
        <v/>
      </c>
    </row>
    <row r="7962" spans="1:17" hidden="1">
      <c r="A7962" t="s">
        <v>8067</v>
      </c>
      <c r="B7962" s="1">
        <v>45979</v>
      </c>
      <c r="C7962">
        <v>2025</v>
      </c>
      <c r="D7962">
        <v>11</v>
      </c>
      <c r="E7962" t="s">
        <v>37</v>
      </c>
      <c r="F7962" t="s">
        <v>24</v>
      </c>
      <c r="G7962" t="s">
        <v>98</v>
      </c>
      <c r="H7962" t="s">
        <v>99</v>
      </c>
      <c r="I7962">
        <v>5034.6400000000003</v>
      </c>
      <c r="J7962">
        <v>4827.24</v>
      </c>
      <c r="K7962" t="s">
        <v>17</v>
      </c>
      <c r="L7962" t="b">
        <v>0</v>
      </c>
      <c r="N7962" s="2" t="str">
        <f t="shared" si="715"/>
        <v/>
      </c>
      <c r="Q7962" t="str">
        <f t="shared" si="714"/>
        <v/>
      </c>
    </row>
    <row r="7963" spans="1:17" hidden="1">
      <c r="A7963" t="s">
        <v>8068</v>
      </c>
      <c r="B7963" s="1">
        <v>45980</v>
      </c>
      <c r="C7963">
        <v>2025</v>
      </c>
      <c r="D7963">
        <v>11</v>
      </c>
      <c r="E7963" t="s">
        <v>13</v>
      </c>
      <c r="F7963" t="s">
        <v>14</v>
      </c>
      <c r="G7963" t="s">
        <v>108</v>
      </c>
      <c r="H7963" t="s">
        <v>123</v>
      </c>
      <c r="I7963">
        <v>6059.13</v>
      </c>
      <c r="J7963">
        <v>6596.94</v>
      </c>
      <c r="K7963" t="s">
        <v>17</v>
      </c>
      <c r="L7963" t="b">
        <v>0</v>
      </c>
      <c r="N7963" s="2" t="str">
        <f t="shared" si="715"/>
        <v/>
      </c>
      <c r="Q7963" t="str">
        <f t="shared" si="714"/>
        <v/>
      </c>
    </row>
    <row r="7964" spans="1:17" hidden="1">
      <c r="A7964" t="s">
        <v>8069</v>
      </c>
      <c r="B7964" s="1">
        <v>45980</v>
      </c>
      <c r="C7964">
        <v>2025</v>
      </c>
      <c r="D7964">
        <v>11</v>
      </c>
      <c r="E7964" t="s">
        <v>13</v>
      </c>
      <c r="F7964" t="s">
        <v>28</v>
      </c>
      <c r="G7964" t="s">
        <v>68</v>
      </c>
      <c r="H7964" t="s">
        <v>69</v>
      </c>
      <c r="I7964">
        <v>5191.2700000000004</v>
      </c>
      <c r="J7964">
        <v>5307.15</v>
      </c>
      <c r="K7964" t="s">
        <v>17</v>
      </c>
      <c r="L7964" t="b">
        <v>0</v>
      </c>
      <c r="N7964" s="2" t="str">
        <f t="shared" si="715"/>
        <v/>
      </c>
      <c r="Q7964" t="str">
        <f t="shared" si="714"/>
        <v/>
      </c>
    </row>
    <row r="7965" spans="1:17" hidden="1">
      <c r="A7965" t="s">
        <v>8070</v>
      </c>
      <c r="B7965" s="1">
        <v>45980</v>
      </c>
      <c r="C7965">
        <v>2025</v>
      </c>
      <c r="D7965">
        <v>11</v>
      </c>
      <c r="E7965" t="s">
        <v>13</v>
      </c>
      <c r="F7965" t="s">
        <v>28</v>
      </c>
      <c r="G7965" t="s">
        <v>102</v>
      </c>
      <c r="H7965" t="s">
        <v>145</v>
      </c>
      <c r="I7965">
        <v>4189.84</v>
      </c>
      <c r="J7965">
        <v>4136.83</v>
      </c>
      <c r="K7965" t="s">
        <v>17</v>
      </c>
      <c r="L7965" t="b">
        <v>0</v>
      </c>
      <c r="N7965" s="2" t="str">
        <f t="shared" si="715"/>
        <v/>
      </c>
      <c r="Q7965" t="str">
        <f t="shared" si="714"/>
        <v/>
      </c>
    </row>
    <row r="7966" spans="1:17" hidden="1">
      <c r="A7966" t="s">
        <v>8071</v>
      </c>
      <c r="B7966" s="1">
        <v>45980</v>
      </c>
      <c r="C7966">
        <v>2025</v>
      </c>
      <c r="D7966">
        <v>11</v>
      </c>
      <c r="E7966" t="s">
        <v>23</v>
      </c>
      <c r="F7966" t="s">
        <v>28</v>
      </c>
      <c r="G7966" t="s">
        <v>30</v>
      </c>
      <c r="H7966" t="s">
        <v>33</v>
      </c>
      <c r="I7966">
        <v>5786.23</v>
      </c>
      <c r="J7966">
        <v>5624.75</v>
      </c>
      <c r="K7966" t="s">
        <v>17</v>
      </c>
      <c r="L7966" t="b">
        <v>0</v>
      </c>
      <c r="N7966" s="2" t="str">
        <f t="shared" si="715"/>
        <v/>
      </c>
      <c r="Q7966" t="str">
        <f t="shared" si="714"/>
        <v/>
      </c>
    </row>
    <row r="7967" spans="1:17" hidden="1">
      <c r="A7967" t="s">
        <v>8072</v>
      </c>
      <c r="B7967" s="1">
        <v>45980</v>
      </c>
      <c r="C7967">
        <v>2025</v>
      </c>
      <c r="D7967">
        <v>11</v>
      </c>
      <c r="E7967" t="s">
        <v>37</v>
      </c>
      <c r="F7967" t="s">
        <v>14</v>
      </c>
      <c r="G7967" t="s">
        <v>41</v>
      </c>
      <c r="H7967" t="s">
        <v>42</v>
      </c>
      <c r="I7967">
        <v>4996.43</v>
      </c>
      <c r="J7967">
        <v>5111</v>
      </c>
      <c r="K7967" t="s">
        <v>17</v>
      </c>
      <c r="L7967" t="b">
        <v>0</v>
      </c>
      <c r="N7967" s="2" t="str">
        <f t="shared" si="715"/>
        <v/>
      </c>
      <c r="Q7967" t="str">
        <f t="shared" si="714"/>
        <v/>
      </c>
    </row>
    <row r="7968" spans="1:17" hidden="1">
      <c r="A7968" t="s">
        <v>8073</v>
      </c>
      <c r="B7968" s="1">
        <v>45981</v>
      </c>
      <c r="C7968">
        <v>2025</v>
      </c>
      <c r="D7968">
        <v>11</v>
      </c>
      <c r="E7968" t="s">
        <v>13</v>
      </c>
      <c r="F7968" t="s">
        <v>24</v>
      </c>
      <c r="G7968" t="s">
        <v>68</v>
      </c>
      <c r="H7968" t="s">
        <v>87</v>
      </c>
      <c r="I7968">
        <v>5654.9</v>
      </c>
      <c r="J7968">
        <v>5155.55</v>
      </c>
      <c r="K7968" t="s">
        <v>17</v>
      </c>
      <c r="L7968" t="b">
        <v>0</v>
      </c>
      <c r="N7968" s="2" t="str">
        <f t="shared" si="715"/>
        <v/>
      </c>
      <c r="Q7968" t="str">
        <f t="shared" si="714"/>
        <v/>
      </c>
    </row>
    <row r="7969" spans="1:17" hidden="1">
      <c r="A7969" t="s">
        <v>8074</v>
      </c>
      <c r="B7969" s="1">
        <v>45981</v>
      </c>
      <c r="C7969">
        <v>2025</v>
      </c>
      <c r="D7969">
        <v>11</v>
      </c>
      <c r="E7969" t="s">
        <v>47</v>
      </c>
      <c r="F7969" t="s">
        <v>14</v>
      </c>
      <c r="G7969" t="s">
        <v>77</v>
      </c>
      <c r="H7969" t="s">
        <v>78</v>
      </c>
      <c r="I7969">
        <v>17441.62</v>
      </c>
      <c r="J7969">
        <v>14805.18</v>
      </c>
      <c r="K7969" t="s">
        <v>17</v>
      </c>
      <c r="L7969" t="b">
        <v>0</v>
      </c>
      <c r="N7969" s="2" t="b">
        <f t="shared" si="715"/>
        <v>1</v>
      </c>
      <c r="O7969" t="str">
        <f t="shared" ref="O7969:O7972" si="718">IF(AND(E7958="HR",K7958="EXPENSE"),I7958&lt;J7958,"")</f>
        <v/>
      </c>
      <c r="Q7969" t="str">
        <f t="shared" si="714"/>
        <v/>
      </c>
    </row>
    <row r="7970" spans="1:17" hidden="1">
      <c r="A7970" t="s">
        <v>8075</v>
      </c>
      <c r="B7970" s="1">
        <v>45981</v>
      </c>
      <c r="C7970">
        <v>2025</v>
      </c>
      <c r="D7970">
        <v>11</v>
      </c>
      <c r="E7970" t="s">
        <v>47</v>
      </c>
      <c r="F7970" t="s">
        <v>14</v>
      </c>
      <c r="G7970" t="s">
        <v>48</v>
      </c>
      <c r="H7970" t="s">
        <v>189</v>
      </c>
      <c r="I7970">
        <v>12322.39</v>
      </c>
      <c r="J7970">
        <v>10459.969999999999</v>
      </c>
      <c r="K7970" t="s">
        <v>17</v>
      </c>
      <c r="L7970" t="b">
        <v>0</v>
      </c>
      <c r="N7970" s="2" t="b">
        <f t="shared" si="715"/>
        <v>1</v>
      </c>
      <c r="O7970" t="str">
        <f t="shared" si="718"/>
        <v/>
      </c>
      <c r="Q7970" t="str">
        <f t="shared" si="714"/>
        <v/>
      </c>
    </row>
    <row r="7971" spans="1:17" hidden="1">
      <c r="A7971" t="s">
        <v>8076</v>
      </c>
      <c r="B7971" s="1">
        <v>45981</v>
      </c>
      <c r="C7971">
        <v>2025</v>
      </c>
      <c r="D7971">
        <v>11</v>
      </c>
      <c r="E7971" t="s">
        <v>47</v>
      </c>
      <c r="F7971" t="s">
        <v>28</v>
      </c>
      <c r="G7971" t="s">
        <v>77</v>
      </c>
      <c r="H7971" t="s">
        <v>78</v>
      </c>
      <c r="I7971">
        <v>4727.3999999999996</v>
      </c>
      <c r="J7971">
        <v>3981.44</v>
      </c>
      <c r="K7971" t="s">
        <v>17</v>
      </c>
      <c r="L7971" t="b">
        <v>0</v>
      </c>
      <c r="N7971" s="2" t="b">
        <f t="shared" si="715"/>
        <v>1</v>
      </c>
      <c r="O7971" t="str">
        <f t="shared" si="718"/>
        <v/>
      </c>
      <c r="Q7971" t="str">
        <f t="shared" si="714"/>
        <v/>
      </c>
    </row>
    <row r="7972" spans="1:17" hidden="1">
      <c r="A7972" t="s">
        <v>8077</v>
      </c>
      <c r="B7972" s="1">
        <v>45981</v>
      </c>
      <c r="C7972">
        <v>2025</v>
      </c>
      <c r="D7972">
        <v>11</v>
      </c>
      <c r="E7972" t="s">
        <v>47</v>
      </c>
      <c r="F7972" t="s">
        <v>24</v>
      </c>
      <c r="G7972" t="s">
        <v>91</v>
      </c>
      <c r="H7972" t="s">
        <v>249</v>
      </c>
      <c r="I7972">
        <v>11681.28</v>
      </c>
      <c r="J7972">
        <v>9822.84</v>
      </c>
      <c r="K7972" t="s">
        <v>17</v>
      </c>
      <c r="L7972" t="b">
        <v>0</v>
      </c>
      <c r="N7972" s="2" t="b">
        <f t="shared" si="715"/>
        <v>1</v>
      </c>
      <c r="O7972" t="str">
        <f t="shared" si="718"/>
        <v/>
      </c>
      <c r="Q7972" t="str">
        <f t="shared" si="714"/>
        <v/>
      </c>
    </row>
    <row r="7973" spans="1:17" hidden="1">
      <c r="A7973" t="s">
        <v>8078</v>
      </c>
      <c r="B7973" s="1">
        <v>45981</v>
      </c>
      <c r="C7973">
        <v>2025</v>
      </c>
      <c r="D7973">
        <v>11</v>
      </c>
      <c r="E7973" t="s">
        <v>19</v>
      </c>
      <c r="F7973" t="s">
        <v>24</v>
      </c>
      <c r="G7973" t="s">
        <v>20</v>
      </c>
      <c r="H7973" t="s">
        <v>174</v>
      </c>
      <c r="I7973">
        <v>5969.1</v>
      </c>
      <c r="J7973">
        <v>6468.18</v>
      </c>
      <c r="K7973" t="s">
        <v>17</v>
      </c>
      <c r="L7973" t="b">
        <v>0</v>
      </c>
      <c r="N7973" s="2" t="str">
        <f t="shared" si="715"/>
        <v/>
      </c>
      <c r="Q7973" t="str">
        <f t="shared" si="714"/>
        <v/>
      </c>
    </row>
    <row r="7974" spans="1:17" hidden="1">
      <c r="A7974" t="s">
        <v>8079</v>
      </c>
      <c r="B7974" s="1">
        <v>45981</v>
      </c>
      <c r="C7974">
        <v>2025</v>
      </c>
      <c r="D7974">
        <v>11</v>
      </c>
      <c r="E7974" t="s">
        <v>23</v>
      </c>
      <c r="F7974" t="s">
        <v>14</v>
      </c>
      <c r="G7974" t="s">
        <v>59</v>
      </c>
      <c r="H7974" t="s">
        <v>155</v>
      </c>
      <c r="I7974">
        <v>4678.26</v>
      </c>
      <c r="J7974">
        <v>4412.22</v>
      </c>
      <c r="K7974" t="s">
        <v>17</v>
      </c>
      <c r="L7974" t="b">
        <v>0</v>
      </c>
      <c r="N7974" s="2" t="str">
        <f t="shared" si="715"/>
        <v/>
      </c>
      <c r="Q7974" t="str">
        <f t="shared" si="714"/>
        <v/>
      </c>
    </row>
    <row r="7975" spans="1:17" hidden="1">
      <c r="A7975" t="s">
        <v>8080</v>
      </c>
      <c r="B7975" s="1">
        <v>45981</v>
      </c>
      <c r="C7975">
        <v>2025</v>
      </c>
      <c r="D7975">
        <v>11</v>
      </c>
      <c r="E7975" t="s">
        <v>23</v>
      </c>
      <c r="F7975" t="s">
        <v>24</v>
      </c>
      <c r="G7975" t="s">
        <v>59</v>
      </c>
      <c r="H7975" t="s">
        <v>155</v>
      </c>
      <c r="I7975">
        <v>4513.01</v>
      </c>
      <c r="J7975">
        <v>4739.37</v>
      </c>
      <c r="K7975" t="s">
        <v>17</v>
      </c>
      <c r="L7975" t="b">
        <v>0</v>
      </c>
      <c r="N7975" s="2" t="str">
        <f t="shared" si="715"/>
        <v/>
      </c>
      <c r="Q7975" t="str">
        <f t="shared" si="714"/>
        <v/>
      </c>
    </row>
    <row r="7976" spans="1:17" hidden="1">
      <c r="A7976" t="s">
        <v>8081</v>
      </c>
      <c r="B7976" s="1">
        <v>45981</v>
      </c>
      <c r="C7976">
        <v>2025</v>
      </c>
      <c r="D7976">
        <v>11</v>
      </c>
      <c r="E7976" t="s">
        <v>23</v>
      </c>
      <c r="F7976" t="s">
        <v>24</v>
      </c>
      <c r="G7976" t="s">
        <v>59</v>
      </c>
      <c r="H7976" t="s">
        <v>60</v>
      </c>
      <c r="I7976">
        <v>5807.73</v>
      </c>
      <c r="J7976">
        <v>5461.89</v>
      </c>
      <c r="K7976" t="s">
        <v>17</v>
      </c>
      <c r="L7976" t="b">
        <v>0</v>
      </c>
      <c r="N7976" s="2" t="str">
        <f t="shared" si="715"/>
        <v/>
      </c>
      <c r="Q7976" t="str">
        <f t="shared" si="714"/>
        <v/>
      </c>
    </row>
    <row r="7977" spans="1:17" hidden="1">
      <c r="A7977" t="s">
        <v>8082</v>
      </c>
      <c r="B7977" s="1">
        <v>45981</v>
      </c>
      <c r="C7977">
        <v>2025</v>
      </c>
      <c r="D7977">
        <v>11</v>
      </c>
      <c r="E7977" t="s">
        <v>23</v>
      </c>
      <c r="F7977" t="s">
        <v>24</v>
      </c>
      <c r="G7977" t="s">
        <v>141</v>
      </c>
      <c r="H7977" t="s">
        <v>209</v>
      </c>
      <c r="I7977">
        <v>4979.88</v>
      </c>
      <c r="J7977">
        <v>5427.08</v>
      </c>
      <c r="K7977" t="s">
        <v>17</v>
      </c>
      <c r="L7977" t="b">
        <v>0</v>
      </c>
      <c r="N7977" s="2" t="str">
        <f t="shared" si="715"/>
        <v/>
      </c>
      <c r="Q7977" t="str">
        <f t="shared" si="714"/>
        <v/>
      </c>
    </row>
    <row r="7978" spans="1:17" hidden="1">
      <c r="A7978" t="s">
        <v>8083</v>
      </c>
      <c r="B7978" s="1">
        <v>45982</v>
      </c>
      <c r="C7978">
        <v>2025</v>
      </c>
      <c r="D7978">
        <v>11</v>
      </c>
      <c r="E7978" t="s">
        <v>13</v>
      </c>
      <c r="F7978" t="s">
        <v>28</v>
      </c>
      <c r="G7978" t="s">
        <v>102</v>
      </c>
      <c r="H7978" t="s">
        <v>278</v>
      </c>
      <c r="I7978">
        <v>4351.41</v>
      </c>
      <c r="J7978">
        <v>4246.8</v>
      </c>
      <c r="K7978" t="s">
        <v>17</v>
      </c>
      <c r="L7978" t="b">
        <v>0</v>
      </c>
      <c r="N7978" s="2" t="str">
        <f t="shared" si="715"/>
        <v/>
      </c>
      <c r="Q7978" t="str">
        <f t="shared" si="714"/>
        <v/>
      </c>
    </row>
    <row r="7979" spans="1:17" hidden="1">
      <c r="A7979" t="s">
        <v>8084</v>
      </c>
      <c r="B7979" s="1">
        <v>45982</v>
      </c>
      <c r="C7979">
        <v>2025</v>
      </c>
      <c r="D7979">
        <v>11</v>
      </c>
      <c r="E7979" t="s">
        <v>13</v>
      </c>
      <c r="F7979" t="s">
        <v>24</v>
      </c>
      <c r="G7979" t="s">
        <v>102</v>
      </c>
      <c r="H7979" t="s">
        <v>278</v>
      </c>
      <c r="I7979">
        <v>3773.22</v>
      </c>
      <c r="J7979">
        <v>4001.38</v>
      </c>
      <c r="K7979" t="s">
        <v>17</v>
      </c>
      <c r="L7979" t="b">
        <v>0</v>
      </c>
      <c r="N7979" s="2" t="str">
        <f t="shared" si="715"/>
        <v/>
      </c>
      <c r="Q7979" t="str">
        <f t="shared" si="714"/>
        <v/>
      </c>
    </row>
    <row r="7980" spans="1:17" hidden="1">
      <c r="A7980" t="s">
        <v>8085</v>
      </c>
      <c r="B7980" s="1">
        <v>45982</v>
      </c>
      <c r="C7980">
        <v>2025</v>
      </c>
      <c r="D7980">
        <v>11</v>
      </c>
      <c r="E7980" t="s">
        <v>13</v>
      </c>
      <c r="F7980" t="s">
        <v>24</v>
      </c>
      <c r="G7980" t="s">
        <v>15</v>
      </c>
      <c r="H7980" t="s">
        <v>45</v>
      </c>
      <c r="I7980">
        <v>5433.24</v>
      </c>
      <c r="J7980">
        <v>5081.26</v>
      </c>
      <c r="K7980" t="s">
        <v>17</v>
      </c>
      <c r="L7980" t="b">
        <v>0</v>
      </c>
      <c r="N7980" s="2" t="str">
        <f t="shared" si="715"/>
        <v/>
      </c>
      <c r="Q7980" t="str">
        <f t="shared" si="714"/>
        <v/>
      </c>
    </row>
    <row r="7981" spans="1:17" hidden="1">
      <c r="A7981" t="s">
        <v>8086</v>
      </c>
      <c r="B7981" s="1">
        <v>45982</v>
      </c>
      <c r="C7981">
        <v>2025</v>
      </c>
      <c r="D7981">
        <v>11</v>
      </c>
      <c r="E7981" t="s">
        <v>47</v>
      </c>
      <c r="F7981" t="s">
        <v>24</v>
      </c>
      <c r="G7981" t="s">
        <v>51</v>
      </c>
      <c r="H7981" t="s">
        <v>189</v>
      </c>
      <c r="I7981">
        <v>8293.4599999999991</v>
      </c>
      <c r="J7981">
        <v>6883.88</v>
      </c>
      <c r="K7981" t="s">
        <v>17</v>
      </c>
      <c r="L7981" t="b">
        <v>0</v>
      </c>
      <c r="N7981" s="2" t="b">
        <f t="shared" si="715"/>
        <v>1</v>
      </c>
      <c r="O7981" t="str">
        <f>IF(AND(E7970="HR",K7970="EXPENSE"),I7970&lt;J7970,"")</f>
        <v/>
      </c>
      <c r="Q7981" t="str">
        <f t="shared" si="714"/>
        <v/>
      </c>
    </row>
    <row r="7982" spans="1:17" hidden="1">
      <c r="A7982" t="s">
        <v>8087</v>
      </c>
      <c r="B7982" s="1">
        <v>45982</v>
      </c>
      <c r="C7982">
        <v>2025</v>
      </c>
      <c r="D7982">
        <v>11</v>
      </c>
      <c r="E7982" t="s">
        <v>19</v>
      </c>
      <c r="F7982" t="s">
        <v>24</v>
      </c>
      <c r="G7982" t="s">
        <v>80</v>
      </c>
      <c r="H7982" t="s">
        <v>113</v>
      </c>
      <c r="I7982">
        <v>7987.47</v>
      </c>
      <c r="J7982">
        <v>8678.06</v>
      </c>
      <c r="K7982" t="s">
        <v>17</v>
      </c>
      <c r="L7982" t="b">
        <v>0</v>
      </c>
      <c r="N7982" s="2" t="str">
        <f t="shared" si="715"/>
        <v/>
      </c>
      <c r="Q7982" t="str">
        <f t="shared" si="714"/>
        <v/>
      </c>
    </row>
    <row r="7983" spans="1:17" hidden="1">
      <c r="A7983" t="s">
        <v>8088</v>
      </c>
      <c r="B7983" s="1">
        <v>45982</v>
      </c>
      <c r="C7983">
        <v>2025</v>
      </c>
      <c r="D7983">
        <v>11</v>
      </c>
      <c r="E7983" t="s">
        <v>23</v>
      </c>
      <c r="F7983" t="s">
        <v>24</v>
      </c>
      <c r="G7983" t="s">
        <v>141</v>
      </c>
      <c r="H7983" t="s">
        <v>153</v>
      </c>
      <c r="I7983">
        <v>4419.9399999999996</v>
      </c>
      <c r="J7983">
        <v>4122.37</v>
      </c>
      <c r="K7983" t="s">
        <v>17</v>
      </c>
      <c r="L7983" t="b">
        <v>0</v>
      </c>
      <c r="N7983" s="2" t="str">
        <f t="shared" si="715"/>
        <v/>
      </c>
      <c r="Q7983" t="str">
        <f t="shared" si="714"/>
        <v/>
      </c>
    </row>
    <row r="7984" spans="1:17" hidden="1">
      <c r="A7984" t="s">
        <v>8089</v>
      </c>
      <c r="B7984" s="1">
        <v>45982</v>
      </c>
      <c r="C7984">
        <v>2025</v>
      </c>
      <c r="D7984">
        <v>11</v>
      </c>
      <c r="E7984" t="s">
        <v>37</v>
      </c>
      <c r="F7984" t="s">
        <v>24</v>
      </c>
      <c r="G7984" t="s">
        <v>62</v>
      </c>
      <c r="H7984" t="s">
        <v>121</v>
      </c>
      <c r="I7984">
        <v>6576.97</v>
      </c>
      <c r="J7984">
        <v>6582.72</v>
      </c>
      <c r="K7984" t="s">
        <v>17</v>
      </c>
      <c r="L7984" t="b">
        <v>0</v>
      </c>
      <c r="N7984" s="2" t="str">
        <f t="shared" si="715"/>
        <v/>
      </c>
      <c r="Q7984" t="str">
        <f t="shared" ref="Q7984:Q8047" si="719">IF(L7984=TRUE,OR(H7984="Apex Solutions Inc",H7984="Global Trade Partners",H7984="NovaTech Services"),"")</f>
        <v/>
      </c>
    </row>
    <row r="7985" spans="1:17" hidden="1">
      <c r="A7985" t="s">
        <v>8090</v>
      </c>
      <c r="B7985" s="1">
        <v>45983</v>
      </c>
      <c r="C7985">
        <v>2025</v>
      </c>
      <c r="D7985">
        <v>11</v>
      </c>
      <c r="E7985" t="s">
        <v>13</v>
      </c>
      <c r="F7985" t="s">
        <v>14</v>
      </c>
      <c r="G7985" t="s">
        <v>68</v>
      </c>
      <c r="H7985" t="s">
        <v>213</v>
      </c>
      <c r="I7985">
        <v>4628.33</v>
      </c>
      <c r="J7985">
        <v>4710.3599999999997</v>
      </c>
      <c r="K7985" t="s">
        <v>17</v>
      </c>
      <c r="L7985" t="b">
        <v>0</v>
      </c>
      <c r="N7985" s="2" t="str">
        <f t="shared" si="715"/>
        <v/>
      </c>
      <c r="Q7985" t="str">
        <f t="shared" si="719"/>
        <v/>
      </c>
    </row>
    <row r="7986" spans="1:17" hidden="1">
      <c r="A7986" t="s">
        <v>8091</v>
      </c>
      <c r="B7986" s="1">
        <v>45983</v>
      </c>
      <c r="C7986">
        <v>2025</v>
      </c>
      <c r="D7986">
        <v>11</v>
      </c>
      <c r="E7986" t="s">
        <v>13</v>
      </c>
      <c r="F7986" t="s">
        <v>24</v>
      </c>
      <c r="G7986" t="s">
        <v>102</v>
      </c>
      <c r="H7986" t="s">
        <v>145</v>
      </c>
      <c r="I7986">
        <v>5473.78</v>
      </c>
      <c r="J7986">
        <v>5139.3100000000004</v>
      </c>
      <c r="K7986" t="s">
        <v>17</v>
      </c>
      <c r="L7986" t="b">
        <v>0</v>
      </c>
      <c r="N7986" s="2" t="str">
        <f t="shared" si="715"/>
        <v/>
      </c>
      <c r="Q7986" t="str">
        <f t="shared" si="719"/>
        <v/>
      </c>
    </row>
    <row r="7987" spans="1:17" hidden="1">
      <c r="A7987" t="s">
        <v>8092</v>
      </c>
      <c r="B7987" s="1">
        <v>45983</v>
      </c>
      <c r="C7987">
        <v>2025</v>
      </c>
      <c r="D7987">
        <v>11</v>
      </c>
      <c r="E7987" t="s">
        <v>19</v>
      </c>
      <c r="F7987" t="s">
        <v>14</v>
      </c>
      <c r="G7987" t="s">
        <v>20</v>
      </c>
      <c r="H7987" t="s">
        <v>21</v>
      </c>
      <c r="I7987">
        <v>10475.17</v>
      </c>
      <c r="J7987">
        <v>10372.280000000001</v>
      </c>
      <c r="K7987" t="s">
        <v>17</v>
      </c>
      <c r="L7987" t="b">
        <v>0</v>
      </c>
      <c r="N7987" s="2" t="str">
        <f t="shared" si="715"/>
        <v/>
      </c>
      <c r="Q7987" t="str">
        <f t="shared" si="719"/>
        <v/>
      </c>
    </row>
    <row r="7988" spans="1:17" hidden="1">
      <c r="A7988" t="s">
        <v>8093</v>
      </c>
      <c r="B7988" s="1">
        <v>45983</v>
      </c>
      <c r="C7988">
        <v>2025</v>
      </c>
      <c r="D7988">
        <v>11</v>
      </c>
      <c r="E7988" t="s">
        <v>19</v>
      </c>
      <c r="F7988" t="s">
        <v>14</v>
      </c>
      <c r="G7988" t="s">
        <v>54</v>
      </c>
      <c r="H7988" t="s">
        <v>163</v>
      </c>
      <c r="I7988">
        <v>7896.3</v>
      </c>
      <c r="J7988">
        <v>8675.5400000000009</v>
      </c>
      <c r="K7988" t="s">
        <v>17</v>
      </c>
      <c r="L7988" t="b">
        <v>0</v>
      </c>
      <c r="N7988" s="2" t="str">
        <f t="shared" si="715"/>
        <v/>
      </c>
      <c r="Q7988" t="str">
        <f t="shared" si="719"/>
        <v/>
      </c>
    </row>
    <row r="7989" spans="1:17" hidden="1">
      <c r="A7989" t="s">
        <v>8094</v>
      </c>
      <c r="B7989" s="1">
        <v>45983</v>
      </c>
      <c r="C7989">
        <v>2025</v>
      </c>
      <c r="D7989">
        <v>11</v>
      </c>
      <c r="E7989" t="s">
        <v>19</v>
      </c>
      <c r="F7989" t="s">
        <v>28</v>
      </c>
      <c r="G7989" t="s">
        <v>132</v>
      </c>
      <c r="H7989" t="s">
        <v>171</v>
      </c>
      <c r="I7989">
        <v>4555.17</v>
      </c>
      <c r="J7989">
        <v>4336.2299999999996</v>
      </c>
      <c r="K7989" t="s">
        <v>17</v>
      </c>
      <c r="L7989" t="b">
        <v>0</v>
      </c>
      <c r="N7989" s="2" t="str">
        <f t="shared" si="715"/>
        <v/>
      </c>
      <c r="Q7989" t="str">
        <f t="shared" si="719"/>
        <v/>
      </c>
    </row>
    <row r="7990" spans="1:17" hidden="1">
      <c r="A7990" t="s">
        <v>8095</v>
      </c>
      <c r="B7990" s="1">
        <v>45983</v>
      </c>
      <c r="C7990">
        <v>2025</v>
      </c>
      <c r="D7990">
        <v>11</v>
      </c>
      <c r="E7990" t="s">
        <v>23</v>
      </c>
      <c r="F7990" t="s">
        <v>28</v>
      </c>
      <c r="G7990" t="s">
        <v>141</v>
      </c>
      <c r="H7990" t="s">
        <v>209</v>
      </c>
      <c r="I7990">
        <v>4532.93</v>
      </c>
      <c r="J7990">
        <v>4225.51</v>
      </c>
      <c r="K7990" t="s">
        <v>17</v>
      </c>
      <c r="L7990" t="b">
        <v>0</v>
      </c>
      <c r="N7990" s="2" t="str">
        <f t="shared" si="715"/>
        <v/>
      </c>
      <c r="Q7990" t="str">
        <f t="shared" si="719"/>
        <v/>
      </c>
    </row>
    <row r="7991" spans="1:17" hidden="1">
      <c r="A7991" t="s">
        <v>8096</v>
      </c>
      <c r="B7991" s="1">
        <v>45983</v>
      </c>
      <c r="C7991">
        <v>2025</v>
      </c>
      <c r="D7991">
        <v>11</v>
      </c>
      <c r="E7991" t="s">
        <v>37</v>
      </c>
      <c r="F7991" t="s">
        <v>24</v>
      </c>
      <c r="G7991" t="s">
        <v>98</v>
      </c>
      <c r="H7991" t="s">
        <v>99</v>
      </c>
      <c r="I7991">
        <v>4544.92</v>
      </c>
      <c r="J7991">
        <v>4867.3599999999997</v>
      </c>
      <c r="K7991" t="s">
        <v>17</v>
      </c>
      <c r="L7991" t="b">
        <v>0</v>
      </c>
      <c r="N7991" s="2" t="str">
        <f t="shared" si="715"/>
        <v/>
      </c>
      <c r="Q7991" t="str">
        <f t="shared" si="719"/>
        <v/>
      </c>
    </row>
    <row r="7992" spans="1:17" hidden="1">
      <c r="A7992" t="s">
        <v>8097</v>
      </c>
      <c r="B7992" s="1">
        <v>45984</v>
      </c>
      <c r="C7992">
        <v>2025</v>
      </c>
      <c r="D7992">
        <v>11</v>
      </c>
      <c r="E7992" t="s">
        <v>13</v>
      </c>
      <c r="F7992" t="s">
        <v>14</v>
      </c>
      <c r="G7992" t="s">
        <v>15</v>
      </c>
      <c r="H7992" t="s">
        <v>45</v>
      </c>
      <c r="I7992">
        <v>2827.1</v>
      </c>
      <c r="J7992">
        <v>3007.04</v>
      </c>
      <c r="K7992" t="s">
        <v>17</v>
      </c>
      <c r="L7992" t="b">
        <v>0</v>
      </c>
      <c r="N7992" s="2" t="str">
        <f t="shared" si="715"/>
        <v/>
      </c>
      <c r="Q7992" t="str">
        <f t="shared" si="719"/>
        <v/>
      </c>
    </row>
    <row r="7993" spans="1:17" hidden="1">
      <c r="A7993" t="s">
        <v>8098</v>
      </c>
      <c r="B7993" s="1">
        <v>45984</v>
      </c>
      <c r="C7993">
        <v>2025</v>
      </c>
      <c r="D7993">
        <v>11</v>
      </c>
      <c r="E7993" t="s">
        <v>19</v>
      </c>
      <c r="F7993" t="s">
        <v>14</v>
      </c>
      <c r="G7993" t="s">
        <v>132</v>
      </c>
      <c r="H7993" t="s">
        <v>171</v>
      </c>
      <c r="I7993">
        <v>3768.14</v>
      </c>
      <c r="J7993">
        <v>4075.52</v>
      </c>
      <c r="K7993" t="s">
        <v>17</v>
      </c>
      <c r="L7993" t="b">
        <v>0</v>
      </c>
      <c r="N7993" s="2" t="str">
        <f t="shared" si="715"/>
        <v/>
      </c>
      <c r="Q7993" t="str">
        <f t="shared" si="719"/>
        <v/>
      </c>
    </row>
    <row r="7994" spans="1:17" hidden="1">
      <c r="A7994" t="s">
        <v>8099</v>
      </c>
      <c r="B7994" s="1">
        <v>45984</v>
      </c>
      <c r="C7994">
        <v>2025</v>
      </c>
      <c r="D7994">
        <v>11</v>
      </c>
      <c r="E7994" t="s">
        <v>37</v>
      </c>
      <c r="F7994" t="s">
        <v>14</v>
      </c>
      <c r="G7994" t="s">
        <v>62</v>
      </c>
      <c r="H7994" t="s">
        <v>63</v>
      </c>
      <c r="I7994">
        <v>5969.87</v>
      </c>
      <c r="J7994">
        <v>6473.64</v>
      </c>
      <c r="K7994" t="s">
        <v>17</v>
      </c>
      <c r="L7994" t="b">
        <v>0</v>
      </c>
      <c r="N7994" s="2" t="str">
        <f t="shared" si="715"/>
        <v/>
      </c>
      <c r="Q7994" t="str">
        <f t="shared" si="719"/>
        <v/>
      </c>
    </row>
    <row r="7995" spans="1:17" hidden="1">
      <c r="A7995" t="s">
        <v>8100</v>
      </c>
      <c r="B7995" s="1">
        <v>45984</v>
      </c>
      <c r="C7995">
        <v>2025</v>
      </c>
      <c r="D7995">
        <v>11</v>
      </c>
      <c r="E7995" t="s">
        <v>37</v>
      </c>
      <c r="F7995" t="s">
        <v>28</v>
      </c>
      <c r="G7995" t="s">
        <v>38</v>
      </c>
      <c r="H7995" t="s">
        <v>227</v>
      </c>
      <c r="I7995">
        <v>6983.77</v>
      </c>
      <c r="J7995">
        <v>6665</v>
      </c>
      <c r="K7995" t="s">
        <v>17</v>
      </c>
      <c r="L7995" t="b">
        <v>0</v>
      </c>
      <c r="N7995" s="2" t="str">
        <f t="shared" si="715"/>
        <v/>
      </c>
      <c r="Q7995" t="str">
        <f t="shared" si="719"/>
        <v/>
      </c>
    </row>
    <row r="7996" spans="1:17" hidden="1">
      <c r="A7996" t="s">
        <v>8101</v>
      </c>
      <c r="B7996" s="1">
        <v>45985</v>
      </c>
      <c r="C7996">
        <v>2025</v>
      </c>
      <c r="D7996">
        <v>11</v>
      </c>
      <c r="E7996" t="s">
        <v>13</v>
      </c>
      <c r="F7996" t="s">
        <v>14</v>
      </c>
      <c r="G7996" t="s">
        <v>102</v>
      </c>
      <c r="H7996" t="s">
        <v>103</v>
      </c>
      <c r="I7996">
        <v>5420.75</v>
      </c>
      <c r="J7996">
        <v>5793.79</v>
      </c>
      <c r="K7996" t="s">
        <v>17</v>
      </c>
      <c r="L7996" t="b">
        <v>0</v>
      </c>
      <c r="N7996" s="2" t="str">
        <f t="shared" si="715"/>
        <v/>
      </c>
      <c r="Q7996" t="str">
        <f t="shared" si="719"/>
        <v/>
      </c>
    </row>
    <row r="7997" spans="1:17" hidden="1">
      <c r="A7997" t="s">
        <v>8102</v>
      </c>
      <c r="B7997" s="1">
        <v>45985</v>
      </c>
      <c r="C7997">
        <v>2025</v>
      </c>
      <c r="D7997">
        <v>11</v>
      </c>
      <c r="E7997" t="s">
        <v>13</v>
      </c>
      <c r="F7997" t="s">
        <v>28</v>
      </c>
      <c r="G7997" t="s">
        <v>108</v>
      </c>
      <c r="H7997" t="s">
        <v>123</v>
      </c>
      <c r="I7997">
        <v>4960.03</v>
      </c>
      <c r="J7997">
        <v>4813.03</v>
      </c>
      <c r="K7997" t="s">
        <v>17</v>
      </c>
      <c r="L7997" t="b">
        <v>0</v>
      </c>
      <c r="N7997" s="2" t="str">
        <f t="shared" si="715"/>
        <v/>
      </c>
      <c r="Q7997" t="str">
        <f t="shared" si="719"/>
        <v/>
      </c>
    </row>
    <row r="7998" spans="1:17" hidden="1">
      <c r="A7998" t="s">
        <v>8103</v>
      </c>
      <c r="B7998" s="1">
        <v>45985</v>
      </c>
      <c r="C7998">
        <v>2025</v>
      </c>
      <c r="D7998">
        <v>11</v>
      </c>
      <c r="E7998" t="s">
        <v>47</v>
      </c>
      <c r="F7998" t="s">
        <v>28</v>
      </c>
      <c r="G7998" t="s">
        <v>51</v>
      </c>
      <c r="H7998" t="s">
        <v>189</v>
      </c>
      <c r="I7998">
        <v>12157.39</v>
      </c>
      <c r="J7998">
        <v>10279.1</v>
      </c>
      <c r="K7998" t="s">
        <v>17</v>
      </c>
      <c r="L7998" t="b">
        <v>0</v>
      </c>
      <c r="N7998" s="2" t="b">
        <f t="shared" si="715"/>
        <v>1</v>
      </c>
      <c r="O7998" t="str">
        <f>IF(AND(E7987="HR",K7987="EXPENSE"),I7987&lt;J7987,"")</f>
        <v/>
      </c>
      <c r="Q7998" t="str">
        <f t="shared" si="719"/>
        <v/>
      </c>
    </row>
    <row r="7999" spans="1:17" hidden="1">
      <c r="A7999" t="s">
        <v>8104</v>
      </c>
      <c r="B7999" s="1">
        <v>45985</v>
      </c>
      <c r="C7999">
        <v>2025</v>
      </c>
      <c r="D7999">
        <v>11</v>
      </c>
      <c r="E7999" t="s">
        <v>19</v>
      </c>
      <c r="F7999" t="s">
        <v>14</v>
      </c>
      <c r="G7999" t="s">
        <v>20</v>
      </c>
      <c r="H7999" t="s">
        <v>136</v>
      </c>
      <c r="I7999">
        <v>6182.33</v>
      </c>
      <c r="J7999">
        <v>6156.4</v>
      </c>
      <c r="K7999" t="s">
        <v>17</v>
      </c>
      <c r="L7999" t="b">
        <v>0</v>
      </c>
      <c r="N7999" s="2" t="str">
        <f t="shared" si="715"/>
        <v/>
      </c>
      <c r="Q7999" t="str">
        <f t="shared" si="719"/>
        <v/>
      </c>
    </row>
    <row r="8000" spans="1:17" hidden="1">
      <c r="A8000" t="s">
        <v>8105</v>
      </c>
      <c r="B8000" s="1">
        <v>45985</v>
      </c>
      <c r="C8000">
        <v>2025</v>
      </c>
      <c r="D8000">
        <v>11</v>
      </c>
      <c r="E8000" t="s">
        <v>37</v>
      </c>
      <c r="F8000" t="s">
        <v>14</v>
      </c>
      <c r="G8000" t="s">
        <v>62</v>
      </c>
      <c r="H8000" t="s">
        <v>121</v>
      </c>
      <c r="I8000">
        <v>5535.13</v>
      </c>
      <c r="J8000">
        <v>5850.24</v>
      </c>
      <c r="K8000" t="s">
        <v>17</v>
      </c>
      <c r="L8000" t="b">
        <v>0</v>
      </c>
      <c r="N8000" s="2" t="str">
        <f t="shared" si="715"/>
        <v/>
      </c>
      <c r="Q8000" t="str">
        <f t="shared" si="719"/>
        <v/>
      </c>
    </row>
    <row r="8001" spans="1:17" hidden="1">
      <c r="A8001" t="s">
        <v>8106</v>
      </c>
      <c r="B8001" s="1">
        <v>45985</v>
      </c>
      <c r="C8001">
        <v>2025</v>
      </c>
      <c r="D8001">
        <v>11</v>
      </c>
      <c r="E8001" t="s">
        <v>37</v>
      </c>
      <c r="F8001" t="s">
        <v>14</v>
      </c>
      <c r="G8001" t="s">
        <v>98</v>
      </c>
      <c r="H8001" t="s">
        <v>185</v>
      </c>
      <c r="I8001">
        <v>5567.54</v>
      </c>
      <c r="J8001">
        <v>5259.5</v>
      </c>
      <c r="K8001" t="s">
        <v>17</v>
      </c>
      <c r="L8001" t="b">
        <v>0</v>
      </c>
      <c r="N8001" s="2" t="str">
        <f t="shared" si="715"/>
        <v/>
      </c>
      <c r="Q8001" t="str">
        <f t="shared" si="719"/>
        <v/>
      </c>
    </row>
    <row r="8002" spans="1:17" hidden="1">
      <c r="A8002" t="s">
        <v>8107</v>
      </c>
      <c r="B8002" s="1">
        <v>45985</v>
      </c>
      <c r="C8002">
        <v>2025</v>
      </c>
      <c r="D8002">
        <v>11</v>
      </c>
      <c r="E8002" t="s">
        <v>37</v>
      </c>
      <c r="F8002" t="s">
        <v>24</v>
      </c>
      <c r="G8002" t="s">
        <v>98</v>
      </c>
      <c r="H8002" t="s">
        <v>99</v>
      </c>
      <c r="I8002">
        <v>4300.96</v>
      </c>
      <c r="J8002">
        <v>4580.71</v>
      </c>
      <c r="K8002" t="s">
        <v>17</v>
      </c>
      <c r="L8002" t="b">
        <v>0</v>
      </c>
      <c r="N8002" s="2" t="str">
        <f t="shared" si="715"/>
        <v/>
      </c>
      <c r="Q8002" t="str">
        <f t="shared" si="719"/>
        <v/>
      </c>
    </row>
    <row r="8003" spans="1:17" hidden="1">
      <c r="A8003" t="s">
        <v>8108</v>
      </c>
      <c r="B8003" s="1">
        <v>45985</v>
      </c>
      <c r="C8003">
        <v>2025</v>
      </c>
      <c r="D8003">
        <v>11</v>
      </c>
      <c r="E8003" t="s">
        <v>37</v>
      </c>
      <c r="F8003" t="s">
        <v>24</v>
      </c>
      <c r="G8003" t="s">
        <v>83</v>
      </c>
      <c r="H8003" t="s">
        <v>84</v>
      </c>
      <c r="I8003">
        <v>173471.46</v>
      </c>
      <c r="J8003">
        <v>164797.89000000001</v>
      </c>
      <c r="K8003" t="s">
        <v>85</v>
      </c>
      <c r="L8003" t="b">
        <v>0</v>
      </c>
      <c r="N8003" s="2" t="str">
        <f t="shared" ref="N8003:N8066" si="720">IF(AND(E8003="IT",K8003="EXPENSE"),I8003&gt;J8003,"")</f>
        <v/>
      </c>
      <c r="Q8003" t="str">
        <f t="shared" si="719"/>
        <v/>
      </c>
    </row>
    <row r="8004" spans="1:17" hidden="1">
      <c r="A8004" t="s">
        <v>8109</v>
      </c>
      <c r="B8004" s="1">
        <v>45986</v>
      </c>
      <c r="C8004">
        <v>2025</v>
      </c>
      <c r="D8004">
        <v>11</v>
      </c>
      <c r="E8004" t="s">
        <v>13</v>
      </c>
      <c r="F8004" t="s">
        <v>14</v>
      </c>
      <c r="G8004" t="s">
        <v>68</v>
      </c>
      <c r="H8004" t="s">
        <v>69</v>
      </c>
      <c r="I8004">
        <v>4848.54</v>
      </c>
      <c r="J8004">
        <v>4436.18</v>
      </c>
      <c r="K8004" t="s">
        <v>17</v>
      </c>
      <c r="L8004" t="b">
        <v>0</v>
      </c>
      <c r="N8004" s="2" t="str">
        <f t="shared" si="720"/>
        <v/>
      </c>
      <c r="Q8004" t="str">
        <f t="shared" si="719"/>
        <v/>
      </c>
    </row>
    <row r="8005" spans="1:17" hidden="1">
      <c r="A8005" t="s">
        <v>8110</v>
      </c>
      <c r="B8005" s="1">
        <v>45986</v>
      </c>
      <c r="C8005">
        <v>2025</v>
      </c>
      <c r="D8005">
        <v>11</v>
      </c>
      <c r="E8005" t="s">
        <v>13</v>
      </c>
      <c r="F8005" t="s">
        <v>28</v>
      </c>
      <c r="G8005" t="s">
        <v>102</v>
      </c>
      <c r="H8005" t="s">
        <v>103</v>
      </c>
      <c r="I8005">
        <v>3042.75</v>
      </c>
      <c r="J8005">
        <v>2750.36</v>
      </c>
      <c r="K8005" t="s">
        <v>17</v>
      </c>
      <c r="L8005" t="b">
        <v>0</v>
      </c>
      <c r="N8005" s="2" t="str">
        <f t="shared" si="720"/>
        <v/>
      </c>
      <c r="Q8005" t="str">
        <f t="shared" si="719"/>
        <v/>
      </c>
    </row>
    <row r="8006" spans="1:17" hidden="1">
      <c r="A8006" t="s">
        <v>8111</v>
      </c>
      <c r="B8006" s="1">
        <v>45986</v>
      </c>
      <c r="C8006">
        <v>2025</v>
      </c>
      <c r="D8006">
        <v>11</v>
      </c>
      <c r="E8006" t="s">
        <v>13</v>
      </c>
      <c r="F8006" t="s">
        <v>28</v>
      </c>
      <c r="G8006" t="s">
        <v>68</v>
      </c>
      <c r="H8006" t="s">
        <v>69</v>
      </c>
      <c r="I8006">
        <v>2539.89</v>
      </c>
      <c r="J8006">
        <v>2687.86</v>
      </c>
      <c r="K8006" t="s">
        <v>17</v>
      </c>
      <c r="L8006" t="b">
        <v>0</v>
      </c>
      <c r="N8006" s="2" t="str">
        <f t="shared" si="720"/>
        <v/>
      </c>
      <c r="Q8006" t="str">
        <f t="shared" si="719"/>
        <v/>
      </c>
    </row>
    <row r="8007" spans="1:17" hidden="1">
      <c r="A8007" t="s">
        <v>8112</v>
      </c>
      <c r="B8007" s="1">
        <v>45986</v>
      </c>
      <c r="C8007">
        <v>2025</v>
      </c>
      <c r="D8007">
        <v>11</v>
      </c>
      <c r="E8007" t="s">
        <v>47</v>
      </c>
      <c r="F8007" t="s">
        <v>28</v>
      </c>
      <c r="G8007" t="s">
        <v>91</v>
      </c>
      <c r="H8007" t="s">
        <v>254</v>
      </c>
      <c r="I8007">
        <v>10079.02</v>
      </c>
      <c r="J8007">
        <v>8520.2000000000007</v>
      </c>
      <c r="K8007" t="s">
        <v>17</v>
      </c>
      <c r="L8007" t="b">
        <v>0</v>
      </c>
      <c r="N8007" s="2" t="b">
        <f t="shared" si="720"/>
        <v>1</v>
      </c>
      <c r="O8007" t="b">
        <f>IF(AND(E7996="HR",K7996="EXPENSE"),I7996&lt;J7996,"")</f>
        <v>1</v>
      </c>
      <c r="Q8007" t="str">
        <f t="shared" si="719"/>
        <v/>
      </c>
    </row>
    <row r="8008" spans="1:17" hidden="1">
      <c r="A8008" t="s">
        <v>8113</v>
      </c>
      <c r="B8008" s="1">
        <v>45986</v>
      </c>
      <c r="C8008">
        <v>2025</v>
      </c>
      <c r="D8008">
        <v>11</v>
      </c>
      <c r="E8008" t="s">
        <v>19</v>
      </c>
      <c r="F8008" t="s">
        <v>14</v>
      </c>
      <c r="G8008" t="s">
        <v>132</v>
      </c>
      <c r="H8008" t="s">
        <v>171</v>
      </c>
      <c r="I8008">
        <v>6266.71</v>
      </c>
      <c r="J8008">
        <v>5902.78</v>
      </c>
      <c r="K8008" t="s">
        <v>17</v>
      </c>
      <c r="L8008" t="b">
        <v>0</v>
      </c>
      <c r="N8008" s="2" t="str">
        <f t="shared" si="720"/>
        <v/>
      </c>
      <c r="Q8008" t="str">
        <f t="shared" si="719"/>
        <v/>
      </c>
    </row>
    <row r="8009" spans="1:17" hidden="1">
      <c r="A8009" t="s">
        <v>8114</v>
      </c>
      <c r="B8009" s="1">
        <v>45986</v>
      </c>
      <c r="C8009">
        <v>2025</v>
      </c>
      <c r="D8009">
        <v>11</v>
      </c>
      <c r="E8009" t="s">
        <v>19</v>
      </c>
      <c r="F8009" t="s">
        <v>24</v>
      </c>
      <c r="G8009" t="s">
        <v>80</v>
      </c>
      <c r="H8009" t="s">
        <v>217</v>
      </c>
      <c r="I8009">
        <v>9197.99</v>
      </c>
      <c r="J8009">
        <v>9900.93</v>
      </c>
      <c r="K8009" t="s">
        <v>17</v>
      </c>
      <c r="L8009" t="b">
        <v>0</v>
      </c>
      <c r="N8009" s="2" t="str">
        <f t="shared" si="720"/>
        <v/>
      </c>
      <c r="Q8009" t="str">
        <f t="shared" si="719"/>
        <v/>
      </c>
    </row>
    <row r="8010" spans="1:17" hidden="1">
      <c r="A8010" t="s">
        <v>8115</v>
      </c>
      <c r="B8010" s="1">
        <v>45986</v>
      </c>
      <c r="C8010">
        <v>2025</v>
      </c>
      <c r="D8010">
        <v>11</v>
      </c>
      <c r="E8010" t="s">
        <v>23</v>
      </c>
      <c r="F8010" t="s">
        <v>28</v>
      </c>
      <c r="G8010" t="s">
        <v>59</v>
      </c>
      <c r="H8010" t="s">
        <v>60</v>
      </c>
      <c r="I8010">
        <v>4401.45</v>
      </c>
      <c r="J8010">
        <v>4408.6499999999996</v>
      </c>
      <c r="K8010" t="s">
        <v>17</v>
      </c>
      <c r="L8010" t="b">
        <v>0</v>
      </c>
      <c r="N8010" s="2" t="str">
        <f t="shared" si="720"/>
        <v/>
      </c>
      <c r="Q8010" t="str">
        <f t="shared" si="719"/>
        <v/>
      </c>
    </row>
    <row r="8011" spans="1:17" hidden="1">
      <c r="A8011" t="s">
        <v>8116</v>
      </c>
      <c r="B8011" s="1">
        <v>45986</v>
      </c>
      <c r="C8011">
        <v>2025</v>
      </c>
      <c r="D8011">
        <v>11</v>
      </c>
      <c r="E8011" t="s">
        <v>23</v>
      </c>
      <c r="F8011" t="s">
        <v>28</v>
      </c>
      <c r="G8011" t="s">
        <v>25</v>
      </c>
      <c r="H8011" t="s">
        <v>35</v>
      </c>
      <c r="I8011">
        <v>7646.92</v>
      </c>
      <c r="J8011">
        <v>7776.06</v>
      </c>
      <c r="K8011" t="s">
        <v>17</v>
      </c>
      <c r="L8011" t="b">
        <v>0</v>
      </c>
      <c r="N8011" s="2" t="str">
        <f t="shared" si="720"/>
        <v/>
      </c>
      <c r="Q8011" t="str">
        <f t="shared" si="719"/>
        <v/>
      </c>
    </row>
    <row r="8012" spans="1:17" hidden="1">
      <c r="A8012" t="s">
        <v>8117</v>
      </c>
      <c r="B8012" s="1">
        <v>45986</v>
      </c>
      <c r="C8012">
        <v>2025</v>
      </c>
      <c r="D8012">
        <v>11</v>
      </c>
      <c r="E8012" t="s">
        <v>23</v>
      </c>
      <c r="F8012" t="s">
        <v>24</v>
      </c>
      <c r="G8012" t="s">
        <v>59</v>
      </c>
      <c r="H8012" t="s">
        <v>60</v>
      </c>
      <c r="I8012">
        <v>6428.33</v>
      </c>
      <c r="J8012">
        <v>6287.42</v>
      </c>
      <c r="K8012" t="s">
        <v>17</v>
      </c>
      <c r="L8012" t="b">
        <v>0</v>
      </c>
      <c r="N8012" s="2" t="str">
        <f t="shared" si="720"/>
        <v/>
      </c>
      <c r="Q8012" t="str">
        <f t="shared" si="719"/>
        <v/>
      </c>
    </row>
    <row r="8013" spans="1:17" hidden="1">
      <c r="A8013" t="s">
        <v>8118</v>
      </c>
      <c r="B8013" s="1">
        <v>45986</v>
      </c>
      <c r="C8013">
        <v>2025</v>
      </c>
      <c r="D8013">
        <v>11</v>
      </c>
      <c r="E8013" t="s">
        <v>37</v>
      </c>
      <c r="F8013" t="s">
        <v>14</v>
      </c>
      <c r="G8013" t="s">
        <v>83</v>
      </c>
      <c r="H8013" t="s">
        <v>84</v>
      </c>
      <c r="I8013">
        <v>422501.5</v>
      </c>
      <c r="J8013">
        <v>401376.43</v>
      </c>
      <c r="K8013" t="s">
        <v>85</v>
      </c>
      <c r="L8013" t="b">
        <v>0</v>
      </c>
      <c r="N8013" s="2" t="str">
        <f t="shared" si="720"/>
        <v/>
      </c>
      <c r="Q8013" t="str">
        <f t="shared" si="719"/>
        <v/>
      </c>
    </row>
    <row r="8014" spans="1:17" hidden="1">
      <c r="A8014" t="s">
        <v>8119</v>
      </c>
      <c r="B8014" s="1">
        <v>45987</v>
      </c>
      <c r="C8014">
        <v>2025</v>
      </c>
      <c r="D8014">
        <v>11</v>
      </c>
      <c r="E8014" t="s">
        <v>13</v>
      </c>
      <c r="F8014" t="s">
        <v>24</v>
      </c>
      <c r="G8014" t="s">
        <v>108</v>
      </c>
      <c r="H8014" t="s">
        <v>109</v>
      </c>
      <c r="I8014">
        <v>3479.65</v>
      </c>
      <c r="J8014">
        <v>3737.16</v>
      </c>
      <c r="K8014" t="s">
        <v>17</v>
      </c>
      <c r="L8014" t="b">
        <v>0</v>
      </c>
      <c r="N8014" s="2" t="str">
        <f t="shared" si="720"/>
        <v/>
      </c>
      <c r="Q8014" t="str">
        <f t="shared" si="719"/>
        <v/>
      </c>
    </row>
    <row r="8015" spans="1:17" hidden="1">
      <c r="A8015" t="s">
        <v>8120</v>
      </c>
      <c r="B8015" s="1">
        <v>45987</v>
      </c>
      <c r="C8015">
        <v>2025</v>
      </c>
      <c r="D8015">
        <v>11</v>
      </c>
      <c r="E8015" t="s">
        <v>13</v>
      </c>
      <c r="F8015" t="s">
        <v>24</v>
      </c>
      <c r="G8015" t="s">
        <v>68</v>
      </c>
      <c r="H8015" t="s">
        <v>69</v>
      </c>
      <c r="I8015">
        <v>3801.02</v>
      </c>
      <c r="J8015">
        <v>3982.27</v>
      </c>
      <c r="K8015" t="s">
        <v>17</v>
      </c>
      <c r="L8015" t="b">
        <v>0</v>
      </c>
      <c r="N8015" s="2" t="str">
        <f t="shared" si="720"/>
        <v/>
      </c>
      <c r="Q8015" t="str">
        <f t="shared" si="719"/>
        <v/>
      </c>
    </row>
    <row r="8016" spans="1:17" hidden="1">
      <c r="A8016" t="s">
        <v>8121</v>
      </c>
      <c r="B8016" s="1">
        <v>45987</v>
      </c>
      <c r="C8016">
        <v>2025</v>
      </c>
      <c r="D8016">
        <v>11</v>
      </c>
      <c r="E8016" t="s">
        <v>47</v>
      </c>
      <c r="F8016" t="s">
        <v>28</v>
      </c>
      <c r="G8016" t="s">
        <v>77</v>
      </c>
      <c r="H8016" t="s">
        <v>147</v>
      </c>
      <c r="I8016">
        <v>10800.66</v>
      </c>
      <c r="J8016">
        <v>9061.56</v>
      </c>
      <c r="K8016" t="s">
        <v>17</v>
      </c>
      <c r="L8016" t="b">
        <v>0</v>
      </c>
      <c r="N8016" s="2" t="b">
        <f t="shared" si="720"/>
        <v>1</v>
      </c>
      <c r="O8016" t="b">
        <f t="shared" ref="O8016:O8018" si="721">IF(AND(E8005="HR",K8005="EXPENSE"),I8005&lt;J8005,"")</f>
        <v>0</v>
      </c>
      <c r="Q8016" t="str">
        <f t="shared" si="719"/>
        <v/>
      </c>
    </row>
    <row r="8017" spans="1:17" hidden="1">
      <c r="A8017" t="s">
        <v>8122</v>
      </c>
      <c r="B8017" s="1">
        <v>45987</v>
      </c>
      <c r="C8017">
        <v>2025</v>
      </c>
      <c r="D8017">
        <v>11</v>
      </c>
      <c r="E8017" t="s">
        <v>47</v>
      </c>
      <c r="F8017" t="s">
        <v>24</v>
      </c>
      <c r="G8017" t="s">
        <v>91</v>
      </c>
      <c r="H8017" t="s">
        <v>128</v>
      </c>
      <c r="I8017">
        <v>16725.29</v>
      </c>
      <c r="J8017">
        <v>14401.6</v>
      </c>
      <c r="K8017" t="s">
        <v>17</v>
      </c>
      <c r="L8017" t="b">
        <v>0</v>
      </c>
      <c r="N8017" s="2" t="b">
        <f t="shared" si="720"/>
        <v>1</v>
      </c>
      <c r="O8017" t="b">
        <f t="shared" si="721"/>
        <v>1</v>
      </c>
      <c r="Q8017" t="str">
        <f t="shared" si="719"/>
        <v/>
      </c>
    </row>
    <row r="8018" spans="1:17" hidden="1">
      <c r="A8018" t="s">
        <v>8123</v>
      </c>
      <c r="B8018" s="1">
        <v>45987</v>
      </c>
      <c r="C8018">
        <v>2025</v>
      </c>
      <c r="D8018">
        <v>11</v>
      </c>
      <c r="E8018" t="s">
        <v>47</v>
      </c>
      <c r="F8018" t="s">
        <v>24</v>
      </c>
      <c r="G8018" t="s">
        <v>48</v>
      </c>
      <c r="H8018" t="s">
        <v>189</v>
      </c>
      <c r="I8018">
        <v>14425.58</v>
      </c>
      <c r="J8018">
        <v>11912.22</v>
      </c>
      <c r="K8018" t="s">
        <v>17</v>
      </c>
      <c r="L8018" t="b">
        <v>0</v>
      </c>
      <c r="N8018" s="2" t="b">
        <f t="shared" si="720"/>
        <v>1</v>
      </c>
      <c r="O8018" t="str">
        <f t="shared" si="721"/>
        <v/>
      </c>
      <c r="Q8018" t="str">
        <f t="shared" si="719"/>
        <v/>
      </c>
    </row>
    <row r="8019" spans="1:17" hidden="1">
      <c r="A8019" t="s">
        <v>8124</v>
      </c>
      <c r="B8019" s="1">
        <v>45987</v>
      </c>
      <c r="C8019">
        <v>2025</v>
      </c>
      <c r="D8019">
        <v>11</v>
      </c>
      <c r="E8019" t="s">
        <v>23</v>
      </c>
      <c r="F8019" t="s">
        <v>14</v>
      </c>
      <c r="G8019" t="s">
        <v>141</v>
      </c>
      <c r="H8019" t="s">
        <v>153</v>
      </c>
      <c r="I8019">
        <v>5527.64</v>
      </c>
      <c r="J8019">
        <v>5125.62</v>
      </c>
      <c r="K8019" t="s">
        <v>17</v>
      </c>
      <c r="L8019" t="b">
        <v>0</v>
      </c>
      <c r="N8019" s="2" t="str">
        <f t="shared" si="720"/>
        <v/>
      </c>
      <c r="Q8019" t="str">
        <f t="shared" si="719"/>
        <v/>
      </c>
    </row>
    <row r="8020" spans="1:17" hidden="1">
      <c r="A8020" t="s">
        <v>8125</v>
      </c>
      <c r="B8020" s="1">
        <v>45987</v>
      </c>
      <c r="C8020">
        <v>2025</v>
      </c>
      <c r="D8020">
        <v>11</v>
      </c>
      <c r="E8020" t="s">
        <v>23</v>
      </c>
      <c r="F8020" t="s">
        <v>14</v>
      </c>
      <c r="G8020" t="s">
        <v>141</v>
      </c>
      <c r="H8020" t="s">
        <v>142</v>
      </c>
      <c r="I8020">
        <v>4364.92</v>
      </c>
      <c r="J8020">
        <v>4196.62</v>
      </c>
      <c r="K8020" t="s">
        <v>17</v>
      </c>
      <c r="L8020" t="b">
        <v>0</v>
      </c>
      <c r="N8020" s="2" t="str">
        <f t="shared" si="720"/>
        <v/>
      </c>
      <c r="Q8020" t="str">
        <f t="shared" si="719"/>
        <v/>
      </c>
    </row>
    <row r="8021" spans="1:17" hidden="1">
      <c r="A8021" t="s">
        <v>8126</v>
      </c>
      <c r="B8021" s="1">
        <v>45987</v>
      </c>
      <c r="C8021">
        <v>2025</v>
      </c>
      <c r="D8021">
        <v>11</v>
      </c>
      <c r="E8021" t="s">
        <v>23</v>
      </c>
      <c r="F8021" t="s">
        <v>24</v>
      </c>
      <c r="G8021" t="s">
        <v>59</v>
      </c>
      <c r="H8021" t="s">
        <v>60</v>
      </c>
      <c r="I8021">
        <v>4412.07</v>
      </c>
      <c r="J8021">
        <v>4667.01</v>
      </c>
      <c r="K8021" t="s">
        <v>17</v>
      </c>
      <c r="L8021" t="b">
        <v>0</v>
      </c>
      <c r="N8021" s="2" t="str">
        <f t="shared" si="720"/>
        <v/>
      </c>
      <c r="Q8021" t="str">
        <f t="shared" si="719"/>
        <v/>
      </c>
    </row>
    <row r="8022" spans="1:17" hidden="1">
      <c r="A8022" t="s">
        <v>8127</v>
      </c>
      <c r="B8022" s="1">
        <v>45987</v>
      </c>
      <c r="C8022">
        <v>2025</v>
      </c>
      <c r="D8022">
        <v>11</v>
      </c>
      <c r="E8022" t="s">
        <v>37</v>
      </c>
      <c r="F8022" t="s">
        <v>28</v>
      </c>
      <c r="G8022" t="s">
        <v>62</v>
      </c>
      <c r="H8022" t="s">
        <v>121</v>
      </c>
      <c r="I8022">
        <v>4297.43</v>
      </c>
      <c r="J8022">
        <v>3932.43</v>
      </c>
      <c r="K8022" t="s">
        <v>17</v>
      </c>
      <c r="L8022" t="b">
        <v>0</v>
      </c>
      <c r="N8022" s="2" t="str">
        <f t="shared" si="720"/>
        <v/>
      </c>
      <c r="Q8022" t="str">
        <f t="shared" si="719"/>
        <v/>
      </c>
    </row>
    <row r="8023" spans="1:17" hidden="1">
      <c r="A8023" t="s">
        <v>8128</v>
      </c>
      <c r="B8023" s="1">
        <v>45988</v>
      </c>
      <c r="C8023">
        <v>2025</v>
      </c>
      <c r="D8023">
        <v>11</v>
      </c>
      <c r="E8023" t="s">
        <v>13</v>
      </c>
      <c r="F8023" t="s">
        <v>14</v>
      </c>
      <c r="G8023" t="s">
        <v>108</v>
      </c>
      <c r="H8023" t="s">
        <v>109</v>
      </c>
      <c r="I8023">
        <v>2390.77</v>
      </c>
      <c r="J8023">
        <v>2381.75</v>
      </c>
      <c r="K8023" t="s">
        <v>17</v>
      </c>
      <c r="L8023" t="b">
        <v>0</v>
      </c>
      <c r="N8023" s="2" t="str">
        <f t="shared" si="720"/>
        <v/>
      </c>
      <c r="Q8023" t="str">
        <f t="shared" si="719"/>
        <v/>
      </c>
    </row>
    <row r="8024" spans="1:17" hidden="1">
      <c r="A8024" t="s">
        <v>8129</v>
      </c>
      <c r="B8024" s="1">
        <v>45988</v>
      </c>
      <c r="C8024">
        <v>2025</v>
      </c>
      <c r="D8024">
        <v>11</v>
      </c>
      <c r="E8024" t="s">
        <v>13</v>
      </c>
      <c r="F8024" t="s">
        <v>14</v>
      </c>
      <c r="G8024" t="s">
        <v>108</v>
      </c>
      <c r="H8024" t="s">
        <v>109</v>
      </c>
      <c r="I8024">
        <v>3225.27</v>
      </c>
      <c r="J8024">
        <v>2912.29</v>
      </c>
      <c r="K8024" t="s">
        <v>17</v>
      </c>
      <c r="L8024" t="b">
        <v>0</v>
      </c>
      <c r="N8024" s="2" t="str">
        <f t="shared" si="720"/>
        <v/>
      </c>
      <c r="Q8024" t="str">
        <f t="shared" si="719"/>
        <v/>
      </c>
    </row>
    <row r="8025" spans="1:17" hidden="1">
      <c r="A8025" t="s">
        <v>8130</v>
      </c>
      <c r="B8025" s="1">
        <v>45988</v>
      </c>
      <c r="C8025">
        <v>2025</v>
      </c>
      <c r="D8025">
        <v>11</v>
      </c>
      <c r="E8025" t="s">
        <v>13</v>
      </c>
      <c r="F8025" t="s">
        <v>28</v>
      </c>
      <c r="G8025" t="s">
        <v>68</v>
      </c>
      <c r="H8025" t="s">
        <v>87</v>
      </c>
      <c r="I8025">
        <v>3086.78</v>
      </c>
      <c r="J8025">
        <v>2927.11</v>
      </c>
      <c r="K8025" t="s">
        <v>17</v>
      </c>
      <c r="L8025" t="b">
        <v>0</v>
      </c>
      <c r="N8025" s="2" t="str">
        <f t="shared" si="720"/>
        <v/>
      </c>
      <c r="Q8025" t="str">
        <f t="shared" si="719"/>
        <v/>
      </c>
    </row>
    <row r="8026" spans="1:17" hidden="1">
      <c r="A8026" t="s">
        <v>8131</v>
      </c>
      <c r="B8026" s="1">
        <v>45988</v>
      </c>
      <c r="C8026">
        <v>2025</v>
      </c>
      <c r="D8026">
        <v>11</v>
      </c>
      <c r="E8026" t="s">
        <v>13</v>
      </c>
      <c r="F8026" t="s">
        <v>28</v>
      </c>
      <c r="G8026" t="s">
        <v>68</v>
      </c>
      <c r="H8026" t="s">
        <v>87</v>
      </c>
      <c r="I8026">
        <v>4958.7299999999996</v>
      </c>
      <c r="J8026">
        <v>4486.04</v>
      </c>
      <c r="K8026" t="s">
        <v>17</v>
      </c>
      <c r="L8026" t="b">
        <v>0</v>
      </c>
      <c r="N8026" s="2" t="str">
        <f t="shared" si="720"/>
        <v/>
      </c>
      <c r="Q8026" t="str">
        <f t="shared" si="719"/>
        <v/>
      </c>
    </row>
    <row r="8027" spans="1:17" hidden="1">
      <c r="A8027" t="s">
        <v>8132</v>
      </c>
      <c r="B8027" s="1">
        <v>45988</v>
      </c>
      <c r="C8027">
        <v>2025</v>
      </c>
      <c r="D8027">
        <v>11</v>
      </c>
      <c r="E8027" t="s">
        <v>47</v>
      </c>
      <c r="F8027" t="s">
        <v>28</v>
      </c>
      <c r="G8027" t="s">
        <v>48</v>
      </c>
      <c r="H8027" t="s">
        <v>111</v>
      </c>
      <c r="I8027">
        <v>12163.66</v>
      </c>
      <c r="J8027">
        <v>10443.93</v>
      </c>
      <c r="K8027" t="s">
        <v>17</v>
      </c>
      <c r="L8027" t="b">
        <v>0</v>
      </c>
      <c r="N8027" s="2" t="b">
        <f t="shared" si="720"/>
        <v>1</v>
      </c>
      <c r="O8027" t="str">
        <f>IF(AND(E8016="HR",K8016="EXPENSE"),I8016&lt;J8016,"")</f>
        <v/>
      </c>
      <c r="Q8027" t="str">
        <f t="shared" si="719"/>
        <v/>
      </c>
    </row>
    <row r="8028" spans="1:17" hidden="1">
      <c r="A8028" t="s">
        <v>8133</v>
      </c>
      <c r="B8028" s="1">
        <v>45988</v>
      </c>
      <c r="C8028">
        <v>2025</v>
      </c>
      <c r="D8028">
        <v>11</v>
      </c>
      <c r="E8028" t="s">
        <v>19</v>
      </c>
      <c r="F8028" t="s">
        <v>28</v>
      </c>
      <c r="G8028" t="s">
        <v>20</v>
      </c>
      <c r="H8028" t="s">
        <v>174</v>
      </c>
      <c r="I8028">
        <v>5529.54</v>
      </c>
      <c r="J8028">
        <v>5817.58</v>
      </c>
      <c r="K8028" t="s">
        <v>17</v>
      </c>
      <c r="L8028" t="b">
        <v>0</v>
      </c>
      <c r="N8028" s="2" t="str">
        <f t="shared" si="720"/>
        <v/>
      </c>
      <c r="Q8028" t="str">
        <f t="shared" si="719"/>
        <v/>
      </c>
    </row>
    <row r="8029" spans="1:17" hidden="1">
      <c r="A8029" t="s">
        <v>8134</v>
      </c>
      <c r="B8029" s="1">
        <v>45988</v>
      </c>
      <c r="C8029">
        <v>2025</v>
      </c>
      <c r="D8029">
        <v>11</v>
      </c>
      <c r="E8029" t="s">
        <v>19</v>
      </c>
      <c r="F8029" t="s">
        <v>28</v>
      </c>
      <c r="G8029" t="s">
        <v>20</v>
      </c>
      <c r="H8029" t="s">
        <v>174</v>
      </c>
      <c r="I8029">
        <v>7472.12</v>
      </c>
      <c r="J8029">
        <v>7168.44</v>
      </c>
      <c r="K8029" t="s">
        <v>17</v>
      </c>
      <c r="L8029" t="b">
        <v>0</v>
      </c>
      <c r="N8029" s="2" t="str">
        <f t="shared" si="720"/>
        <v/>
      </c>
      <c r="Q8029" t="str">
        <f t="shared" si="719"/>
        <v/>
      </c>
    </row>
    <row r="8030" spans="1:17" hidden="1">
      <c r="A8030" t="s">
        <v>8135</v>
      </c>
      <c r="B8030" s="1">
        <v>45988</v>
      </c>
      <c r="C8030">
        <v>2025</v>
      </c>
      <c r="D8030">
        <v>11</v>
      </c>
      <c r="E8030" t="s">
        <v>19</v>
      </c>
      <c r="F8030" t="s">
        <v>24</v>
      </c>
      <c r="G8030" t="s">
        <v>80</v>
      </c>
      <c r="H8030" t="s">
        <v>150</v>
      </c>
      <c r="I8030">
        <v>8618.66</v>
      </c>
      <c r="J8030">
        <v>8187.96</v>
      </c>
      <c r="K8030" t="s">
        <v>17</v>
      </c>
      <c r="L8030" t="b">
        <v>0</v>
      </c>
      <c r="N8030" s="2" t="str">
        <f t="shared" si="720"/>
        <v/>
      </c>
      <c r="Q8030" t="str">
        <f t="shared" si="719"/>
        <v/>
      </c>
    </row>
    <row r="8031" spans="1:17" hidden="1">
      <c r="A8031" t="s">
        <v>8136</v>
      </c>
      <c r="B8031" s="1">
        <v>45988</v>
      </c>
      <c r="C8031">
        <v>2025</v>
      </c>
      <c r="D8031">
        <v>11</v>
      </c>
      <c r="E8031" t="s">
        <v>23</v>
      </c>
      <c r="F8031" t="s">
        <v>14</v>
      </c>
      <c r="G8031" t="s">
        <v>141</v>
      </c>
      <c r="H8031" t="s">
        <v>209</v>
      </c>
      <c r="I8031">
        <v>3841.65</v>
      </c>
      <c r="J8031">
        <v>3473.26</v>
      </c>
      <c r="K8031" t="s">
        <v>17</v>
      </c>
      <c r="L8031" t="b">
        <v>0</v>
      </c>
      <c r="N8031" s="2" t="str">
        <f t="shared" si="720"/>
        <v/>
      </c>
      <c r="Q8031" t="str">
        <f t="shared" si="719"/>
        <v/>
      </c>
    </row>
    <row r="8032" spans="1:17" hidden="1">
      <c r="A8032" t="s">
        <v>8137</v>
      </c>
      <c r="B8032" s="1">
        <v>45988</v>
      </c>
      <c r="C8032">
        <v>2025</v>
      </c>
      <c r="D8032">
        <v>11</v>
      </c>
      <c r="E8032" t="s">
        <v>23</v>
      </c>
      <c r="F8032" t="s">
        <v>14</v>
      </c>
      <c r="G8032" t="s">
        <v>25</v>
      </c>
      <c r="H8032" t="s">
        <v>95</v>
      </c>
      <c r="I8032">
        <v>6547.71</v>
      </c>
      <c r="J8032">
        <v>7108.8</v>
      </c>
      <c r="K8032" t="s">
        <v>17</v>
      </c>
      <c r="L8032" t="b">
        <v>0</v>
      </c>
      <c r="N8032" s="2" t="str">
        <f t="shared" si="720"/>
        <v/>
      </c>
      <c r="Q8032" t="str">
        <f t="shared" si="719"/>
        <v/>
      </c>
    </row>
    <row r="8033" spans="1:17" hidden="1">
      <c r="A8033" t="s">
        <v>8138</v>
      </c>
      <c r="B8033" s="1">
        <v>45988</v>
      </c>
      <c r="C8033">
        <v>2025</v>
      </c>
      <c r="D8033">
        <v>11</v>
      </c>
      <c r="E8033" t="s">
        <v>23</v>
      </c>
      <c r="F8033" t="s">
        <v>14</v>
      </c>
      <c r="G8033" t="s">
        <v>30</v>
      </c>
      <c r="H8033" t="s">
        <v>31</v>
      </c>
      <c r="I8033">
        <v>2707.02</v>
      </c>
      <c r="J8033">
        <v>2905.23</v>
      </c>
      <c r="K8033" t="s">
        <v>17</v>
      </c>
      <c r="L8033" t="b">
        <v>0</v>
      </c>
      <c r="N8033" s="2" t="str">
        <f t="shared" si="720"/>
        <v/>
      </c>
      <c r="Q8033" t="str">
        <f t="shared" si="719"/>
        <v/>
      </c>
    </row>
    <row r="8034" spans="1:17" hidden="1">
      <c r="A8034" t="s">
        <v>8139</v>
      </c>
      <c r="B8034" s="1">
        <v>45988</v>
      </c>
      <c r="C8034">
        <v>2025</v>
      </c>
      <c r="D8034">
        <v>11</v>
      </c>
      <c r="E8034" t="s">
        <v>37</v>
      </c>
      <c r="F8034" t="s">
        <v>28</v>
      </c>
      <c r="G8034" t="s">
        <v>98</v>
      </c>
      <c r="H8034" t="s">
        <v>99</v>
      </c>
      <c r="I8034">
        <v>6503.49</v>
      </c>
      <c r="J8034">
        <v>7144.74</v>
      </c>
      <c r="K8034" t="s">
        <v>17</v>
      </c>
      <c r="L8034" t="b">
        <v>0</v>
      </c>
      <c r="N8034" s="2" t="str">
        <f t="shared" si="720"/>
        <v/>
      </c>
      <c r="Q8034" t="str">
        <f t="shared" si="719"/>
        <v/>
      </c>
    </row>
    <row r="8035" spans="1:17" hidden="1">
      <c r="A8035" t="s">
        <v>8140</v>
      </c>
      <c r="B8035" s="1">
        <v>45988</v>
      </c>
      <c r="C8035">
        <v>2025</v>
      </c>
      <c r="D8035">
        <v>11</v>
      </c>
      <c r="E8035" t="s">
        <v>37</v>
      </c>
      <c r="F8035" t="s">
        <v>28</v>
      </c>
      <c r="G8035" t="s">
        <v>41</v>
      </c>
      <c r="H8035" t="s">
        <v>42</v>
      </c>
      <c r="I8035">
        <v>5833.86</v>
      </c>
      <c r="J8035">
        <v>6382.97</v>
      </c>
      <c r="K8035" t="s">
        <v>17</v>
      </c>
      <c r="L8035" t="b">
        <v>0</v>
      </c>
      <c r="N8035" s="2" t="str">
        <f t="shared" si="720"/>
        <v/>
      </c>
      <c r="Q8035" t="str">
        <f t="shared" si="719"/>
        <v/>
      </c>
    </row>
    <row r="8036" spans="1:17" hidden="1">
      <c r="A8036" t="s">
        <v>8141</v>
      </c>
      <c r="B8036" s="1">
        <v>45988</v>
      </c>
      <c r="C8036">
        <v>2025</v>
      </c>
      <c r="D8036">
        <v>11</v>
      </c>
      <c r="E8036" t="s">
        <v>37</v>
      </c>
      <c r="F8036" t="s">
        <v>24</v>
      </c>
      <c r="G8036" t="s">
        <v>98</v>
      </c>
      <c r="H8036" t="s">
        <v>185</v>
      </c>
      <c r="I8036">
        <v>4997.38</v>
      </c>
      <c r="J8036">
        <v>4834.26</v>
      </c>
      <c r="K8036" t="s">
        <v>17</v>
      </c>
      <c r="L8036" t="b">
        <v>0</v>
      </c>
      <c r="N8036" s="2" t="str">
        <f t="shared" si="720"/>
        <v/>
      </c>
      <c r="Q8036" t="str">
        <f t="shared" si="719"/>
        <v/>
      </c>
    </row>
    <row r="8037" spans="1:17" hidden="1">
      <c r="A8037" t="s">
        <v>8142</v>
      </c>
      <c r="B8037" s="1">
        <v>45989</v>
      </c>
      <c r="C8037">
        <v>2025</v>
      </c>
      <c r="D8037">
        <v>11</v>
      </c>
      <c r="E8037" t="s">
        <v>13</v>
      </c>
      <c r="F8037" t="s">
        <v>14</v>
      </c>
      <c r="G8037" t="s">
        <v>102</v>
      </c>
      <c r="H8037" t="s">
        <v>278</v>
      </c>
      <c r="I8037">
        <v>5597.66</v>
      </c>
      <c r="J8037">
        <v>5836.31</v>
      </c>
      <c r="K8037" t="s">
        <v>17</v>
      </c>
      <c r="L8037" t="b">
        <v>0</v>
      </c>
      <c r="N8037" s="2" t="str">
        <f t="shared" si="720"/>
        <v/>
      </c>
      <c r="Q8037" t="str">
        <f t="shared" si="719"/>
        <v/>
      </c>
    </row>
    <row r="8038" spans="1:17" hidden="1">
      <c r="A8038" t="s">
        <v>8143</v>
      </c>
      <c r="B8038" s="1">
        <v>45989</v>
      </c>
      <c r="C8038">
        <v>2025</v>
      </c>
      <c r="D8038">
        <v>11</v>
      </c>
      <c r="E8038" t="s">
        <v>13</v>
      </c>
      <c r="F8038" t="s">
        <v>28</v>
      </c>
      <c r="G8038" t="s">
        <v>15</v>
      </c>
      <c r="H8038" t="s">
        <v>45</v>
      </c>
      <c r="I8038">
        <v>5203.42</v>
      </c>
      <c r="J8038">
        <v>5473.98</v>
      </c>
      <c r="K8038" t="s">
        <v>17</v>
      </c>
      <c r="L8038" t="b">
        <v>0</v>
      </c>
      <c r="N8038" s="2" t="str">
        <f t="shared" si="720"/>
        <v/>
      </c>
      <c r="Q8038" t="str">
        <f t="shared" si="719"/>
        <v/>
      </c>
    </row>
    <row r="8039" spans="1:17" hidden="1">
      <c r="A8039" t="s">
        <v>8144</v>
      </c>
      <c r="B8039" s="1">
        <v>45989</v>
      </c>
      <c r="C8039">
        <v>2025</v>
      </c>
      <c r="D8039">
        <v>11</v>
      </c>
      <c r="E8039" t="s">
        <v>47</v>
      </c>
      <c r="F8039" t="s">
        <v>28</v>
      </c>
      <c r="G8039" t="s">
        <v>48</v>
      </c>
      <c r="H8039" t="s">
        <v>191</v>
      </c>
      <c r="I8039">
        <v>16347.6</v>
      </c>
      <c r="J8039">
        <v>13413.98</v>
      </c>
      <c r="K8039" t="s">
        <v>17</v>
      </c>
      <c r="L8039" t="b">
        <v>0</v>
      </c>
      <c r="N8039" s="2" t="b">
        <f t="shared" si="720"/>
        <v>1</v>
      </c>
      <c r="O8039" t="str">
        <f t="shared" ref="O8039:O8041" si="722">IF(AND(E8028="HR",K8028="EXPENSE"),I8028&lt;J8028,"")</f>
        <v/>
      </c>
      <c r="Q8039" t="str">
        <f t="shared" si="719"/>
        <v/>
      </c>
    </row>
    <row r="8040" spans="1:17" hidden="1">
      <c r="A8040" t="s">
        <v>8145</v>
      </c>
      <c r="B8040" s="1">
        <v>45989</v>
      </c>
      <c r="C8040">
        <v>2025</v>
      </c>
      <c r="D8040">
        <v>11</v>
      </c>
      <c r="E8040" t="s">
        <v>47</v>
      </c>
      <c r="F8040" t="s">
        <v>28</v>
      </c>
      <c r="G8040" t="s">
        <v>91</v>
      </c>
      <c r="H8040" t="s">
        <v>254</v>
      </c>
      <c r="I8040">
        <v>13843.68</v>
      </c>
      <c r="J8040">
        <v>11748.42</v>
      </c>
      <c r="K8040" t="s">
        <v>17</v>
      </c>
      <c r="L8040" t="b">
        <v>0</v>
      </c>
      <c r="N8040" s="2" t="b">
        <f t="shared" si="720"/>
        <v>1</v>
      </c>
      <c r="O8040" t="str">
        <f t="shared" si="722"/>
        <v/>
      </c>
      <c r="Q8040" t="str">
        <f t="shared" si="719"/>
        <v/>
      </c>
    </row>
    <row r="8041" spans="1:17" hidden="1">
      <c r="A8041" t="s">
        <v>8146</v>
      </c>
      <c r="B8041" s="1">
        <v>45989</v>
      </c>
      <c r="C8041">
        <v>2025</v>
      </c>
      <c r="D8041">
        <v>11</v>
      </c>
      <c r="E8041" t="s">
        <v>47</v>
      </c>
      <c r="F8041" t="s">
        <v>28</v>
      </c>
      <c r="G8041" t="s">
        <v>51</v>
      </c>
      <c r="H8041" t="s">
        <v>189</v>
      </c>
      <c r="I8041">
        <v>11198.16</v>
      </c>
      <c r="J8041">
        <v>9201.61</v>
      </c>
      <c r="K8041" t="s">
        <v>17</v>
      </c>
      <c r="L8041" t="b">
        <v>0</v>
      </c>
      <c r="N8041" s="2" t="b">
        <f t="shared" si="720"/>
        <v>1</v>
      </c>
      <c r="O8041" t="str">
        <f t="shared" si="722"/>
        <v/>
      </c>
      <c r="Q8041" t="str">
        <f t="shared" si="719"/>
        <v/>
      </c>
    </row>
    <row r="8042" spans="1:17" hidden="1">
      <c r="A8042" t="s">
        <v>8147</v>
      </c>
      <c r="B8042" s="1">
        <v>45989</v>
      </c>
      <c r="C8042">
        <v>2025</v>
      </c>
      <c r="D8042">
        <v>11</v>
      </c>
      <c r="E8042" t="s">
        <v>19</v>
      </c>
      <c r="F8042" t="s">
        <v>28</v>
      </c>
      <c r="G8042" t="s">
        <v>20</v>
      </c>
      <c r="H8042" t="s">
        <v>136</v>
      </c>
      <c r="I8042">
        <v>4190.28</v>
      </c>
      <c r="J8042">
        <v>4059.55</v>
      </c>
      <c r="K8042" t="s">
        <v>17</v>
      </c>
      <c r="L8042" t="b">
        <v>0</v>
      </c>
      <c r="N8042" s="2" t="str">
        <f t="shared" si="720"/>
        <v/>
      </c>
      <c r="Q8042" t="str">
        <f t="shared" si="719"/>
        <v/>
      </c>
    </row>
    <row r="8043" spans="1:17" hidden="1">
      <c r="A8043" t="s">
        <v>8148</v>
      </c>
      <c r="B8043" s="1">
        <v>45989</v>
      </c>
      <c r="C8043">
        <v>2025</v>
      </c>
      <c r="D8043">
        <v>11</v>
      </c>
      <c r="E8043" t="s">
        <v>19</v>
      </c>
      <c r="F8043" t="s">
        <v>28</v>
      </c>
      <c r="G8043" t="s">
        <v>54</v>
      </c>
      <c r="H8043" t="s">
        <v>55</v>
      </c>
      <c r="I8043">
        <v>6406.37</v>
      </c>
      <c r="J8043">
        <v>6889.98</v>
      </c>
      <c r="K8043" t="s">
        <v>17</v>
      </c>
      <c r="L8043" t="b">
        <v>0</v>
      </c>
      <c r="N8043" s="2" t="str">
        <f t="shared" si="720"/>
        <v/>
      </c>
      <c r="Q8043" t="str">
        <f t="shared" si="719"/>
        <v/>
      </c>
    </row>
    <row r="8044" spans="1:17" hidden="1">
      <c r="A8044" t="s">
        <v>8149</v>
      </c>
      <c r="B8044" s="1">
        <v>45989</v>
      </c>
      <c r="C8044">
        <v>2025</v>
      </c>
      <c r="D8044">
        <v>11</v>
      </c>
      <c r="E8044" t="s">
        <v>23</v>
      </c>
      <c r="F8044" t="s">
        <v>24</v>
      </c>
      <c r="G8044" t="s">
        <v>141</v>
      </c>
      <c r="H8044" t="s">
        <v>209</v>
      </c>
      <c r="I8044">
        <v>4568.92</v>
      </c>
      <c r="J8044">
        <v>4122.33</v>
      </c>
      <c r="K8044" t="s">
        <v>17</v>
      </c>
      <c r="L8044" t="b">
        <v>0</v>
      </c>
      <c r="N8044" s="2" t="str">
        <f t="shared" si="720"/>
        <v/>
      </c>
      <c r="Q8044" t="str">
        <f t="shared" si="719"/>
        <v/>
      </c>
    </row>
    <row r="8045" spans="1:17" hidden="1">
      <c r="A8045" t="s">
        <v>8150</v>
      </c>
      <c r="B8045" s="1">
        <v>45989</v>
      </c>
      <c r="C8045">
        <v>2025</v>
      </c>
      <c r="D8045">
        <v>11</v>
      </c>
      <c r="E8045" t="s">
        <v>37</v>
      </c>
      <c r="F8045" t="s">
        <v>28</v>
      </c>
      <c r="G8045" t="s">
        <v>41</v>
      </c>
      <c r="H8045" t="s">
        <v>42</v>
      </c>
      <c r="I8045">
        <v>3452.33</v>
      </c>
      <c r="J8045">
        <v>3544.73</v>
      </c>
      <c r="K8045" t="s">
        <v>17</v>
      </c>
      <c r="L8045" t="b">
        <v>0</v>
      </c>
      <c r="N8045" s="2" t="str">
        <f t="shared" si="720"/>
        <v/>
      </c>
      <c r="Q8045" t="str">
        <f t="shared" si="719"/>
        <v/>
      </c>
    </row>
    <row r="8046" spans="1:17" hidden="1">
      <c r="A8046" t="s">
        <v>8151</v>
      </c>
      <c r="B8046" s="1">
        <v>45990</v>
      </c>
      <c r="C8046">
        <v>2025</v>
      </c>
      <c r="D8046">
        <v>11</v>
      </c>
      <c r="E8046" t="s">
        <v>47</v>
      </c>
      <c r="F8046" t="s">
        <v>24</v>
      </c>
      <c r="G8046" t="s">
        <v>51</v>
      </c>
      <c r="H8046" t="s">
        <v>189</v>
      </c>
      <c r="I8046">
        <v>17106.03</v>
      </c>
      <c r="J8046">
        <v>14223.67</v>
      </c>
      <c r="K8046" t="s">
        <v>17</v>
      </c>
      <c r="L8046" t="b">
        <v>0</v>
      </c>
      <c r="N8046" s="2" t="b">
        <f t="shared" si="720"/>
        <v>1</v>
      </c>
      <c r="O8046" t="str">
        <f t="shared" ref="O8046:O8047" si="723">IF(AND(E8035="HR",K8035="EXPENSE"),I8035&lt;J8035,"")</f>
        <v/>
      </c>
      <c r="Q8046" t="str">
        <f t="shared" si="719"/>
        <v/>
      </c>
    </row>
    <row r="8047" spans="1:17" hidden="1">
      <c r="A8047" t="s">
        <v>8152</v>
      </c>
      <c r="B8047" s="1">
        <v>45990</v>
      </c>
      <c r="C8047">
        <v>2025</v>
      </c>
      <c r="D8047">
        <v>11</v>
      </c>
      <c r="E8047" t="s">
        <v>47</v>
      </c>
      <c r="F8047" t="s">
        <v>24</v>
      </c>
      <c r="G8047" t="s">
        <v>77</v>
      </c>
      <c r="H8047" t="s">
        <v>147</v>
      </c>
      <c r="I8047">
        <v>13555.77</v>
      </c>
      <c r="J8047">
        <v>11269.98</v>
      </c>
      <c r="K8047" t="s">
        <v>17</v>
      </c>
      <c r="L8047" t="b">
        <v>0</v>
      </c>
      <c r="N8047" s="2" t="b">
        <f t="shared" si="720"/>
        <v>1</v>
      </c>
      <c r="O8047" t="str">
        <f t="shared" si="723"/>
        <v/>
      </c>
      <c r="Q8047" t="str">
        <f t="shared" si="719"/>
        <v/>
      </c>
    </row>
    <row r="8048" spans="1:17" hidden="1">
      <c r="A8048" t="s">
        <v>8153</v>
      </c>
      <c r="B8048" s="1">
        <v>45990</v>
      </c>
      <c r="C8048">
        <v>2025</v>
      </c>
      <c r="D8048">
        <v>11</v>
      </c>
      <c r="E8048" t="s">
        <v>37</v>
      </c>
      <c r="F8048" t="s">
        <v>24</v>
      </c>
      <c r="G8048" t="s">
        <v>41</v>
      </c>
      <c r="H8048" t="s">
        <v>42</v>
      </c>
      <c r="I8048">
        <v>4181.2299999999996</v>
      </c>
      <c r="J8048">
        <v>4361.82</v>
      </c>
      <c r="K8048" t="s">
        <v>17</v>
      </c>
      <c r="L8048" t="b">
        <v>0</v>
      </c>
      <c r="N8048" s="2" t="str">
        <f t="shared" si="720"/>
        <v/>
      </c>
      <c r="Q8048" t="str">
        <f t="shared" ref="Q8048:Q8111" si="724">IF(L8048=TRUE,OR(H8048="Apex Solutions Inc",H8048="Global Trade Partners",H8048="NovaTech Services"),"")</f>
        <v/>
      </c>
    </row>
    <row r="8049" spans="1:17" hidden="1">
      <c r="A8049" t="s">
        <v>8154</v>
      </c>
      <c r="B8049" s="1">
        <v>45990</v>
      </c>
      <c r="C8049">
        <v>2025</v>
      </c>
      <c r="D8049">
        <v>11</v>
      </c>
      <c r="E8049" t="s">
        <v>37</v>
      </c>
      <c r="F8049" t="s">
        <v>24</v>
      </c>
      <c r="G8049" t="s">
        <v>98</v>
      </c>
      <c r="H8049" t="s">
        <v>185</v>
      </c>
      <c r="I8049">
        <v>4487.34</v>
      </c>
      <c r="J8049">
        <v>4761.54</v>
      </c>
      <c r="K8049" t="s">
        <v>17</v>
      </c>
      <c r="L8049" t="b">
        <v>0</v>
      </c>
      <c r="N8049" s="2" t="str">
        <f t="shared" si="720"/>
        <v/>
      </c>
      <c r="Q8049" t="str">
        <f t="shared" si="724"/>
        <v/>
      </c>
    </row>
    <row r="8050" spans="1:17" hidden="1">
      <c r="A8050" t="s">
        <v>8155</v>
      </c>
      <c r="B8050" s="1">
        <v>45990</v>
      </c>
      <c r="C8050">
        <v>2025</v>
      </c>
      <c r="D8050">
        <v>11</v>
      </c>
      <c r="E8050" t="s">
        <v>37</v>
      </c>
      <c r="F8050" t="s">
        <v>24</v>
      </c>
      <c r="G8050" t="s">
        <v>98</v>
      </c>
      <c r="H8050" t="s">
        <v>99</v>
      </c>
      <c r="I8050">
        <v>4372.62</v>
      </c>
      <c r="J8050">
        <v>4004.02</v>
      </c>
      <c r="K8050" t="s">
        <v>17</v>
      </c>
      <c r="L8050" t="b">
        <v>0</v>
      </c>
      <c r="N8050" s="2" t="str">
        <f t="shared" si="720"/>
        <v/>
      </c>
      <c r="Q8050" t="str">
        <f t="shared" si="724"/>
        <v/>
      </c>
    </row>
    <row r="8051" spans="1:17" hidden="1">
      <c r="A8051" t="s">
        <v>8156</v>
      </c>
      <c r="B8051" s="1">
        <v>45990</v>
      </c>
      <c r="C8051">
        <v>2025</v>
      </c>
      <c r="D8051">
        <v>11</v>
      </c>
      <c r="E8051" t="s">
        <v>37</v>
      </c>
      <c r="F8051" t="s">
        <v>24</v>
      </c>
      <c r="G8051" t="s">
        <v>62</v>
      </c>
      <c r="H8051" t="s">
        <v>360</v>
      </c>
      <c r="I8051">
        <v>4741.6000000000004</v>
      </c>
      <c r="J8051">
        <v>4929.18</v>
      </c>
      <c r="K8051" t="s">
        <v>17</v>
      </c>
      <c r="L8051" t="b">
        <v>0</v>
      </c>
      <c r="N8051" s="2" t="str">
        <f t="shared" si="720"/>
        <v/>
      </c>
      <c r="Q8051" t="str">
        <f t="shared" si="724"/>
        <v/>
      </c>
    </row>
    <row r="8052" spans="1:17" hidden="1">
      <c r="A8052" t="s">
        <v>8157</v>
      </c>
      <c r="B8052" s="1">
        <v>45991</v>
      </c>
      <c r="C8052">
        <v>2025</v>
      </c>
      <c r="D8052">
        <v>11</v>
      </c>
      <c r="E8052" t="s">
        <v>47</v>
      </c>
      <c r="F8052" t="s">
        <v>24</v>
      </c>
      <c r="G8052" t="s">
        <v>51</v>
      </c>
      <c r="H8052" t="s">
        <v>189</v>
      </c>
      <c r="I8052">
        <v>14122.17</v>
      </c>
      <c r="J8052">
        <v>11950.15</v>
      </c>
      <c r="K8052" t="s">
        <v>17</v>
      </c>
      <c r="L8052" t="b">
        <v>0</v>
      </c>
      <c r="N8052" s="2" t="b">
        <f t="shared" si="720"/>
        <v>1</v>
      </c>
      <c r="O8052" t="str">
        <f>IF(AND(E8041="HR",K8041="EXPENSE"),I8041&lt;J8041,"")</f>
        <v/>
      </c>
      <c r="Q8052" t="str">
        <f t="shared" si="724"/>
        <v/>
      </c>
    </row>
    <row r="8053" spans="1:17" hidden="1">
      <c r="A8053" t="s">
        <v>8158</v>
      </c>
      <c r="B8053" s="1">
        <v>45991</v>
      </c>
      <c r="C8053">
        <v>2025</v>
      </c>
      <c r="D8053">
        <v>11</v>
      </c>
      <c r="E8053" t="s">
        <v>19</v>
      </c>
      <c r="F8053" t="s">
        <v>24</v>
      </c>
      <c r="G8053" t="s">
        <v>20</v>
      </c>
      <c r="H8053" t="s">
        <v>136</v>
      </c>
      <c r="I8053">
        <v>8948.36</v>
      </c>
      <c r="J8053">
        <v>8492.92</v>
      </c>
      <c r="K8053" t="s">
        <v>17</v>
      </c>
      <c r="L8053" t="b">
        <v>0</v>
      </c>
      <c r="N8053" s="2" t="str">
        <f t="shared" si="720"/>
        <v/>
      </c>
      <c r="Q8053" t="str">
        <f t="shared" si="724"/>
        <v/>
      </c>
    </row>
    <row r="8054" spans="1:17" hidden="1">
      <c r="A8054" t="s">
        <v>8159</v>
      </c>
      <c r="B8054" s="1">
        <v>45991</v>
      </c>
      <c r="C8054">
        <v>2025</v>
      </c>
      <c r="D8054">
        <v>11</v>
      </c>
      <c r="E8054" t="s">
        <v>23</v>
      </c>
      <c r="F8054" t="s">
        <v>28</v>
      </c>
      <c r="G8054" t="s">
        <v>30</v>
      </c>
      <c r="H8054" t="s">
        <v>106</v>
      </c>
      <c r="I8054">
        <v>6479.31</v>
      </c>
      <c r="J8054">
        <v>6107.7</v>
      </c>
      <c r="K8054" t="s">
        <v>17</v>
      </c>
      <c r="L8054" t="b">
        <v>0</v>
      </c>
      <c r="N8054" s="2" t="str">
        <f t="shared" si="720"/>
        <v/>
      </c>
      <c r="Q8054" t="str">
        <f t="shared" si="724"/>
        <v/>
      </c>
    </row>
    <row r="8055" spans="1:17" hidden="1">
      <c r="A8055" t="s">
        <v>8160</v>
      </c>
      <c r="B8055" s="1">
        <v>45991</v>
      </c>
      <c r="C8055">
        <v>2025</v>
      </c>
      <c r="D8055">
        <v>11</v>
      </c>
      <c r="E8055" t="s">
        <v>37</v>
      </c>
      <c r="F8055" t="s">
        <v>28</v>
      </c>
      <c r="G8055" t="s">
        <v>98</v>
      </c>
      <c r="H8055" t="s">
        <v>185</v>
      </c>
      <c r="I8055">
        <v>6021.97</v>
      </c>
      <c r="J8055">
        <v>6403.81</v>
      </c>
      <c r="K8055" t="s">
        <v>17</v>
      </c>
      <c r="L8055" t="b">
        <v>0</v>
      </c>
      <c r="N8055" s="2" t="str">
        <f t="shared" si="720"/>
        <v/>
      </c>
      <c r="Q8055" t="str">
        <f t="shared" si="724"/>
        <v/>
      </c>
    </row>
    <row r="8056" spans="1:17" hidden="1">
      <c r="A8056" t="s">
        <v>8161</v>
      </c>
      <c r="B8056" s="1">
        <v>45991</v>
      </c>
      <c r="C8056">
        <v>2025</v>
      </c>
      <c r="D8056">
        <v>11</v>
      </c>
      <c r="E8056" t="s">
        <v>37</v>
      </c>
      <c r="F8056" t="s">
        <v>28</v>
      </c>
      <c r="G8056" t="s">
        <v>41</v>
      </c>
      <c r="H8056" t="s">
        <v>42</v>
      </c>
      <c r="I8056">
        <v>8423.77</v>
      </c>
      <c r="J8056">
        <v>8753.34</v>
      </c>
      <c r="K8056" t="s">
        <v>17</v>
      </c>
      <c r="L8056" t="b">
        <v>0</v>
      </c>
      <c r="N8056" s="2" t="str">
        <f t="shared" si="720"/>
        <v/>
      </c>
      <c r="Q8056" t="str">
        <f t="shared" si="724"/>
        <v/>
      </c>
    </row>
    <row r="8057" spans="1:17" hidden="1">
      <c r="A8057" t="s">
        <v>8162</v>
      </c>
      <c r="B8057" s="1">
        <v>45992</v>
      </c>
      <c r="C8057">
        <v>2025</v>
      </c>
      <c r="D8057">
        <v>12</v>
      </c>
      <c r="E8057" t="s">
        <v>13</v>
      </c>
      <c r="F8057" t="s">
        <v>14</v>
      </c>
      <c r="G8057" t="s">
        <v>15</v>
      </c>
      <c r="H8057" t="s">
        <v>16</v>
      </c>
      <c r="I8057">
        <v>5136.76</v>
      </c>
      <c r="J8057">
        <v>5374.41</v>
      </c>
      <c r="K8057" t="s">
        <v>17</v>
      </c>
      <c r="L8057" t="b">
        <v>0</v>
      </c>
      <c r="N8057" s="2" t="str">
        <f t="shared" si="720"/>
        <v/>
      </c>
      <c r="Q8057" t="str">
        <f t="shared" si="724"/>
        <v/>
      </c>
    </row>
    <row r="8058" spans="1:17" hidden="1">
      <c r="A8058" t="s">
        <v>8163</v>
      </c>
      <c r="B8058" s="1">
        <v>45992</v>
      </c>
      <c r="C8058">
        <v>2025</v>
      </c>
      <c r="D8058">
        <v>12</v>
      </c>
      <c r="E8058" t="s">
        <v>13</v>
      </c>
      <c r="F8058" t="s">
        <v>24</v>
      </c>
      <c r="G8058" t="s">
        <v>68</v>
      </c>
      <c r="H8058" t="s">
        <v>69</v>
      </c>
      <c r="I8058">
        <v>2683.55</v>
      </c>
      <c r="J8058">
        <v>2572.12</v>
      </c>
      <c r="K8058" t="s">
        <v>17</v>
      </c>
      <c r="L8058" t="b">
        <v>0</v>
      </c>
      <c r="N8058" s="2" t="str">
        <f t="shared" si="720"/>
        <v/>
      </c>
      <c r="Q8058" t="str">
        <f t="shared" si="724"/>
        <v/>
      </c>
    </row>
    <row r="8059" spans="1:17" hidden="1">
      <c r="A8059" t="s">
        <v>8164</v>
      </c>
      <c r="B8059" s="1">
        <v>45992</v>
      </c>
      <c r="C8059">
        <v>2025</v>
      </c>
      <c r="D8059">
        <v>12</v>
      </c>
      <c r="E8059" t="s">
        <v>19</v>
      </c>
      <c r="F8059" t="s">
        <v>14</v>
      </c>
      <c r="G8059" t="s">
        <v>80</v>
      </c>
      <c r="H8059" t="s">
        <v>150</v>
      </c>
      <c r="I8059">
        <v>8043.43</v>
      </c>
      <c r="J8059">
        <v>7707.66</v>
      </c>
      <c r="K8059" t="s">
        <v>17</v>
      </c>
      <c r="L8059" t="b">
        <v>0</v>
      </c>
      <c r="N8059" s="2" t="str">
        <f t="shared" si="720"/>
        <v/>
      </c>
      <c r="Q8059" t="str">
        <f t="shared" si="724"/>
        <v/>
      </c>
    </row>
    <row r="8060" spans="1:17" hidden="1">
      <c r="A8060" t="s">
        <v>8165</v>
      </c>
      <c r="B8060" s="1">
        <v>45992</v>
      </c>
      <c r="C8060">
        <v>2025</v>
      </c>
      <c r="D8060">
        <v>12</v>
      </c>
      <c r="E8060" t="s">
        <v>23</v>
      </c>
      <c r="F8060" t="s">
        <v>14</v>
      </c>
      <c r="G8060" t="s">
        <v>141</v>
      </c>
      <c r="H8060" t="s">
        <v>153</v>
      </c>
      <c r="I8060">
        <v>6089.33</v>
      </c>
      <c r="J8060">
        <v>6114.28</v>
      </c>
      <c r="K8060" t="s">
        <v>17</v>
      </c>
      <c r="L8060" t="b">
        <v>0</v>
      </c>
      <c r="N8060" s="2" t="str">
        <f t="shared" si="720"/>
        <v/>
      </c>
      <c r="Q8060" t="str">
        <f t="shared" si="724"/>
        <v/>
      </c>
    </row>
    <row r="8061" spans="1:17" hidden="1">
      <c r="A8061" t="s">
        <v>8166</v>
      </c>
      <c r="B8061" s="1">
        <v>45992</v>
      </c>
      <c r="C8061">
        <v>2025</v>
      </c>
      <c r="D8061">
        <v>12</v>
      </c>
      <c r="E8061" t="s">
        <v>23</v>
      </c>
      <c r="F8061" t="s">
        <v>28</v>
      </c>
      <c r="G8061" t="s">
        <v>59</v>
      </c>
      <c r="H8061" t="s">
        <v>155</v>
      </c>
      <c r="I8061">
        <v>4046.28</v>
      </c>
      <c r="J8061">
        <v>4018.23</v>
      </c>
      <c r="K8061" t="s">
        <v>17</v>
      </c>
      <c r="L8061" t="b">
        <v>0</v>
      </c>
      <c r="N8061" s="2" t="str">
        <f t="shared" si="720"/>
        <v/>
      </c>
      <c r="Q8061" t="str">
        <f t="shared" si="724"/>
        <v/>
      </c>
    </row>
    <row r="8062" spans="1:17" hidden="1">
      <c r="A8062" t="s">
        <v>8167</v>
      </c>
      <c r="B8062" s="1">
        <v>45992</v>
      </c>
      <c r="C8062">
        <v>2025</v>
      </c>
      <c r="D8062">
        <v>12</v>
      </c>
      <c r="E8062" t="s">
        <v>23</v>
      </c>
      <c r="F8062" t="s">
        <v>24</v>
      </c>
      <c r="G8062" t="s">
        <v>59</v>
      </c>
      <c r="H8062" t="s">
        <v>60</v>
      </c>
      <c r="I8062">
        <v>3026.9</v>
      </c>
      <c r="J8062">
        <v>3177.67</v>
      </c>
      <c r="K8062" t="s">
        <v>17</v>
      </c>
      <c r="L8062" t="b">
        <v>0</v>
      </c>
      <c r="N8062" s="2" t="str">
        <f t="shared" si="720"/>
        <v/>
      </c>
      <c r="Q8062" t="str">
        <f t="shared" si="724"/>
        <v/>
      </c>
    </row>
    <row r="8063" spans="1:17" hidden="1">
      <c r="A8063" t="s">
        <v>8168</v>
      </c>
      <c r="B8063" s="1">
        <v>45992</v>
      </c>
      <c r="C8063">
        <v>2025</v>
      </c>
      <c r="D8063">
        <v>12</v>
      </c>
      <c r="E8063" t="s">
        <v>37</v>
      </c>
      <c r="F8063" t="s">
        <v>14</v>
      </c>
      <c r="G8063" t="s">
        <v>62</v>
      </c>
      <c r="H8063" t="s">
        <v>360</v>
      </c>
      <c r="I8063">
        <v>5719.94</v>
      </c>
      <c r="J8063">
        <v>5447.37</v>
      </c>
      <c r="K8063" t="s">
        <v>17</v>
      </c>
      <c r="L8063" t="b">
        <v>0</v>
      </c>
      <c r="N8063" s="2" t="str">
        <f t="shared" si="720"/>
        <v/>
      </c>
      <c r="Q8063" t="str">
        <f t="shared" si="724"/>
        <v/>
      </c>
    </row>
    <row r="8064" spans="1:17" hidden="1">
      <c r="A8064" t="s">
        <v>8169</v>
      </c>
      <c r="B8064" s="1">
        <v>45992</v>
      </c>
      <c r="C8064">
        <v>2025</v>
      </c>
      <c r="D8064">
        <v>12</v>
      </c>
      <c r="E8064" t="s">
        <v>37</v>
      </c>
      <c r="F8064" t="s">
        <v>14</v>
      </c>
      <c r="G8064" t="s">
        <v>38</v>
      </c>
      <c r="H8064" t="s">
        <v>227</v>
      </c>
      <c r="I8064">
        <v>4513.34</v>
      </c>
      <c r="J8064">
        <v>4134.2</v>
      </c>
      <c r="K8064" t="s">
        <v>17</v>
      </c>
      <c r="L8064" t="b">
        <v>0</v>
      </c>
      <c r="N8064" s="2" t="str">
        <f t="shared" si="720"/>
        <v/>
      </c>
      <c r="Q8064" t="str">
        <f t="shared" si="724"/>
        <v/>
      </c>
    </row>
    <row r="8065" spans="1:17" hidden="1">
      <c r="A8065" t="s">
        <v>8170</v>
      </c>
      <c r="B8065" s="1">
        <v>45992</v>
      </c>
      <c r="C8065">
        <v>2025</v>
      </c>
      <c r="D8065">
        <v>12</v>
      </c>
      <c r="E8065" t="s">
        <v>37</v>
      </c>
      <c r="F8065" t="s">
        <v>28</v>
      </c>
      <c r="G8065" t="s">
        <v>98</v>
      </c>
      <c r="H8065" t="s">
        <v>99</v>
      </c>
      <c r="I8065">
        <v>4764.67</v>
      </c>
      <c r="J8065">
        <v>4931.59</v>
      </c>
      <c r="K8065" t="s">
        <v>17</v>
      </c>
      <c r="L8065" t="b">
        <v>0</v>
      </c>
      <c r="N8065" s="2" t="str">
        <f t="shared" si="720"/>
        <v/>
      </c>
      <c r="Q8065" t="str">
        <f t="shared" si="724"/>
        <v/>
      </c>
    </row>
    <row r="8066" spans="1:17" hidden="1">
      <c r="A8066" t="s">
        <v>8171</v>
      </c>
      <c r="B8066" s="1">
        <v>45992</v>
      </c>
      <c r="C8066">
        <v>2025</v>
      </c>
      <c r="D8066">
        <v>12</v>
      </c>
      <c r="E8066" t="s">
        <v>37</v>
      </c>
      <c r="F8066" t="s">
        <v>28</v>
      </c>
      <c r="G8066" t="s">
        <v>98</v>
      </c>
      <c r="H8066" t="s">
        <v>185</v>
      </c>
      <c r="I8066">
        <v>5034.03</v>
      </c>
      <c r="J8066">
        <v>4789.84</v>
      </c>
      <c r="K8066" t="s">
        <v>17</v>
      </c>
      <c r="L8066" t="b">
        <v>0</v>
      </c>
      <c r="N8066" s="2" t="str">
        <f t="shared" si="720"/>
        <v/>
      </c>
      <c r="Q8066" t="str">
        <f t="shared" si="724"/>
        <v/>
      </c>
    </row>
    <row r="8067" spans="1:17" hidden="1">
      <c r="A8067" t="s">
        <v>8172</v>
      </c>
      <c r="B8067" s="1">
        <v>45993</v>
      </c>
      <c r="C8067">
        <v>2025</v>
      </c>
      <c r="D8067">
        <v>12</v>
      </c>
      <c r="E8067" t="s">
        <v>13</v>
      </c>
      <c r="F8067" t="s">
        <v>28</v>
      </c>
      <c r="G8067" t="s">
        <v>102</v>
      </c>
      <c r="H8067" t="s">
        <v>103</v>
      </c>
      <c r="I8067">
        <v>3451</v>
      </c>
      <c r="J8067">
        <v>3256.91</v>
      </c>
      <c r="K8067" t="s">
        <v>17</v>
      </c>
      <c r="L8067" t="b">
        <v>0</v>
      </c>
      <c r="N8067" s="2" t="str">
        <f t="shared" ref="N8067:N8130" si="725">IF(AND(E8067="IT",K8067="EXPENSE"),I8067&gt;J8067,"")</f>
        <v/>
      </c>
      <c r="Q8067" t="str">
        <f t="shared" si="724"/>
        <v/>
      </c>
    </row>
    <row r="8068" spans="1:17" hidden="1">
      <c r="A8068" t="s">
        <v>8173</v>
      </c>
      <c r="B8068" s="1">
        <v>45993</v>
      </c>
      <c r="C8068">
        <v>2025</v>
      </c>
      <c r="D8068">
        <v>12</v>
      </c>
      <c r="E8068" t="s">
        <v>19</v>
      </c>
      <c r="F8068" t="s">
        <v>28</v>
      </c>
      <c r="G8068" t="s">
        <v>54</v>
      </c>
      <c r="H8068" t="s">
        <v>163</v>
      </c>
      <c r="I8068">
        <v>7342.53</v>
      </c>
      <c r="J8068">
        <v>7678.47</v>
      </c>
      <c r="K8068" t="s">
        <v>17</v>
      </c>
      <c r="L8068" t="b">
        <v>0</v>
      </c>
      <c r="N8068" s="2" t="str">
        <f t="shared" si="725"/>
        <v/>
      </c>
      <c r="Q8068" t="str">
        <f t="shared" si="724"/>
        <v/>
      </c>
    </row>
    <row r="8069" spans="1:17">
      <c r="A8069" t="s">
        <v>8174</v>
      </c>
      <c r="B8069" s="1">
        <v>45993</v>
      </c>
      <c r="C8069">
        <v>2025</v>
      </c>
      <c r="D8069">
        <v>12</v>
      </c>
      <c r="E8069" t="s">
        <v>19</v>
      </c>
      <c r="F8069" t="s">
        <v>24</v>
      </c>
      <c r="G8069" t="s">
        <v>54</v>
      </c>
      <c r="H8069" t="s">
        <v>207</v>
      </c>
      <c r="I8069">
        <v>21850.53</v>
      </c>
      <c r="J8069">
        <v>7182.46</v>
      </c>
      <c r="K8069" t="s">
        <v>17</v>
      </c>
      <c r="L8069" t="b">
        <v>1</v>
      </c>
      <c r="N8069" s="2" t="str">
        <f t="shared" si="725"/>
        <v/>
      </c>
      <c r="Q8069" t="b">
        <f t="shared" si="724"/>
        <v>1</v>
      </c>
    </row>
    <row r="8070" spans="1:17" hidden="1">
      <c r="A8070" t="s">
        <v>8175</v>
      </c>
      <c r="B8070" s="1">
        <v>45993</v>
      </c>
      <c r="C8070">
        <v>2025</v>
      </c>
      <c r="D8070">
        <v>12</v>
      </c>
      <c r="E8070" t="s">
        <v>23</v>
      </c>
      <c r="F8070" t="s">
        <v>28</v>
      </c>
      <c r="G8070" t="s">
        <v>25</v>
      </c>
      <c r="H8070" t="s">
        <v>35</v>
      </c>
      <c r="I8070">
        <v>5727.86</v>
      </c>
      <c r="J8070">
        <v>6216.99</v>
      </c>
      <c r="K8070" t="s">
        <v>17</v>
      </c>
      <c r="L8070" t="b">
        <v>0</v>
      </c>
      <c r="N8070" s="2" t="str">
        <f t="shared" si="725"/>
        <v/>
      </c>
      <c r="Q8070" t="str">
        <f t="shared" si="724"/>
        <v/>
      </c>
    </row>
    <row r="8071" spans="1:17" hidden="1">
      <c r="A8071" t="s">
        <v>8176</v>
      </c>
      <c r="B8071" s="1">
        <v>45993</v>
      </c>
      <c r="C8071">
        <v>2025</v>
      </c>
      <c r="D8071">
        <v>12</v>
      </c>
      <c r="E8071" t="s">
        <v>37</v>
      </c>
      <c r="F8071" t="s">
        <v>28</v>
      </c>
      <c r="G8071" t="s">
        <v>98</v>
      </c>
      <c r="H8071" t="s">
        <v>99</v>
      </c>
      <c r="I8071">
        <v>5242.25</v>
      </c>
      <c r="J8071">
        <v>4901.71</v>
      </c>
      <c r="K8071" t="s">
        <v>17</v>
      </c>
      <c r="L8071" t="b">
        <v>0</v>
      </c>
      <c r="N8071" s="2" t="str">
        <f t="shared" si="725"/>
        <v/>
      </c>
      <c r="Q8071" t="str">
        <f t="shared" si="724"/>
        <v/>
      </c>
    </row>
    <row r="8072" spans="1:17" hidden="1">
      <c r="A8072" t="s">
        <v>8177</v>
      </c>
      <c r="B8072" s="1">
        <v>45993</v>
      </c>
      <c r="C8072">
        <v>2025</v>
      </c>
      <c r="D8072">
        <v>12</v>
      </c>
      <c r="E8072" t="s">
        <v>37</v>
      </c>
      <c r="F8072" t="s">
        <v>28</v>
      </c>
      <c r="G8072" t="s">
        <v>62</v>
      </c>
      <c r="H8072" t="s">
        <v>66</v>
      </c>
      <c r="I8072">
        <v>3969.27</v>
      </c>
      <c r="J8072">
        <v>4062.5</v>
      </c>
      <c r="K8072" t="s">
        <v>17</v>
      </c>
      <c r="L8072" t="b">
        <v>0</v>
      </c>
      <c r="N8072" s="2" t="str">
        <f t="shared" si="725"/>
        <v/>
      </c>
      <c r="Q8072" t="str">
        <f t="shared" si="724"/>
        <v/>
      </c>
    </row>
    <row r="8073" spans="1:17" hidden="1">
      <c r="A8073" t="s">
        <v>8178</v>
      </c>
      <c r="B8073" s="1">
        <v>45994</v>
      </c>
      <c r="C8073">
        <v>2025</v>
      </c>
      <c r="D8073">
        <v>12</v>
      </c>
      <c r="E8073" t="s">
        <v>13</v>
      </c>
      <c r="F8073" t="s">
        <v>28</v>
      </c>
      <c r="G8073" t="s">
        <v>68</v>
      </c>
      <c r="H8073" t="s">
        <v>213</v>
      </c>
      <c r="I8073">
        <v>3338.33</v>
      </c>
      <c r="J8073">
        <v>3452.26</v>
      </c>
      <c r="K8073" t="s">
        <v>17</v>
      </c>
      <c r="L8073" t="b">
        <v>0</v>
      </c>
      <c r="N8073" s="2" t="str">
        <f t="shared" si="725"/>
        <v/>
      </c>
      <c r="Q8073" t="str">
        <f t="shared" si="724"/>
        <v/>
      </c>
    </row>
    <row r="8074" spans="1:17" hidden="1">
      <c r="A8074" t="s">
        <v>8179</v>
      </c>
      <c r="B8074" s="1">
        <v>45994</v>
      </c>
      <c r="C8074">
        <v>2025</v>
      </c>
      <c r="D8074">
        <v>12</v>
      </c>
      <c r="E8074" t="s">
        <v>47</v>
      </c>
      <c r="F8074" t="s">
        <v>28</v>
      </c>
      <c r="G8074" t="s">
        <v>48</v>
      </c>
      <c r="H8074" t="s">
        <v>75</v>
      </c>
      <c r="I8074">
        <v>10305.35</v>
      </c>
      <c r="J8074">
        <v>8601.9500000000007</v>
      </c>
      <c r="K8074" t="s">
        <v>17</v>
      </c>
      <c r="L8074" t="b">
        <v>0</v>
      </c>
      <c r="N8074" s="2" t="b">
        <f t="shared" si="725"/>
        <v>1</v>
      </c>
      <c r="O8074" t="str">
        <f>IF(AND(E8063="HR",K8063="EXPENSE"),I8063&lt;J8063,"")</f>
        <v/>
      </c>
      <c r="Q8074" t="str">
        <f t="shared" si="724"/>
        <v/>
      </c>
    </row>
    <row r="8075" spans="1:17" hidden="1">
      <c r="A8075" t="s">
        <v>8180</v>
      </c>
      <c r="B8075" s="1">
        <v>45994</v>
      </c>
      <c r="C8075">
        <v>2025</v>
      </c>
      <c r="D8075">
        <v>12</v>
      </c>
      <c r="E8075" t="s">
        <v>19</v>
      </c>
      <c r="F8075" t="s">
        <v>24</v>
      </c>
      <c r="G8075" t="s">
        <v>20</v>
      </c>
      <c r="H8075" t="s">
        <v>174</v>
      </c>
      <c r="I8075">
        <v>6321.65</v>
      </c>
      <c r="J8075">
        <v>6626.18</v>
      </c>
      <c r="K8075" t="s">
        <v>17</v>
      </c>
      <c r="L8075" t="b">
        <v>0</v>
      </c>
      <c r="N8075" s="2" t="str">
        <f t="shared" si="725"/>
        <v/>
      </c>
      <c r="Q8075" t="str">
        <f t="shared" si="724"/>
        <v/>
      </c>
    </row>
    <row r="8076" spans="1:17" hidden="1">
      <c r="A8076" t="s">
        <v>8181</v>
      </c>
      <c r="B8076" s="1">
        <v>45994</v>
      </c>
      <c r="C8076">
        <v>2025</v>
      </c>
      <c r="D8076">
        <v>12</v>
      </c>
      <c r="E8076" t="s">
        <v>23</v>
      </c>
      <c r="F8076" t="s">
        <v>28</v>
      </c>
      <c r="G8076" t="s">
        <v>25</v>
      </c>
      <c r="H8076" t="s">
        <v>26</v>
      </c>
      <c r="I8076">
        <v>9456.7999999999993</v>
      </c>
      <c r="J8076">
        <v>8741.14</v>
      </c>
      <c r="K8076" t="s">
        <v>17</v>
      </c>
      <c r="L8076" t="b">
        <v>0</v>
      </c>
      <c r="N8076" s="2" t="str">
        <f t="shared" si="725"/>
        <v/>
      </c>
      <c r="Q8076" t="str">
        <f t="shared" si="724"/>
        <v/>
      </c>
    </row>
    <row r="8077" spans="1:17" hidden="1">
      <c r="A8077" t="s">
        <v>8182</v>
      </c>
      <c r="B8077" s="1">
        <v>45994</v>
      </c>
      <c r="C8077">
        <v>2025</v>
      </c>
      <c r="D8077">
        <v>12</v>
      </c>
      <c r="E8077" t="s">
        <v>23</v>
      </c>
      <c r="F8077" t="s">
        <v>24</v>
      </c>
      <c r="G8077" t="s">
        <v>141</v>
      </c>
      <c r="H8077" t="s">
        <v>142</v>
      </c>
      <c r="I8077">
        <v>3882.06</v>
      </c>
      <c r="J8077">
        <v>3817.52</v>
      </c>
      <c r="K8077" t="s">
        <v>17</v>
      </c>
      <c r="L8077" t="b">
        <v>0</v>
      </c>
      <c r="N8077" s="2" t="str">
        <f t="shared" si="725"/>
        <v/>
      </c>
      <c r="Q8077" t="str">
        <f t="shared" si="724"/>
        <v/>
      </c>
    </row>
    <row r="8078" spans="1:17" hidden="1">
      <c r="A8078" t="s">
        <v>8183</v>
      </c>
      <c r="B8078" s="1">
        <v>45994</v>
      </c>
      <c r="C8078">
        <v>2025</v>
      </c>
      <c r="D8078">
        <v>12</v>
      </c>
      <c r="E8078" t="s">
        <v>37</v>
      </c>
      <c r="F8078" t="s">
        <v>14</v>
      </c>
      <c r="G8078" t="s">
        <v>41</v>
      </c>
      <c r="H8078" t="s">
        <v>42</v>
      </c>
      <c r="I8078">
        <v>3327.73</v>
      </c>
      <c r="J8078">
        <v>3034.49</v>
      </c>
      <c r="K8078" t="s">
        <v>17</v>
      </c>
      <c r="L8078" t="b">
        <v>0</v>
      </c>
      <c r="N8078" s="2" t="str">
        <f t="shared" si="725"/>
        <v/>
      </c>
      <c r="Q8078" t="str">
        <f t="shared" si="724"/>
        <v/>
      </c>
    </row>
    <row r="8079" spans="1:17" hidden="1">
      <c r="A8079" t="s">
        <v>8184</v>
      </c>
      <c r="B8079" s="1">
        <v>45995</v>
      </c>
      <c r="C8079">
        <v>2025</v>
      </c>
      <c r="D8079">
        <v>12</v>
      </c>
      <c r="E8079" t="s">
        <v>13</v>
      </c>
      <c r="F8079" t="s">
        <v>24</v>
      </c>
      <c r="G8079" t="s">
        <v>68</v>
      </c>
      <c r="H8079" t="s">
        <v>213</v>
      </c>
      <c r="I8079">
        <v>3562.8</v>
      </c>
      <c r="J8079">
        <v>3238.91</v>
      </c>
      <c r="K8079" t="s">
        <v>17</v>
      </c>
      <c r="L8079" t="b">
        <v>0</v>
      </c>
      <c r="N8079" s="2" t="str">
        <f t="shared" si="725"/>
        <v/>
      </c>
      <c r="Q8079" t="str">
        <f t="shared" si="724"/>
        <v/>
      </c>
    </row>
    <row r="8080" spans="1:17" hidden="1">
      <c r="A8080" t="s">
        <v>8185</v>
      </c>
      <c r="B8080" s="1">
        <v>45995</v>
      </c>
      <c r="C8080">
        <v>2025</v>
      </c>
      <c r="D8080">
        <v>12</v>
      </c>
      <c r="E8080" t="s">
        <v>47</v>
      </c>
      <c r="F8080" t="s">
        <v>14</v>
      </c>
      <c r="G8080" t="s">
        <v>91</v>
      </c>
      <c r="H8080" t="s">
        <v>128</v>
      </c>
      <c r="I8080">
        <v>16881.77</v>
      </c>
      <c r="J8080">
        <v>14134.52</v>
      </c>
      <c r="K8080" t="s">
        <v>17</v>
      </c>
      <c r="L8080" t="b">
        <v>0</v>
      </c>
      <c r="N8080" s="2" t="b">
        <f t="shared" si="725"/>
        <v>1</v>
      </c>
      <c r="O8080" t="str">
        <f>IF(AND(E8069="HR",K8069="EXPENSE"),I8069&lt;J8069,"")</f>
        <v/>
      </c>
      <c r="Q8080" t="str">
        <f t="shared" si="724"/>
        <v/>
      </c>
    </row>
    <row r="8081" spans="1:17" hidden="1">
      <c r="A8081" t="s">
        <v>8186</v>
      </c>
      <c r="B8081" s="1">
        <v>45995</v>
      </c>
      <c r="C8081">
        <v>2025</v>
      </c>
      <c r="D8081">
        <v>12</v>
      </c>
      <c r="E8081" t="s">
        <v>19</v>
      </c>
      <c r="F8081" t="s">
        <v>24</v>
      </c>
      <c r="G8081" t="s">
        <v>132</v>
      </c>
      <c r="H8081" t="s">
        <v>138</v>
      </c>
      <c r="I8081">
        <v>9617.01</v>
      </c>
      <c r="J8081">
        <v>9761.43</v>
      </c>
      <c r="K8081" t="s">
        <v>17</v>
      </c>
      <c r="L8081" t="b">
        <v>0</v>
      </c>
      <c r="N8081" s="2" t="str">
        <f t="shared" si="725"/>
        <v/>
      </c>
      <c r="Q8081" t="str">
        <f t="shared" si="724"/>
        <v/>
      </c>
    </row>
    <row r="8082" spans="1:17" hidden="1">
      <c r="A8082" t="s">
        <v>8187</v>
      </c>
      <c r="B8082" s="1">
        <v>45995</v>
      </c>
      <c r="C8082">
        <v>2025</v>
      </c>
      <c r="D8082">
        <v>12</v>
      </c>
      <c r="E8082" t="s">
        <v>23</v>
      </c>
      <c r="F8082" t="s">
        <v>14</v>
      </c>
      <c r="G8082" t="s">
        <v>25</v>
      </c>
      <c r="H8082" t="s">
        <v>26</v>
      </c>
      <c r="I8082">
        <v>8810.5499999999993</v>
      </c>
      <c r="J8082">
        <v>8558.1</v>
      </c>
      <c r="K8082" t="s">
        <v>17</v>
      </c>
      <c r="L8082" t="b">
        <v>0</v>
      </c>
      <c r="N8082" s="2" t="str">
        <f t="shared" si="725"/>
        <v/>
      </c>
      <c r="Q8082" t="str">
        <f t="shared" si="724"/>
        <v/>
      </c>
    </row>
    <row r="8083" spans="1:17" hidden="1">
      <c r="A8083" t="s">
        <v>8188</v>
      </c>
      <c r="B8083" s="1">
        <v>45995</v>
      </c>
      <c r="C8083">
        <v>2025</v>
      </c>
      <c r="D8083">
        <v>12</v>
      </c>
      <c r="E8083" t="s">
        <v>37</v>
      </c>
      <c r="F8083" t="s">
        <v>28</v>
      </c>
      <c r="G8083" t="s">
        <v>38</v>
      </c>
      <c r="H8083" t="s">
        <v>118</v>
      </c>
      <c r="I8083">
        <v>3803.28</v>
      </c>
      <c r="J8083">
        <v>3991.92</v>
      </c>
      <c r="K8083" t="s">
        <v>17</v>
      </c>
      <c r="L8083" t="b">
        <v>0</v>
      </c>
      <c r="N8083" s="2" t="str">
        <f t="shared" si="725"/>
        <v/>
      </c>
      <c r="Q8083" t="str">
        <f t="shared" si="724"/>
        <v/>
      </c>
    </row>
    <row r="8084" spans="1:17" hidden="1">
      <c r="A8084" t="s">
        <v>8189</v>
      </c>
      <c r="B8084" s="1">
        <v>45995</v>
      </c>
      <c r="C8084">
        <v>2025</v>
      </c>
      <c r="D8084">
        <v>12</v>
      </c>
      <c r="E8084" t="s">
        <v>37</v>
      </c>
      <c r="F8084" t="s">
        <v>24</v>
      </c>
      <c r="G8084" t="s">
        <v>83</v>
      </c>
      <c r="H8084" t="s">
        <v>84</v>
      </c>
      <c r="I8084">
        <v>169481.17</v>
      </c>
      <c r="J8084">
        <v>161007.10999999999</v>
      </c>
      <c r="K8084" t="s">
        <v>85</v>
      </c>
      <c r="L8084" t="b">
        <v>0</v>
      </c>
      <c r="N8084" s="2" t="str">
        <f t="shared" si="725"/>
        <v/>
      </c>
      <c r="Q8084" t="str">
        <f t="shared" si="724"/>
        <v/>
      </c>
    </row>
    <row r="8085" spans="1:17" hidden="1">
      <c r="A8085" t="s">
        <v>8190</v>
      </c>
      <c r="B8085" s="1">
        <v>45996</v>
      </c>
      <c r="C8085">
        <v>2025</v>
      </c>
      <c r="D8085">
        <v>12</v>
      </c>
      <c r="E8085" t="s">
        <v>13</v>
      </c>
      <c r="F8085" t="s">
        <v>14</v>
      </c>
      <c r="G8085" t="s">
        <v>108</v>
      </c>
      <c r="H8085" t="s">
        <v>109</v>
      </c>
      <c r="I8085">
        <v>4424.91</v>
      </c>
      <c r="J8085">
        <v>4148.33</v>
      </c>
      <c r="K8085" t="s">
        <v>17</v>
      </c>
      <c r="L8085" t="b">
        <v>0</v>
      </c>
      <c r="N8085" s="2" t="str">
        <f t="shared" si="725"/>
        <v/>
      </c>
      <c r="Q8085" t="str">
        <f t="shared" si="724"/>
        <v/>
      </c>
    </row>
    <row r="8086" spans="1:17" hidden="1">
      <c r="A8086" t="s">
        <v>8191</v>
      </c>
      <c r="B8086" s="1">
        <v>45996</v>
      </c>
      <c r="C8086">
        <v>2025</v>
      </c>
      <c r="D8086">
        <v>12</v>
      </c>
      <c r="E8086" t="s">
        <v>13</v>
      </c>
      <c r="F8086" t="s">
        <v>28</v>
      </c>
      <c r="G8086" t="s">
        <v>15</v>
      </c>
      <c r="H8086" t="s">
        <v>16</v>
      </c>
      <c r="I8086">
        <v>3798.02</v>
      </c>
      <c r="J8086">
        <v>3678.09</v>
      </c>
      <c r="K8086" t="s">
        <v>17</v>
      </c>
      <c r="L8086" t="b">
        <v>0</v>
      </c>
      <c r="N8086" s="2" t="str">
        <f t="shared" si="725"/>
        <v/>
      </c>
      <c r="Q8086" t="str">
        <f t="shared" si="724"/>
        <v/>
      </c>
    </row>
    <row r="8087" spans="1:17" hidden="1">
      <c r="A8087" t="s">
        <v>8192</v>
      </c>
      <c r="B8087" s="1">
        <v>45996</v>
      </c>
      <c r="C8087">
        <v>2025</v>
      </c>
      <c r="D8087">
        <v>12</v>
      </c>
      <c r="E8087" t="s">
        <v>47</v>
      </c>
      <c r="F8087" t="s">
        <v>14</v>
      </c>
      <c r="G8087" t="s">
        <v>51</v>
      </c>
      <c r="H8087" t="s">
        <v>52</v>
      </c>
      <c r="I8087">
        <v>16642.830000000002</v>
      </c>
      <c r="J8087">
        <v>14187.13</v>
      </c>
      <c r="K8087" t="s">
        <v>17</v>
      </c>
      <c r="L8087" t="b">
        <v>0</v>
      </c>
      <c r="N8087" s="2" t="b">
        <f t="shared" si="725"/>
        <v>1</v>
      </c>
      <c r="O8087" t="str">
        <f>IF(AND(E8076="HR",K8076="EXPENSE"),I8076&lt;J8076,"")</f>
        <v/>
      </c>
      <c r="Q8087" t="str">
        <f t="shared" si="724"/>
        <v/>
      </c>
    </row>
    <row r="8088" spans="1:17" hidden="1">
      <c r="A8088" t="s">
        <v>8193</v>
      </c>
      <c r="B8088" s="1">
        <v>45996</v>
      </c>
      <c r="C8088">
        <v>2025</v>
      </c>
      <c r="D8088">
        <v>12</v>
      </c>
      <c r="E8088" t="s">
        <v>19</v>
      </c>
      <c r="F8088" t="s">
        <v>24</v>
      </c>
      <c r="G8088" t="s">
        <v>132</v>
      </c>
      <c r="H8088" t="s">
        <v>171</v>
      </c>
      <c r="I8088">
        <v>4785.5</v>
      </c>
      <c r="J8088">
        <v>4390.55</v>
      </c>
      <c r="K8088" t="s">
        <v>17</v>
      </c>
      <c r="L8088" t="b">
        <v>0</v>
      </c>
      <c r="N8088" s="2" t="str">
        <f t="shared" si="725"/>
        <v/>
      </c>
      <c r="Q8088" t="str">
        <f t="shared" si="724"/>
        <v/>
      </c>
    </row>
    <row r="8089" spans="1:17" hidden="1">
      <c r="A8089" t="s">
        <v>8194</v>
      </c>
      <c r="B8089" s="1">
        <v>45996</v>
      </c>
      <c r="C8089">
        <v>2025</v>
      </c>
      <c r="D8089">
        <v>12</v>
      </c>
      <c r="E8089" t="s">
        <v>23</v>
      </c>
      <c r="F8089" t="s">
        <v>14</v>
      </c>
      <c r="G8089" t="s">
        <v>141</v>
      </c>
      <c r="H8089" t="s">
        <v>142</v>
      </c>
      <c r="I8089">
        <v>9948.2800000000007</v>
      </c>
      <c r="J8089">
        <v>10025.86</v>
      </c>
      <c r="K8089" t="s">
        <v>17</v>
      </c>
      <c r="L8089" t="b">
        <v>0</v>
      </c>
      <c r="N8089" s="2" t="str">
        <f t="shared" si="725"/>
        <v/>
      </c>
      <c r="Q8089" t="str">
        <f t="shared" si="724"/>
        <v/>
      </c>
    </row>
    <row r="8090" spans="1:17" hidden="1">
      <c r="A8090" t="s">
        <v>8195</v>
      </c>
      <c r="B8090" s="1">
        <v>45996</v>
      </c>
      <c r="C8090">
        <v>2025</v>
      </c>
      <c r="D8090">
        <v>12</v>
      </c>
      <c r="E8090" t="s">
        <v>37</v>
      </c>
      <c r="F8090" t="s">
        <v>28</v>
      </c>
      <c r="G8090" t="s">
        <v>41</v>
      </c>
      <c r="H8090" t="s">
        <v>42</v>
      </c>
      <c r="I8090">
        <v>3680.36</v>
      </c>
      <c r="J8090">
        <v>3549.24</v>
      </c>
      <c r="K8090" t="s">
        <v>17</v>
      </c>
      <c r="L8090" t="b">
        <v>0</v>
      </c>
      <c r="N8090" s="2" t="str">
        <f t="shared" si="725"/>
        <v/>
      </c>
      <c r="Q8090" t="str">
        <f t="shared" si="724"/>
        <v/>
      </c>
    </row>
    <row r="8091" spans="1:17" hidden="1">
      <c r="A8091" t="s">
        <v>8196</v>
      </c>
      <c r="B8091" s="1">
        <v>45997</v>
      </c>
      <c r="C8091">
        <v>2025</v>
      </c>
      <c r="D8091">
        <v>12</v>
      </c>
      <c r="E8091" t="s">
        <v>13</v>
      </c>
      <c r="F8091" t="s">
        <v>14</v>
      </c>
      <c r="G8091" t="s">
        <v>102</v>
      </c>
      <c r="H8091" t="s">
        <v>278</v>
      </c>
      <c r="I8091">
        <v>3262.42</v>
      </c>
      <c r="J8091">
        <v>3533.42</v>
      </c>
      <c r="K8091" t="s">
        <v>17</v>
      </c>
      <c r="L8091" t="b">
        <v>0</v>
      </c>
      <c r="N8091" s="2" t="str">
        <f t="shared" si="725"/>
        <v/>
      </c>
      <c r="Q8091" t="str">
        <f t="shared" si="724"/>
        <v/>
      </c>
    </row>
    <row r="8092" spans="1:17" hidden="1">
      <c r="A8092" t="s">
        <v>8197</v>
      </c>
      <c r="B8092" s="1">
        <v>45997</v>
      </c>
      <c r="C8092">
        <v>2025</v>
      </c>
      <c r="D8092">
        <v>12</v>
      </c>
      <c r="E8092" t="s">
        <v>13</v>
      </c>
      <c r="F8092" t="s">
        <v>14</v>
      </c>
      <c r="G8092" t="s">
        <v>15</v>
      </c>
      <c r="H8092" t="s">
        <v>16</v>
      </c>
      <c r="I8092">
        <v>4189.13</v>
      </c>
      <c r="J8092">
        <v>4186.7299999999996</v>
      </c>
      <c r="K8092" t="s">
        <v>17</v>
      </c>
      <c r="L8092" t="b">
        <v>0</v>
      </c>
      <c r="N8092" s="2" t="str">
        <f t="shared" si="725"/>
        <v/>
      </c>
      <c r="Q8092" t="str">
        <f t="shared" si="724"/>
        <v/>
      </c>
    </row>
    <row r="8093" spans="1:17" hidden="1">
      <c r="A8093" t="s">
        <v>8198</v>
      </c>
      <c r="B8093" s="1">
        <v>45997</v>
      </c>
      <c r="C8093">
        <v>2025</v>
      </c>
      <c r="D8093">
        <v>12</v>
      </c>
      <c r="E8093" t="s">
        <v>13</v>
      </c>
      <c r="F8093" t="s">
        <v>24</v>
      </c>
      <c r="G8093" t="s">
        <v>108</v>
      </c>
      <c r="H8093" t="s">
        <v>109</v>
      </c>
      <c r="I8093">
        <v>2485.31</v>
      </c>
      <c r="J8093">
        <v>2481.94</v>
      </c>
      <c r="K8093" t="s">
        <v>17</v>
      </c>
      <c r="L8093" t="b">
        <v>0</v>
      </c>
      <c r="N8093" s="2" t="str">
        <f t="shared" si="725"/>
        <v/>
      </c>
      <c r="Q8093" t="str">
        <f t="shared" si="724"/>
        <v/>
      </c>
    </row>
    <row r="8094" spans="1:17" hidden="1">
      <c r="A8094" t="s">
        <v>8199</v>
      </c>
      <c r="B8094" s="1">
        <v>45997</v>
      </c>
      <c r="C8094">
        <v>2025</v>
      </c>
      <c r="D8094">
        <v>12</v>
      </c>
      <c r="E8094" t="s">
        <v>47</v>
      </c>
      <c r="F8094" t="s">
        <v>28</v>
      </c>
      <c r="G8094" t="s">
        <v>91</v>
      </c>
      <c r="H8094" t="s">
        <v>92</v>
      </c>
      <c r="I8094">
        <v>17616.02</v>
      </c>
      <c r="J8094">
        <v>15104.85</v>
      </c>
      <c r="K8094" t="s">
        <v>17</v>
      </c>
      <c r="L8094" t="b">
        <v>0</v>
      </c>
      <c r="N8094" s="2" t="b">
        <f t="shared" si="725"/>
        <v>1</v>
      </c>
      <c r="O8094" t="str">
        <f>IF(AND(E8083="HR",K8083="EXPENSE"),I8083&lt;J8083,"")</f>
        <v/>
      </c>
      <c r="Q8094" t="str">
        <f t="shared" si="724"/>
        <v/>
      </c>
    </row>
    <row r="8095" spans="1:17" hidden="1">
      <c r="A8095" t="s">
        <v>8200</v>
      </c>
      <c r="B8095" s="1">
        <v>45997</v>
      </c>
      <c r="C8095">
        <v>2025</v>
      </c>
      <c r="D8095">
        <v>12</v>
      </c>
      <c r="E8095" t="s">
        <v>19</v>
      </c>
      <c r="F8095" t="s">
        <v>14</v>
      </c>
      <c r="G8095" t="s">
        <v>54</v>
      </c>
      <c r="H8095" t="s">
        <v>57</v>
      </c>
      <c r="I8095">
        <v>9237.5300000000007</v>
      </c>
      <c r="J8095">
        <v>8954.57</v>
      </c>
      <c r="K8095" t="s">
        <v>17</v>
      </c>
      <c r="L8095" t="b">
        <v>0</v>
      </c>
      <c r="N8095" s="2" t="str">
        <f t="shared" si="725"/>
        <v/>
      </c>
      <c r="Q8095" t="str">
        <f t="shared" si="724"/>
        <v/>
      </c>
    </row>
    <row r="8096" spans="1:17" hidden="1">
      <c r="A8096" t="s">
        <v>8201</v>
      </c>
      <c r="B8096" s="1">
        <v>45997</v>
      </c>
      <c r="C8096">
        <v>2025</v>
      </c>
      <c r="D8096">
        <v>12</v>
      </c>
      <c r="E8096" t="s">
        <v>23</v>
      </c>
      <c r="F8096" t="s">
        <v>14</v>
      </c>
      <c r="G8096" t="s">
        <v>30</v>
      </c>
      <c r="H8096" t="s">
        <v>33</v>
      </c>
      <c r="I8096">
        <v>6697.52</v>
      </c>
      <c r="J8096">
        <v>6502.89</v>
      </c>
      <c r="K8096" t="s">
        <v>17</v>
      </c>
      <c r="L8096" t="b">
        <v>0</v>
      </c>
      <c r="N8096" s="2" t="str">
        <f t="shared" si="725"/>
        <v/>
      </c>
      <c r="Q8096" t="str">
        <f t="shared" si="724"/>
        <v/>
      </c>
    </row>
    <row r="8097" spans="1:17" hidden="1">
      <c r="A8097" t="s">
        <v>8202</v>
      </c>
      <c r="B8097" s="1">
        <v>45997</v>
      </c>
      <c r="C8097">
        <v>2025</v>
      </c>
      <c r="D8097">
        <v>12</v>
      </c>
      <c r="E8097" t="s">
        <v>23</v>
      </c>
      <c r="F8097" t="s">
        <v>24</v>
      </c>
      <c r="G8097" t="s">
        <v>30</v>
      </c>
      <c r="H8097" t="s">
        <v>33</v>
      </c>
      <c r="I8097">
        <v>3496.03</v>
      </c>
      <c r="J8097">
        <v>3488.04</v>
      </c>
      <c r="K8097" t="s">
        <v>17</v>
      </c>
      <c r="L8097" t="b">
        <v>0</v>
      </c>
      <c r="N8097" s="2" t="str">
        <f t="shared" si="725"/>
        <v/>
      </c>
      <c r="Q8097" t="str">
        <f t="shared" si="724"/>
        <v/>
      </c>
    </row>
    <row r="8098" spans="1:17" hidden="1">
      <c r="A8098" t="s">
        <v>8203</v>
      </c>
      <c r="B8098" s="1">
        <v>45998</v>
      </c>
      <c r="C8098">
        <v>2025</v>
      </c>
      <c r="D8098">
        <v>12</v>
      </c>
      <c r="E8098" t="s">
        <v>13</v>
      </c>
      <c r="F8098" t="s">
        <v>28</v>
      </c>
      <c r="G8098" t="s">
        <v>108</v>
      </c>
      <c r="H8098" t="s">
        <v>126</v>
      </c>
      <c r="I8098">
        <v>3717.56</v>
      </c>
      <c r="J8098">
        <v>3795.35</v>
      </c>
      <c r="K8098" t="s">
        <v>17</v>
      </c>
      <c r="L8098" t="b">
        <v>0</v>
      </c>
      <c r="N8098" s="2" t="str">
        <f t="shared" si="725"/>
        <v/>
      </c>
      <c r="Q8098" t="str">
        <f t="shared" si="724"/>
        <v/>
      </c>
    </row>
    <row r="8099" spans="1:17" hidden="1">
      <c r="A8099" t="s">
        <v>8204</v>
      </c>
      <c r="B8099" s="1">
        <v>45998</v>
      </c>
      <c r="C8099">
        <v>2025</v>
      </c>
      <c r="D8099">
        <v>12</v>
      </c>
      <c r="E8099" t="s">
        <v>47</v>
      </c>
      <c r="F8099" t="s">
        <v>14</v>
      </c>
      <c r="G8099" t="s">
        <v>91</v>
      </c>
      <c r="H8099" t="s">
        <v>92</v>
      </c>
      <c r="I8099">
        <v>21654.16</v>
      </c>
      <c r="J8099">
        <v>18496.82</v>
      </c>
      <c r="K8099" t="s">
        <v>17</v>
      </c>
      <c r="L8099" t="b">
        <v>0</v>
      </c>
      <c r="N8099" s="2" t="b">
        <f t="shared" si="725"/>
        <v>1</v>
      </c>
      <c r="O8099" t="str">
        <f t="shared" ref="O8099:O8102" si="726">IF(AND(E8088="HR",K8088="EXPENSE"),I8088&lt;J8088,"")</f>
        <v/>
      </c>
      <c r="Q8099" t="str">
        <f t="shared" si="724"/>
        <v/>
      </c>
    </row>
    <row r="8100" spans="1:17" hidden="1">
      <c r="A8100" t="s">
        <v>8205</v>
      </c>
      <c r="B8100" s="1">
        <v>45998</v>
      </c>
      <c r="C8100">
        <v>2025</v>
      </c>
      <c r="D8100">
        <v>12</v>
      </c>
      <c r="E8100" t="s">
        <v>47</v>
      </c>
      <c r="F8100" t="s">
        <v>24</v>
      </c>
      <c r="G8100" t="s">
        <v>91</v>
      </c>
      <c r="H8100" t="s">
        <v>254</v>
      </c>
      <c r="I8100">
        <v>14482.05</v>
      </c>
      <c r="J8100">
        <v>12541.02</v>
      </c>
      <c r="K8100" t="s">
        <v>17</v>
      </c>
      <c r="L8100" t="b">
        <v>0</v>
      </c>
      <c r="N8100" s="2" t="b">
        <f t="shared" si="725"/>
        <v>1</v>
      </c>
      <c r="O8100" t="str">
        <f t="shared" si="726"/>
        <v/>
      </c>
      <c r="Q8100" t="str">
        <f t="shared" si="724"/>
        <v/>
      </c>
    </row>
    <row r="8101" spans="1:17" hidden="1">
      <c r="A8101" t="s">
        <v>8206</v>
      </c>
      <c r="B8101" s="1">
        <v>45998</v>
      </c>
      <c r="C8101">
        <v>2025</v>
      </c>
      <c r="D8101">
        <v>12</v>
      </c>
      <c r="E8101" t="s">
        <v>47</v>
      </c>
      <c r="F8101" t="s">
        <v>24</v>
      </c>
      <c r="G8101" t="s">
        <v>48</v>
      </c>
      <c r="H8101" t="s">
        <v>189</v>
      </c>
      <c r="I8101">
        <v>12429.85</v>
      </c>
      <c r="J8101">
        <v>10457.27</v>
      </c>
      <c r="K8101" t="s">
        <v>17</v>
      </c>
      <c r="L8101" t="b">
        <v>0</v>
      </c>
      <c r="N8101" s="2" t="b">
        <f t="shared" si="725"/>
        <v>1</v>
      </c>
      <c r="O8101" t="str">
        <f t="shared" si="726"/>
        <v/>
      </c>
      <c r="Q8101" t="str">
        <f t="shared" si="724"/>
        <v/>
      </c>
    </row>
    <row r="8102" spans="1:17" hidden="1">
      <c r="A8102" t="s">
        <v>8207</v>
      </c>
      <c r="B8102" s="1">
        <v>45998</v>
      </c>
      <c r="C8102">
        <v>2025</v>
      </c>
      <c r="D8102">
        <v>12</v>
      </c>
      <c r="E8102" t="s">
        <v>47</v>
      </c>
      <c r="F8102" t="s">
        <v>24</v>
      </c>
      <c r="G8102" t="s">
        <v>48</v>
      </c>
      <c r="H8102" t="s">
        <v>111</v>
      </c>
      <c r="I8102">
        <v>13812.62</v>
      </c>
      <c r="J8102">
        <v>11423.7</v>
      </c>
      <c r="K8102" t="s">
        <v>17</v>
      </c>
      <c r="L8102" t="b">
        <v>0</v>
      </c>
      <c r="N8102" s="2" t="b">
        <f t="shared" si="725"/>
        <v>1</v>
      </c>
      <c r="O8102" t="b">
        <f t="shared" si="726"/>
        <v>1</v>
      </c>
      <c r="Q8102" t="str">
        <f t="shared" si="724"/>
        <v/>
      </c>
    </row>
    <row r="8103" spans="1:17" hidden="1">
      <c r="A8103" t="s">
        <v>8208</v>
      </c>
      <c r="B8103" s="1">
        <v>45998</v>
      </c>
      <c r="C8103">
        <v>2025</v>
      </c>
      <c r="D8103">
        <v>12</v>
      </c>
      <c r="E8103" t="s">
        <v>23</v>
      </c>
      <c r="F8103" t="s">
        <v>14</v>
      </c>
      <c r="G8103" t="s">
        <v>25</v>
      </c>
      <c r="H8103" t="s">
        <v>26</v>
      </c>
      <c r="I8103">
        <v>4348.07</v>
      </c>
      <c r="J8103">
        <v>3932.48</v>
      </c>
      <c r="K8103" t="s">
        <v>17</v>
      </c>
      <c r="L8103" t="b">
        <v>0</v>
      </c>
      <c r="N8103" s="2" t="str">
        <f t="shared" si="725"/>
        <v/>
      </c>
      <c r="Q8103" t="str">
        <f t="shared" si="724"/>
        <v/>
      </c>
    </row>
    <row r="8104" spans="1:17" hidden="1">
      <c r="A8104" t="s">
        <v>8209</v>
      </c>
      <c r="B8104" s="1">
        <v>45998</v>
      </c>
      <c r="C8104">
        <v>2025</v>
      </c>
      <c r="D8104">
        <v>12</v>
      </c>
      <c r="E8104" t="s">
        <v>23</v>
      </c>
      <c r="F8104" t="s">
        <v>24</v>
      </c>
      <c r="G8104" t="s">
        <v>25</v>
      </c>
      <c r="H8104" t="s">
        <v>95</v>
      </c>
      <c r="I8104">
        <v>6130.99</v>
      </c>
      <c r="J8104">
        <v>6269.45</v>
      </c>
      <c r="K8104" t="s">
        <v>17</v>
      </c>
      <c r="L8104" t="b">
        <v>0</v>
      </c>
      <c r="N8104" s="2" t="str">
        <f t="shared" si="725"/>
        <v/>
      </c>
      <c r="Q8104" t="str">
        <f t="shared" si="724"/>
        <v/>
      </c>
    </row>
    <row r="8105" spans="1:17" hidden="1">
      <c r="A8105" t="s">
        <v>8210</v>
      </c>
      <c r="B8105" s="1">
        <v>45998</v>
      </c>
      <c r="C8105">
        <v>2025</v>
      </c>
      <c r="D8105">
        <v>12</v>
      </c>
      <c r="E8105" t="s">
        <v>37</v>
      </c>
      <c r="F8105" t="s">
        <v>28</v>
      </c>
      <c r="G8105" t="s">
        <v>62</v>
      </c>
      <c r="H8105" t="s">
        <v>121</v>
      </c>
      <c r="I8105">
        <v>5079.38</v>
      </c>
      <c r="J8105">
        <v>5123.8900000000003</v>
      </c>
      <c r="K8105" t="s">
        <v>17</v>
      </c>
      <c r="L8105" t="b">
        <v>0</v>
      </c>
      <c r="N8105" s="2" t="str">
        <f t="shared" si="725"/>
        <v/>
      </c>
      <c r="Q8105" t="str">
        <f t="shared" si="724"/>
        <v/>
      </c>
    </row>
    <row r="8106" spans="1:17" hidden="1">
      <c r="A8106" t="s">
        <v>8211</v>
      </c>
      <c r="B8106" s="1">
        <v>45998</v>
      </c>
      <c r="C8106">
        <v>2025</v>
      </c>
      <c r="D8106">
        <v>12</v>
      </c>
      <c r="E8106" t="s">
        <v>37</v>
      </c>
      <c r="F8106" t="s">
        <v>24</v>
      </c>
      <c r="G8106" t="s">
        <v>98</v>
      </c>
      <c r="H8106" t="s">
        <v>99</v>
      </c>
      <c r="I8106">
        <v>6015.91</v>
      </c>
      <c r="J8106">
        <v>6453.03</v>
      </c>
      <c r="K8106" t="s">
        <v>17</v>
      </c>
      <c r="L8106" t="b">
        <v>0</v>
      </c>
      <c r="N8106" s="2" t="str">
        <f t="shared" si="725"/>
        <v/>
      </c>
      <c r="Q8106" t="str">
        <f t="shared" si="724"/>
        <v/>
      </c>
    </row>
    <row r="8107" spans="1:17" hidden="1">
      <c r="A8107" t="s">
        <v>8212</v>
      </c>
      <c r="B8107" s="1">
        <v>45998</v>
      </c>
      <c r="C8107">
        <v>2025</v>
      </c>
      <c r="D8107">
        <v>12</v>
      </c>
      <c r="E8107" t="s">
        <v>37</v>
      </c>
      <c r="F8107" t="s">
        <v>24</v>
      </c>
      <c r="G8107" t="s">
        <v>41</v>
      </c>
      <c r="H8107" t="s">
        <v>42</v>
      </c>
      <c r="I8107">
        <v>5606.09</v>
      </c>
      <c r="J8107">
        <v>5251.76</v>
      </c>
      <c r="K8107" t="s">
        <v>17</v>
      </c>
      <c r="L8107" t="b">
        <v>0</v>
      </c>
      <c r="N8107" s="2" t="str">
        <f t="shared" si="725"/>
        <v/>
      </c>
      <c r="Q8107" t="str">
        <f t="shared" si="724"/>
        <v/>
      </c>
    </row>
    <row r="8108" spans="1:17" hidden="1">
      <c r="A8108" t="s">
        <v>8213</v>
      </c>
      <c r="B8108" s="1">
        <v>45998</v>
      </c>
      <c r="C8108">
        <v>2025</v>
      </c>
      <c r="D8108">
        <v>12</v>
      </c>
      <c r="E8108" t="s">
        <v>37</v>
      </c>
      <c r="F8108" t="s">
        <v>24</v>
      </c>
      <c r="G8108" t="s">
        <v>41</v>
      </c>
      <c r="H8108" t="s">
        <v>42</v>
      </c>
      <c r="I8108">
        <v>7295.1</v>
      </c>
      <c r="J8108">
        <v>7417.21</v>
      </c>
      <c r="K8108" t="s">
        <v>17</v>
      </c>
      <c r="L8108" t="b">
        <v>0</v>
      </c>
      <c r="N8108" s="2" t="str">
        <f t="shared" si="725"/>
        <v/>
      </c>
      <c r="Q8108" t="str">
        <f t="shared" si="724"/>
        <v/>
      </c>
    </row>
    <row r="8109" spans="1:17" hidden="1">
      <c r="A8109" t="s">
        <v>8214</v>
      </c>
      <c r="B8109" s="1">
        <v>45999</v>
      </c>
      <c r="C8109">
        <v>2025</v>
      </c>
      <c r="D8109">
        <v>12</v>
      </c>
      <c r="E8109" t="s">
        <v>13</v>
      </c>
      <c r="F8109" t="s">
        <v>14</v>
      </c>
      <c r="G8109" t="s">
        <v>102</v>
      </c>
      <c r="H8109" t="s">
        <v>145</v>
      </c>
      <c r="I8109">
        <v>4340.99</v>
      </c>
      <c r="J8109">
        <v>4614.13</v>
      </c>
      <c r="K8109" t="s">
        <v>17</v>
      </c>
      <c r="L8109" t="b">
        <v>0</v>
      </c>
      <c r="N8109" s="2" t="str">
        <f t="shared" si="725"/>
        <v/>
      </c>
      <c r="Q8109" t="str">
        <f t="shared" si="724"/>
        <v/>
      </c>
    </row>
    <row r="8110" spans="1:17" hidden="1">
      <c r="A8110" t="s">
        <v>8215</v>
      </c>
      <c r="B8110" s="1">
        <v>45999</v>
      </c>
      <c r="C8110">
        <v>2025</v>
      </c>
      <c r="D8110">
        <v>12</v>
      </c>
      <c r="E8110" t="s">
        <v>47</v>
      </c>
      <c r="F8110" t="s">
        <v>14</v>
      </c>
      <c r="G8110" t="s">
        <v>51</v>
      </c>
      <c r="H8110" t="s">
        <v>72</v>
      </c>
      <c r="I8110">
        <v>32237.17</v>
      </c>
      <c r="J8110">
        <v>26962.38</v>
      </c>
      <c r="K8110" t="s">
        <v>17</v>
      </c>
      <c r="L8110" t="b">
        <v>0</v>
      </c>
      <c r="N8110" s="2" t="b">
        <f t="shared" si="725"/>
        <v>1</v>
      </c>
      <c r="O8110" t="str">
        <f t="shared" ref="O8110:O8112" si="727">IF(AND(E8099="HR",K8099="EXPENSE"),I8099&lt;J8099,"")</f>
        <v/>
      </c>
      <c r="Q8110" t="str">
        <f t="shared" si="724"/>
        <v/>
      </c>
    </row>
    <row r="8111" spans="1:17" hidden="1">
      <c r="A8111" t="s">
        <v>8216</v>
      </c>
      <c r="B8111" s="1">
        <v>45999</v>
      </c>
      <c r="C8111">
        <v>2025</v>
      </c>
      <c r="D8111">
        <v>12</v>
      </c>
      <c r="E8111" t="s">
        <v>47</v>
      </c>
      <c r="F8111" t="s">
        <v>28</v>
      </c>
      <c r="G8111" t="s">
        <v>48</v>
      </c>
      <c r="H8111" t="s">
        <v>75</v>
      </c>
      <c r="I8111">
        <v>10847.33</v>
      </c>
      <c r="J8111">
        <v>9189.84</v>
      </c>
      <c r="K8111" t="s">
        <v>17</v>
      </c>
      <c r="L8111" t="b">
        <v>0</v>
      </c>
      <c r="N8111" s="2" t="b">
        <f t="shared" si="725"/>
        <v>1</v>
      </c>
      <c r="O8111" t="str">
        <f t="shared" si="727"/>
        <v/>
      </c>
      <c r="Q8111" t="str">
        <f t="shared" si="724"/>
        <v/>
      </c>
    </row>
    <row r="8112" spans="1:17" hidden="1">
      <c r="A8112" t="s">
        <v>8217</v>
      </c>
      <c r="B8112" s="1">
        <v>45999</v>
      </c>
      <c r="C8112">
        <v>2025</v>
      </c>
      <c r="D8112">
        <v>12</v>
      </c>
      <c r="E8112" t="s">
        <v>47</v>
      </c>
      <c r="F8112" t="s">
        <v>24</v>
      </c>
      <c r="G8112" t="s">
        <v>48</v>
      </c>
      <c r="H8112" t="s">
        <v>189</v>
      </c>
      <c r="I8112">
        <v>12393.55</v>
      </c>
      <c r="J8112">
        <v>10257.790000000001</v>
      </c>
      <c r="K8112" t="s">
        <v>17</v>
      </c>
      <c r="L8112" t="b">
        <v>0</v>
      </c>
      <c r="N8112" s="2" t="b">
        <f t="shared" si="725"/>
        <v>1</v>
      </c>
      <c r="O8112" t="str">
        <f t="shared" si="727"/>
        <v/>
      </c>
      <c r="Q8112" t="str">
        <f t="shared" ref="Q8112:Q8175" si="728">IF(L8112=TRUE,OR(H8112="Apex Solutions Inc",H8112="Global Trade Partners",H8112="NovaTech Services"),"")</f>
        <v/>
      </c>
    </row>
    <row r="8113" spans="1:17" hidden="1">
      <c r="A8113" t="s">
        <v>8218</v>
      </c>
      <c r="B8113" s="1">
        <v>45999</v>
      </c>
      <c r="C8113">
        <v>2025</v>
      </c>
      <c r="D8113">
        <v>12</v>
      </c>
      <c r="E8113" t="s">
        <v>19</v>
      </c>
      <c r="F8113" t="s">
        <v>28</v>
      </c>
      <c r="G8113" t="s">
        <v>132</v>
      </c>
      <c r="H8113" t="s">
        <v>133</v>
      </c>
      <c r="I8113">
        <v>4554.08</v>
      </c>
      <c r="J8113">
        <v>4778.7299999999996</v>
      </c>
      <c r="K8113" t="s">
        <v>17</v>
      </c>
      <c r="L8113" t="b">
        <v>0</v>
      </c>
      <c r="N8113" s="2" t="str">
        <f t="shared" si="725"/>
        <v/>
      </c>
      <c r="Q8113" t="str">
        <f t="shared" si="728"/>
        <v/>
      </c>
    </row>
    <row r="8114" spans="1:17" hidden="1">
      <c r="A8114" t="s">
        <v>8219</v>
      </c>
      <c r="B8114" s="1">
        <v>45999</v>
      </c>
      <c r="C8114">
        <v>2025</v>
      </c>
      <c r="D8114">
        <v>12</v>
      </c>
      <c r="E8114" t="s">
        <v>37</v>
      </c>
      <c r="F8114" t="s">
        <v>28</v>
      </c>
      <c r="G8114" t="s">
        <v>41</v>
      </c>
      <c r="H8114" t="s">
        <v>42</v>
      </c>
      <c r="I8114">
        <v>3592.16</v>
      </c>
      <c r="J8114">
        <v>3566.64</v>
      </c>
      <c r="K8114" t="s">
        <v>17</v>
      </c>
      <c r="L8114" t="b">
        <v>0</v>
      </c>
      <c r="N8114" s="2" t="str">
        <f t="shared" si="725"/>
        <v/>
      </c>
      <c r="Q8114" t="str">
        <f t="shared" si="728"/>
        <v/>
      </c>
    </row>
    <row r="8115" spans="1:17" hidden="1">
      <c r="A8115" t="s">
        <v>8220</v>
      </c>
      <c r="B8115" s="1">
        <v>46000</v>
      </c>
      <c r="C8115">
        <v>2025</v>
      </c>
      <c r="D8115">
        <v>12</v>
      </c>
      <c r="E8115" t="s">
        <v>13</v>
      </c>
      <c r="F8115" t="s">
        <v>28</v>
      </c>
      <c r="G8115" t="s">
        <v>15</v>
      </c>
      <c r="H8115" t="s">
        <v>89</v>
      </c>
      <c r="I8115">
        <v>4918.1899999999996</v>
      </c>
      <c r="J8115">
        <v>4884.99</v>
      </c>
      <c r="K8115" t="s">
        <v>17</v>
      </c>
      <c r="L8115" t="b">
        <v>0</v>
      </c>
      <c r="N8115" s="2" t="str">
        <f t="shared" si="725"/>
        <v/>
      </c>
      <c r="Q8115" t="str">
        <f t="shared" si="728"/>
        <v/>
      </c>
    </row>
    <row r="8116" spans="1:17" hidden="1">
      <c r="A8116" t="s">
        <v>8221</v>
      </c>
      <c r="B8116" s="1">
        <v>46000</v>
      </c>
      <c r="C8116">
        <v>2025</v>
      </c>
      <c r="D8116">
        <v>12</v>
      </c>
      <c r="E8116" t="s">
        <v>13</v>
      </c>
      <c r="F8116" t="s">
        <v>28</v>
      </c>
      <c r="G8116" t="s">
        <v>68</v>
      </c>
      <c r="H8116" t="s">
        <v>87</v>
      </c>
      <c r="I8116">
        <v>4167.09</v>
      </c>
      <c r="J8116">
        <v>4066.15</v>
      </c>
      <c r="K8116" t="s">
        <v>17</v>
      </c>
      <c r="L8116" t="b">
        <v>0</v>
      </c>
      <c r="N8116" s="2" t="str">
        <f t="shared" si="725"/>
        <v/>
      </c>
      <c r="Q8116" t="str">
        <f t="shared" si="728"/>
        <v/>
      </c>
    </row>
    <row r="8117" spans="1:17" hidden="1">
      <c r="A8117" t="s">
        <v>8222</v>
      </c>
      <c r="B8117" s="1">
        <v>46000</v>
      </c>
      <c r="C8117">
        <v>2025</v>
      </c>
      <c r="D8117">
        <v>12</v>
      </c>
      <c r="E8117" t="s">
        <v>47</v>
      </c>
      <c r="F8117" t="s">
        <v>24</v>
      </c>
      <c r="G8117" t="s">
        <v>77</v>
      </c>
      <c r="H8117" t="s">
        <v>130</v>
      </c>
      <c r="I8117">
        <v>14509.2</v>
      </c>
      <c r="J8117">
        <v>12423.12</v>
      </c>
      <c r="K8117" t="s">
        <v>17</v>
      </c>
      <c r="L8117" t="b">
        <v>0</v>
      </c>
      <c r="N8117" s="2" t="b">
        <f t="shared" si="725"/>
        <v>1</v>
      </c>
      <c r="O8117" t="str">
        <f>IF(AND(E8106="HR",K8106="EXPENSE"),I8106&lt;J8106,"")</f>
        <v/>
      </c>
      <c r="Q8117" t="str">
        <f t="shared" si="728"/>
        <v/>
      </c>
    </row>
    <row r="8118" spans="1:17" hidden="1">
      <c r="A8118" t="s">
        <v>8223</v>
      </c>
      <c r="B8118" s="1">
        <v>46000</v>
      </c>
      <c r="C8118">
        <v>2025</v>
      </c>
      <c r="D8118">
        <v>12</v>
      </c>
      <c r="E8118" t="s">
        <v>19</v>
      </c>
      <c r="F8118" t="s">
        <v>24</v>
      </c>
      <c r="G8118" t="s">
        <v>132</v>
      </c>
      <c r="H8118" t="s">
        <v>133</v>
      </c>
      <c r="I8118">
        <v>10289.030000000001</v>
      </c>
      <c r="J8118">
        <v>9395.9</v>
      </c>
      <c r="K8118" t="s">
        <v>17</v>
      </c>
      <c r="L8118" t="b">
        <v>0</v>
      </c>
      <c r="N8118" s="2" t="str">
        <f t="shared" si="725"/>
        <v/>
      </c>
      <c r="Q8118" t="str">
        <f t="shared" si="728"/>
        <v/>
      </c>
    </row>
    <row r="8119" spans="1:17" hidden="1">
      <c r="A8119" t="s">
        <v>8224</v>
      </c>
      <c r="B8119" s="1">
        <v>46000</v>
      </c>
      <c r="C8119">
        <v>2025</v>
      </c>
      <c r="D8119">
        <v>12</v>
      </c>
      <c r="E8119" t="s">
        <v>23</v>
      </c>
      <c r="F8119" t="s">
        <v>28</v>
      </c>
      <c r="G8119" t="s">
        <v>141</v>
      </c>
      <c r="H8119" t="s">
        <v>209</v>
      </c>
      <c r="I8119">
        <v>9390.2999999999993</v>
      </c>
      <c r="J8119">
        <v>9258.41</v>
      </c>
      <c r="K8119" t="s">
        <v>17</v>
      </c>
      <c r="L8119" t="b">
        <v>0</v>
      </c>
      <c r="N8119" s="2" t="str">
        <f t="shared" si="725"/>
        <v/>
      </c>
      <c r="Q8119" t="str">
        <f t="shared" si="728"/>
        <v/>
      </c>
    </row>
    <row r="8120" spans="1:17" hidden="1">
      <c r="A8120" t="s">
        <v>8225</v>
      </c>
      <c r="B8120" s="1">
        <v>46000</v>
      </c>
      <c r="C8120">
        <v>2025</v>
      </c>
      <c r="D8120">
        <v>12</v>
      </c>
      <c r="E8120" t="s">
        <v>23</v>
      </c>
      <c r="F8120" t="s">
        <v>28</v>
      </c>
      <c r="G8120" t="s">
        <v>141</v>
      </c>
      <c r="H8120" t="s">
        <v>209</v>
      </c>
      <c r="I8120">
        <v>4676.72</v>
      </c>
      <c r="J8120">
        <v>4777.6499999999996</v>
      </c>
      <c r="K8120" t="s">
        <v>17</v>
      </c>
      <c r="L8120" t="b">
        <v>0</v>
      </c>
      <c r="N8120" s="2" t="str">
        <f t="shared" si="725"/>
        <v/>
      </c>
      <c r="Q8120" t="str">
        <f t="shared" si="728"/>
        <v/>
      </c>
    </row>
    <row r="8121" spans="1:17" hidden="1">
      <c r="A8121" t="s">
        <v>8226</v>
      </c>
      <c r="B8121" s="1">
        <v>46001</v>
      </c>
      <c r="C8121">
        <v>2025</v>
      </c>
      <c r="D8121">
        <v>12</v>
      </c>
      <c r="E8121" t="s">
        <v>13</v>
      </c>
      <c r="F8121" t="s">
        <v>24</v>
      </c>
      <c r="G8121" t="s">
        <v>108</v>
      </c>
      <c r="H8121" t="s">
        <v>126</v>
      </c>
      <c r="I8121">
        <v>2422.4299999999998</v>
      </c>
      <c r="J8121">
        <v>2188.23</v>
      </c>
      <c r="K8121" t="s">
        <v>17</v>
      </c>
      <c r="L8121" t="b">
        <v>0</v>
      </c>
      <c r="N8121" s="2" t="str">
        <f t="shared" si="725"/>
        <v/>
      </c>
      <c r="Q8121" t="str">
        <f t="shared" si="728"/>
        <v/>
      </c>
    </row>
    <row r="8122" spans="1:17" hidden="1">
      <c r="A8122" t="s">
        <v>8227</v>
      </c>
      <c r="B8122" s="1">
        <v>46001</v>
      </c>
      <c r="C8122">
        <v>2025</v>
      </c>
      <c r="D8122">
        <v>12</v>
      </c>
      <c r="E8122" t="s">
        <v>47</v>
      </c>
      <c r="F8122" t="s">
        <v>14</v>
      </c>
      <c r="G8122" t="s">
        <v>91</v>
      </c>
      <c r="H8122" t="s">
        <v>254</v>
      </c>
      <c r="I8122">
        <v>10314.5</v>
      </c>
      <c r="J8122">
        <v>8776.8700000000008</v>
      </c>
      <c r="K8122" t="s">
        <v>17</v>
      </c>
      <c r="L8122" t="b">
        <v>0</v>
      </c>
      <c r="N8122" s="2" t="b">
        <f t="shared" si="725"/>
        <v>1</v>
      </c>
      <c r="O8122" t="str">
        <f t="shared" ref="O8122:O8125" si="729">IF(AND(E8111="HR",K8111="EXPENSE"),I8111&lt;J8111,"")</f>
        <v/>
      </c>
      <c r="Q8122" t="str">
        <f t="shared" si="728"/>
        <v/>
      </c>
    </row>
    <row r="8123" spans="1:17" hidden="1">
      <c r="A8123" t="s">
        <v>8228</v>
      </c>
      <c r="B8123" s="1">
        <v>46001</v>
      </c>
      <c r="C8123">
        <v>2025</v>
      </c>
      <c r="D8123">
        <v>12</v>
      </c>
      <c r="E8123" t="s">
        <v>47</v>
      </c>
      <c r="F8123" t="s">
        <v>14</v>
      </c>
      <c r="G8123" t="s">
        <v>77</v>
      </c>
      <c r="H8123" t="s">
        <v>130</v>
      </c>
      <c r="I8123">
        <v>18607.05</v>
      </c>
      <c r="J8123">
        <v>15691.86</v>
      </c>
      <c r="K8123" t="s">
        <v>17</v>
      </c>
      <c r="L8123" t="b">
        <v>0</v>
      </c>
      <c r="N8123" s="2" t="b">
        <f t="shared" si="725"/>
        <v>1</v>
      </c>
      <c r="O8123" t="str">
        <f t="shared" si="729"/>
        <v/>
      </c>
      <c r="Q8123" t="str">
        <f t="shared" si="728"/>
        <v/>
      </c>
    </row>
    <row r="8124" spans="1:17" hidden="1">
      <c r="A8124" t="s">
        <v>8229</v>
      </c>
      <c r="B8124" s="1">
        <v>46001</v>
      </c>
      <c r="C8124">
        <v>2025</v>
      </c>
      <c r="D8124">
        <v>12</v>
      </c>
      <c r="E8124" t="s">
        <v>47</v>
      </c>
      <c r="F8124" t="s">
        <v>14</v>
      </c>
      <c r="G8124" t="s">
        <v>48</v>
      </c>
      <c r="H8124" t="s">
        <v>189</v>
      </c>
      <c r="I8124">
        <v>15558.86</v>
      </c>
      <c r="J8124">
        <v>13305.73</v>
      </c>
      <c r="K8124" t="s">
        <v>17</v>
      </c>
      <c r="L8124" t="b">
        <v>0</v>
      </c>
      <c r="N8124" s="2" t="b">
        <f t="shared" si="725"/>
        <v>1</v>
      </c>
      <c r="O8124" t="str">
        <f t="shared" si="729"/>
        <v/>
      </c>
      <c r="Q8124" t="str">
        <f t="shared" si="728"/>
        <v/>
      </c>
    </row>
    <row r="8125" spans="1:17" hidden="1">
      <c r="A8125" t="s">
        <v>8230</v>
      </c>
      <c r="B8125" s="1">
        <v>46001</v>
      </c>
      <c r="C8125">
        <v>2025</v>
      </c>
      <c r="D8125">
        <v>12</v>
      </c>
      <c r="E8125" t="s">
        <v>47</v>
      </c>
      <c r="F8125" t="s">
        <v>28</v>
      </c>
      <c r="G8125" t="s">
        <v>48</v>
      </c>
      <c r="H8125" t="s">
        <v>191</v>
      </c>
      <c r="I8125">
        <v>16353.14</v>
      </c>
      <c r="J8125">
        <v>13529.63</v>
      </c>
      <c r="K8125" t="s">
        <v>17</v>
      </c>
      <c r="L8125" t="b">
        <v>0</v>
      </c>
      <c r="N8125" s="2" t="b">
        <f t="shared" si="725"/>
        <v>1</v>
      </c>
      <c r="O8125" t="str">
        <f t="shared" si="729"/>
        <v/>
      </c>
      <c r="Q8125" t="str">
        <f t="shared" si="728"/>
        <v/>
      </c>
    </row>
    <row r="8126" spans="1:17" hidden="1">
      <c r="A8126" t="s">
        <v>8231</v>
      </c>
      <c r="B8126" s="1">
        <v>46001</v>
      </c>
      <c r="C8126">
        <v>2025</v>
      </c>
      <c r="D8126">
        <v>12</v>
      </c>
      <c r="E8126" t="s">
        <v>19</v>
      </c>
      <c r="F8126" t="s">
        <v>28</v>
      </c>
      <c r="G8126" t="s">
        <v>80</v>
      </c>
      <c r="H8126" t="s">
        <v>150</v>
      </c>
      <c r="I8126">
        <v>4491.7700000000004</v>
      </c>
      <c r="J8126">
        <v>4544.13</v>
      </c>
      <c r="K8126" t="s">
        <v>17</v>
      </c>
      <c r="L8126" t="b">
        <v>0</v>
      </c>
      <c r="N8126" s="2" t="str">
        <f t="shared" si="725"/>
        <v/>
      </c>
      <c r="Q8126" t="str">
        <f t="shared" si="728"/>
        <v/>
      </c>
    </row>
    <row r="8127" spans="1:17" hidden="1">
      <c r="A8127" t="s">
        <v>8232</v>
      </c>
      <c r="B8127" s="1">
        <v>46001</v>
      </c>
      <c r="C8127">
        <v>2025</v>
      </c>
      <c r="D8127">
        <v>12</v>
      </c>
      <c r="E8127" t="s">
        <v>19</v>
      </c>
      <c r="F8127" t="s">
        <v>28</v>
      </c>
      <c r="G8127" t="s">
        <v>80</v>
      </c>
      <c r="H8127" t="s">
        <v>81</v>
      </c>
      <c r="I8127">
        <v>6235.96</v>
      </c>
      <c r="J8127">
        <v>5849.45</v>
      </c>
      <c r="K8127" t="s">
        <v>17</v>
      </c>
      <c r="L8127" t="b">
        <v>0</v>
      </c>
      <c r="N8127" s="2" t="str">
        <f t="shared" si="725"/>
        <v/>
      </c>
      <c r="Q8127" t="str">
        <f t="shared" si="728"/>
        <v/>
      </c>
    </row>
    <row r="8128" spans="1:17" hidden="1">
      <c r="A8128" t="s">
        <v>8233</v>
      </c>
      <c r="B8128" s="1">
        <v>46001</v>
      </c>
      <c r="C8128">
        <v>2025</v>
      </c>
      <c r="D8128">
        <v>12</v>
      </c>
      <c r="E8128" t="s">
        <v>23</v>
      </c>
      <c r="F8128" t="s">
        <v>24</v>
      </c>
      <c r="G8128" t="s">
        <v>141</v>
      </c>
      <c r="H8128" t="s">
        <v>209</v>
      </c>
      <c r="I8128">
        <v>8015.92</v>
      </c>
      <c r="J8128">
        <v>8456.57</v>
      </c>
      <c r="K8128" t="s">
        <v>17</v>
      </c>
      <c r="L8128" t="b">
        <v>0</v>
      </c>
      <c r="N8128" s="2" t="str">
        <f t="shared" si="725"/>
        <v/>
      </c>
      <c r="Q8128" t="str">
        <f t="shared" si="728"/>
        <v/>
      </c>
    </row>
    <row r="8129" spans="1:17" hidden="1">
      <c r="A8129" t="s">
        <v>8234</v>
      </c>
      <c r="B8129" s="1">
        <v>46001</v>
      </c>
      <c r="C8129">
        <v>2025</v>
      </c>
      <c r="D8129">
        <v>12</v>
      </c>
      <c r="E8129" t="s">
        <v>37</v>
      </c>
      <c r="F8129" t="s">
        <v>14</v>
      </c>
      <c r="G8129" t="s">
        <v>62</v>
      </c>
      <c r="H8129" t="s">
        <v>63</v>
      </c>
      <c r="I8129">
        <v>5993.24</v>
      </c>
      <c r="J8129">
        <v>6263.98</v>
      </c>
      <c r="K8129" t="s">
        <v>17</v>
      </c>
      <c r="L8129" t="b">
        <v>0</v>
      </c>
      <c r="N8129" s="2" t="str">
        <f t="shared" si="725"/>
        <v/>
      </c>
      <c r="Q8129" t="str">
        <f t="shared" si="728"/>
        <v/>
      </c>
    </row>
    <row r="8130" spans="1:17" hidden="1">
      <c r="A8130" t="s">
        <v>8235</v>
      </c>
      <c r="B8130" s="1">
        <v>46002</v>
      </c>
      <c r="C8130">
        <v>2025</v>
      </c>
      <c r="D8130">
        <v>12</v>
      </c>
      <c r="E8130" t="s">
        <v>13</v>
      </c>
      <c r="F8130" t="s">
        <v>14</v>
      </c>
      <c r="G8130" t="s">
        <v>108</v>
      </c>
      <c r="H8130" t="s">
        <v>109</v>
      </c>
      <c r="I8130">
        <v>3724.78</v>
      </c>
      <c r="J8130">
        <v>3976.27</v>
      </c>
      <c r="K8130" t="s">
        <v>17</v>
      </c>
      <c r="L8130" t="b">
        <v>0</v>
      </c>
      <c r="N8130" s="2" t="str">
        <f t="shared" si="725"/>
        <v/>
      </c>
      <c r="Q8130" t="str">
        <f t="shared" si="728"/>
        <v/>
      </c>
    </row>
    <row r="8131" spans="1:17" hidden="1">
      <c r="A8131" t="s">
        <v>8236</v>
      </c>
      <c r="B8131" s="1">
        <v>46002</v>
      </c>
      <c r="C8131">
        <v>2025</v>
      </c>
      <c r="D8131">
        <v>12</v>
      </c>
      <c r="E8131" t="s">
        <v>13</v>
      </c>
      <c r="F8131" t="s">
        <v>14</v>
      </c>
      <c r="G8131" t="s">
        <v>102</v>
      </c>
      <c r="H8131" t="s">
        <v>103</v>
      </c>
      <c r="I8131">
        <v>4083.97</v>
      </c>
      <c r="J8131">
        <v>3871.51</v>
      </c>
      <c r="K8131" t="s">
        <v>17</v>
      </c>
      <c r="L8131" t="b">
        <v>0</v>
      </c>
      <c r="N8131" s="2" t="str">
        <f t="shared" ref="N8131:N8194" si="730">IF(AND(E8131="IT",K8131="EXPENSE"),I8131&gt;J8131,"")</f>
        <v/>
      </c>
      <c r="Q8131" t="str">
        <f t="shared" si="728"/>
        <v/>
      </c>
    </row>
    <row r="8132" spans="1:17" hidden="1">
      <c r="A8132" t="s">
        <v>8237</v>
      </c>
      <c r="B8132" s="1">
        <v>46002</v>
      </c>
      <c r="C8132">
        <v>2025</v>
      </c>
      <c r="D8132">
        <v>12</v>
      </c>
      <c r="E8132" t="s">
        <v>13</v>
      </c>
      <c r="F8132" t="s">
        <v>24</v>
      </c>
      <c r="G8132" t="s">
        <v>15</v>
      </c>
      <c r="H8132" t="s">
        <v>45</v>
      </c>
      <c r="I8132">
        <v>2971.42</v>
      </c>
      <c r="J8132">
        <v>3257.92</v>
      </c>
      <c r="K8132" t="s">
        <v>17</v>
      </c>
      <c r="L8132" t="b">
        <v>0</v>
      </c>
      <c r="N8132" s="2" t="str">
        <f t="shared" si="730"/>
        <v/>
      </c>
      <c r="Q8132" t="str">
        <f t="shared" si="728"/>
        <v/>
      </c>
    </row>
    <row r="8133" spans="1:17" hidden="1">
      <c r="A8133" t="s">
        <v>8238</v>
      </c>
      <c r="B8133" s="1">
        <v>46002</v>
      </c>
      <c r="C8133">
        <v>2025</v>
      </c>
      <c r="D8133">
        <v>12</v>
      </c>
      <c r="E8133" t="s">
        <v>47</v>
      </c>
      <c r="F8133" t="s">
        <v>28</v>
      </c>
      <c r="G8133" t="s">
        <v>48</v>
      </c>
      <c r="H8133" t="s">
        <v>111</v>
      </c>
      <c r="I8133">
        <v>12952.87</v>
      </c>
      <c r="J8133">
        <v>10992.84</v>
      </c>
      <c r="K8133" t="s">
        <v>17</v>
      </c>
      <c r="L8133" t="b">
        <v>0</v>
      </c>
      <c r="N8133" s="2" t="b">
        <f t="shared" si="730"/>
        <v>1</v>
      </c>
      <c r="O8133" t="str">
        <f t="shared" ref="O8133:O8134" si="731">IF(AND(E8122="HR",K8122="EXPENSE"),I8122&lt;J8122,"")</f>
        <v/>
      </c>
      <c r="Q8133" t="str">
        <f t="shared" si="728"/>
        <v/>
      </c>
    </row>
    <row r="8134" spans="1:17" hidden="1">
      <c r="A8134" t="s">
        <v>8239</v>
      </c>
      <c r="B8134" s="1">
        <v>46002</v>
      </c>
      <c r="C8134">
        <v>2025</v>
      </c>
      <c r="D8134">
        <v>12</v>
      </c>
      <c r="E8134" t="s">
        <v>47</v>
      </c>
      <c r="F8134" t="s">
        <v>24</v>
      </c>
      <c r="G8134" t="s">
        <v>51</v>
      </c>
      <c r="H8134" t="s">
        <v>189</v>
      </c>
      <c r="I8134">
        <v>9460.2800000000007</v>
      </c>
      <c r="J8134">
        <v>7914.97</v>
      </c>
      <c r="K8134" t="s">
        <v>17</v>
      </c>
      <c r="L8134" t="b">
        <v>0</v>
      </c>
      <c r="N8134" s="2" t="b">
        <f t="shared" si="730"/>
        <v>1</v>
      </c>
      <c r="O8134" t="str">
        <f t="shared" si="731"/>
        <v/>
      </c>
      <c r="Q8134" t="str">
        <f t="shared" si="728"/>
        <v/>
      </c>
    </row>
    <row r="8135" spans="1:17" hidden="1">
      <c r="A8135" t="s">
        <v>8240</v>
      </c>
      <c r="B8135" s="1">
        <v>46002</v>
      </c>
      <c r="C8135">
        <v>2025</v>
      </c>
      <c r="D8135">
        <v>12</v>
      </c>
      <c r="E8135" t="s">
        <v>19</v>
      </c>
      <c r="F8135" t="s">
        <v>14</v>
      </c>
      <c r="G8135" t="s">
        <v>132</v>
      </c>
      <c r="H8135" t="s">
        <v>133</v>
      </c>
      <c r="I8135">
        <v>9244.67</v>
      </c>
      <c r="J8135">
        <v>9681.7900000000009</v>
      </c>
      <c r="K8135" t="s">
        <v>17</v>
      </c>
      <c r="L8135" t="b">
        <v>0</v>
      </c>
      <c r="N8135" s="2" t="str">
        <f t="shared" si="730"/>
        <v/>
      </c>
      <c r="Q8135" t="str">
        <f t="shared" si="728"/>
        <v/>
      </c>
    </row>
    <row r="8136" spans="1:17" hidden="1">
      <c r="A8136" t="s">
        <v>8241</v>
      </c>
      <c r="B8136" s="1">
        <v>46002</v>
      </c>
      <c r="C8136">
        <v>2025</v>
      </c>
      <c r="D8136">
        <v>12</v>
      </c>
      <c r="E8136" t="s">
        <v>19</v>
      </c>
      <c r="F8136" t="s">
        <v>24</v>
      </c>
      <c r="G8136" t="s">
        <v>132</v>
      </c>
      <c r="H8136" t="s">
        <v>133</v>
      </c>
      <c r="I8136">
        <v>5763.87</v>
      </c>
      <c r="J8136">
        <v>5502.14</v>
      </c>
      <c r="K8136" t="s">
        <v>17</v>
      </c>
      <c r="L8136" t="b">
        <v>0</v>
      </c>
      <c r="N8136" s="2" t="str">
        <f t="shared" si="730"/>
        <v/>
      </c>
      <c r="Q8136" t="str">
        <f t="shared" si="728"/>
        <v/>
      </c>
    </row>
    <row r="8137" spans="1:17" hidden="1">
      <c r="A8137" t="s">
        <v>8242</v>
      </c>
      <c r="B8137" s="1">
        <v>46002</v>
      </c>
      <c r="C8137">
        <v>2025</v>
      </c>
      <c r="D8137">
        <v>12</v>
      </c>
      <c r="E8137" t="s">
        <v>37</v>
      </c>
      <c r="F8137" t="s">
        <v>28</v>
      </c>
      <c r="G8137" t="s">
        <v>62</v>
      </c>
      <c r="H8137" t="s">
        <v>121</v>
      </c>
      <c r="I8137">
        <v>3009.2</v>
      </c>
      <c r="J8137">
        <v>2814.26</v>
      </c>
      <c r="K8137" t="s">
        <v>17</v>
      </c>
      <c r="L8137" t="b">
        <v>0</v>
      </c>
      <c r="N8137" s="2" t="str">
        <f t="shared" si="730"/>
        <v/>
      </c>
      <c r="Q8137" t="str">
        <f t="shared" si="728"/>
        <v/>
      </c>
    </row>
    <row r="8138" spans="1:17" hidden="1">
      <c r="A8138" t="s">
        <v>8243</v>
      </c>
      <c r="B8138" s="1">
        <v>46002</v>
      </c>
      <c r="C8138">
        <v>2025</v>
      </c>
      <c r="D8138">
        <v>12</v>
      </c>
      <c r="E8138" t="s">
        <v>37</v>
      </c>
      <c r="F8138" t="s">
        <v>24</v>
      </c>
      <c r="G8138" t="s">
        <v>38</v>
      </c>
      <c r="H8138" t="s">
        <v>227</v>
      </c>
      <c r="I8138">
        <v>5543.12</v>
      </c>
      <c r="J8138">
        <v>5603.01</v>
      </c>
      <c r="K8138" t="s">
        <v>17</v>
      </c>
      <c r="L8138" t="b">
        <v>0</v>
      </c>
      <c r="N8138" s="2" t="str">
        <f t="shared" si="730"/>
        <v/>
      </c>
      <c r="Q8138" t="str">
        <f t="shared" si="728"/>
        <v/>
      </c>
    </row>
    <row r="8139" spans="1:17" hidden="1">
      <c r="A8139" t="s">
        <v>8244</v>
      </c>
      <c r="B8139" s="1">
        <v>46003</v>
      </c>
      <c r="C8139">
        <v>2025</v>
      </c>
      <c r="D8139">
        <v>12</v>
      </c>
      <c r="E8139" t="s">
        <v>13</v>
      </c>
      <c r="F8139" t="s">
        <v>28</v>
      </c>
      <c r="G8139" t="s">
        <v>68</v>
      </c>
      <c r="H8139" t="s">
        <v>69</v>
      </c>
      <c r="I8139">
        <v>3468.51</v>
      </c>
      <c r="J8139">
        <v>3371.46</v>
      </c>
      <c r="K8139" t="s">
        <v>17</v>
      </c>
      <c r="L8139" t="b">
        <v>0</v>
      </c>
      <c r="N8139" s="2" t="str">
        <f t="shared" si="730"/>
        <v/>
      </c>
      <c r="Q8139" t="str">
        <f t="shared" si="728"/>
        <v/>
      </c>
    </row>
    <row r="8140" spans="1:17" hidden="1">
      <c r="A8140" t="s">
        <v>8245</v>
      </c>
      <c r="B8140" s="1">
        <v>46003</v>
      </c>
      <c r="C8140">
        <v>2025</v>
      </c>
      <c r="D8140">
        <v>12</v>
      </c>
      <c r="E8140" t="s">
        <v>47</v>
      </c>
      <c r="F8140" t="s">
        <v>14</v>
      </c>
      <c r="G8140" t="s">
        <v>91</v>
      </c>
      <c r="H8140" t="s">
        <v>92</v>
      </c>
      <c r="I8140">
        <v>20989.27</v>
      </c>
      <c r="J8140">
        <v>17823.78</v>
      </c>
      <c r="K8140" t="s">
        <v>17</v>
      </c>
      <c r="L8140" t="b">
        <v>0</v>
      </c>
      <c r="N8140" s="2" t="b">
        <f t="shared" si="730"/>
        <v>1</v>
      </c>
      <c r="O8140" t="str">
        <f t="shared" ref="O8140:O8142" si="732">IF(AND(E8129="HR",K8129="EXPENSE"),I8129&lt;J8129,"")</f>
        <v/>
      </c>
      <c r="Q8140" t="str">
        <f t="shared" si="728"/>
        <v/>
      </c>
    </row>
    <row r="8141" spans="1:17" hidden="1">
      <c r="A8141" t="s">
        <v>8246</v>
      </c>
      <c r="B8141" s="1">
        <v>46003</v>
      </c>
      <c r="C8141">
        <v>2025</v>
      </c>
      <c r="D8141">
        <v>12</v>
      </c>
      <c r="E8141" t="s">
        <v>47</v>
      </c>
      <c r="F8141" t="s">
        <v>24</v>
      </c>
      <c r="G8141" t="s">
        <v>91</v>
      </c>
      <c r="H8141" t="s">
        <v>128</v>
      </c>
      <c r="I8141">
        <v>11400.12</v>
      </c>
      <c r="J8141">
        <v>9587.69</v>
      </c>
      <c r="K8141" t="s">
        <v>17</v>
      </c>
      <c r="L8141" t="b">
        <v>0</v>
      </c>
      <c r="N8141" s="2" t="b">
        <f t="shared" si="730"/>
        <v>1</v>
      </c>
      <c r="O8141" t="b">
        <f t="shared" si="732"/>
        <v>1</v>
      </c>
      <c r="Q8141" t="str">
        <f t="shared" si="728"/>
        <v/>
      </c>
    </row>
    <row r="8142" spans="1:17" hidden="1">
      <c r="A8142" t="s">
        <v>8247</v>
      </c>
      <c r="B8142" s="1">
        <v>46003</v>
      </c>
      <c r="C8142">
        <v>2025</v>
      </c>
      <c r="D8142">
        <v>12</v>
      </c>
      <c r="E8142" t="s">
        <v>47</v>
      </c>
      <c r="F8142" t="s">
        <v>24</v>
      </c>
      <c r="G8142" t="s">
        <v>77</v>
      </c>
      <c r="H8142" t="s">
        <v>147</v>
      </c>
      <c r="I8142">
        <v>7450.03</v>
      </c>
      <c r="J8142">
        <v>6222.82</v>
      </c>
      <c r="K8142" t="s">
        <v>17</v>
      </c>
      <c r="L8142" t="b">
        <v>0</v>
      </c>
      <c r="N8142" s="2" t="b">
        <f t="shared" si="730"/>
        <v>1</v>
      </c>
      <c r="O8142" t="b">
        <f t="shared" si="732"/>
        <v>0</v>
      </c>
      <c r="Q8142" t="str">
        <f t="shared" si="728"/>
        <v/>
      </c>
    </row>
    <row r="8143" spans="1:17" hidden="1">
      <c r="A8143" t="s">
        <v>8248</v>
      </c>
      <c r="B8143" s="1">
        <v>46003</v>
      </c>
      <c r="C8143">
        <v>2025</v>
      </c>
      <c r="D8143">
        <v>12</v>
      </c>
      <c r="E8143" t="s">
        <v>37</v>
      </c>
      <c r="F8143" t="s">
        <v>24</v>
      </c>
      <c r="G8143" t="s">
        <v>41</v>
      </c>
      <c r="H8143" t="s">
        <v>42</v>
      </c>
      <c r="I8143">
        <v>6363.32</v>
      </c>
      <c r="J8143">
        <v>6809.21</v>
      </c>
      <c r="K8143" t="s">
        <v>17</v>
      </c>
      <c r="L8143" t="b">
        <v>0</v>
      </c>
      <c r="N8143" s="2" t="str">
        <f t="shared" si="730"/>
        <v/>
      </c>
      <c r="Q8143" t="str">
        <f t="shared" si="728"/>
        <v/>
      </c>
    </row>
    <row r="8144" spans="1:17" hidden="1">
      <c r="A8144" t="s">
        <v>8249</v>
      </c>
      <c r="B8144" s="1">
        <v>46004</v>
      </c>
      <c r="C8144">
        <v>2025</v>
      </c>
      <c r="D8144">
        <v>12</v>
      </c>
      <c r="E8144" t="s">
        <v>13</v>
      </c>
      <c r="F8144" t="s">
        <v>14</v>
      </c>
      <c r="G8144" t="s">
        <v>108</v>
      </c>
      <c r="H8144" t="s">
        <v>126</v>
      </c>
      <c r="I8144">
        <v>3460.68</v>
      </c>
      <c r="J8144">
        <v>3146.77</v>
      </c>
      <c r="K8144" t="s">
        <v>17</v>
      </c>
      <c r="L8144" t="b">
        <v>0</v>
      </c>
      <c r="N8144" s="2" t="str">
        <f t="shared" si="730"/>
        <v/>
      </c>
      <c r="Q8144" t="str">
        <f t="shared" si="728"/>
        <v/>
      </c>
    </row>
    <row r="8145" spans="1:17" hidden="1">
      <c r="A8145" t="s">
        <v>8250</v>
      </c>
      <c r="B8145" s="1">
        <v>46004</v>
      </c>
      <c r="C8145">
        <v>2025</v>
      </c>
      <c r="D8145">
        <v>12</v>
      </c>
      <c r="E8145" t="s">
        <v>13</v>
      </c>
      <c r="F8145" t="s">
        <v>14</v>
      </c>
      <c r="G8145" t="s">
        <v>68</v>
      </c>
      <c r="H8145" t="s">
        <v>69</v>
      </c>
      <c r="I8145">
        <v>5106.99</v>
      </c>
      <c r="J8145">
        <v>5083.5</v>
      </c>
      <c r="K8145" t="s">
        <v>17</v>
      </c>
      <c r="L8145" t="b">
        <v>0</v>
      </c>
      <c r="N8145" s="2" t="str">
        <f t="shared" si="730"/>
        <v/>
      </c>
      <c r="Q8145" t="str">
        <f t="shared" si="728"/>
        <v/>
      </c>
    </row>
    <row r="8146" spans="1:17" hidden="1">
      <c r="A8146" t="s">
        <v>8251</v>
      </c>
      <c r="B8146" s="1">
        <v>46004</v>
      </c>
      <c r="C8146">
        <v>2025</v>
      </c>
      <c r="D8146">
        <v>12</v>
      </c>
      <c r="E8146" t="s">
        <v>13</v>
      </c>
      <c r="F8146" t="s">
        <v>14</v>
      </c>
      <c r="G8146" t="s">
        <v>102</v>
      </c>
      <c r="H8146" t="s">
        <v>278</v>
      </c>
      <c r="I8146">
        <v>3808.39</v>
      </c>
      <c r="J8146">
        <v>3548.14</v>
      </c>
      <c r="K8146" t="s">
        <v>17</v>
      </c>
      <c r="L8146" t="b">
        <v>0</v>
      </c>
      <c r="N8146" s="2" t="str">
        <f t="shared" si="730"/>
        <v/>
      </c>
      <c r="Q8146" t="str">
        <f t="shared" si="728"/>
        <v/>
      </c>
    </row>
    <row r="8147" spans="1:17" hidden="1">
      <c r="A8147" t="s">
        <v>8252</v>
      </c>
      <c r="B8147" s="1">
        <v>46004</v>
      </c>
      <c r="C8147">
        <v>2025</v>
      </c>
      <c r="D8147">
        <v>12</v>
      </c>
      <c r="E8147" t="s">
        <v>47</v>
      </c>
      <c r="F8147" t="s">
        <v>28</v>
      </c>
      <c r="G8147" t="s">
        <v>91</v>
      </c>
      <c r="H8147" t="s">
        <v>249</v>
      </c>
      <c r="I8147">
        <v>14443.18</v>
      </c>
      <c r="J8147">
        <v>12179.7</v>
      </c>
      <c r="K8147" t="s">
        <v>17</v>
      </c>
      <c r="L8147" t="b">
        <v>0</v>
      </c>
      <c r="N8147" s="2" t="b">
        <f t="shared" si="730"/>
        <v>1</v>
      </c>
      <c r="O8147" t="str">
        <f>IF(AND(E8136="HR",K8136="EXPENSE"),I8136&lt;J8136,"")</f>
        <v/>
      </c>
      <c r="Q8147" t="str">
        <f t="shared" si="728"/>
        <v/>
      </c>
    </row>
    <row r="8148" spans="1:17" hidden="1">
      <c r="A8148" t="s">
        <v>8253</v>
      </c>
      <c r="B8148" s="1">
        <v>46004</v>
      </c>
      <c r="C8148">
        <v>2025</v>
      </c>
      <c r="D8148">
        <v>12</v>
      </c>
      <c r="E8148" t="s">
        <v>23</v>
      </c>
      <c r="F8148" t="s">
        <v>14</v>
      </c>
      <c r="G8148" t="s">
        <v>141</v>
      </c>
      <c r="H8148" t="s">
        <v>209</v>
      </c>
      <c r="I8148">
        <v>3738.68</v>
      </c>
      <c r="J8148">
        <v>4110.68</v>
      </c>
      <c r="K8148" t="s">
        <v>17</v>
      </c>
      <c r="L8148" t="b">
        <v>0</v>
      </c>
      <c r="N8148" s="2" t="str">
        <f t="shared" si="730"/>
        <v/>
      </c>
      <c r="Q8148" t="str">
        <f t="shared" si="728"/>
        <v/>
      </c>
    </row>
    <row r="8149" spans="1:17" hidden="1">
      <c r="A8149" t="s">
        <v>8254</v>
      </c>
      <c r="B8149" s="1">
        <v>46004</v>
      </c>
      <c r="C8149">
        <v>2025</v>
      </c>
      <c r="D8149">
        <v>12</v>
      </c>
      <c r="E8149" t="s">
        <v>37</v>
      </c>
      <c r="F8149" t="s">
        <v>24</v>
      </c>
      <c r="G8149" t="s">
        <v>41</v>
      </c>
      <c r="H8149" t="s">
        <v>42</v>
      </c>
      <c r="I8149">
        <v>4744.67</v>
      </c>
      <c r="J8149">
        <v>5200.1000000000004</v>
      </c>
      <c r="K8149" t="s">
        <v>17</v>
      </c>
      <c r="L8149" t="b">
        <v>0</v>
      </c>
      <c r="N8149" s="2" t="str">
        <f t="shared" si="730"/>
        <v/>
      </c>
      <c r="Q8149" t="str">
        <f t="shared" si="728"/>
        <v/>
      </c>
    </row>
    <row r="8150" spans="1:17" hidden="1">
      <c r="A8150" t="s">
        <v>8255</v>
      </c>
      <c r="B8150" s="1">
        <v>46004</v>
      </c>
      <c r="C8150">
        <v>2025</v>
      </c>
      <c r="D8150">
        <v>12</v>
      </c>
      <c r="E8150" t="s">
        <v>37</v>
      </c>
      <c r="F8150" t="s">
        <v>24</v>
      </c>
      <c r="G8150" t="s">
        <v>41</v>
      </c>
      <c r="H8150" t="s">
        <v>42</v>
      </c>
      <c r="I8150">
        <v>1971.1</v>
      </c>
      <c r="J8150">
        <v>1999.91</v>
      </c>
      <c r="K8150" t="s">
        <v>17</v>
      </c>
      <c r="L8150" t="b">
        <v>0</v>
      </c>
      <c r="N8150" s="2" t="str">
        <f t="shared" si="730"/>
        <v/>
      </c>
      <c r="Q8150" t="str">
        <f t="shared" si="728"/>
        <v/>
      </c>
    </row>
    <row r="8151" spans="1:17" hidden="1">
      <c r="A8151" t="s">
        <v>8256</v>
      </c>
      <c r="B8151" s="1">
        <v>46005</v>
      </c>
      <c r="C8151">
        <v>2025</v>
      </c>
      <c r="D8151">
        <v>12</v>
      </c>
      <c r="E8151" t="s">
        <v>13</v>
      </c>
      <c r="F8151" t="s">
        <v>28</v>
      </c>
      <c r="G8151" t="s">
        <v>15</v>
      </c>
      <c r="H8151" t="s">
        <v>16</v>
      </c>
      <c r="I8151">
        <v>4148.37</v>
      </c>
      <c r="J8151">
        <v>3744.27</v>
      </c>
      <c r="K8151" t="s">
        <v>17</v>
      </c>
      <c r="L8151" t="b">
        <v>0</v>
      </c>
      <c r="N8151" s="2" t="str">
        <f t="shared" si="730"/>
        <v/>
      </c>
      <c r="Q8151" t="str">
        <f t="shared" si="728"/>
        <v/>
      </c>
    </row>
    <row r="8152" spans="1:17" hidden="1">
      <c r="A8152" t="s">
        <v>8257</v>
      </c>
      <c r="B8152" s="1">
        <v>46005</v>
      </c>
      <c r="C8152">
        <v>2025</v>
      </c>
      <c r="D8152">
        <v>12</v>
      </c>
      <c r="E8152" t="s">
        <v>47</v>
      </c>
      <c r="F8152" t="s">
        <v>14</v>
      </c>
      <c r="G8152" t="s">
        <v>51</v>
      </c>
      <c r="H8152" t="s">
        <v>72</v>
      </c>
      <c r="I8152">
        <v>17162.03</v>
      </c>
      <c r="J8152">
        <v>14844.12</v>
      </c>
      <c r="K8152" t="s">
        <v>17</v>
      </c>
      <c r="L8152" t="b">
        <v>0</v>
      </c>
      <c r="N8152" s="2" t="b">
        <f t="shared" si="730"/>
        <v>1</v>
      </c>
      <c r="O8152" t="str">
        <f t="shared" ref="O8152:O8153" si="733">IF(AND(E8141="HR",K8141="EXPENSE"),I8141&lt;J8141,"")</f>
        <v/>
      </c>
      <c r="Q8152" t="str">
        <f t="shared" si="728"/>
        <v/>
      </c>
    </row>
    <row r="8153" spans="1:17" hidden="1">
      <c r="A8153" t="s">
        <v>8258</v>
      </c>
      <c r="B8153" s="1">
        <v>46005</v>
      </c>
      <c r="C8153">
        <v>2025</v>
      </c>
      <c r="D8153">
        <v>12</v>
      </c>
      <c r="E8153" t="s">
        <v>47</v>
      </c>
      <c r="F8153" t="s">
        <v>28</v>
      </c>
      <c r="G8153" t="s">
        <v>77</v>
      </c>
      <c r="H8153" t="s">
        <v>147</v>
      </c>
      <c r="I8153">
        <v>4381.32</v>
      </c>
      <c r="J8153">
        <v>3786.53</v>
      </c>
      <c r="K8153" t="s">
        <v>17</v>
      </c>
      <c r="L8153" t="b">
        <v>0</v>
      </c>
      <c r="N8153" s="2" t="b">
        <f t="shared" si="730"/>
        <v>1</v>
      </c>
      <c r="O8153" t="str">
        <f t="shared" si="733"/>
        <v/>
      </c>
      <c r="Q8153" t="str">
        <f t="shared" si="728"/>
        <v/>
      </c>
    </row>
    <row r="8154" spans="1:17" hidden="1">
      <c r="A8154" t="s">
        <v>8259</v>
      </c>
      <c r="B8154" s="1">
        <v>46005</v>
      </c>
      <c r="C8154">
        <v>2025</v>
      </c>
      <c r="D8154">
        <v>12</v>
      </c>
      <c r="E8154" t="s">
        <v>19</v>
      </c>
      <c r="F8154" t="s">
        <v>14</v>
      </c>
      <c r="G8154" t="s">
        <v>132</v>
      </c>
      <c r="H8154" t="s">
        <v>171</v>
      </c>
      <c r="I8154">
        <v>6122.1</v>
      </c>
      <c r="J8154">
        <v>6700.78</v>
      </c>
      <c r="K8154" t="s">
        <v>17</v>
      </c>
      <c r="L8154" t="b">
        <v>0</v>
      </c>
      <c r="N8154" s="2" t="str">
        <f t="shared" si="730"/>
        <v/>
      </c>
      <c r="Q8154" t="str">
        <f t="shared" si="728"/>
        <v/>
      </c>
    </row>
    <row r="8155" spans="1:17" hidden="1">
      <c r="A8155" t="s">
        <v>8260</v>
      </c>
      <c r="B8155" s="1">
        <v>46005</v>
      </c>
      <c r="C8155">
        <v>2025</v>
      </c>
      <c r="D8155">
        <v>12</v>
      </c>
      <c r="E8155" t="s">
        <v>19</v>
      </c>
      <c r="F8155" t="s">
        <v>28</v>
      </c>
      <c r="G8155" t="s">
        <v>54</v>
      </c>
      <c r="H8155" t="s">
        <v>57</v>
      </c>
      <c r="I8155">
        <v>5431.74</v>
      </c>
      <c r="J8155">
        <v>5734.35</v>
      </c>
      <c r="K8155" t="s">
        <v>17</v>
      </c>
      <c r="L8155" t="b">
        <v>0</v>
      </c>
      <c r="N8155" s="2" t="str">
        <f t="shared" si="730"/>
        <v/>
      </c>
      <c r="Q8155" t="str">
        <f t="shared" si="728"/>
        <v/>
      </c>
    </row>
    <row r="8156" spans="1:17" hidden="1">
      <c r="A8156" t="s">
        <v>8261</v>
      </c>
      <c r="B8156" s="1">
        <v>46005</v>
      </c>
      <c r="C8156">
        <v>2025</v>
      </c>
      <c r="D8156">
        <v>12</v>
      </c>
      <c r="E8156" t="s">
        <v>23</v>
      </c>
      <c r="F8156" t="s">
        <v>24</v>
      </c>
      <c r="G8156" t="s">
        <v>141</v>
      </c>
      <c r="H8156" t="s">
        <v>209</v>
      </c>
      <c r="I8156">
        <v>7745.76</v>
      </c>
      <c r="J8156">
        <v>7062.29</v>
      </c>
      <c r="K8156" t="s">
        <v>17</v>
      </c>
      <c r="L8156" t="b">
        <v>0</v>
      </c>
      <c r="N8156" s="2" t="str">
        <f t="shared" si="730"/>
        <v/>
      </c>
      <c r="Q8156" t="str">
        <f t="shared" si="728"/>
        <v/>
      </c>
    </row>
    <row r="8157" spans="1:17" hidden="1">
      <c r="A8157" t="s">
        <v>8262</v>
      </c>
      <c r="B8157" s="1">
        <v>46005</v>
      </c>
      <c r="C8157">
        <v>2025</v>
      </c>
      <c r="D8157">
        <v>12</v>
      </c>
      <c r="E8157" t="s">
        <v>37</v>
      </c>
      <c r="F8157" t="s">
        <v>14</v>
      </c>
      <c r="G8157" t="s">
        <v>38</v>
      </c>
      <c r="H8157" t="s">
        <v>39</v>
      </c>
      <c r="I8157">
        <v>4073.81</v>
      </c>
      <c r="J8157">
        <v>4387.26</v>
      </c>
      <c r="K8157" t="s">
        <v>17</v>
      </c>
      <c r="L8157" t="b">
        <v>0</v>
      </c>
      <c r="N8157" s="2" t="str">
        <f t="shared" si="730"/>
        <v/>
      </c>
      <c r="Q8157" t="str">
        <f t="shared" si="728"/>
        <v/>
      </c>
    </row>
    <row r="8158" spans="1:17" hidden="1">
      <c r="A8158" t="s">
        <v>8263</v>
      </c>
      <c r="B8158" s="1">
        <v>46005</v>
      </c>
      <c r="C8158">
        <v>2025</v>
      </c>
      <c r="D8158">
        <v>12</v>
      </c>
      <c r="E8158" t="s">
        <v>37</v>
      </c>
      <c r="F8158" t="s">
        <v>14</v>
      </c>
      <c r="G8158" t="s">
        <v>83</v>
      </c>
      <c r="H8158" t="s">
        <v>84</v>
      </c>
      <c r="I8158">
        <v>445952.46</v>
      </c>
      <c r="J8158">
        <v>423654.84</v>
      </c>
      <c r="K8158" t="s">
        <v>85</v>
      </c>
      <c r="L8158" t="b">
        <v>0</v>
      </c>
      <c r="N8158" s="2" t="str">
        <f t="shared" si="730"/>
        <v/>
      </c>
      <c r="Q8158" t="str">
        <f t="shared" si="728"/>
        <v/>
      </c>
    </row>
    <row r="8159" spans="1:17" hidden="1">
      <c r="A8159" t="s">
        <v>8264</v>
      </c>
      <c r="B8159" s="1">
        <v>46006</v>
      </c>
      <c r="C8159">
        <v>2025</v>
      </c>
      <c r="D8159">
        <v>12</v>
      </c>
      <c r="E8159" t="s">
        <v>13</v>
      </c>
      <c r="F8159" t="s">
        <v>24</v>
      </c>
      <c r="G8159" t="s">
        <v>102</v>
      </c>
      <c r="H8159" t="s">
        <v>103</v>
      </c>
      <c r="I8159">
        <v>2956.01</v>
      </c>
      <c r="J8159">
        <v>3049.15</v>
      </c>
      <c r="K8159" t="s">
        <v>17</v>
      </c>
      <c r="L8159" t="b">
        <v>0</v>
      </c>
      <c r="N8159" s="2" t="str">
        <f t="shared" si="730"/>
        <v/>
      </c>
      <c r="Q8159" t="str">
        <f t="shared" si="728"/>
        <v/>
      </c>
    </row>
    <row r="8160" spans="1:17" hidden="1">
      <c r="A8160" t="s">
        <v>8265</v>
      </c>
      <c r="B8160" s="1">
        <v>46006</v>
      </c>
      <c r="C8160">
        <v>2025</v>
      </c>
      <c r="D8160">
        <v>12</v>
      </c>
      <c r="E8160" t="s">
        <v>47</v>
      </c>
      <c r="F8160" t="s">
        <v>28</v>
      </c>
      <c r="G8160" t="s">
        <v>51</v>
      </c>
      <c r="H8160" t="s">
        <v>72</v>
      </c>
      <c r="I8160">
        <v>13134.64</v>
      </c>
      <c r="J8160">
        <v>10878.9</v>
      </c>
      <c r="K8160" t="s">
        <v>17</v>
      </c>
      <c r="L8160" t="b">
        <v>0</v>
      </c>
      <c r="N8160" s="2" t="b">
        <f t="shared" si="730"/>
        <v>1</v>
      </c>
      <c r="O8160" t="str">
        <f t="shared" ref="O8160:O8162" si="734">IF(AND(E8149="HR",K8149="EXPENSE"),I8149&lt;J8149,"")</f>
        <v/>
      </c>
      <c r="Q8160" t="str">
        <f t="shared" si="728"/>
        <v/>
      </c>
    </row>
    <row r="8161" spans="1:17" hidden="1">
      <c r="A8161" t="s">
        <v>8266</v>
      </c>
      <c r="B8161" s="1">
        <v>46006</v>
      </c>
      <c r="C8161">
        <v>2025</v>
      </c>
      <c r="D8161">
        <v>12</v>
      </c>
      <c r="E8161" t="s">
        <v>47</v>
      </c>
      <c r="F8161" t="s">
        <v>24</v>
      </c>
      <c r="G8161" t="s">
        <v>48</v>
      </c>
      <c r="H8161" t="s">
        <v>191</v>
      </c>
      <c r="I8161">
        <v>14887.22</v>
      </c>
      <c r="J8161">
        <v>12794.76</v>
      </c>
      <c r="K8161" t="s">
        <v>17</v>
      </c>
      <c r="L8161" t="b">
        <v>0</v>
      </c>
      <c r="N8161" s="2" t="b">
        <f t="shared" si="730"/>
        <v>1</v>
      </c>
      <c r="O8161" t="str">
        <f t="shared" si="734"/>
        <v/>
      </c>
      <c r="Q8161" t="str">
        <f t="shared" si="728"/>
        <v/>
      </c>
    </row>
    <row r="8162" spans="1:17" hidden="1">
      <c r="A8162" t="s">
        <v>8267</v>
      </c>
      <c r="B8162" s="1">
        <v>46006</v>
      </c>
      <c r="C8162">
        <v>2025</v>
      </c>
      <c r="D8162">
        <v>12</v>
      </c>
      <c r="E8162" t="s">
        <v>47</v>
      </c>
      <c r="F8162" t="s">
        <v>24</v>
      </c>
      <c r="G8162" t="s">
        <v>51</v>
      </c>
      <c r="H8162" t="s">
        <v>52</v>
      </c>
      <c r="I8162">
        <v>12737.47</v>
      </c>
      <c r="J8162">
        <v>10848.91</v>
      </c>
      <c r="K8162" t="s">
        <v>17</v>
      </c>
      <c r="L8162" t="b">
        <v>0</v>
      </c>
      <c r="N8162" s="2" t="b">
        <f t="shared" si="730"/>
        <v>1</v>
      </c>
      <c r="O8162" t="b">
        <f t="shared" si="734"/>
        <v>0</v>
      </c>
      <c r="Q8162" t="str">
        <f t="shared" si="728"/>
        <v/>
      </c>
    </row>
    <row r="8163" spans="1:17" hidden="1">
      <c r="A8163" t="s">
        <v>8268</v>
      </c>
      <c r="B8163" s="1">
        <v>46006</v>
      </c>
      <c r="C8163">
        <v>2025</v>
      </c>
      <c r="D8163">
        <v>12</v>
      </c>
      <c r="E8163" t="s">
        <v>19</v>
      </c>
      <c r="F8163" t="s">
        <v>24</v>
      </c>
      <c r="G8163" t="s">
        <v>80</v>
      </c>
      <c r="H8163" t="s">
        <v>217</v>
      </c>
      <c r="I8163">
        <v>7480.77</v>
      </c>
      <c r="J8163">
        <v>7490.88</v>
      </c>
      <c r="K8163" t="s">
        <v>17</v>
      </c>
      <c r="L8163" t="b">
        <v>0</v>
      </c>
      <c r="N8163" s="2" t="str">
        <f t="shared" si="730"/>
        <v/>
      </c>
      <c r="Q8163" t="str">
        <f t="shared" si="728"/>
        <v/>
      </c>
    </row>
    <row r="8164" spans="1:17" hidden="1">
      <c r="A8164" t="s">
        <v>8269</v>
      </c>
      <c r="B8164" s="1">
        <v>46006</v>
      </c>
      <c r="C8164">
        <v>2025</v>
      </c>
      <c r="D8164">
        <v>12</v>
      </c>
      <c r="E8164" t="s">
        <v>23</v>
      </c>
      <c r="F8164" t="s">
        <v>14</v>
      </c>
      <c r="G8164" t="s">
        <v>59</v>
      </c>
      <c r="H8164" t="s">
        <v>60</v>
      </c>
      <c r="I8164">
        <v>5747.05</v>
      </c>
      <c r="J8164">
        <v>5740.65</v>
      </c>
      <c r="K8164" t="s">
        <v>17</v>
      </c>
      <c r="L8164" t="b">
        <v>0</v>
      </c>
      <c r="N8164" s="2" t="str">
        <f t="shared" si="730"/>
        <v/>
      </c>
      <c r="Q8164" t="str">
        <f t="shared" si="728"/>
        <v/>
      </c>
    </row>
    <row r="8165" spans="1:17" hidden="1">
      <c r="A8165" t="s">
        <v>8270</v>
      </c>
      <c r="B8165" s="1">
        <v>46006</v>
      </c>
      <c r="C8165">
        <v>2025</v>
      </c>
      <c r="D8165">
        <v>12</v>
      </c>
      <c r="E8165" t="s">
        <v>23</v>
      </c>
      <c r="F8165" t="s">
        <v>28</v>
      </c>
      <c r="G8165" t="s">
        <v>59</v>
      </c>
      <c r="H8165" t="s">
        <v>60</v>
      </c>
      <c r="I8165">
        <v>6605.97</v>
      </c>
      <c r="J8165">
        <v>6872.94</v>
      </c>
      <c r="K8165" t="s">
        <v>17</v>
      </c>
      <c r="L8165" t="b">
        <v>0</v>
      </c>
      <c r="N8165" s="2" t="str">
        <f t="shared" si="730"/>
        <v/>
      </c>
      <c r="Q8165" t="str">
        <f t="shared" si="728"/>
        <v/>
      </c>
    </row>
    <row r="8166" spans="1:17" hidden="1">
      <c r="A8166" t="s">
        <v>8271</v>
      </c>
      <c r="B8166" s="1">
        <v>46006</v>
      </c>
      <c r="C8166">
        <v>2025</v>
      </c>
      <c r="D8166">
        <v>12</v>
      </c>
      <c r="E8166" t="s">
        <v>37</v>
      </c>
      <c r="F8166" t="s">
        <v>28</v>
      </c>
      <c r="G8166" t="s">
        <v>62</v>
      </c>
      <c r="H8166" t="s">
        <v>360</v>
      </c>
      <c r="I8166">
        <v>4494.05</v>
      </c>
      <c r="J8166">
        <v>4763.58</v>
      </c>
      <c r="K8166" t="s">
        <v>17</v>
      </c>
      <c r="L8166" t="b">
        <v>0</v>
      </c>
      <c r="N8166" s="2" t="str">
        <f t="shared" si="730"/>
        <v/>
      </c>
      <c r="Q8166" t="str">
        <f t="shared" si="728"/>
        <v/>
      </c>
    </row>
    <row r="8167" spans="1:17" hidden="1">
      <c r="A8167" t="s">
        <v>8272</v>
      </c>
      <c r="B8167" s="1">
        <v>46007</v>
      </c>
      <c r="C8167">
        <v>2025</v>
      </c>
      <c r="D8167">
        <v>12</v>
      </c>
      <c r="E8167" t="s">
        <v>13</v>
      </c>
      <c r="F8167" t="s">
        <v>14</v>
      </c>
      <c r="G8167" t="s">
        <v>15</v>
      </c>
      <c r="H8167" t="s">
        <v>16</v>
      </c>
      <c r="I8167">
        <v>5427.79</v>
      </c>
      <c r="J8167">
        <v>5827.26</v>
      </c>
      <c r="K8167" t="s">
        <v>17</v>
      </c>
      <c r="L8167" t="b">
        <v>0</v>
      </c>
      <c r="N8167" s="2" t="str">
        <f t="shared" si="730"/>
        <v/>
      </c>
      <c r="Q8167" t="str">
        <f t="shared" si="728"/>
        <v/>
      </c>
    </row>
    <row r="8168" spans="1:17" hidden="1">
      <c r="A8168" t="s">
        <v>8273</v>
      </c>
      <c r="B8168" s="1">
        <v>46007</v>
      </c>
      <c r="C8168">
        <v>2025</v>
      </c>
      <c r="D8168">
        <v>12</v>
      </c>
      <c r="E8168" t="s">
        <v>13</v>
      </c>
      <c r="F8168" t="s">
        <v>28</v>
      </c>
      <c r="G8168" t="s">
        <v>108</v>
      </c>
      <c r="H8168" t="s">
        <v>126</v>
      </c>
      <c r="I8168">
        <v>3875.23</v>
      </c>
      <c r="J8168">
        <v>4178.21</v>
      </c>
      <c r="K8168" t="s">
        <v>17</v>
      </c>
      <c r="L8168" t="b">
        <v>0</v>
      </c>
      <c r="N8168" s="2" t="str">
        <f t="shared" si="730"/>
        <v/>
      </c>
      <c r="Q8168" t="str">
        <f t="shared" si="728"/>
        <v/>
      </c>
    </row>
    <row r="8169" spans="1:17" hidden="1">
      <c r="A8169" t="s">
        <v>8274</v>
      </c>
      <c r="B8169" s="1">
        <v>46007</v>
      </c>
      <c r="C8169">
        <v>2025</v>
      </c>
      <c r="D8169">
        <v>12</v>
      </c>
      <c r="E8169" t="s">
        <v>13</v>
      </c>
      <c r="F8169" t="s">
        <v>24</v>
      </c>
      <c r="G8169" t="s">
        <v>108</v>
      </c>
      <c r="H8169" t="s">
        <v>123</v>
      </c>
      <c r="I8169">
        <v>3879.27</v>
      </c>
      <c r="J8169">
        <v>3796.61</v>
      </c>
      <c r="K8169" t="s">
        <v>17</v>
      </c>
      <c r="L8169" t="b">
        <v>0</v>
      </c>
      <c r="N8169" s="2" t="str">
        <f t="shared" si="730"/>
        <v/>
      </c>
      <c r="Q8169" t="str">
        <f t="shared" si="728"/>
        <v/>
      </c>
    </row>
    <row r="8170" spans="1:17" hidden="1">
      <c r="A8170" t="s">
        <v>8275</v>
      </c>
      <c r="B8170" s="1">
        <v>46007</v>
      </c>
      <c r="C8170">
        <v>2025</v>
      </c>
      <c r="D8170">
        <v>12</v>
      </c>
      <c r="E8170" t="s">
        <v>47</v>
      </c>
      <c r="F8170" t="s">
        <v>14</v>
      </c>
      <c r="G8170" t="s">
        <v>91</v>
      </c>
      <c r="H8170" t="s">
        <v>249</v>
      </c>
      <c r="I8170">
        <v>18075.599999999999</v>
      </c>
      <c r="J8170">
        <v>15521.84</v>
      </c>
      <c r="K8170" t="s">
        <v>17</v>
      </c>
      <c r="L8170" t="b">
        <v>0</v>
      </c>
      <c r="N8170" s="2" t="b">
        <f t="shared" si="730"/>
        <v>1</v>
      </c>
      <c r="O8170" t="b">
        <f>IF(AND(E8159="HR",K8159="EXPENSE"),I8159&lt;J8159,"")</f>
        <v>1</v>
      </c>
      <c r="Q8170" t="str">
        <f t="shared" si="728"/>
        <v/>
      </c>
    </row>
    <row r="8171" spans="1:17" hidden="1">
      <c r="A8171" t="s">
        <v>8276</v>
      </c>
      <c r="B8171" s="1">
        <v>46007</v>
      </c>
      <c r="C8171">
        <v>2025</v>
      </c>
      <c r="D8171">
        <v>12</v>
      </c>
      <c r="E8171" t="s">
        <v>19</v>
      </c>
      <c r="F8171" t="s">
        <v>28</v>
      </c>
      <c r="G8171" t="s">
        <v>132</v>
      </c>
      <c r="H8171" t="s">
        <v>133</v>
      </c>
      <c r="I8171">
        <v>4933.59</v>
      </c>
      <c r="J8171">
        <v>4845.1000000000004</v>
      </c>
      <c r="K8171" t="s">
        <v>17</v>
      </c>
      <c r="L8171" t="b">
        <v>0</v>
      </c>
      <c r="N8171" s="2" t="str">
        <f t="shared" si="730"/>
        <v/>
      </c>
      <c r="Q8171" t="str">
        <f t="shared" si="728"/>
        <v/>
      </c>
    </row>
    <row r="8172" spans="1:17" hidden="1">
      <c r="A8172" t="s">
        <v>8277</v>
      </c>
      <c r="B8172" s="1">
        <v>46007</v>
      </c>
      <c r="C8172">
        <v>2025</v>
      </c>
      <c r="D8172">
        <v>12</v>
      </c>
      <c r="E8172" t="s">
        <v>19</v>
      </c>
      <c r="F8172" t="s">
        <v>28</v>
      </c>
      <c r="G8172" t="s">
        <v>54</v>
      </c>
      <c r="H8172" t="s">
        <v>163</v>
      </c>
      <c r="I8172">
        <v>2627.15</v>
      </c>
      <c r="J8172">
        <v>2535.4699999999998</v>
      </c>
      <c r="K8172" t="s">
        <v>17</v>
      </c>
      <c r="L8172" t="b">
        <v>0</v>
      </c>
      <c r="N8172" s="2" t="str">
        <f t="shared" si="730"/>
        <v/>
      </c>
      <c r="Q8172" t="str">
        <f t="shared" si="728"/>
        <v/>
      </c>
    </row>
    <row r="8173" spans="1:17" hidden="1">
      <c r="A8173" t="s">
        <v>8278</v>
      </c>
      <c r="B8173" s="1">
        <v>46007</v>
      </c>
      <c r="C8173">
        <v>2025</v>
      </c>
      <c r="D8173">
        <v>12</v>
      </c>
      <c r="E8173" t="s">
        <v>23</v>
      </c>
      <c r="F8173" t="s">
        <v>14</v>
      </c>
      <c r="G8173" t="s">
        <v>25</v>
      </c>
      <c r="H8173" t="s">
        <v>35</v>
      </c>
      <c r="I8173">
        <v>7551.36</v>
      </c>
      <c r="J8173">
        <v>8064.13</v>
      </c>
      <c r="K8173" t="s">
        <v>17</v>
      </c>
      <c r="L8173" t="b">
        <v>0</v>
      </c>
      <c r="N8173" s="2" t="str">
        <f t="shared" si="730"/>
        <v/>
      </c>
      <c r="Q8173" t="str">
        <f t="shared" si="728"/>
        <v/>
      </c>
    </row>
    <row r="8174" spans="1:17" hidden="1">
      <c r="A8174" t="s">
        <v>8279</v>
      </c>
      <c r="B8174" s="1">
        <v>46007</v>
      </c>
      <c r="C8174">
        <v>2025</v>
      </c>
      <c r="D8174">
        <v>12</v>
      </c>
      <c r="E8174" t="s">
        <v>23</v>
      </c>
      <c r="F8174" t="s">
        <v>14</v>
      </c>
      <c r="G8174" t="s">
        <v>141</v>
      </c>
      <c r="H8174" t="s">
        <v>153</v>
      </c>
      <c r="I8174">
        <v>7249.47</v>
      </c>
      <c r="J8174">
        <v>7092.92</v>
      </c>
      <c r="K8174" t="s">
        <v>17</v>
      </c>
      <c r="L8174" t="b">
        <v>0</v>
      </c>
      <c r="N8174" s="2" t="str">
        <f t="shared" si="730"/>
        <v/>
      </c>
      <c r="Q8174" t="str">
        <f t="shared" si="728"/>
        <v/>
      </c>
    </row>
    <row r="8175" spans="1:17" hidden="1">
      <c r="A8175" t="s">
        <v>8280</v>
      </c>
      <c r="B8175" s="1">
        <v>46008</v>
      </c>
      <c r="C8175">
        <v>2025</v>
      </c>
      <c r="D8175">
        <v>12</v>
      </c>
      <c r="E8175" t="s">
        <v>13</v>
      </c>
      <c r="F8175" t="s">
        <v>28</v>
      </c>
      <c r="G8175" t="s">
        <v>102</v>
      </c>
      <c r="H8175" t="s">
        <v>103</v>
      </c>
      <c r="I8175">
        <v>4158.6400000000003</v>
      </c>
      <c r="J8175">
        <v>4458.76</v>
      </c>
      <c r="K8175" t="s">
        <v>17</v>
      </c>
      <c r="L8175" t="b">
        <v>0</v>
      </c>
      <c r="N8175" s="2" t="str">
        <f t="shared" si="730"/>
        <v/>
      </c>
      <c r="Q8175" t="str">
        <f t="shared" si="728"/>
        <v/>
      </c>
    </row>
    <row r="8176" spans="1:17" hidden="1">
      <c r="A8176" t="s">
        <v>8281</v>
      </c>
      <c r="B8176" s="1">
        <v>46008</v>
      </c>
      <c r="C8176">
        <v>2025</v>
      </c>
      <c r="D8176">
        <v>12</v>
      </c>
      <c r="E8176" t="s">
        <v>13</v>
      </c>
      <c r="F8176" t="s">
        <v>24</v>
      </c>
      <c r="G8176" t="s">
        <v>68</v>
      </c>
      <c r="H8176" t="s">
        <v>87</v>
      </c>
      <c r="I8176">
        <v>1490.08</v>
      </c>
      <c r="J8176">
        <v>1570.09</v>
      </c>
      <c r="K8176" t="s">
        <v>17</v>
      </c>
      <c r="L8176" t="b">
        <v>0</v>
      </c>
      <c r="N8176" s="2" t="str">
        <f t="shared" si="730"/>
        <v/>
      </c>
      <c r="Q8176" t="str">
        <f t="shared" ref="Q8176:Q8239" si="735">IF(L8176=TRUE,OR(H8176="Apex Solutions Inc",H8176="Global Trade Partners",H8176="NovaTech Services"),"")</f>
        <v/>
      </c>
    </row>
    <row r="8177" spans="1:17" hidden="1">
      <c r="A8177" t="s">
        <v>8282</v>
      </c>
      <c r="B8177" s="1">
        <v>46008</v>
      </c>
      <c r="C8177">
        <v>2025</v>
      </c>
      <c r="D8177">
        <v>12</v>
      </c>
      <c r="E8177" t="s">
        <v>47</v>
      </c>
      <c r="F8177" t="s">
        <v>24</v>
      </c>
      <c r="G8177" t="s">
        <v>51</v>
      </c>
      <c r="H8177" t="s">
        <v>52</v>
      </c>
      <c r="I8177">
        <v>15644.02</v>
      </c>
      <c r="J8177">
        <v>13465.02</v>
      </c>
      <c r="K8177" t="s">
        <v>17</v>
      </c>
      <c r="L8177" t="b">
        <v>0</v>
      </c>
      <c r="N8177" s="2" t="b">
        <f t="shared" si="730"/>
        <v>1</v>
      </c>
      <c r="O8177" t="str">
        <f>IF(AND(E8166="HR",K8166="EXPENSE"),I8166&lt;J8166,"")</f>
        <v/>
      </c>
      <c r="Q8177" t="str">
        <f t="shared" si="735"/>
        <v/>
      </c>
    </row>
    <row r="8178" spans="1:17" hidden="1">
      <c r="A8178" t="s">
        <v>8283</v>
      </c>
      <c r="B8178" s="1">
        <v>46008</v>
      </c>
      <c r="C8178">
        <v>2025</v>
      </c>
      <c r="D8178">
        <v>12</v>
      </c>
      <c r="E8178" t="s">
        <v>19</v>
      </c>
      <c r="F8178" t="s">
        <v>14</v>
      </c>
      <c r="G8178" t="s">
        <v>54</v>
      </c>
      <c r="H8178" t="s">
        <v>55</v>
      </c>
      <c r="I8178">
        <v>12763.27</v>
      </c>
      <c r="J8178">
        <v>11895.89</v>
      </c>
      <c r="K8178" t="s">
        <v>17</v>
      </c>
      <c r="L8178" t="b">
        <v>0</v>
      </c>
      <c r="N8178" s="2" t="str">
        <f t="shared" si="730"/>
        <v/>
      </c>
      <c r="Q8178" t="str">
        <f t="shared" si="735"/>
        <v/>
      </c>
    </row>
    <row r="8179" spans="1:17" hidden="1">
      <c r="A8179" t="s">
        <v>8284</v>
      </c>
      <c r="B8179" s="1">
        <v>46008</v>
      </c>
      <c r="C8179">
        <v>2025</v>
      </c>
      <c r="D8179">
        <v>12</v>
      </c>
      <c r="E8179" t="s">
        <v>23</v>
      </c>
      <c r="F8179" t="s">
        <v>24</v>
      </c>
      <c r="G8179" t="s">
        <v>59</v>
      </c>
      <c r="H8179" t="s">
        <v>60</v>
      </c>
      <c r="I8179">
        <v>7689.33</v>
      </c>
      <c r="J8179">
        <v>8298.4500000000007</v>
      </c>
      <c r="K8179" t="s">
        <v>17</v>
      </c>
      <c r="L8179" t="b">
        <v>0</v>
      </c>
      <c r="N8179" s="2" t="str">
        <f t="shared" si="730"/>
        <v/>
      </c>
      <c r="Q8179" t="str">
        <f t="shared" si="735"/>
        <v/>
      </c>
    </row>
    <row r="8180" spans="1:17" hidden="1">
      <c r="A8180" t="s">
        <v>8285</v>
      </c>
      <c r="B8180" s="1">
        <v>46008</v>
      </c>
      <c r="C8180">
        <v>2025</v>
      </c>
      <c r="D8180">
        <v>12</v>
      </c>
      <c r="E8180" t="s">
        <v>37</v>
      </c>
      <c r="F8180" t="s">
        <v>14</v>
      </c>
      <c r="G8180" t="s">
        <v>38</v>
      </c>
      <c r="H8180" t="s">
        <v>227</v>
      </c>
      <c r="I8180">
        <v>5960.06</v>
      </c>
      <c r="J8180">
        <v>6466.39</v>
      </c>
      <c r="K8180" t="s">
        <v>17</v>
      </c>
      <c r="L8180" t="b">
        <v>0</v>
      </c>
      <c r="N8180" s="2" t="str">
        <f t="shared" si="730"/>
        <v/>
      </c>
      <c r="Q8180" t="str">
        <f t="shared" si="735"/>
        <v/>
      </c>
    </row>
    <row r="8181" spans="1:17" hidden="1">
      <c r="A8181" t="s">
        <v>8286</v>
      </c>
      <c r="B8181" s="1">
        <v>46008</v>
      </c>
      <c r="C8181">
        <v>2025</v>
      </c>
      <c r="D8181">
        <v>12</v>
      </c>
      <c r="E8181" t="s">
        <v>37</v>
      </c>
      <c r="F8181" t="s">
        <v>14</v>
      </c>
      <c r="G8181" t="s">
        <v>41</v>
      </c>
      <c r="H8181" t="s">
        <v>42</v>
      </c>
      <c r="I8181">
        <v>5544.93</v>
      </c>
      <c r="J8181">
        <v>5757.28</v>
      </c>
      <c r="K8181" t="s">
        <v>17</v>
      </c>
      <c r="L8181" t="b">
        <v>0</v>
      </c>
      <c r="N8181" s="2" t="str">
        <f t="shared" si="730"/>
        <v/>
      </c>
      <c r="Q8181" t="str">
        <f t="shared" si="735"/>
        <v/>
      </c>
    </row>
    <row r="8182" spans="1:17" hidden="1">
      <c r="A8182" t="s">
        <v>8287</v>
      </c>
      <c r="B8182" s="1">
        <v>46008</v>
      </c>
      <c r="C8182">
        <v>2025</v>
      </c>
      <c r="D8182">
        <v>12</v>
      </c>
      <c r="E8182" t="s">
        <v>37</v>
      </c>
      <c r="F8182" t="s">
        <v>14</v>
      </c>
      <c r="G8182" t="s">
        <v>62</v>
      </c>
      <c r="H8182" t="s">
        <v>63</v>
      </c>
      <c r="I8182">
        <v>4187.13</v>
      </c>
      <c r="J8182">
        <v>4271.17</v>
      </c>
      <c r="K8182" t="s">
        <v>17</v>
      </c>
      <c r="L8182" t="b">
        <v>0</v>
      </c>
      <c r="N8182" s="2" t="str">
        <f t="shared" si="730"/>
        <v/>
      </c>
      <c r="Q8182" t="str">
        <f t="shared" si="735"/>
        <v/>
      </c>
    </row>
    <row r="8183" spans="1:17" hidden="1">
      <c r="A8183" t="s">
        <v>8288</v>
      </c>
      <c r="B8183" s="1">
        <v>46008</v>
      </c>
      <c r="C8183">
        <v>2025</v>
      </c>
      <c r="D8183">
        <v>12</v>
      </c>
      <c r="E8183" t="s">
        <v>37</v>
      </c>
      <c r="F8183" t="s">
        <v>28</v>
      </c>
      <c r="G8183" t="s">
        <v>38</v>
      </c>
      <c r="H8183" t="s">
        <v>227</v>
      </c>
      <c r="I8183">
        <v>4074.84</v>
      </c>
      <c r="J8183">
        <v>4368.2700000000004</v>
      </c>
      <c r="K8183" t="s">
        <v>17</v>
      </c>
      <c r="L8183" t="b">
        <v>0</v>
      </c>
      <c r="N8183" s="2" t="str">
        <f t="shared" si="730"/>
        <v/>
      </c>
      <c r="Q8183" t="str">
        <f t="shared" si="735"/>
        <v/>
      </c>
    </row>
    <row r="8184" spans="1:17" hidden="1">
      <c r="A8184" t="s">
        <v>8289</v>
      </c>
      <c r="B8184" s="1">
        <v>46009</v>
      </c>
      <c r="C8184">
        <v>2025</v>
      </c>
      <c r="D8184">
        <v>12</v>
      </c>
      <c r="E8184" t="s">
        <v>13</v>
      </c>
      <c r="F8184" t="s">
        <v>28</v>
      </c>
      <c r="G8184" t="s">
        <v>15</v>
      </c>
      <c r="H8184" t="s">
        <v>16</v>
      </c>
      <c r="I8184">
        <v>2950.72</v>
      </c>
      <c r="J8184">
        <v>3108.06</v>
      </c>
      <c r="K8184" t="s">
        <v>17</v>
      </c>
      <c r="L8184" t="b">
        <v>0</v>
      </c>
      <c r="N8184" s="2" t="str">
        <f t="shared" si="730"/>
        <v/>
      </c>
      <c r="Q8184" t="str">
        <f t="shared" si="735"/>
        <v/>
      </c>
    </row>
    <row r="8185" spans="1:17" hidden="1">
      <c r="A8185" t="s">
        <v>8290</v>
      </c>
      <c r="B8185" s="1">
        <v>46009</v>
      </c>
      <c r="C8185">
        <v>2025</v>
      </c>
      <c r="D8185">
        <v>12</v>
      </c>
      <c r="E8185" t="s">
        <v>13</v>
      </c>
      <c r="F8185" t="s">
        <v>24</v>
      </c>
      <c r="G8185" t="s">
        <v>15</v>
      </c>
      <c r="H8185" t="s">
        <v>45</v>
      </c>
      <c r="I8185">
        <v>3464.35</v>
      </c>
      <c r="J8185">
        <v>3478.6</v>
      </c>
      <c r="K8185" t="s">
        <v>17</v>
      </c>
      <c r="L8185" t="b">
        <v>0</v>
      </c>
      <c r="N8185" s="2" t="str">
        <f t="shared" si="730"/>
        <v/>
      </c>
      <c r="Q8185" t="str">
        <f t="shared" si="735"/>
        <v/>
      </c>
    </row>
    <row r="8186" spans="1:17" hidden="1">
      <c r="A8186" t="s">
        <v>8291</v>
      </c>
      <c r="B8186" s="1">
        <v>46009</v>
      </c>
      <c r="C8186">
        <v>2025</v>
      </c>
      <c r="D8186">
        <v>12</v>
      </c>
      <c r="E8186" t="s">
        <v>13</v>
      </c>
      <c r="F8186" t="s">
        <v>24</v>
      </c>
      <c r="G8186" t="s">
        <v>15</v>
      </c>
      <c r="H8186" t="s">
        <v>16</v>
      </c>
      <c r="I8186">
        <v>3235.25</v>
      </c>
      <c r="J8186">
        <v>3551.89</v>
      </c>
      <c r="K8186" t="s">
        <v>17</v>
      </c>
      <c r="L8186" t="b">
        <v>0</v>
      </c>
      <c r="N8186" s="2" t="str">
        <f t="shared" si="730"/>
        <v/>
      </c>
      <c r="Q8186" t="str">
        <f t="shared" si="735"/>
        <v/>
      </c>
    </row>
    <row r="8187" spans="1:17" hidden="1">
      <c r="A8187" t="s">
        <v>8292</v>
      </c>
      <c r="B8187" s="1">
        <v>46009</v>
      </c>
      <c r="C8187">
        <v>2025</v>
      </c>
      <c r="D8187">
        <v>12</v>
      </c>
      <c r="E8187" t="s">
        <v>19</v>
      </c>
      <c r="F8187" t="s">
        <v>14</v>
      </c>
      <c r="G8187" t="s">
        <v>20</v>
      </c>
      <c r="H8187" t="s">
        <v>21</v>
      </c>
      <c r="I8187">
        <v>9371.2800000000007</v>
      </c>
      <c r="J8187">
        <v>9803.4699999999993</v>
      </c>
      <c r="K8187" t="s">
        <v>17</v>
      </c>
      <c r="L8187" t="b">
        <v>0</v>
      </c>
      <c r="N8187" s="2" t="str">
        <f t="shared" si="730"/>
        <v/>
      </c>
      <c r="Q8187" t="str">
        <f t="shared" si="735"/>
        <v/>
      </c>
    </row>
    <row r="8188" spans="1:17" hidden="1">
      <c r="A8188" t="s">
        <v>8293</v>
      </c>
      <c r="B8188" s="1">
        <v>46009</v>
      </c>
      <c r="C8188">
        <v>2025</v>
      </c>
      <c r="D8188">
        <v>12</v>
      </c>
      <c r="E8188" t="s">
        <v>19</v>
      </c>
      <c r="F8188" t="s">
        <v>28</v>
      </c>
      <c r="G8188" t="s">
        <v>54</v>
      </c>
      <c r="H8188" t="s">
        <v>55</v>
      </c>
      <c r="I8188">
        <v>6449.74</v>
      </c>
      <c r="J8188">
        <v>6659.48</v>
      </c>
      <c r="K8188" t="s">
        <v>17</v>
      </c>
      <c r="L8188" t="b">
        <v>0</v>
      </c>
      <c r="N8188" s="2" t="str">
        <f t="shared" si="730"/>
        <v/>
      </c>
      <c r="Q8188" t="str">
        <f t="shared" si="735"/>
        <v/>
      </c>
    </row>
    <row r="8189" spans="1:17" hidden="1">
      <c r="A8189" t="s">
        <v>8294</v>
      </c>
      <c r="B8189" s="1">
        <v>46009</v>
      </c>
      <c r="C8189">
        <v>2025</v>
      </c>
      <c r="D8189">
        <v>12</v>
      </c>
      <c r="E8189" t="s">
        <v>23</v>
      </c>
      <c r="F8189" t="s">
        <v>24</v>
      </c>
      <c r="G8189" t="s">
        <v>25</v>
      </c>
      <c r="H8189" t="s">
        <v>95</v>
      </c>
      <c r="I8189">
        <v>5151.6899999999996</v>
      </c>
      <c r="J8189">
        <v>4666.6000000000004</v>
      </c>
      <c r="K8189" t="s">
        <v>17</v>
      </c>
      <c r="L8189" t="b">
        <v>0</v>
      </c>
      <c r="N8189" s="2" t="str">
        <f t="shared" si="730"/>
        <v/>
      </c>
      <c r="Q8189" t="str">
        <f t="shared" si="735"/>
        <v/>
      </c>
    </row>
    <row r="8190" spans="1:17" hidden="1">
      <c r="A8190" t="s">
        <v>8295</v>
      </c>
      <c r="B8190" s="1">
        <v>46010</v>
      </c>
      <c r="C8190">
        <v>2025</v>
      </c>
      <c r="D8190">
        <v>12</v>
      </c>
      <c r="E8190" t="s">
        <v>13</v>
      </c>
      <c r="F8190" t="s">
        <v>24</v>
      </c>
      <c r="G8190" t="s">
        <v>15</v>
      </c>
      <c r="H8190" t="s">
        <v>89</v>
      </c>
      <c r="I8190">
        <v>2856.85</v>
      </c>
      <c r="J8190">
        <v>3000.98</v>
      </c>
      <c r="K8190" t="s">
        <v>17</v>
      </c>
      <c r="L8190" t="b">
        <v>0</v>
      </c>
      <c r="N8190" s="2" t="str">
        <f t="shared" si="730"/>
        <v/>
      </c>
      <c r="Q8190" t="str">
        <f t="shared" si="735"/>
        <v/>
      </c>
    </row>
    <row r="8191" spans="1:17" hidden="1">
      <c r="A8191" t="s">
        <v>8296</v>
      </c>
      <c r="B8191" s="1">
        <v>46010</v>
      </c>
      <c r="C8191">
        <v>2025</v>
      </c>
      <c r="D8191">
        <v>12</v>
      </c>
      <c r="E8191" t="s">
        <v>19</v>
      </c>
      <c r="F8191" t="s">
        <v>28</v>
      </c>
      <c r="G8191" t="s">
        <v>80</v>
      </c>
      <c r="H8191" t="s">
        <v>150</v>
      </c>
      <c r="I8191">
        <v>5872.86</v>
      </c>
      <c r="J8191">
        <v>5894.43</v>
      </c>
      <c r="K8191" t="s">
        <v>17</v>
      </c>
      <c r="L8191" t="b">
        <v>0</v>
      </c>
      <c r="N8191" s="2" t="str">
        <f t="shared" si="730"/>
        <v/>
      </c>
      <c r="Q8191" t="str">
        <f t="shared" si="735"/>
        <v/>
      </c>
    </row>
    <row r="8192" spans="1:17" hidden="1">
      <c r="A8192" t="s">
        <v>8297</v>
      </c>
      <c r="B8192" s="1">
        <v>46010</v>
      </c>
      <c r="C8192">
        <v>2025</v>
      </c>
      <c r="D8192">
        <v>12</v>
      </c>
      <c r="E8192" t="s">
        <v>23</v>
      </c>
      <c r="F8192" t="s">
        <v>28</v>
      </c>
      <c r="G8192" t="s">
        <v>30</v>
      </c>
      <c r="H8192" t="s">
        <v>106</v>
      </c>
      <c r="I8192">
        <v>5812.42</v>
      </c>
      <c r="J8192">
        <v>5244.24</v>
      </c>
      <c r="K8192" t="s">
        <v>17</v>
      </c>
      <c r="L8192" t="b">
        <v>0</v>
      </c>
      <c r="N8192" s="2" t="str">
        <f t="shared" si="730"/>
        <v/>
      </c>
      <c r="Q8192" t="str">
        <f t="shared" si="735"/>
        <v/>
      </c>
    </row>
    <row r="8193" spans="1:17" hidden="1">
      <c r="A8193" t="s">
        <v>8298</v>
      </c>
      <c r="B8193" s="1">
        <v>46010</v>
      </c>
      <c r="C8193">
        <v>2025</v>
      </c>
      <c r="D8193">
        <v>12</v>
      </c>
      <c r="E8193" t="s">
        <v>23</v>
      </c>
      <c r="F8193" t="s">
        <v>28</v>
      </c>
      <c r="G8193" t="s">
        <v>59</v>
      </c>
      <c r="H8193" t="s">
        <v>155</v>
      </c>
      <c r="I8193">
        <v>5396.81</v>
      </c>
      <c r="J8193">
        <v>4891.2</v>
      </c>
      <c r="K8193" t="s">
        <v>17</v>
      </c>
      <c r="L8193" t="b">
        <v>0</v>
      </c>
      <c r="N8193" s="2" t="str">
        <f t="shared" si="730"/>
        <v/>
      </c>
      <c r="Q8193" t="str">
        <f t="shared" si="735"/>
        <v/>
      </c>
    </row>
    <row r="8194" spans="1:17" hidden="1">
      <c r="A8194" t="s">
        <v>8299</v>
      </c>
      <c r="B8194" s="1">
        <v>46010</v>
      </c>
      <c r="C8194">
        <v>2025</v>
      </c>
      <c r="D8194">
        <v>12</v>
      </c>
      <c r="E8194" t="s">
        <v>37</v>
      </c>
      <c r="F8194" t="s">
        <v>14</v>
      </c>
      <c r="G8194" t="s">
        <v>62</v>
      </c>
      <c r="H8194" t="s">
        <v>66</v>
      </c>
      <c r="I8194">
        <v>4233.1400000000003</v>
      </c>
      <c r="J8194">
        <v>3914.17</v>
      </c>
      <c r="K8194" t="s">
        <v>17</v>
      </c>
      <c r="L8194" t="b">
        <v>0</v>
      </c>
      <c r="N8194" s="2" t="str">
        <f t="shared" si="730"/>
        <v/>
      </c>
      <c r="Q8194" t="str">
        <f t="shared" si="735"/>
        <v/>
      </c>
    </row>
    <row r="8195" spans="1:17" hidden="1">
      <c r="A8195" t="s">
        <v>8300</v>
      </c>
      <c r="B8195" s="1">
        <v>46010</v>
      </c>
      <c r="C8195">
        <v>2025</v>
      </c>
      <c r="D8195">
        <v>12</v>
      </c>
      <c r="E8195" t="s">
        <v>37</v>
      </c>
      <c r="F8195" t="s">
        <v>28</v>
      </c>
      <c r="G8195" t="s">
        <v>62</v>
      </c>
      <c r="H8195" t="s">
        <v>66</v>
      </c>
      <c r="I8195">
        <v>2097.37</v>
      </c>
      <c r="J8195">
        <v>2126.25</v>
      </c>
      <c r="K8195" t="s">
        <v>17</v>
      </c>
      <c r="L8195" t="b">
        <v>0</v>
      </c>
      <c r="N8195" s="2" t="str">
        <f t="shared" ref="N8195:N8258" si="736">IF(AND(E8195="IT",K8195="EXPENSE"),I8195&gt;J8195,"")</f>
        <v/>
      </c>
      <c r="Q8195" t="str">
        <f t="shared" si="735"/>
        <v/>
      </c>
    </row>
    <row r="8196" spans="1:17" hidden="1">
      <c r="A8196" t="s">
        <v>8301</v>
      </c>
      <c r="B8196" s="1">
        <v>46011</v>
      </c>
      <c r="C8196">
        <v>2025</v>
      </c>
      <c r="D8196">
        <v>12</v>
      </c>
      <c r="E8196" t="s">
        <v>13</v>
      </c>
      <c r="F8196" t="s">
        <v>14</v>
      </c>
      <c r="G8196" t="s">
        <v>15</v>
      </c>
      <c r="H8196" t="s">
        <v>45</v>
      </c>
      <c r="I8196">
        <v>4248.79</v>
      </c>
      <c r="J8196">
        <v>3913.47</v>
      </c>
      <c r="K8196" t="s">
        <v>17</v>
      </c>
      <c r="L8196" t="b">
        <v>0</v>
      </c>
      <c r="N8196" s="2" t="str">
        <f t="shared" si="736"/>
        <v/>
      </c>
      <c r="Q8196" t="str">
        <f t="shared" si="735"/>
        <v/>
      </c>
    </row>
    <row r="8197" spans="1:17" hidden="1">
      <c r="A8197" t="s">
        <v>8302</v>
      </c>
      <c r="B8197" s="1">
        <v>46011</v>
      </c>
      <c r="C8197">
        <v>2025</v>
      </c>
      <c r="D8197">
        <v>12</v>
      </c>
      <c r="E8197" t="s">
        <v>47</v>
      </c>
      <c r="F8197" t="s">
        <v>28</v>
      </c>
      <c r="G8197" t="s">
        <v>91</v>
      </c>
      <c r="H8197" t="s">
        <v>128</v>
      </c>
      <c r="I8197">
        <v>11393.65</v>
      </c>
      <c r="J8197">
        <v>9367.08</v>
      </c>
      <c r="K8197" t="s">
        <v>17</v>
      </c>
      <c r="L8197" t="b">
        <v>0</v>
      </c>
      <c r="N8197" s="2" t="b">
        <f t="shared" si="736"/>
        <v>1</v>
      </c>
      <c r="O8197" t="b">
        <f t="shared" ref="O8197:O8198" si="737">IF(AND(E8186="HR",K8186="EXPENSE"),I8186&lt;J8186,"")</f>
        <v>1</v>
      </c>
      <c r="Q8197" t="str">
        <f t="shared" si="735"/>
        <v/>
      </c>
    </row>
    <row r="8198" spans="1:17" hidden="1">
      <c r="A8198" t="s">
        <v>8303</v>
      </c>
      <c r="B8198" s="1">
        <v>46011</v>
      </c>
      <c r="C8198">
        <v>2025</v>
      </c>
      <c r="D8198">
        <v>12</v>
      </c>
      <c r="E8198" t="s">
        <v>47</v>
      </c>
      <c r="F8198" t="s">
        <v>28</v>
      </c>
      <c r="G8198" t="s">
        <v>77</v>
      </c>
      <c r="H8198" t="s">
        <v>130</v>
      </c>
      <c r="I8198">
        <v>10327.14</v>
      </c>
      <c r="J8198">
        <v>8714.34</v>
      </c>
      <c r="K8198" t="s">
        <v>17</v>
      </c>
      <c r="L8198" t="b">
        <v>0</v>
      </c>
      <c r="N8198" s="2" t="b">
        <f t="shared" si="736"/>
        <v>1</v>
      </c>
      <c r="O8198" t="str">
        <f t="shared" si="737"/>
        <v/>
      </c>
      <c r="Q8198" t="str">
        <f t="shared" si="735"/>
        <v/>
      </c>
    </row>
    <row r="8199" spans="1:17" hidden="1">
      <c r="A8199" t="s">
        <v>8304</v>
      </c>
      <c r="B8199" s="1">
        <v>46011</v>
      </c>
      <c r="C8199">
        <v>2025</v>
      </c>
      <c r="D8199">
        <v>12</v>
      </c>
      <c r="E8199" t="s">
        <v>19</v>
      </c>
      <c r="F8199" t="s">
        <v>28</v>
      </c>
      <c r="G8199" t="s">
        <v>132</v>
      </c>
      <c r="H8199" t="s">
        <v>138</v>
      </c>
      <c r="I8199">
        <v>5469.08</v>
      </c>
      <c r="J8199">
        <v>5885.41</v>
      </c>
      <c r="K8199" t="s">
        <v>17</v>
      </c>
      <c r="L8199" t="b">
        <v>0</v>
      </c>
      <c r="N8199" s="2" t="str">
        <f t="shared" si="736"/>
        <v/>
      </c>
      <c r="Q8199" t="str">
        <f t="shared" si="735"/>
        <v/>
      </c>
    </row>
    <row r="8200" spans="1:17" hidden="1">
      <c r="A8200" t="s">
        <v>8305</v>
      </c>
      <c r="B8200" s="1">
        <v>46011</v>
      </c>
      <c r="C8200">
        <v>2025</v>
      </c>
      <c r="D8200">
        <v>12</v>
      </c>
      <c r="E8200" t="s">
        <v>19</v>
      </c>
      <c r="F8200" t="s">
        <v>24</v>
      </c>
      <c r="G8200" t="s">
        <v>54</v>
      </c>
      <c r="H8200" t="s">
        <v>163</v>
      </c>
      <c r="I8200">
        <v>7997.61</v>
      </c>
      <c r="J8200">
        <v>7226.98</v>
      </c>
      <c r="K8200" t="s">
        <v>17</v>
      </c>
      <c r="L8200" t="b">
        <v>0</v>
      </c>
      <c r="N8200" s="2" t="str">
        <f t="shared" si="736"/>
        <v/>
      </c>
      <c r="Q8200" t="str">
        <f t="shared" si="735"/>
        <v/>
      </c>
    </row>
    <row r="8201" spans="1:17" hidden="1">
      <c r="A8201" t="s">
        <v>8306</v>
      </c>
      <c r="B8201" s="1">
        <v>46011</v>
      </c>
      <c r="C8201">
        <v>2025</v>
      </c>
      <c r="D8201">
        <v>12</v>
      </c>
      <c r="E8201" t="s">
        <v>23</v>
      </c>
      <c r="F8201" t="s">
        <v>28</v>
      </c>
      <c r="G8201" t="s">
        <v>25</v>
      </c>
      <c r="H8201" t="s">
        <v>95</v>
      </c>
      <c r="I8201">
        <v>6785.38</v>
      </c>
      <c r="J8201">
        <v>7462.09</v>
      </c>
      <c r="K8201" t="s">
        <v>17</v>
      </c>
      <c r="L8201" t="b">
        <v>0</v>
      </c>
      <c r="N8201" s="2" t="str">
        <f t="shared" si="736"/>
        <v/>
      </c>
      <c r="Q8201" t="str">
        <f t="shared" si="735"/>
        <v/>
      </c>
    </row>
    <row r="8202" spans="1:17" hidden="1">
      <c r="A8202" t="s">
        <v>8307</v>
      </c>
      <c r="B8202" s="1">
        <v>46011</v>
      </c>
      <c r="C8202">
        <v>2025</v>
      </c>
      <c r="D8202">
        <v>12</v>
      </c>
      <c r="E8202" t="s">
        <v>23</v>
      </c>
      <c r="F8202" t="s">
        <v>28</v>
      </c>
      <c r="G8202" t="s">
        <v>30</v>
      </c>
      <c r="H8202" t="s">
        <v>106</v>
      </c>
      <c r="I8202">
        <v>5601.51</v>
      </c>
      <c r="J8202">
        <v>5112.66</v>
      </c>
      <c r="K8202" t="s">
        <v>17</v>
      </c>
      <c r="L8202" t="b">
        <v>0</v>
      </c>
      <c r="N8202" s="2" t="str">
        <f t="shared" si="736"/>
        <v/>
      </c>
      <c r="Q8202" t="str">
        <f t="shared" si="735"/>
        <v/>
      </c>
    </row>
    <row r="8203" spans="1:17" hidden="1">
      <c r="A8203" t="s">
        <v>8308</v>
      </c>
      <c r="B8203" s="1">
        <v>46012</v>
      </c>
      <c r="C8203">
        <v>2025</v>
      </c>
      <c r="D8203">
        <v>12</v>
      </c>
      <c r="E8203" t="s">
        <v>13</v>
      </c>
      <c r="F8203" t="s">
        <v>28</v>
      </c>
      <c r="G8203" t="s">
        <v>102</v>
      </c>
      <c r="H8203" t="s">
        <v>145</v>
      </c>
      <c r="I8203">
        <v>3592.81</v>
      </c>
      <c r="J8203">
        <v>3773.57</v>
      </c>
      <c r="K8203" t="s">
        <v>17</v>
      </c>
      <c r="L8203" t="b">
        <v>0</v>
      </c>
      <c r="N8203" s="2" t="str">
        <f t="shared" si="736"/>
        <v/>
      </c>
      <c r="Q8203" t="str">
        <f t="shared" si="735"/>
        <v/>
      </c>
    </row>
    <row r="8204" spans="1:17" hidden="1">
      <c r="A8204" t="s">
        <v>8309</v>
      </c>
      <c r="B8204" s="1">
        <v>46012</v>
      </c>
      <c r="C8204">
        <v>2025</v>
      </c>
      <c r="D8204">
        <v>12</v>
      </c>
      <c r="E8204" t="s">
        <v>13</v>
      </c>
      <c r="F8204" t="s">
        <v>28</v>
      </c>
      <c r="G8204" t="s">
        <v>108</v>
      </c>
      <c r="H8204" t="s">
        <v>123</v>
      </c>
      <c r="I8204">
        <v>2303.37</v>
      </c>
      <c r="J8204">
        <v>2414.21</v>
      </c>
      <c r="K8204" t="s">
        <v>17</v>
      </c>
      <c r="L8204" t="b">
        <v>0</v>
      </c>
      <c r="N8204" s="2" t="str">
        <f t="shared" si="736"/>
        <v/>
      </c>
      <c r="Q8204" t="str">
        <f t="shared" si="735"/>
        <v/>
      </c>
    </row>
    <row r="8205" spans="1:17" hidden="1">
      <c r="A8205" t="s">
        <v>8310</v>
      </c>
      <c r="B8205" s="1">
        <v>46012</v>
      </c>
      <c r="C8205">
        <v>2025</v>
      </c>
      <c r="D8205">
        <v>12</v>
      </c>
      <c r="E8205" t="s">
        <v>19</v>
      </c>
      <c r="F8205" t="s">
        <v>28</v>
      </c>
      <c r="G8205" t="s">
        <v>132</v>
      </c>
      <c r="H8205" t="s">
        <v>133</v>
      </c>
      <c r="I8205">
        <v>3092.99</v>
      </c>
      <c r="J8205">
        <v>3343.32</v>
      </c>
      <c r="K8205" t="s">
        <v>17</v>
      </c>
      <c r="L8205" t="b">
        <v>0</v>
      </c>
      <c r="N8205" s="2" t="str">
        <f t="shared" si="736"/>
        <v/>
      </c>
      <c r="Q8205" t="str">
        <f t="shared" si="735"/>
        <v/>
      </c>
    </row>
    <row r="8206" spans="1:17" hidden="1">
      <c r="A8206" t="s">
        <v>8311</v>
      </c>
      <c r="B8206" s="1">
        <v>46012</v>
      </c>
      <c r="C8206">
        <v>2025</v>
      </c>
      <c r="D8206">
        <v>12</v>
      </c>
      <c r="E8206" t="s">
        <v>19</v>
      </c>
      <c r="F8206" t="s">
        <v>24</v>
      </c>
      <c r="G8206" t="s">
        <v>132</v>
      </c>
      <c r="H8206" t="s">
        <v>138</v>
      </c>
      <c r="I8206">
        <v>6358.8</v>
      </c>
      <c r="J8206">
        <v>5754.51</v>
      </c>
      <c r="K8206" t="s">
        <v>17</v>
      </c>
      <c r="L8206" t="b">
        <v>0</v>
      </c>
      <c r="N8206" s="2" t="str">
        <f t="shared" si="736"/>
        <v/>
      </c>
      <c r="Q8206" t="str">
        <f t="shared" si="735"/>
        <v/>
      </c>
    </row>
    <row r="8207" spans="1:17" hidden="1">
      <c r="A8207" t="s">
        <v>8312</v>
      </c>
      <c r="B8207" s="1">
        <v>46012</v>
      </c>
      <c r="C8207">
        <v>2025</v>
      </c>
      <c r="D8207">
        <v>12</v>
      </c>
      <c r="E8207" t="s">
        <v>37</v>
      </c>
      <c r="F8207" t="s">
        <v>14</v>
      </c>
      <c r="G8207" t="s">
        <v>98</v>
      </c>
      <c r="H8207" t="s">
        <v>185</v>
      </c>
      <c r="I8207">
        <v>6365.33</v>
      </c>
      <c r="J8207">
        <v>6785.54</v>
      </c>
      <c r="K8207" t="s">
        <v>17</v>
      </c>
      <c r="L8207" t="b">
        <v>0</v>
      </c>
      <c r="N8207" s="2" t="str">
        <f t="shared" si="736"/>
        <v/>
      </c>
      <c r="Q8207" t="str">
        <f t="shared" si="735"/>
        <v/>
      </c>
    </row>
    <row r="8208" spans="1:17" hidden="1">
      <c r="A8208" t="s">
        <v>8313</v>
      </c>
      <c r="B8208" s="1">
        <v>46012</v>
      </c>
      <c r="C8208">
        <v>2025</v>
      </c>
      <c r="D8208">
        <v>12</v>
      </c>
      <c r="E8208" t="s">
        <v>37</v>
      </c>
      <c r="F8208" t="s">
        <v>28</v>
      </c>
      <c r="G8208" t="s">
        <v>38</v>
      </c>
      <c r="H8208" t="s">
        <v>39</v>
      </c>
      <c r="I8208">
        <v>4221.8100000000004</v>
      </c>
      <c r="J8208">
        <v>4489.8500000000004</v>
      </c>
      <c r="K8208" t="s">
        <v>17</v>
      </c>
      <c r="L8208" t="b">
        <v>0</v>
      </c>
      <c r="N8208" s="2" t="str">
        <f t="shared" si="736"/>
        <v/>
      </c>
      <c r="Q8208" t="str">
        <f t="shared" si="735"/>
        <v/>
      </c>
    </row>
    <row r="8209" spans="1:17" hidden="1">
      <c r="A8209" t="s">
        <v>8314</v>
      </c>
      <c r="B8209" s="1">
        <v>46012</v>
      </c>
      <c r="C8209">
        <v>2025</v>
      </c>
      <c r="D8209">
        <v>12</v>
      </c>
      <c r="E8209" t="s">
        <v>37</v>
      </c>
      <c r="F8209" t="s">
        <v>24</v>
      </c>
      <c r="G8209" t="s">
        <v>62</v>
      </c>
      <c r="H8209" t="s">
        <v>66</v>
      </c>
      <c r="I8209">
        <v>4559.7</v>
      </c>
      <c r="J8209">
        <v>4659.32</v>
      </c>
      <c r="K8209" t="s">
        <v>17</v>
      </c>
      <c r="L8209" t="b">
        <v>0</v>
      </c>
      <c r="N8209" s="2" t="str">
        <f t="shared" si="736"/>
        <v/>
      </c>
      <c r="Q8209" t="str">
        <f t="shared" si="735"/>
        <v/>
      </c>
    </row>
    <row r="8210" spans="1:17" hidden="1">
      <c r="A8210" t="s">
        <v>8315</v>
      </c>
      <c r="B8210" s="1">
        <v>46013</v>
      </c>
      <c r="C8210">
        <v>2025</v>
      </c>
      <c r="D8210">
        <v>12</v>
      </c>
      <c r="E8210" t="s">
        <v>47</v>
      </c>
      <c r="F8210" t="s">
        <v>28</v>
      </c>
      <c r="G8210" t="s">
        <v>51</v>
      </c>
      <c r="H8210" t="s">
        <v>72</v>
      </c>
      <c r="I8210">
        <v>16919.71</v>
      </c>
      <c r="J8210">
        <v>14062.61</v>
      </c>
      <c r="K8210" t="s">
        <v>17</v>
      </c>
      <c r="L8210" t="b">
        <v>0</v>
      </c>
      <c r="N8210" s="2" t="b">
        <f t="shared" si="736"/>
        <v>1</v>
      </c>
      <c r="O8210" t="str">
        <f t="shared" ref="O8210:O8211" si="738">IF(AND(E8199="HR",K8199="EXPENSE"),I8199&lt;J8199,"")</f>
        <v/>
      </c>
      <c r="Q8210" t="str">
        <f t="shared" si="735"/>
        <v/>
      </c>
    </row>
    <row r="8211" spans="1:17" hidden="1">
      <c r="A8211" t="s">
        <v>8316</v>
      </c>
      <c r="B8211" s="1">
        <v>46013</v>
      </c>
      <c r="C8211">
        <v>2025</v>
      </c>
      <c r="D8211">
        <v>12</v>
      </c>
      <c r="E8211" t="s">
        <v>47</v>
      </c>
      <c r="F8211" t="s">
        <v>28</v>
      </c>
      <c r="G8211" t="s">
        <v>91</v>
      </c>
      <c r="H8211" t="s">
        <v>128</v>
      </c>
      <c r="I8211">
        <v>9659.9699999999993</v>
      </c>
      <c r="J8211">
        <v>8220.52</v>
      </c>
      <c r="K8211" t="s">
        <v>17</v>
      </c>
      <c r="L8211" t="b">
        <v>0</v>
      </c>
      <c r="N8211" s="2" t="b">
        <f t="shared" si="736"/>
        <v>1</v>
      </c>
      <c r="O8211" t="str">
        <f t="shared" si="738"/>
        <v/>
      </c>
      <c r="Q8211" t="str">
        <f t="shared" si="735"/>
        <v/>
      </c>
    </row>
    <row r="8212" spans="1:17" hidden="1">
      <c r="A8212" t="s">
        <v>8317</v>
      </c>
      <c r="B8212" s="1">
        <v>46013</v>
      </c>
      <c r="C8212">
        <v>2025</v>
      </c>
      <c r="D8212">
        <v>12</v>
      </c>
      <c r="E8212" t="s">
        <v>19</v>
      </c>
      <c r="F8212" t="s">
        <v>14</v>
      </c>
      <c r="G8212" t="s">
        <v>20</v>
      </c>
      <c r="H8212" t="s">
        <v>21</v>
      </c>
      <c r="I8212">
        <v>8779.48</v>
      </c>
      <c r="J8212">
        <v>9541.09</v>
      </c>
      <c r="K8212" t="s">
        <v>17</v>
      </c>
      <c r="L8212" t="b">
        <v>0</v>
      </c>
      <c r="N8212" s="2" t="str">
        <f t="shared" si="736"/>
        <v/>
      </c>
      <c r="Q8212" t="str">
        <f t="shared" si="735"/>
        <v/>
      </c>
    </row>
    <row r="8213" spans="1:17" hidden="1">
      <c r="A8213" t="s">
        <v>8318</v>
      </c>
      <c r="B8213" s="1">
        <v>46013</v>
      </c>
      <c r="C8213">
        <v>2025</v>
      </c>
      <c r="D8213">
        <v>12</v>
      </c>
      <c r="E8213" t="s">
        <v>37</v>
      </c>
      <c r="F8213" t="s">
        <v>24</v>
      </c>
      <c r="G8213" t="s">
        <v>38</v>
      </c>
      <c r="H8213" t="s">
        <v>118</v>
      </c>
      <c r="I8213">
        <v>5752.14</v>
      </c>
      <c r="J8213">
        <v>6305.1</v>
      </c>
      <c r="K8213" t="s">
        <v>17</v>
      </c>
      <c r="L8213" t="b">
        <v>0</v>
      </c>
      <c r="N8213" s="2" t="str">
        <f t="shared" si="736"/>
        <v/>
      </c>
      <c r="Q8213" t="str">
        <f t="shared" si="735"/>
        <v/>
      </c>
    </row>
    <row r="8214" spans="1:17" hidden="1">
      <c r="A8214" t="s">
        <v>8319</v>
      </c>
      <c r="B8214" s="1">
        <v>46014</v>
      </c>
      <c r="C8214">
        <v>2025</v>
      </c>
      <c r="D8214">
        <v>12</v>
      </c>
      <c r="E8214" t="s">
        <v>13</v>
      </c>
      <c r="F8214" t="s">
        <v>28</v>
      </c>
      <c r="G8214" t="s">
        <v>108</v>
      </c>
      <c r="H8214" t="s">
        <v>109</v>
      </c>
      <c r="I8214">
        <v>3142.67</v>
      </c>
      <c r="J8214">
        <v>2834.64</v>
      </c>
      <c r="K8214" t="s">
        <v>17</v>
      </c>
      <c r="L8214" t="b">
        <v>0</v>
      </c>
      <c r="N8214" s="2" t="str">
        <f t="shared" si="736"/>
        <v/>
      </c>
      <c r="Q8214" t="str">
        <f t="shared" si="735"/>
        <v/>
      </c>
    </row>
    <row r="8215" spans="1:17" hidden="1">
      <c r="A8215" t="s">
        <v>8320</v>
      </c>
      <c r="B8215" s="1">
        <v>46014</v>
      </c>
      <c r="C8215">
        <v>2025</v>
      </c>
      <c r="D8215">
        <v>12</v>
      </c>
      <c r="E8215" t="s">
        <v>13</v>
      </c>
      <c r="F8215" t="s">
        <v>24</v>
      </c>
      <c r="G8215" t="s">
        <v>102</v>
      </c>
      <c r="H8215" t="s">
        <v>145</v>
      </c>
      <c r="I8215">
        <v>2966.31</v>
      </c>
      <c r="J8215">
        <v>2697.54</v>
      </c>
      <c r="K8215" t="s">
        <v>17</v>
      </c>
      <c r="L8215" t="b">
        <v>0</v>
      </c>
      <c r="N8215" s="2" t="str">
        <f t="shared" si="736"/>
        <v/>
      </c>
      <c r="Q8215" t="str">
        <f t="shared" si="735"/>
        <v/>
      </c>
    </row>
    <row r="8216" spans="1:17" hidden="1">
      <c r="A8216" t="s">
        <v>8321</v>
      </c>
      <c r="B8216" s="1">
        <v>46014</v>
      </c>
      <c r="C8216">
        <v>2025</v>
      </c>
      <c r="D8216">
        <v>12</v>
      </c>
      <c r="E8216" t="s">
        <v>47</v>
      </c>
      <c r="F8216" t="s">
        <v>14</v>
      </c>
      <c r="G8216" t="s">
        <v>48</v>
      </c>
      <c r="H8216" t="s">
        <v>189</v>
      </c>
      <c r="I8216">
        <v>25239.95</v>
      </c>
      <c r="J8216">
        <v>20997.26</v>
      </c>
      <c r="K8216" t="s">
        <v>17</v>
      </c>
      <c r="L8216" t="b">
        <v>0</v>
      </c>
      <c r="N8216" s="2" t="b">
        <f t="shared" si="736"/>
        <v>1</v>
      </c>
      <c r="O8216" t="str">
        <f t="shared" ref="O8216:O8218" si="739">IF(AND(E8205="HR",K8205="EXPENSE"),I8205&lt;J8205,"")</f>
        <v/>
      </c>
      <c r="Q8216" t="str">
        <f t="shared" si="735"/>
        <v/>
      </c>
    </row>
    <row r="8217" spans="1:17" hidden="1">
      <c r="A8217" t="s">
        <v>8322</v>
      </c>
      <c r="B8217" s="1">
        <v>46014</v>
      </c>
      <c r="C8217">
        <v>2025</v>
      </c>
      <c r="D8217">
        <v>12</v>
      </c>
      <c r="E8217" t="s">
        <v>47</v>
      </c>
      <c r="F8217" t="s">
        <v>28</v>
      </c>
      <c r="G8217" t="s">
        <v>91</v>
      </c>
      <c r="H8217" t="s">
        <v>92</v>
      </c>
      <c r="I8217">
        <v>13503.49</v>
      </c>
      <c r="J8217">
        <v>11360.18</v>
      </c>
      <c r="K8217" t="s">
        <v>17</v>
      </c>
      <c r="L8217" t="b">
        <v>0</v>
      </c>
      <c r="N8217" s="2" t="b">
        <f t="shared" si="736"/>
        <v>1</v>
      </c>
      <c r="O8217" t="str">
        <f t="shared" si="739"/>
        <v/>
      </c>
      <c r="Q8217" t="str">
        <f t="shared" si="735"/>
        <v/>
      </c>
    </row>
    <row r="8218" spans="1:17" hidden="1">
      <c r="A8218" t="s">
        <v>8323</v>
      </c>
      <c r="B8218" s="1">
        <v>46014</v>
      </c>
      <c r="C8218">
        <v>2025</v>
      </c>
      <c r="D8218">
        <v>12</v>
      </c>
      <c r="E8218" t="s">
        <v>47</v>
      </c>
      <c r="F8218" t="s">
        <v>28</v>
      </c>
      <c r="G8218" t="s">
        <v>91</v>
      </c>
      <c r="H8218" t="s">
        <v>128</v>
      </c>
      <c r="I8218">
        <v>11677.78</v>
      </c>
      <c r="J8218">
        <v>9740.76</v>
      </c>
      <c r="K8218" t="s">
        <v>17</v>
      </c>
      <c r="L8218" t="b">
        <v>0</v>
      </c>
      <c r="N8218" s="2" t="b">
        <f t="shared" si="736"/>
        <v>1</v>
      </c>
      <c r="O8218" t="str">
        <f t="shared" si="739"/>
        <v/>
      </c>
      <c r="Q8218" t="str">
        <f t="shared" si="735"/>
        <v/>
      </c>
    </row>
    <row r="8219" spans="1:17" hidden="1">
      <c r="A8219" t="s">
        <v>8324</v>
      </c>
      <c r="B8219" s="1">
        <v>46014</v>
      </c>
      <c r="C8219">
        <v>2025</v>
      </c>
      <c r="D8219">
        <v>12</v>
      </c>
      <c r="E8219" t="s">
        <v>19</v>
      </c>
      <c r="F8219" t="s">
        <v>14</v>
      </c>
      <c r="G8219" t="s">
        <v>54</v>
      </c>
      <c r="H8219" t="s">
        <v>57</v>
      </c>
      <c r="I8219">
        <v>7337.73</v>
      </c>
      <c r="J8219">
        <v>7679.37</v>
      </c>
      <c r="K8219" t="s">
        <v>17</v>
      </c>
      <c r="L8219" t="b">
        <v>0</v>
      </c>
      <c r="N8219" s="2" t="str">
        <f t="shared" si="736"/>
        <v/>
      </c>
      <c r="Q8219" t="str">
        <f t="shared" si="735"/>
        <v/>
      </c>
    </row>
    <row r="8220" spans="1:17" hidden="1">
      <c r="A8220" t="s">
        <v>8325</v>
      </c>
      <c r="B8220" s="1">
        <v>46014</v>
      </c>
      <c r="C8220">
        <v>2025</v>
      </c>
      <c r="D8220">
        <v>12</v>
      </c>
      <c r="E8220" t="s">
        <v>23</v>
      </c>
      <c r="F8220" t="s">
        <v>28</v>
      </c>
      <c r="G8220" t="s">
        <v>25</v>
      </c>
      <c r="H8220" t="s">
        <v>35</v>
      </c>
      <c r="I8220">
        <v>5162.1499999999996</v>
      </c>
      <c r="J8220">
        <v>4873.0600000000004</v>
      </c>
      <c r="K8220" t="s">
        <v>17</v>
      </c>
      <c r="L8220" t="b">
        <v>0</v>
      </c>
      <c r="N8220" s="2" t="str">
        <f t="shared" si="736"/>
        <v/>
      </c>
      <c r="Q8220" t="str">
        <f t="shared" si="735"/>
        <v/>
      </c>
    </row>
    <row r="8221" spans="1:17" hidden="1">
      <c r="A8221" t="s">
        <v>8326</v>
      </c>
      <c r="B8221" s="1">
        <v>46015</v>
      </c>
      <c r="C8221">
        <v>2025</v>
      </c>
      <c r="D8221">
        <v>12</v>
      </c>
      <c r="E8221" t="s">
        <v>47</v>
      </c>
      <c r="F8221" t="s">
        <v>14</v>
      </c>
      <c r="G8221" t="s">
        <v>48</v>
      </c>
      <c r="H8221" t="s">
        <v>49</v>
      </c>
      <c r="I8221">
        <v>13934.31</v>
      </c>
      <c r="J8221">
        <v>11449.96</v>
      </c>
      <c r="K8221" t="s">
        <v>17</v>
      </c>
      <c r="L8221" t="b">
        <v>0</v>
      </c>
      <c r="N8221" s="2" t="b">
        <f t="shared" si="736"/>
        <v>1</v>
      </c>
      <c r="O8221" t="str">
        <f>IF(AND(E8210="HR",K8210="EXPENSE"),I8210&lt;J8210,"")</f>
        <v/>
      </c>
      <c r="Q8221" t="str">
        <f t="shared" si="735"/>
        <v/>
      </c>
    </row>
    <row r="8222" spans="1:17" hidden="1">
      <c r="A8222" t="s">
        <v>8327</v>
      </c>
      <c r="B8222" s="1">
        <v>46015</v>
      </c>
      <c r="C8222">
        <v>2025</v>
      </c>
      <c r="D8222">
        <v>12</v>
      </c>
      <c r="E8222" t="s">
        <v>19</v>
      </c>
      <c r="F8222" t="s">
        <v>14</v>
      </c>
      <c r="G8222" t="s">
        <v>20</v>
      </c>
      <c r="H8222" t="s">
        <v>21</v>
      </c>
      <c r="I8222">
        <v>8149.9</v>
      </c>
      <c r="J8222">
        <v>8623.5</v>
      </c>
      <c r="K8222" t="s">
        <v>17</v>
      </c>
      <c r="L8222" t="b">
        <v>0</v>
      </c>
      <c r="N8222" s="2" t="str">
        <f t="shared" si="736"/>
        <v/>
      </c>
      <c r="Q8222" t="str">
        <f t="shared" si="735"/>
        <v/>
      </c>
    </row>
    <row r="8223" spans="1:17" hidden="1">
      <c r="A8223" t="s">
        <v>8328</v>
      </c>
      <c r="B8223" s="1">
        <v>46015</v>
      </c>
      <c r="C8223">
        <v>2025</v>
      </c>
      <c r="D8223">
        <v>12</v>
      </c>
      <c r="E8223" t="s">
        <v>19</v>
      </c>
      <c r="F8223" t="s">
        <v>24</v>
      </c>
      <c r="G8223" t="s">
        <v>80</v>
      </c>
      <c r="H8223" t="s">
        <v>113</v>
      </c>
      <c r="I8223">
        <v>7567.86</v>
      </c>
      <c r="J8223">
        <v>6977.71</v>
      </c>
      <c r="K8223" t="s">
        <v>17</v>
      </c>
      <c r="L8223" t="b">
        <v>0</v>
      </c>
      <c r="N8223" s="2" t="str">
        <f t="shared" si="736"/>
        <v/>
      </c>
      <c r="Q8223" t="str">
        <f t="shared" si="735"/>
        <v/>
      </c>
    </row>
    <row r="8224" spans="1:17" hidden="1">
      <c r="A8224" t="s">
        <v>8329</v>
      </c>
      <c r="B8224" s="1">
        <v>46015</v>
      </c>
      <c r="C8224">
        <v>2025</v>
      </c>
      <c r="D8224">
        <v>12</v>
      </c>
      <c r="E8224" t="s">
        <v>23</v>
      </c>
      <c r="F8224" t="s">
        <v>14</v>
      </c>
      <c r="G8224" t="s">
        <v>30</v>
      </c>
      <c r="H8224" t="s">
        <v>106</v>
      </c>
      <c r="I8224">
        <v>6327.43</v>
      </c>
      <c r="J8224">
        <v>6360.59</v>
      </c>
      <c r="K8224" t="s">
        <v>17</v>
      </c>
      <c r="L8224" t="b">
        <v>0</v>
      </c>
      <c r="N8224" s="2" t="str">
        <f t="shared" si="736"/>
        <v/>
      </c>
      <c r="Q8224" t="str">
        <f t="shared" si="735"/>
        <v/>
      </c>
    </row>
    <row r="8225" spans="1:17" hidden="1">
      <c r="A8225" t="s">
        <v>8330</v>
      </c>
      <c r="B8225" s="1">
        <v>46015</v>
      </c>
      <c r="C8225">
        <v>2025</v>
      </c>
      <c r="D8225">
        <v>12</v>
      </c>
      <c r="E8225" t="s">
        <v>23</v>
      </c>
      <c r="F8225" t="s">
        <v>14</v>
      </c>
      <c r="G8225" t="s">
        <v>59</v>
      </c>
      <c r="H8225" t="s">
        <v>155</v>
      </c>
      <c r="I8225">
        <v>8397.76</v>
      </c>
      <c r="J8225">
        <v>9200.85</v>
      </c>
      <c r="K8225" t="s">
        <v>17</v>
      </c>
      <c r="L8225" t="b">
        <v>0</v>
      </c>
      <c r="N8225" s="2" t="str">
        <f t="shared" si="736"/>
        <v/>
      </c>
      <c r="Q8225" t="str">
        <f t="shared" si="735"/>
        <v/>
      </c>
    </row>
    <row r="8226" spans="1:17" hidden="1">
      <c r="A8226" t="s">
        <v>8331</v>
      </c>
      <c r="B8226" s="1">
        <v>46015</v>
      </c>
      <c r="C8226">
        <v>2025</v>
      </c>
      <c r="D8226">
        <v>12</v>
      </c>
      <c r="E8226" t="s">
        <v>23</v>
      </c>
      <c r="F8226" t="s">
        <v>24</v>
      </c>
      <c r="G8226" t="s">
        <v>30</v>
      </c>
      <c r="H8226" t="s">
        <v>33</v>
      </c>
      <c r="I8226">
        <v>4867.66</v>
      </c>
      <c r="J8226">
        <v>4681.12</v>
      </c>
      <c r="K8226" t="s">
        <v>17</v>
      </c>
      <c r="L8226" t="b">
        <v>0</v>
      </c>
      <c r="N8226" s="2" t="str">
        <f t="shared" si="736"/>
        <v/>
      </c>
      <c r="Q8226" t="str">
        <f t="shared" si="735"/>
        <v/>
      </c>
    </row>
    <row r="8227" spans="1:17" hidden="1">
      <c r="A8227" t="s">
        <v>8332</v>
      </c>
      <c r="B8227" s="1">
        <v>46015</v>
      </c>
      <c r="C8227">
        <v>2025</v>
      </c>
      <c r="D8227">
        <v>12</v>
      </c>
      <c r="E8227" t="s">
        <v>37</v>
      </c>
      <c r="F8227" t="s">
        <v>24</v>
      </c>
      <c r="G8227" t="s">
        <v>38</v>
      </c>
      <c r="H8227" t="s">
        <v>227</v>
      </c>
      <c r="I8227">
        <v>6209.17</v>
      </c>
      <c r="J8227">
        <v>6286.89</v>
      </c>
      <c r="K8227" t="s">
        <v>17</v>
      </c>
      <c r="L8227" t="b">
        <v>0</v>
      </c>
      <c r="N8227" s="2" t="str">
        <f t="shared" si="736"/>
        <v/>
      </c>
      <c r="Q8227" t="str">
        <f t="shared" si="735"/>
        <v/>
      </c>
    </row>
    <row r="8228" spans="1:17" hidden="1">
      <c r="A8228" t="s">
        <v>8333</v>
      </c>
      <c r="B8228" s="1">
        <v>46016</v>
      </c>
      <c r="C8228">
        <v>2025</v>
      </c>
      <c r="D8228">
        <v>12</v>
      </c>
      <c r="E8228" t="s">
        <v>13</v>
      </c>
      <c r="F8228" t="s">
        <v>24</v>
      </c>
      <c r="G8228" t="s">
        <v>108</v>
      </c>
      <c r="H8228" t="s">
        <v>126</v>
      </c>
      <c r="I8228">
        <v>2579.4499999999998</v>
      </c>
      <c r="J8228">
        <v>2455.96</v>
      </c>
      <c r="K8228" t="s">
        <v>17</v>
      </c>
      <c r="L8228" t="b">
        <v>0</v>
      </c>
      <c r="N8228" s="2" t="str">
        <f t="shared" si="736"/>
        <v/>
      </c>
      <c r="Q8228" t="str">
        <f t="shared" si="735"/>
        <v/>
      </c>
    </row>
    <row r="8229" spans="1:17" hidden="1">
      <c r="A8229" t="s">
        <v>8334</v>
      </c>
      <c r="B8229" s="1">
        <v>46016</v>
      </c>
      <c r="C8229">
        <v>2025</v>
      </c>
      <c r="D8229">
        <v>12</v>
      </c>
      <c r="E8229" t="s">
        <v>13</v>
      </c>
      <c r="F8229" t="s">
        <v>24</v>
      </c>
      <c r="G8229" t="s">
        <v>102</v>
      </c>
      <c r="H8229" t="s">
        <v>145</v>
      </c>
      <c r="I8229">
        <v>1645.81</v>
      </c>
      <c r="J8229">
        <v>1665.4</v>
      </c>
      <c r="K8229" t="s">
        <v>17</v>
      </c>
      <c r="L8229" t="b">
        <v>0</v>
      </c>
      <c r="N8229" s="2" t="str">
        <f t="shared" si="736"/>
        <v/>
      </c>
      <c r="Q8229" t="str">
        <f t="shared" si="735"/>
        <v/>
      </c>
    </row>
    <row r="8230" spans="1:17" hidden="1">
      <c r="A8230" t="s">
        <v>8335</v>
      </c>
      <c r="B8230" s="1">
        <v>46016</v>
      </c>
      <c r="C8230">
        <v>2025</v>
      </c>
      <c r="D8230">
        <v>12</v>
      </c>
      <c r="E8230" t="s">
        <v>47</v>
      </c>
      <c r="F8230" t="s">
        <v>24</v>
      </c>
      <c r="G8230" t="s">
        <v>77</v>
      </c>
      <c r="H8230" t="s">
        <v>147</v>
      </c>
      <c r="I8230">
        <v>13635.08</v>
      </c>
      <c r="J8230">
        <v>11347.72</v>
      </c>
      <c r="K8230" t="s">
        <v>17</v>
      </c>
      <c r="L8230" t="b">
        <v>0</v>
      </c>
      <c r="N8230" s="2" t="b">
        <f t="shared" si="736"/>
        <v>1</v>
      </c>
      <c r="O8230" t="str">
        <f>IF(AND(E8219="HR",K8219="EXPENSE"),I8219&lt;J8219,"")</f>
        <v/>
      </c>
      <c r="Q8230" t="str">
        <f t="shared" si="735"/>
        <v/>
      </c>
    </row>
    <row r="8231" spans="1:17" hidden="1">
      <c r="A8231" t="s">
        <v>8336</v>
      </c>
      <c r="B8231" s="1">
        <v>46016</v>
      </c>
      <c r="C8231">
        <v>2025</v>
      </c>
      <c r="D8231">
        <v>12</v>
      </c>
      <c r="E8231" t="s">
        <v>19</v>
      </c>
      <c r="F8231" t="s">
        <v>24</v>
      </c>
      <c r="G8231" t="s">
        <v>132</v>
      </c>
      <c r="H8231" t="s">
        <v>171</v>
      </c>
      <c r="I8231">
        <v>7849</v>
      </c>
      <c r="J8231">
        <v>7930.42</v>
      </c>
      <c r="K8231" t="s">
        <v>17</v>
      </c>
      <c r="L8231" t="b">
        <v>0</v>
      </c>
      <c r="N8231" s="2" t="str">
        <f t="shared" si="736"/>
        <v/>
      </c>
      <c r="Q8231" t="str">
        <f t="shared" si="735"/>
        <v/>
      </c>
    </row>
    <row r="8232" spans="1:17" hidden="1">
      <c r="A8232" t="s">
        <v>8337</v>
      </c>
      <c r="B8232" s="1">
        <v>46016</v>
      </c>
      <c r="C8232">
        <v>2025</v>
      </c>
      <c r="D8232">
        <v>12</v>
      </c>
      <c r="E8232" t="s">
        <v>23</v>
      </c>
      <c r="F8232" t="s">
        <v>24</v>
      </c>
      <c r="G8232" t="s">
        <v>141</v>
      </c>
      <c r="H8232" t="s">
        <v>209</v>
      </c>
      <c r="I8232">
        <v>6468.41</v>
      </c>
      <c r="J8232">
        <v>6676.8</v>
      </c>
      <c r="K8232" t="s">
        <v>17</v>
      </c>
      <c r="L8232" t="b">
        <v>0</v>
      </c>
      <c r="N8232" s="2" t="str">
        <f t="shared" si="736"/>
        <v/>
      </c>
      <c r="Q8232" t="str">
        <f t="shared" si="735"/>
        <v/>
      </c>
    </row>
    <row r="8233" spans="1:17" hidden="1">
      <c r="A8233" t="s">
        <v>8338</v>
      </c>
      <c r="B8233" s="1">
        <v>46017</v>
      </c>
      <c r="C8233">
        <v>2025</v>
      </c>
      <c r="D8233">
        <v>12</v>
      </c>
      <c r="E8233" t="s">
        <v>13</v>
      </c>
      <c r="F8233" t="s">
        <v>14</v>
      </c>
      <c r="G8233" t="s">
        <v>68</v>
      </c>
      <c r="H8233" t="s">
        <v>213</v>
      </c>
      <c r="I8233">
        <v>2426.5700000000002</v>
      </c>
      <c r="J8233">
        <v>2602</v>
      </c>
      <c r="K8233" t="s">
        <v>17</v>
      </c>
      <c r="L8233" t="b">
        <v>0</v>
      </c>
      <c r="N8233" s="2" t="str">
        <f t="shared" si="736"/>
        <v/>
      </c>
      <c r="Q8233" t="str">
        <f t="shared" si="735"/>
        <v/>
      </c>
    </row>
    <row r="8234" spans="1:17" hidden="1">
      <c r="A8234" t="s">
        <v>8339</v>
      </c>
      <c r="B8234" s="1">
        <v>46017</v>
      </c>
      <c r="C8234">
        <v>2025</v>
      </c>
      <c r="D8234">
        <v>12</v>
      </c>
      <c r="E8234" t="s">
        <v>13</v>
      </c>
      <c r="F8234" t="s">
        <v>28</v>
      </c>
      <c r="G8234" t="s">
        <v>108</v>
      </c>
      <c r="H8234" t="s">
        <v>123</v>
      </c>
      <c r="I8234">
        <v>3661.6</v>
      </c>
      <c r="J8234">
        <v>4016.03</v>
      </c>
      <c r="K8234" t="s">
        <v>17</v>
      </c>
      <c r="L8234" t="b">
        <v>0</v>
      </c>
      <c r="N8234" s="2" t="str">
        <f t="shared" si="736"/>
        <v/>
      </c>
      <c r="Q8234" t="str">
        <f t="shared" si="735"/>
        <v/>
      </c>
    </row>
    <row r="8235" spans="1:17" hidden="1">
      <c r="A8235" t="s">
        <v>8340</v>
      </c>
      <c r="B8235" s="1">
        <v>46017</v>
      </c>
      <c r="C8235">
        <v>2025</v>
      </c>
      <c r="D8235">
        <v>12</v>
      </c>
      <c r="E8235" t="s">
        <v>13</v>
      </c>
      <c r="F8235" t="s">
        <v>24</v>
      </c>
      <c r="G8235" t="s">
        <v>102</v>
      </c>
      <c r="H8235" t="s">
        <v>278</v>
      </c>
      <c r="I8235">
        <v>3598.01</v>
      </c>
      <c r="J8235">
        <v>3459.31</v>
      </c>
      <c r="K8235" t="s">
        <v>17</v>
      </c>
      <c r="L8235" t="b">
        <v>0</v>
      </c>
      <c r="N8235" s="2" t="str">
        <f t="shared" si="736"/>
        <v/>
      </c>
      <c r="Q8235" t="str">
        <f t="shared" si="735"/>
        <v/>
      </c>
    </row>
    <row r="8236" spans="1:17" hidden="1">
      <c r="A8236" t="s">
        <v>8341</v>
      </c>
      <c r="B8236" s="1">
        <v>46017</v>
      </c>
      <c r="C8236">
        <v>2025</v>
      </c>
      <c r="D8236">
        <v>12</v>
      </c>
      <c r="E8236" t="s">
        <v>19</v>
      </c>
      <c r="F8236" t="s">
        <v>14</v>
      </c>
      <c r="G8236" t="s">
        <v>80</v>
      </c>
      <c r="H8236" t="s">
        <v>150</v>
      </c>
      <c r="I8236">
        <v>8562.6200000000008</v>
      </c>
      <c r="J8236">
        <v>7730.97</v>
      </c>
      <c r="K8236" t="s">
        <v>17</v>
      </c>
      <c r="L8236" t="b">
        <v>0</v>
      </c>
      <c r="N8236" s="2" t="str">
        <f t="shared" si="736"/>
        <v/>
      </c>
      <c r="Q8236" t="str">
        <f t="shared" si="735"/>
        <v/>
      </c>
    </row>
    <row r="8237" spans="1:17" hidden="1">
      <c r="A8237" t="s">
        <v>8342</v>
      </c>
      <c r="B8237" s="1">
        <v>46017</v>
      </c>
      <c r="C8237">
        <v>2025</v>
      </c>
      <c r="D8237">
        <v>12</v>
      </c>
      <c r="E8237" t="s">
        <v>19</v>
      </c>
      <c r="F8237" t="s">
        <v>14</v>
      </c>
      <c r="G8237" t="s">
        <v>54</v>
      </c>
      <c r="H8237" t="s">
        <v>57</v>
      </c>
      <c r="I8237">
        <v>8848.7900000000009</v>
      </c>
      <c r="J8237">
        <v>8903.92</v>
      </c>
      <c r="K8237" t="s">
        <v>17</v>
      </c>
      <c r="L8237" t="b">
        <v>0</v>
      </c>
      <c r="N8237" s="2" t="str">
        <f t="shared" si="736"/>
        <v/>
      </c>
      <c r="Q8237" t="str">
        <f t="shared" si="735"/>
        <v/>
      </c>
    </row>
    <row r="8238" spans="1:17" hidden="1">
      <c r="A8238" t="s">
        <v>8343</v>
      </c>
      <c r="B8238" s="1">
        <v>46017</v>
      </c>
      <c r="C8238">
        <v>2025</v>
      </c>
      <c r="D8238">
        <v>12</v>
      </c>
      <c r="E8238" t="s">
        <v>19</v>
      </c>
      <c r="F8238" t="s">
        <v>14</v>
      </c>
      <c r="G8238" t="s">
        <v>20</v>
      </c>
      <c r="H8238" t="s">
        <v>21</v>
      </c>
      <c r="I8238">
        <v>5858.4</v>
      </c>
      <c r="J8238">
        <v>5508.37</v>
      </c>
      <c r="K8238" t="s">
        <v>17</v>
      </c>
      <c r="L8238" t="b">
        <v>0</v>
      </c>
      <c r="N8238" s="2" t="str">
        <f t="shared" si="736"/>
        <v/>
      </c>
      <c r="Q8238" t="str">
        <f t="shared" si="735"/>
        <v/>
      </c>
    </row>
    <row r="8239" spans="1:17" hidden="1">
      <c r="A8239" t="s">
        <v>8344</v>
      </c>
      <c r="B8239" s="1">
        <v>46017</v>
      </c>
      <c r="C8239">
        <v>2025</v>
      </c>
      <c r="D8239">
        <v>12</v>
      </c>
      <c r="E8239" t="s">
        <v>19</v>
      </c>
      <c r="F8239" t="s">
        <v>28</v>
      </c>
      <c r="G8239" t="s">
        <v>20</v>
      </c>
      <c r="H8239" t="s">
        <v>136</v>
      </c>
      <c r="I8239">
        <v>7980.78</v>
      </c>
      <c r="J8239">
        <v>7678.71</v>
      </c>
      <c r="K8239" t="s">
        <v>17</v>
      </c>
      <c r="L8239" t="b">
        <v>0</v>
      </c>
      <c r="N8239" s="2" t="str">
        <f t="shared" si="736"/>
        <v/>
      </c>
      <c r="Q8239" t="str">
        <f t="shared" si="735"/>
        <v/>
      </c>
    </row>
    <row r="8240" spans="1:17" hidden="1">
      <c r="A8240" t="s">
        <v>8345</v>
      </c>
      <c r="B8240" s="1">
        <v>46017</v>
      </c>
      <c r="C8240">
        <v>2025</v>
      </c>
      <c r="D8240">
        <v>12</v>
      </c>
      <c r="E8240" t="s">
        <v>23</v>
      </c>
      <c r="F8240" t="s">
        <v>14</v>
      </c>
      <c r="G8240" t="s">
        <v>59</v>
      </c>
      <c r="H8240" t="s">
        <v>60</v>
      </c>
      <c r="I8240">
        <v>8724.64</v>
      </c>
      <c r="J8240">
        <v>9085.93</v>
      </c>
      <c r="K8240" t="s">
        <v>17</v>
      </c>
      <c r="L8240" t="b">
        <v>0</v>
      </c>
      <c r="N8240" s="2" t="str">
        <f t="shared" si="736"/>
        <v/>
      </c>
      <c r="Q8240" t="str">
        <f t="shared" ref="Q8240:Q8280" si="740">IF(L8240=TRUE,OR(H8240="Apex Solutions Inc",H8240="Global Trade Partners",H8240="NovaTech Services"),"")</f>
        <v/>
      </c>
    </row>
    <row r="8241" spans="1:17" hidden="1">
      <c r="A8241" t="s">
        <v>8346</v>
      </c>
      <c r="B8241" s="1">
        <v>46017</v>
      </c>
      <c r="C8241">
        <v>2025</v>
      </c>
      <c r="D8241">
        <v>12</v>
      </c>
      <c r="E8241" t="s">
        <v>23</v>
      </c>
      <c r="F8241" t="s">
        <v>24</v>
      </c>
      <c r="G8241" t="s">
        <v>30</v>
      </c>
      <c r="H8241" t="s">
        <v>31</v>
      </c>
      <c r="I8241">
        <v>5864.16</v>
      </c>
      <c r="J8241">
        <v>5624.45</v>
      </c>
      <c r="K8241" t="s">
        <v>17</v>
      </c>
      <c r="L8241" t="b">
        <v>0</v>
      </c>
      <c r="N8241" s="2" t="str">
        <f t="shared" si="736"/>
        <v/>
      </c>
      <c r="Q8241" t="str">
        <f t="shared" si="740"/>
        <v/>
      </c>
    </row>
    <row r="8242" spans="1:17" hidden="1">
      <c r="A8242" t="s">
        <v>8347</v>
      </c>
      <c r="B8242" s="1">
        <v>46017</v>
      </c>
      <c r="C8242">
        <v>2025</v>
      </c>
      <c r="D8242">
        <v>12</v>
      </c>
      <c r="E8242" t="s">
        <v>37</v>
      </c>
      <c r="F8242" t="s">
        <v>14</v>
      </c>
      <c r="G8242" t="s">
        <v>38</v>
      </c>
      <c r="H8242" t="s">
        <v>39</v>
      </c>
      <c r="I8242">
        <v>4229.09</v>
      </c>
      <c r="J8242">
        <v>3808.29</v>
      </c>
      <c r="K8242" t="s">
        <v>17</v>
      </c>
      <c r="L8242" t="b">
        <v>0</v>
      </c>
      <c r="N8242" s="2" t="str">
        <f t="shared" si="736"/>
        <v/>
      </c>
      <c r="Q8242" t="str">
        <f t="shared" si="740"/>
        <v/>
      </c>
    </row>
    <row r="8243" spans="1:17" hidden="1">
      <c r="A8243" t="s">
        <v>8348</v>
      </c>
      <c r="B8243" s="1">
        <v>46017</v>
      </c>
      <c r="C8243">
        <v>2025</v>
      </c>
      <c r="D8243">
        <v>12</v>
      </c>
      <c r="E8243" t="s">
        <v>37</v>
      </c>
      <c r="F8243" t="s">
        <v>24</v>
      </c>
      <c r="G8243" t="s">
        <v>38</v>
      </c>
      <c r="H8243" t="s">
        <v>39</v>
      </c>
      <c r="I8243">
        <v>7060.6</v>
      </c>
      <c r="J8243">
        <v>6613.64</v>
      </c>
      <c r="K8243" t="s">
        <v>17</v>
      </c>
      <c r="L8243" t="b">
        <v>0</v>
      </c>
      <c r="N8243" s="2" t="str">
        <f t="shared" si="736"/>
        <v/>
      </c>
      <c r="Q8243" t="str">
        <f t="shared" si="740"/>
        <v/>
      </c>
    </row>
    <row r="8244" spans="1:17" hidden="1">
      <c r="A8244" t="s">
        <v>8349</v>
      </c>
      <c r="B8244" s="1">
        <v>46017</v>
      </c>
      <c r="C8244">
        <v>2025</v>
      </c>
      <c r="D8244">
        <v>12</v>
      </c>
      <c r="E8244" t="s">
        <v>37</v>
      </c>
      <c r="F8244" t="s">
        <v>28</v>
      </c>
      <c r="G8244" t="s">
        <v>83</v>
      </c>
      <c r="H8244" t="s">
        <v>84</v>
      </c>
      <c r="I8244">
        <v>256610.69</v>
      </c>
      <c r="J8244">
        <v>243780.16</v>
      </c>
      <c r="K8244" t="s">
        <v>85</v>
      </c>
      <c r="L8244" t="b">
        <v>0</v>
      </c>
      <c r="N8244" s="2" t="str">
        <f t="shared" si="736"/>
        <v/>
      </c>
      <c r="Q8244" t="str">
        <f t="shared" si="740"/>
        <v/>
      </c>
    </row>
    <row r="8245" spans="1:17" hidden="1">
      <c r="A8245" t="s">
        <v>8350</v>
      </c>
      <c r="B8245" s="1">
        <v>46018</v>
      </c>
      <c r="C8245">
        <v>2025</v>
      </c>
      <c r="D8245">
        <v>12</v>
      </c>
      <c r="E8245" t="s">
        <v>13</v>
      </c>
      <c r="F8245" t="s">
        <v>28</v>
      </c>
      <c r="G8245" t="s">
        <v>68</v>
      </c>
      <c r="H8245" t="s">
        <v>213</v>
      </c>
      <c r="I8245">
        <v>2508.0300000000002</v>
      </c>
      <c r="J8245">
        <v>2678.78</v>
      </c>
      <c r="K8245" t="s">
        <v>17</v>
      </c>
      <c r="L8245" t="b">
        <v>0</v>
      </c>
      <c r="N8245" s="2" t="str">
        <f t="shared" si="736"/>
        <v/>
      </c>
      <c r="Q8245" t="str">
        <f t="shared" si="740"/>
        <v/>
      </c>
    </row>
    <row r="8246" spans="1:17" hidden="1">
      <c r="A8246" t="s">
        <v>8351</v>
      </c>
      <c r="B8246" s="1">
        <v>46018</v>
      </c>
      <c r="C8246">
        <v>2025</v>
      </c>
      <c r="D8246">
        <v>12</v>
      </c>
      <c r="E8246" t="s">
        <v>47</v>
      </c>
      <c r="F8246" t="s">
        <v>24</v>
      </c>
      <c r="G8246" t="s">
        <v>91</v>
      </c>
      <c r="H8246" t="s">
        <v>249</v>
      </c>
      <c r="I8246">
        <v>11941.73</v>
      </c>
      <c r="J8246">
        <v>10048.950000000001</v>
      </c>
      <c r="K8246" t="s">
        <v>17</v>
      </c>
      <c r="L8246" t="b">
        <v>0</v>
      </c>
      <c r="N8246" s="2" t="b">
        <f t="shared" si="736"/>
        <v>1</v>
      </c>
      <c r="O8246" t="b">
        <f>IF(AND(E8235="HR",K8235="EXPENSE"),I8235&lt;J8235,"")</f>
        <v>0</v>
      </c>
      <c r="Q8246" t="str">
        <f t="shared" si="740"/>
        <v/>
      </c>
    </row>
    <row r="8247" spans="1:17" hidden="1">
      <c r="A8247" t="s">
        <v>8352</v>
      </c>
      <c r="B8247" s="1">
        <v>46018</v>
      </c>
      <c r="C8247">
        <v>2025</v>
      </c>
      <c r="D8247">
        <v>12</v>
      </c>
      <c r="E8247" t="s">
        <v>19</v>
      </c>
      <c r="F8247" t="s">
        <v>28</v>
      </c>
      <c r="G8247" t="s">
        <v>20</v>
      </c>
      <c r="H8247" t="s">
        <v>174</v>
      </c>
      <c r="I8247">
        <v>4801.24</v>
      </c>
      <c r="J8247">
        <v>4994.5200000000004</v>
      </c>
      <c r="K8247" t="s">
        <v>17</v>
      </c>
      <c r="L8247" t="b">
        <v>0</v>
      </c>
      <c r="N8247" s="2" t="str">
        <f t="shared" si="736"/>
        <v/>
      </c>
      <c r="Q8247" t="str">
        <f t="shared" si="740"/>
        <v/>
      </c>
    </row>
    <row r="8248" spans="1:17" hidden="1">
      <c r="A8248" t="s">
        <v>8353</v>
      </c>
      <c r="B8248" s="1">
        <v>46018</v>
      </c>
      <c r="C8248">
        <v>2025</v>
      </c>
      <c r="D8248">
        <v>12</v>
      </c>
      <c r="E8248" t="s">
        <v>23</v>
      </c>
      <c r="F8248" t="s">
        <v>28</v>
      </c>
      <c r="G8248" t="s">
        <v>59</v>
      </c>
      <c r="H8248" t="s">
        <v>155</v>
      </c>
      <c r="I8248">
        <v>5092.26</v>
      </c>
      <c r="J8248">
        <v>5189.0200000000004</v>
      </c>
      <c r="K8248" t="s">
        <v>17</v>
      </c>
      <c r="L8248" t="b">
        <v>0</v>
      </c>
      <c r="N8248" s="2" t="str">
        <f t="shared" si="736"/>
        <v/>
      </c>
      <c r="Q8248" t="str">
        <f t="shared" si="740"/>
        <v/>
      </c>
    </row>
    <row r="8249" spans="1:17" hidden="1">
      <c r="A8249" t="s">
        <v>8354</v>
      </c>
      <c r="B8249" s="1">
        <v>46018</v>
      </c>
      <c r="C8249">
        <v>2025</v>
      </c>
      <c r="D8249">
        <v>12</v>
      </c>
      <c r="E8249" t="s">
        <v>23</v>
      </c>
      <c r="F8249" t="s">
        <v>24</v>
      </c>
      <c r="G8249" t="s">
        <v>25</v>
      </c>
      <c r="H8249" t="s">
        <v>26</v>
      </c>
      <c r="I8249">
        <v>5695.52</v>
      </c>
      <c r="J8249">
        <v>5886.67</v>
      </c>
      <c r="K8249" t="s">
        <v>17</v>
      </c>
      <c r="L8249" t="b">
        <v>0</v>
      </c>
      <c r="N8249" s="2" t="str">
        <f t="shared" si="736"/>
        <v/>
      </c>
      <c r="Q8249" t="str">
        <f t="shared" si="740"/>
        <v/>
      </c>
    </row>
    <row r="8250" spans="1:17" hidden="1">
      <c r="A8250" t="s">
        <v>8355</v>
      </c>
      <c r="B8250" s="1">
        <v>46018</v>
      </c>
      <c r="C8250">
        <v>2025</v>
      </c>
      <c r="D8250">
        <v>12</v>
      </c>
      <c r="E8250" t="s">
        <v>37</v>
      </c>
      <c r="F8250" t="s">
        <v>14</v>
      </c>
      <c r="G8250" t="s">
        <v>98</v>
      </c>
      <c r="H8250" t="s">
        <v>99</v>
      </c>
      <c r="I8250">
        <v>4306.53</v>
      </c>
      <c r="J8250">
        <v>4619.1899999999996</v>
      </c>
      <c r="K8250" t="s">
        <v>17</v>
      </c>
      <c r="L8250" t="b">
        <v>0</v>
      </c>
      <c r="N8250" s="2" t="str">
        <f t="shared" si="736"/>
        <v/>
      </c>
      <c r="Q8250" t="str">
        <f t="shared" si="740"/>
        <v/>
      </c>
    </row>
    <row r="8251" spans="1:17" hidden="1">
      <c r="A8251" t="s">
        <v>8356</v>
      </c>
      <c r="B8251" s="1">
        <v>46018</v>
      </c>
      <c r="C8251">
        <v>2025</v>
      </c>
      <c r="D8251">
        <v>12</v>
      </c>
      <c r="E8251" t="s">
        <v>37</v>
      </c>
      <c r="F8251" t="s">
        <v>28</v>
      </c>
      <c r="G8251" t="s">
        <v>62</v>
      </c>
      <c r="H8251" t="s">
        <v>63</v>
      </c>
      <c r="I8251">
        <v>5287.08</v>
      </c>
      <c r="J8251">
        <v>4809.0200000000004</v>
      </c>
      <c r="K8251" t="s">
        <v>17</v>
      </c>
      <c r="L8251" t="b">
        <v>0</v>
      </c>
      <c r="N8251" s="2" t="str">
        <f t="shared" si="736"/>
        <v/>
      </c>
      <c r="Q8251" t="str">
        <f t="shared" si="740"/>
        <v/>
      </c>
    </row>
    <row r="8252" spans="1:17" hidden="1">
      <c r="A8252" t="s">
        <v>8357</v>
      </c>
      <c r="B8252" s="1">
        <v>46018</v>
      </c>
      <c r="C8252">
        <v>2025</v>
      </c>
      <c r="D8252">
        <v>12</v>
      </c>
      <c r="E8252" t="s">
        <v>37</v>
      </c>
      <c r="F8252" t="s">
        <v>28</v>
      </c>
      <c r="G8252" t="s">
        <v>62</v>
      </c>
      <c r="H8252" t="s">
        <v>121</v>
      </c>
      <c r="I8252">
        <v>3160.78</v>
      </c>
      <c r="J8252">
        <v>2932.33</v>
      </c>
      <c r="K8252" t="s">
        <v>17</v>
      </c>
      <c r="L8252" t="b">
        <v>0</v>
      </c>
      <c r="N8252" s="2" t="str">
        <f t="shared" si="736"/>
        <v/>
      </c>
      <c r="Q8252" t="str">
        <f t="shared" si="740"/>
        <v/>
      </c>
    </row>
    <row r="8253" spans="1:17" hidden="1">
      <c r="A8253" t="s">
        <v>8358</v>
      </c>
      <c r="B8253" s="1">
        <v>46019</v>
      </c>
      <c r="C8253">
        <v>2025</v>
      </c>
      <c r="D8253">
        <v>12</v>
      </c>
      <c r="E8253" t="s">
        <v>13</v>
      </c>
      <c r="F8253" t="s">
        <v>24</v>
      </c>
      <c r="G8253" t="s">
        <v>102</v>
      </c>
      <c r="H8253" t="s">
        <v>145</v>
      </c>
      <c r="I8253">
        <v>3380.4</v>
      </c>
      <c r="J8253">
        <v>3384.35</v>
      </c>
      <c r="K8253" t="s">
        <v>17</v>
      </c>
      <c r="L8253" t="b">
        <v>0</v>
      </c>
      <c r="N8253" s="2" t="str">
        <f t="shared" si="736"/>
        <v/>
      </c>
      <c r="Q8253" t="str">
        <f t="shared" si="740"/>
        <v/>
      </c>
    </row>
    <row r="8254" spans="1:17" hidden="1">
      <c r="A8254" t="s">
        <v>8359</v>
      </c>
      <c r="B8254" s="1">
        <v>46019</v>
      </c>
      <c r="C8254">
        <v>2025</v>
      </c>
      <c r="D8254">
        <v>12</v>
      </c>
      <c r="E8254" t="s">
        <v>13</v>
      </c>
      <c r="F8254" t="s">
        <v>24</v>
      </c>
      <c r="G8254" t="s">
        <v>102</v>
      </c>
      <c r="H8254" t="s">
        <v>103</v>
      </c>
      <c r="I8254">
        <v>3377.03</v>
      </c>
      <c r="J8254">
        <v>3349.75</v>
      </c>
      <c r="K8254" t="s">
        <v>17</v>
      </c>
      <c r="L8254" t="b">
        <v>0</v>
      </c>
      <c r="N8254" s="2" t="str">
        <f t="shared" si="736"/>
        <v/>
      </c>
      <c r="Q8254" t="str">
        <f t="shared" si="740"/>
        <v/>
      </c>
    </row>
    <row r="8255" spans="1:17" hidden="1">
      <c r="A8255" t="s">
        <v>8360</v>
      </c>
      <c r="B8255" s="1">
        <v>46019</v>
      </c>
      <c r="C8255">
        <v>2025</v>
      </c>
      <c r="D8255">
        <v>12</v>
      </c>
      <c r="E8255" t="s">
        <v>47</v>
      </c>
      <c r="F8255" t="s">
        <v>28</v>
      </c>
      <c r="G8255" t="s">
        <v>48</v>
      </c>
      <c r="H8255" t="s">
        <v>111</v>
      </c>
      <c r="I8255">
        <v>13068.08</v>
      </c>
      <c r="J8255">
        <v>11158.13</v>
      </c>
      <c r="K8255" t="s">
        <v>17</v>
      </c>
      <c r="L8255" t="b">
        <v>0</v>
      </c>
      <c r="N8255" s="2" t="b">
        <f t="shared" si="736"/>
        <v>1</v>
      </c>
      <c r="O8255" t="str">
        <f t="shared" ref="O8255:O8257" si="741">IF(AND(E8244="HR",K8244="EXPENSE"),I8244&lt;J8244,"")</f>
        <v/>
      </c>
      <c r="Q8255" t="str">
        <f t="shared" si="740"/>
        <v/>
      </c>
    </row>
    <row r="8256" spans="1:17" hidden="1">
      <c r="A8256" t="s">
        <v>8361</v>
      </c>
      <c r="B8256" s="1">
        <v>46019</v>
      </c>
      <c r="C8256">
        <v>2025</v>
      </c>
      <c r="D8256">
        <v>12</v>
      </c>
      <c r="E8256" t="s">
        <v>47</v>
      </c>
      <c r="F8256" t="s">
        <v>24</v>
      </c>
      <c r="G8256" t="s">
        <v>91</v>
      </c>
      <c r="H8256" t="s">
        <v>92</v>
      </c>
      <c r="I8256">
        <v>6963.26</v>
      </c>
      <c r="J8256">
        <v>5856.74</v>
      </c>
      <c r="K8256" t="s">
        <v>17</v>
      </c>
      <c r="L8256" t="b">
        <v>0</v>
      </c>
      <c r="N8256" s="2" t="b">
        <f t="shared" si="736"/>
        <v>1</v>
      </c>
      <c r="O8256" t="b">
        <f t="shared" si="741"/>
        <v>1</v>
      </c>
      <c r="Q8256" t="str">
        <f t="shared" si="740"/>
        <v/>
      </c>
    </row>
    <row r="8257" spans="1:17" hidden="1">
      <c r="A8257" t="s">
        <v>8362</v>
      </c>
      <c r="B8257" s="1">
        <v>46019</v>
      </c>
      <c r="C8257">
        <v>2025</v>
      </c>
      <c r="D8257">
        <v>12</v>
      </c>
      <c r="E8257" t="s">
        <v>47</v>
      </c>
      <c r="F8257" t="s">
        <v>24</v>
      </c>
      <c r="G8257" t="s">
        <v>77</v>
      </c>
      <c r="H8257" t="s">
        <v>147</v>
      </c>
      <c r="I8257">
        <v>13132.28</v>
      </c>
      <c r="J8257">
        <v>10924.95</v>
      </c>
      <c r="K8257" t="s">
        <v>17</v>
      </c>
      <c r="L8257" t="b">
        <v>0</v>
      </c>
      <c r="N8257" s="2" t="b">
        <f t="shared" si="736"/>
        <v>1</v>
      </c>
      <c r="O8257" t="str">
        <f t="shared" si="741"/>
        <v/>
      </c>
      <c r="Q8257" t="str">
        <f t="shared" si="740"/>
        <v/>
      </c>
    </row>
    <row r="8258" spans="1:17" hidden="1">
      <c r="A8258" t="s">
        <v>8363</v>
      </c>
      <c r="B8258" s="1">
        <v>46019</v>
      </c>
      <c r="C8258">
        <v>2025</v>
      </c>
      <c r="D8258">
        <v>12</v>
      </c>
      <c r="E8258" t="s">
        <v>23</v>
      </c>
      <c r="F8258" t="s">
        <v>24</v>
      </c>
      <c r="G8258" t="s">
        <v>30</v>
      </c>
      <c r="H8258" t="s">
        <v>31</v>
      </c>
      <c r="I8258">
        <v>4355.25</v>
      </c>
      <c r="J8258">
        <v>4235.6899999999996</v>
      </c>
      <c r="K8258" t="s">
        <v>17</v>
      </c>
      <c r="L8258" t="b">
        <v>0</v>
      </c>
      <c r="N8258" s="2" t="str">
        <f t="shared" si="736"/>
        <v/>
      </c>
      <c r="Q8258" t="str">
        <f t="shared" si="740"/>
        <v/>
      </c>
    </row>
    <row r="8259" spans="1:17" hidden="1">
      <c r="A8259" t="s">
        <v>8364</v>
      </c>
      <c r="B8259" s="1">
        <v>46019</v>
      </c>
      <c r="C8259">
        <v>2025</v>
      </c>
      <c r="D8259">
        <v>12</v>
      </c>
      <c r="E8259" t="s">
        <v>37</v>
      </c>
      <c r="F8259" t="s">
        <v>14</v>
      </c>
      <c r="G8259" t="s">
        <v>38</v>
      </c>
      <c r="H8259" t="s">
        <v>118</v>
      </c>
      <c r="I8259">
        <v>3398.42</v>
      </c>
      <c r="J8259">
        <v>3386.36</v>
      </c>
      <c r="K8259" t="s">
        <v>17</v>
      </c>
      <c r="L8259" t="b">
        <v>0</v>
      </c>
      <c r="N8259" s="2" t="str">
        <f t="shared" ref="N8259:N8280" si="742">IF(AND(E8259="IT",K8259="EXPENSE"),I8259&gt;J8259,"")</f>
        <v/>
      </c>
      <c r="Q8259" t="str">
        <f t="shared" si="740"/>
        <v/>
      </c>
    </row>
    <row r="8260" spans="1:17" hidden="1">
      <c r="A8260" t="s">
        <v>8365</v>
      </c>
      <c r="B8260" s="1">
        <v>46019</v>
      </c>
      <c r="C8260">
        <v>2025</v>
      </c>
      <c r="D8260">
        <v>12</v>
      </c>
      <c r="E8260" t="s">
        <v>37</v>
      </c>
      <c r="F8260" t="s">
        <v>28</v>
      </c>
      <c r="G8260" t="s">
        <v>98</v>
      </c>
      <c r="H8260" t="s">
        <v>185</v>
      </c>
      <c r="I8260">
        <v>2381.52</v>
      </c>
      <c r="J8260">
        <v>2201.9</v>
      </c>
      <c r="K8260" t="s">
        <v>17</v>
      </c>
      <c r="L8260" t="b">
        <v>0</v>
      </c>
      <c r="N8260" s="2" t="str">
        <f t="shared" si="742"/>
        <v/>
      </c>
      <c r="Q8260" t="str">
        <f t="shared" si="740"/>
        <v/>
      </c>
    </row>
    <row r="8261" spans="1:17" hidden="1">
      <c r="A8261" t="s">
        <v>8366</v>
      </c>
      <c r="B8261" s="1">
        <v>46020</v>
      </c>
      <c r="C8261">
        <v>2025</v>
      </c>
      <c r="D8261">
        <v>12</v>
      </c>
      <c r="E8261" t="s">
        <v>19</v>
      </c>
      <c r="F8261" t="s">
        <v>28</v>
      </c>
      <c r="G8261" t="s">
        <v>80</v>
      </c>
      <c r="H8261" t="s">
        <v>217</v>
      </c>
      <c r="I8261">
        <v>5885.83</v>
      </c>
      <c r="J8261">
        <v>5403.76</v>
      </c>
      <c r="K8261" t="s">
        <v>17</v>
      </c>
      <c r="L8261" t="b">
        <v>0</v>
      </c>
      <c r="N8261" s="2" t="str">
        <f t="shared" si="742"/>
        <v/>
      </c>
      <c r="Q8261" t="str">
        <f t="shared" si="740"/>
        <v/>
      </c>
    </row>
    <row r="8262" spans="1:17" hidden="1">
      <c r="A8262" t="s">
        <v>8367</v>
      </c>
      <c r="B8262" s="1">
        <v>46020</v>
      </c>
      <c r="C8262">
        <v>2025</v>
      </c>
      <c r="D8262">
        <v>12</v>
      </c>
      <c r="E8262" t="s">
        <v>19</v>
      </c>
      <c r="F8262" t="s">
        <v>28</v>
      </c>
      <c r="G8262" t="s">
        <v>54</v>
      </c>
      <c r="H8262" t="s">
        <v>163</v>
      </c>
      <c r="I8262">
        <v>7296.49</v>
      </c>
      <c r="J8262">
        <v>7685.01</v>
      </c>
      <c r="K8262" t="s">
        <v>17</v>
      </c>
      <c r="L8262" t="b">
        <v>0</v>
      </c>
      <c r="N8262" s="2" t="str">
        <f t="shared" si="742"/>
        <v/>
      </c>
      <c r="Q8262" t="str">
        <f t="shared" si="740"/>
        <v/>
      </c>
    </row>
    <row r="8263" spans="1:17" hidden="1">
      <c r="A8263" t="s">
        <v>8368</v>
      </c>
      <c r="B8263" s="1">
        <v>46020</v>
      </c>
      <c r="C8263">
        <v>2025</v>
      </c>
      <c r="D8263">
        <v>12</v>
      </c>
      <c r="E8263" t="s">
        <v>19</v>
      </c>
      <c r="F8263" t="s">
        <v>24</v>
      </c>
      <c r="G8263" t="s">
        <v>80</v>
      </c>
      <c r="H8263" t="s">
        <v>217</v>
      </c>
      <c r="I8263">
        <v>6907.49</v>
      </c>
      <c r="J8263">
        <v>6723.14</v>
      </c>
      <c r="K8263" t="s">
        <v>17</v>
      </c>
      <c r="L8263" t="b">
        <v>0</v>
      </c>
      <c r="N8263" s="2" t="str">
        <f t="shared" si="742"/>
        <v/>
      </c>
      <c r="Q8263" t="str">
        <f t="shared" si="740"/>
        <v/>
      </c>
    </row>
    <row r="8264" spans="1:17" hidden="1">
      <c r="A8264" t="s">
        <v>8369</v>
      </c>
      <c r="B8264" s="1">
        <v>46020</v>
      </c>
      <c r="C8264">
        <v>2025</v>
      </c>
      <c r="D8264">
        <v>12</v>
      </c>
      <c r="E8264" t="s">
        <v>23</v>
      </c>
      <c r="F8264" t="s">
        <v>28</v>
      </c>
      <c r="G8264" t="s">
        <v>141</v>
      </c>
      <c r="H8264" t="s">
        <v>209</v>
      </c>
      <c r="I8264">
        <v>5139.2299999999996</v>
      </c>
      <c r="J8264">
        <v>4898.3999999999996</v>
      </c>
      <c r="K8264" t="s">
        <v>17</v>
      </c>
      <c r="L8264" t="b">
        <v>0</v>
      </c>
      <c r="N8264" s="2" t="str">
        <f t="shared" si="742"/>
        <v/>
      </c>
      <c r="Q8264" t="str">
        <f t="shared" si="740"/>
        <v/>
      </c>
    </row>
    <row r="8265" spans="1:17" hidden="1">
      <c r="A8265" t="s">
        <v>8370</v>
      </c>
      <c r="B8265" s="1">
        <v>46020</v>
      </c>
      <c r="C8265">
        <v>2025</v>
      </c>
      <c r="D8265">
        <v>12</v>
      </c>
      <c r="E8265" t="s">
        <v>37</v>
      </c>
      <c r="F8265" t="s">
        <v>14</v>
      </c>
      <c r="G8265" t="s">
        <v>98</v>
      </c>
      <c r="H8265" t="s">
        <v>99</v>
      </c>
      <c r="I8265">
        <v>5480.9</v>
      </c>
      <c r="J8265">
        <v>5976.24</v>
      </c>
      <c r="K8265" t="s">
        <v>17</v>
      </c>
      <c r="L8265" t="b">
        <v>0</v>
      </c>
      <c r="N8265" s="2" t="str">
        <f t="shared" si="742"/>
        <v/>
      </c>
      <c r="Q8265" t="str">
        <f t="shared" si="740"/>
        <v/>
      </c>
    </row>
    <row r="8266" spans="1:17" hidden="1">
      <c r="A8266" t="s">
        <v>8371</v>
      </c>
      <c r="B8266" s="1">
        <v>46020</v>
      </c>
      <c r="C8266">
        <v>2025</v>
      </c>
      <c r="D8266">
        <v>12</v>
      </c>
      <c r="E8266" t="s">
        <v>37</v>
      </c>
      <c r="F8266" t="s">
        <v>24</v>
      </c>
      <c r="G8266" t="s">
        <v>38</v>
      </c>
      <c r="H8266" t="s">
        <v>39</v>
      </c>
      <c r="I8266">
        <v>3600.37</v>
      </c>
      <c r="J8266">
        <v>3581.96</v>
      </c>
      <c r="K8266" t="s">
        <v>17</v>
      </c>
      <c r="L8266" t="b">
        <v>0</v>
      </c>
      <c r="N8266" s="2" t="str">
        <f t="shared" si="742"/>
        <v/>
      </c>
      <c r="Q8266" t="str">
        <f t="shared" si="740"/>
        <v/>
      </c>
    </row>
    <row r="8267" spans="1:17" hidden="1">
      <c r="A8267" t="s">
        <v>8372</v>
      </c>
      <c r="B8267" s="1">
        <v>46021</v>
      </c>
      <c r="C8267">
        <v>2025</v>
      </c>
      <c r="D8267">
        <v>12</v>
      </c>
      <c r="E8267" t="s">
        <v>47</v>
      </c>
      <c r="F8267" t="s">
        <v>28</v>
      </c>
      <c r="G8267" t="s">
        <v>51</v>
      </c>
      <c r="H8267" t="s">
        <v>189</v>
      </c>
      <c r="I8267">
        <v>13984.93</v>
      </c>
      <c r="J8267">
        <v>11921.16</v>
      </c>
      <c r="K8267" t="s">
        <v>17</v>
      </c>
      <c r="L8267" t="b">
        <v>0</v>
      </c>
      <c r="N8267" s="2" t="b">
        <f t="shared" si="742"/>
        <v>1</v>
      </c>
      <c r="O8267" t="str">
        <f t="shared" ref="O8267:O8269" si="743">IF(AND(E8256="HR",K8256="EXPENSE"),I8256&lt;J8256,"")</f>
        <v/>
      </c>
      <c r="Q8267" t="str">
        <f t="shared" si="740"/>
        <v/>
      </c>
    </row>
    <row r="8268" spans="1:17" hidden="1">
      <c r="A8268" t="s">
        <v>8373</v>
      </c>
      <c r="B8268" s="1">
        <v>46021</v>
      </c>
      <c r="C8268">
        <v>2025</v>
      </c>
      <c r="D8268">
        <v>12</v>
      </c>
      <c r="E8268" t="s">
        <v>47</v>
      </c>
      <c r="F8268" t="s">
        <v>28</v>
      </c>
      <c r="G8268" t="s">
        <v>48</v>
      </c>
      <c r="H8268" t="s">
        <v>191</v>
      </c>
      <c r="I8268">
        <v>8308.14</v>
      </c>
      <c r="J8268">
        <v>6989.54</v>
      </c>
      <c r="K8268" t="s">
        <v>17</v>
      </c>
      <c r="L8268" t="b">
        <v>0</v>
      </c>
      <c r="N8268" s="2" t="b">
        <f t="shared" si="742"/>
        <v>1</v>
      </c>
      <c r="O8268" t="str">
        <f t="shared" si="743"/>
        <v/>
      </c>
      <c r="Q8268" t="str">
        <f t="shared" si="740"/>
        <v/>
      </c>
    </row>
    <row r="8269" spans="1:17" hidden="1">
      <c r="A8269" t="s">
        <v>8374</v>
      </c>
      <c r="B8269" s="1">
        <v>46021</v>
      </c>
      <c r="C8269">
        <v>2025</v>
      </c>
      <c r="D8269">
        <v>12</v>
      </c>
      <c r="E8269" t="s">
        <v>47</v>
      </c>
      <c r="F8269" t="s">
        <v>24</v>
      </c>
      <c r="G8269" t="s">
        <v>51</v>
      </c>
      <c r="H8269" t="s">
        <v>52</v>
      </c>
      <c r="I8269">
        <v>14106.61</v>
      </c>
      <c r="J8269">
        <v>11813.31</v>
      </c>
      <c r="K8269" t="s">
        <v>17</v>
      </c>
      <c r="L8269" t="b">
        <v>0</v>
      </c>
      <c r="N8269" s="2" t="b">
        <f t="shared" si="742"/>
        <v>1</v>
      </c>
      <c r="O8269" t="str">
        <f t="shared" si="743"/>
        <v/>
      </c>
      <c r="Q8269" t="str">
        <f t="shared" si="740"/>
        <v/>
      </c>
    </row>
    <row r="8270" spans="1:17" hidden="1">
      <c r="A8270" t="s">
        <v>8375</v>
      </c>
      <c r="B8270" s="1">
        <v>46021</v>
      </c>
      <c r="C8270">
        <v>2025</v>
      </c>
      <c r="D8270">
        <v>12</v>
      </c>
      <c r="E8270" t="s">
        <v>19</v>
      </c>
      <c r="F8270" t="s">
        <v>28</v>
      </c>
      <c r="G8270" t="s">
        <v>80</v>
      </c>
      <c r="H8270" t="s">
        <v>113</v>
      </c>
      <c r="I8270">
        <v>5545.88</v>
      </c>
      <c r="J8270">
        <v>5288.07</v>
      </c>
      <c r="K8270" t="s">
        <v>17</v>
      </c>
      <c r="L8270" t="b">
        <v>0</v>
      </c>
      <c r="N8270" s="2" t="str">
        <f t="shared" si="742"/>
        <v/>
      </c>
      <c r="Q8270" t="str">
        <f t="shared" si="740"/>
        <v/>
      </c>
    </row>
    <row r="8271" spans="1:17" hidden="1">
      <c r="A8271" t="s">
        <v>8376</v>
      </c>
      <c r="B8271" s="1">
        <v>46021</v>
      </c>
      <c r="C8271">
        <v>2025</v>
      </c>
      <c r="D8271">
        <v>12</v>
      </c>
      <c r="E8271" t="s">
        <v>19</v>
      </c>
      <c r="F8271" t="s">
        <v>24</v>
      </c>
      <c r="G8271" t="s">
        <v>20</v>
      </c>
      <c r="H8271" t="s">
        <v>136</v>
      </c>
      <c r="I8271">
        <v>5240.12</v>
      </c>
      <c r="J8271">
        <v>4738.1000000000004</v>
      </c>
      <c r="K8271" t="s">
        <v>17</v>
      </c>
      <c r="L8271" t="b">
        <v>0</v>
      </c>
      <c r="N8271" s="2" t="str">
        <f t="shared" si="742"/>
        <v/>
      </c>
      <c r="Q8271" t="str">
        <f t="shared" si="740"/>
        <v/>
      </c>
    </row>
    <row r="8272" spans="1:17" hidden="1">
      <c r="A8272" t="s">
        <v>8377</v>
      </c>
      <c r="B8272" s="1">
        <v>46021</v>
      </c>
      <c r="C8272">
        <v>2025</v>
      </c>
      <c r="D8272">
        <v>12</v>
      </c>
      <c r="E8272" t="s">
        <v>23</v>
      </c>
      <c r="F8272" t="s">
        <v>14</v>
      </c>
      <c r="G8272" t="s">
        <v>25</v>
      </c>
      <c r="H8272" t="s">
        <v>35</v>
      </c>
      <c r="I8272">
        <v>6491.45</v>
      </c>
      <c r="J8272">
        <v>7119.73</v>
      </c>
      <c r="K8272" t="s">
        <v>17</v>
      </c>
      <c r="L8272" t="b">
        <v>0</v>
      </c>
      <c r="N8272" s="2" t="str">
        <f t="shared" si="742"/>
        <v/>
      </c>
      <c r="Q8272" t="str">
        <f t="shared" si="740"/>
        <v/>
      </c>
    </row>
    <row r="8273" spans="1:17" hidden="1">
      <c r="A8273" t="s">
        <v>8378</v>
      </c>
      <c r="B8273" s="1">
        <v>46021</v>
      </c>
      <c r="C8273">
        <v>2025</v>
      </c>
      <c r="D8273">
        <v>12</v>
      </c>
      <c r="E8273" t="s">
        <v>23</v>
      </c>
      <c r="F8273" t="s">
        <v>24</v>
      </c>
      <c r="G8273" t="s">
        <v>25</v>
      </c>
      <c r="H8273" t="s">
        <v>35</v>
      </c>
      <c r="I8273">
        <v>7826.87</v>
      </c>
      <c r="J8273">
        <v>7507.51</v>
      </c>
      <c r="K8273" t="s">
        <v>17</v>
      </c>
      <c r="L8273" t="b">
        <v>0</v>
      </c>
      <c r="N8273" s="2" t="str">
        <f t="shared" si="742"/>
        <v/>
      </c>
      <c r="Q8273" t="str">
        <f t="shared" si="740"/>
        <v/>
      </c>
    </row>
    <row r="8274" spans="1:17" hidden="1">
      <c r="A8274" t="s">
        <v>8379</v>
      </c>
      <c r="B8274" s="1">
        <v>46021</v>
      </c>
      <c r="C8274">
        <v>2025</v>
      </c>
      <c r="D8274">
        <v>12</v>
      </c>
      <c r="E8274" t="s">
        <v>37</v>
      </c>
      <c r="F8274" t="s">
        <v>14</v>
      </c>
      <c r="G8274" t="s">
        <v>38</v>
      </c>
      <c r="H8274" t="s">
        <v>118</v>
      </c>
      <c r="I8274">
        <v>3782.52</v>
      </c>
      <c r="J8274">
        <v>4029.65</v>
      </c>
      <c r="K8274" t="s">
        <v>17</v>
      </c>
      <c r="L8274" t="b">
        <v>0</v>
      </c>
      <c r="N8274" s="2" t="str">
        <f t="shared" si="742"/>
        <v/>
      </c>
      <c r="Q8274" t="str">
        <f t="shared" si="740"/>
        <v/>
      </c>
    </row>
    <row r="8275" spans="1:17" hidden="1">
      <c r="A8275" t="s">
        <v>8380</v>
      </c>
      <c r="B8275" s="1">
        <v>46021</v>
      </c>
      <c r="C8275">
        <v>2025</v>
      </c>
      <c r="D8275">
        <v>12</v>
      </c>
      <c r="E8275" t="s">
        <v>37</v>
      </c>
      <c r="F8275" t="s">
        <v>28</v>
      </c>
      <c r="G8275" t="s">
        <v>98</v>
      </c>
      <c r="H8275" t="s">
        <v>99</v>
      </c>
      <c r="I8275">
        <v>3807.97</v>
      </c>
      <c r="J8275">
        <v>4126.8999999999996</v>
      </c>
      <c r="K8275" t="s">
        <v>17</v>
      </c>
      <c r="L8275" t="b">
        <v>0</v>
      </c>
      <c r="N8275" s="2" t="str">
        <f t="shared" si="742"/>
        <v/>
      </c>
      <c r="Q8275" t="str">
        <f t="shared" si="740"/>
        <v/>
      </c>
    </row>
    <row r="8276" spans="1:17" hidden="1">
      <c r="A8276" t="s">
        <v>8381</v>
      </c>
      <c r="B8276" s="1">
        <v>46021</v>
      </c>
      <c r="C8276">
        <v>2025</v>
      </c>
      <c r="D8276">
        <v>12</v>
      </c>
      <c r="E8276" t="s">
        <v>37</v>
      </c>
      <c r="F8276" t="s">
        <v>24</v>
      </c>
      <c r="G8276" t="s">
        <v>62</v>
      </c>
      <c r="H8276" t="s">
        <v>121</v>
      </c>
      <c r="I8276">
        <v>5565.64</v>
      </c>
      <c r="J8276">
        <v>5687.66</v>
      </c>
      <c r="K8276" t="s">
        <v>17</v>
      </c>
      <c r="L8276" t="b">
        <v>0</v>
      </c>
      <c r="N8276" s="2" t="str">
        <f t="shared" si="742"/>
        <v/>
      </c>
      <c r="Q8276" t="str">
        <f t="shared" si="740"/>
        <v/>
      </c>
    </row>
    <row r="8277" spans="1:17" hidden="1">
      <c r="A8277" t="s">
        <v>8382</v>
      </c>
      <c r="B8277" s="1">
        <v>46021</v>
      </c>
      <c r="C8277">
        <v>2025</v>
      </c>
      <c r="D8277">
        <v>12</v>
      </c>
      <c r="E8277" t="s">
        <v>37</v>
      </c>
      <c r="F8277" t="s">
        <v>24</v>
      </c>
      <c r="G8277" t="s">
        <v>41</v>
      </c>
      <c r="H8277" t="s">
        <v>42</v>
      </c>
      <c r="I8277">
        <v>3925.31</v>
      </c>
      <c r="J8277">
        <v>3603.92</v>
      </c>
      <c r="K8277" t="s">
        <v>17</v>
      </c>
      <c r="L8277" t="b">
        <v>0</v>
      </c>
      <c r="N8277" s="2" t="str">
        <f t="shared" si="742"/>
        <v/>
      </c>
      <c r="Q8277" t="str">
        <f t="shared" si="740"/>
        <v/>
      </c>
    </row>
    <row r="8278" spans="1:17" hidden="1">
      <c r="A8278" t="s">
        <v>8383</v>
      </c>
      <c r="B8278" s="1">
        <v>46022</v>
      </c>
      <c r="C8278">
        <v>2025</v>
      </c>
      <c r="D8278">
        <v>12</v>
      </c>
      <c r="E8278" t="s">
        <v>13</v>
      </c>
      <c r="F8278" t="s">
        <v>24</v>
      </c>
      <c r="G8278" t="s">
        <v>102</v>
      </c>
      <c r="H8278" t="s">
        <v>278</v>
      </c>
      <c r="I8278">
        <v>2809.9</v>
      </c>
      <c r="J8278">
        <v>2839.16</v>
      </c>
      <c r="K8278" t="s">
        <v>17</v>
      </c>
      <c r="L8278" t="b">
        <v>0</v>
      </c>
      <c r="N8278" s="2" t="str">
        <f t="shared" si="742"/>
        <v/>
      </c>
      <c r="Q8278" t="str">
        <f t="shared" si="740"/>
        <v/>
      </c>
    </row>
    <row r="8279" spans="1:17" hidden="1">
      <c r="A8279" t="s">
        <v>8384</v>
      </c>
      <c r="B8279" s="1">
        <v>46022</v>
      </c>
      <c r="C8279">
        <v>2025</v>
      </c>
      <c r="D8279">
        <v>12</v>
      </c>
      <c r="E8279" t="s">
        <v>37</v>
      </c>
      <c r="F8279" t="s">
        <v>14</v>
      </c>
      <c r="G8279" t="s">
        <v>62</v>
      </c>
      <c r="H8279" t="s">
        <v>121</v>
      </c>
      <c r="I8279">
        <v>4462.38</v>
      </c>
      <c r="J8279">
        <v>4531.07</v>
      </c>
      <c r="K8279" t="s">
        <v>17</v>
      </c>
      <c r="L8279" t="b">
        <v>0</v>
      </c>
      <c r="N8279" s="2" t="str">
        <f t="shared" si="742"/>
        <v/>
      </c>
      <c r="Q8279" t="str">
        <f t="shared" si="740"/>
        <v/>
      </c>
    </row>
    <row r="8280" spans="1:17" hidden="1">
      <c r="A8280" t="s">
        <v>8385</v>
      </c>
      <c r="B8280" s="1">
        <v>46022</v>
      </c>
      <c r="C8280">
        <v>2025</v>
      </c>
      <c r="D8280">
        <v>12</v>
      </c>
      <c r="E8280" t="s">
        <v>37</v>
      </c>
      <c r="F8280" t="s">
        <v>28</v>
      </c>
      <c r="G8280" t="s">
        <v>62</v>
      </c>
      <c r="H8280" t="s">
        <v>360</v>
      </c>
      <c r="I8280">
        <v>6018.38</v>
      </c>
      <c r="J8280">
        <v>5561.42</v>
      </c>
      <c r="K8280" t="s">
        <v>17</v>
      </c>
      <c r="L8280" t="b">
        <v>0</v>
      </c>
      <c r="N8280" s="2" t="str">
        <f t="shared" si="742"/>
        <v/>
      </c>
      <c r="Q8280" t="str">
        <f t="shared" si="740"/>
        <v/>
      </c>
    </row>
  </sheetData>
  <autoFilter ref="A1:Q8280" xr:uid="{00000000-0001-0000-0000-000000000000}">
    <filterColumn colId="16">
      <customFilters>
        <customFilter operator="notEqual" val=" "/>
      </custom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Batool Altarawneh</cp:lastModifiedBy>
  <dcterms:created xsi:type="dcterms:W3CDTF">2026-05-22T22:28:51Z</dcterms:created>
  <dcterms:modified xsi:type="dcterms:W3CDTF">2026-05-22T22:50:47Z</dcterms:modified>
</cp:coreProperties>
</file>